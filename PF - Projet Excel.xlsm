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vmqc-my.sharepoint.com/personal/e_adupiot_etu_cvm_qc_ca/Documents/CVM/Cours/Gestion/Project Final Gravité (macros)/"/>
    </mc:Choice>
  </mc:AlternateContent>
  <xr:revisionPtr revIDLastSave="1074" documentId="8_{27E45C88-A218-428E-B5F8-2399F06C1BE3}" xr6:coauthVersionLast="47" xr6:coauthVersionMax="47" xr10:uidLastSave="{8DEF0452-6CCB-474B-A4CA-BCF796D26E70}"/>
  <bookViews>
    <workbookView xWindow="-120" yWindow="-120" windowWidth="38640" windowHeight="21240" activeTab="1" xr2:uid="{55EB79F3-B53E-45DB-A451-ABC7FF60D7E5}"/>
  </bookViews>
  <sheets>
    <sheet name="Calculs" sheetId="3" r:id="rId1"/>
    <sheet name="Conditions initiales et traject" sheetId="1" r:id="rId2"/>
    <sheet name="Simulation en mouvement" sheetId="2" r:id="rId3"/>
  </sheets>
  <definedNames>
    <definedName name="Numero">Calculs!$U$6:$U$1006</definedName>
    <definedName name="pxj">Calculs!$W$6:$W$1006</definedName>
    <definedName name="pyj">Calculs!$X$6:$X$1006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3" l="1"/>
  <c r="W7" i="3"/>
  <c r="AB6" i="3"/>
  <c r="AA6" i="3"/>
  <c r="AY6" i="3"/>
  <c r="AW6" i="3"/>
  <c r="AX6" i="3"/>
  <c r="BB6" i="3"/>
  <c r="BA6" i="3"/>
  <c r="AV6" i="3" s="1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51" i="3"/>
  <c r="AP252" i="3"/>
  <c r="AP253" i="3"/>
  <c r="AP254" i="3"/>
  <c r="AP255" i="3"/>
  <c r="AP256" i="3"/>
  <c r="AP257" i="3"/>
  <c r="AP258" i="3"/>
  <c r="AP259" i="3"/>
  <c r="AP260" i="3"/>
  <c r="AP261" i="3"/>
  <c r="AP262" i="3"/>
  <c r="AP263" i="3"/>
  <c r="AP264" i="3"/>
  <c r="AP265" i="3"/>
  <c r="AP266" i="3"/>
  <c r="AP267" i="3"/>
  <c r="AP268" i="3"/>
  <c r="AP269" i="3"/>
  <c r="AP270" i="3"/>
  <c r="AP271" i="3"/>
  <c r="AP272" i="3"/>
  <c r="AP273" i="3"/>
  <c r="AP274" i="3"/>
  <c r="AP275" i="3"/>
  <c r="AP276" i="3"/>
  <c r="AP277" i="3"/>
  <c r="AP278" i="3"/>
  <c r="AP279" i="3"/>
  <c r="AP280" i="3"/>
  <c r="AP281" i="3"/>
  <c r="AP282" i="3"/>
  <c r="AP283" i="3"/>
  <c r="AP284" i="3"/>
  <c r="AP285" i="3"/>
  <c r="AP286" i="3"/>
  <c r="AP287" i="3"/>
  <c r="AP288" i="3"/>
  <c r="AP289" i="3"/>
  <c r="AP290" i="3"/>
  <c r="AP291" i="3"/>
  <c r="AP292" i="3"/>
  <c r="AP293" i="3"/>
  <c r="AP294" i="3"/>
  <c r="AP295" i="3"/>
  <c r="AP296" i="3"/>
  <c r="AP297" i="3"/>
  <c r="AP298" i="3"/>
  <c r="AP299" i="3"/>
  <c r="AP300" i="3"/>
  <c r="AP301" i="3"/>
  <c r="AP302" i="3"/>
  <c r="AP303" i="3"/>
  <c r="AP304" i="3"/>
  <c r="AP305" i="3"/>
  <c r="AP306" i="3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P901" i="3"/>
  <c r="AP902" i="3"/>
  <c r="AP903" i="3"/>
  <c r="AP904" i="3"/>
  <c r="AP905" i="3"/>
  <c r="AP906" i="3"/>
  <c r="AP907" i="3"/>
  <c r="AP908" i="3"/>
  <c r="AP909" i="3"/>
  <c r="AP910" i="3"/>
  <c r="AP911" i="3"/>
  <c r="AP912" i="3"/>
  <c r="AP913" i="3"/>
  <c r="AP914" i="3"/>
  <c r="AP915" i="3"/>
  <c r="AP916" i="3"/>
  <c r="AP917" i="3"/>
  <c r="AP918" i="3"/>
  <c r="AP919" i="3"/>
  <c r="AP920" i="3"/>
  <c r="AP921" i="3"/>
  <c r="AP922" i="3"/>
  <c r="AP923" i="3"/>
  <c r="AP924" i="3"/>
  <c r="AP925" i="3"/>
  <c r="AP926" i="3"/>
  <c r="AP927" i="3"/>
  <c r="AP928" i="3"/>
  <c r="AP929" i="3"/>
  <c r="AP930" i="3"/>
  <c r="AP931" i="3"/>
  <c r="AP932" i="3"/>
  <c r="AP933" i="3"/>
  <c r="AP934" i="3"/>
  <c r="AP935" i="3"/>
  <c r="AP936" i="3"/>
  <c r="AP937" i="3"/>
  <c r="AP938" i="3"/>
  <c r="AP939" i="3"/>
  <c r="AP940" i="3"/>
  <c r="AP941" i="3"/>
  <c r="AP942" i="3"/>
  <c r="AP943" i="3"/>
  <c r="AP944" i="3"/>
  <c r="AP945" i="3"/>
  <c r="AP946" i="3"/>
  <c r="AP947" i="3"/>
  <c r="AP948" i="3"/>
  <c r="AP949" i="3"/>
  <c r="AP950" i="3"/>
  <c r="AP951" i="3"/>
  <c r="AP952" i="3"/>
  <c r="AP953" i="3"/>
  <c r="AP954" i="3"/>
  <c r="AP955" i="3"/>
  <c r="AP956" i="3"/>
  <c r="AP957" i="3"/>
  <c r="AP958" i="3"/>
  <c r="AP959" i="3"/>
  <c r="AP960" i="3"/>
  <c r="AP961" i="3"/>
  <c r="AP962" i="3"/>
  <c r="AP963" i="3"/>
  <c r="AP964" i="3"/>
  <c r="AP965" i="3"/>
  <c r="AP966" i="3"/>
  <c r="AP967" i="3"/>
  <c r="AP968" i="3"/>
  <c r="AP969" i="3"/>
  <c r="AP970" i="3"/>
  <c r="AP971" i="3"/>
  <c r="AP972" i="3"/>
  <c r="AP973" i="3"/>
  <c r="AP974" i="3"/>
  <c r="AP975" i="3"/>
  <c r="AP976" i="3"/>
  <c r="AP977" i="3"/>
  <c r="AP978" i="3"/>
  <c r="AP979" i="3"/>
  <c r="AP980" i="3"/>
  <c r="AP981" i="3"/>
  <c r="AP982" i="3"/>
  <c r="AP983" i="3"/>
  <c r="AP984" i="3"/>
  <c r="AP985" i="3"/>
  <c r="AP986" i="3"/>
  <c r="AP987" i="3"/>
  <c r="AP988" i="3"/>
  <c r="AP989" i="3"/>
  <c r="AP990" i="3"/>
  <c r="AP991" i="3"/>
  <c r="AP992" i="3"/>
  <c r="AP993" i="3"/>
  <c r="AP994" i="3"/>
  <c r="AP995" i="3"/>
  <c r="AP996" i="3"/>
  <c r="AP997" i="3"/>
  <c r="AP998" i="3"/>
  <c r="AP999" i="3"/>
  <c r="AP1000" i="3"/>
  <c r="AP1001" i="3"/>
  <c r="AP1002" i="3"/>
  <c r="AP1003" i="3"/>
  <c r="AP1004" i="3"/>
  <c r="AP1005" i="3"/>
  <c r="AO7" i="3"/>
  <c r="AO8" i="3"/>
  <c r="AO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AO101" i="3"/>
  <c r="AO102" i="3"/>
  <c r="AO103" i="3"/>
  <c r="AO104" i="3"/>
  <c r="AO105" i="3"/>
  <c r="AO106" i="3"/>
  <c r="AO107" i="3"/>
  <c r="AO108" i="3"/>
  <c r="AO109" i="3"/>
  <c r="AO110" i="3"/>
  <c r="AO111" i="3"/>
  <c r="AO112" i="3"/>
  <c r="AO113" i="3"/>
  <c r="AO114" i="3"/>
  <c r="AO115" i="3"/>
  <c r="AO116" i="3"/>
  <c r="AO117" i="3"/>
  <c r="AO118" i="3"/>
  <c r="AO119" i="3"/>
  <c r="AO120" i="3"/>
  <c r="AO121" i="3"/>
  <c r="AO122" i="3"/>
  <c r="AO123" i="3"/>
  <c r="AO124" i="3"/>
  <c r="AO125" i="3"/>
  <c r="AO126" i="3"/>
  <c r="AO127" i="3"/>
  <c r="AO128" i="3"/>
  <c r="AO129" i="3"/>
  <c r="AO130" i="3"/>
  <c r="AO131" i="3"/>
  <c r="AO132" i="3"/>
  <c r="AO133" i="3"/>
  <c r="AO134" i="3"/>
  <c r="AO135" i="3"/>
  <c r="AO136" i="3"/>
  <c r="AO137" i="3"/>
  <c r="AO138" i="3"/>
  <c r="AO139" i="3"/>
  <c r="AO140" i="3"/>
  <c r="AO141" i="3"/>
  <c r="AO142" i="3"/>
  <c r="AO143" i="3"/>
  <c r="AO144" i="3"/>
  <c r="AO145" i="3"/>
  <c r="AO146" i="3"/>
  <c r="AO147" i="3"/>
  <c r="AO148" i="3"/>
  <c r="AO149" i="3"/>
  <c r="AO150" i="3"/>
  <c r="AO151" i="3"/>
  <c r="AO152" i="3"/>
  <c r="AO153" i="3"/>
  <c r="AO154" i="3"/>
  <c r="AO155" i="3"/>
  <c r="AO156" i="3"/>
  <c r="AO157" i="3"/>
  <c r="AO158" i="3"/>
  <c r="AO159" i="3"/>
  <c r="AO160" i="3"/>
  <c r="AO161" i="3"/>
  <c r="AO162" i="3"/>
  <c r="AO163" i="3"/>
  <c r="AO164" i="3"/>
  <c r="AO165" i="3"/>
  <c r="AO166" i="3"/>
  <c r="AO167" i="3"/>
  <c r="AO168" i="3"/>
  <c r="AO169" i="3"/>
  <c r="AO170" i="3"/>
  <c r="AO171" i="3"/>
  <c r="AO172" i="3"/>
  <c r="AO173" i="3"/>
  <c r="AO174" i="3"/>
  <c r="AO175" i="3"/>
  <c r="AO176" i="3"/>
  <c r="AO177" i="3"/>
  <c r="AO178" i="3"/>
  <c r="AO179" i="3"/>
  <c r="AO180" i="3"/>
  <c r="AO181" i="3"/>
  <c r="AO182" i="3"/>
  <c r="AO183" i="3"/>
  <c r="AO184" i="3"/>
  <c r="AO185" i="3"/>
  <c r="AO186" i="3"/>
  <c r="AO187" i="3"/>
  <c r="AO188" i="3"/>
  <c r="AO189" i="3"/>
  <c r="AO190" i="3"/>
  <c r="AO191" i="3"/>
  <c r="AO192" i="3"/>
  <c r="AO193" i="3"/>
  <c r="AO194" i="3"/>
  <c r="AO195" i="3"/>
  <c r="AO196" i="3"/>
  <c r="AO197" i="3"/>
  <c r="AO198" i="3"/>
  <c r="AO199" i="3"/>
  <c r="AO200" i="3"/>
  <c r="AO201" i="3"/>
  <c r="AO202" i="3"/>
  <c r="AO203" i="3"/>
  <c r="AO204" i="3"/>
  <c r="AO205" i="3"/>
  <c r="AO206" i="3"/>
  <c r="AO207" i="3"/>
  <c r="AO208" i="3"/>
  <c r="AO209" i="3"/>
  <c r="AO210" i="3"/>
  <c r="AO211" i="3"/>
  <c r="AO212" i="3"/>
  <c r="AO213" i="3"/>
  <c r="AO214" i="3"/>
  <c r="AO215" i="3"/>
  <c r="AO216" i="3"/>
  <c r="AO217" i="3"/>
  <c r="AO218" i="3"/>
  <c r="AO219" i="3"/>
  <c r="AO220" i="3"/>
  <c r="AO221" i="3"/>
  <c r="AO222" i="3"/>
  <c r="AO223" i="3"/>
  <c r="AO224" i="3"/>
  <c r="AO225" i="3"/>
  <c r="AO226" i="3"/>
  <c r="AO227" i="3"/>
  <c r="AO228" i="3"/>
  <c r="AO229" i="3"/>
  <c r="AO230" i="3"/>
  <c r="AO231" i="3"/>
  <c r="AO232" i="3"/>
  <c r="AO233" i="3"/>
  <c r="AO234" i="3"/>
  <c r="AO235" i="3"/>
  <c r="AO236" i="3"/>
  <c r="AO237" i="3"/>
  <c r="AO238" i="3"/>
  <c r="AO239" i="3"/>
  <c r="AO240" i="3"/>
  <c r="AO241" i="3"/>
  <c r="AO242" i="3"/>
  <c r="AO243" i="3"/>
  <c r="AO244" i="3"/>
  <c r="AO245" i="3"/>
  <c r="AO246" i="3"/>
  <c r="AO247" i="3"/>
  <c r="AO248" i="3"/>
  <c r="AO249" i="3"/>
  <c r="AO250" i="3"/>
  <c r="AO251" i="3"/>
  <c r="AO252" i="3"/>
  <c r="AO253" i="3"/>
  <c r="AO254" i="3"/>
  <c r="AO255" i="3"/>
  <c r="AO256" i="3"/>
  <c r="AO257" i="3"/>
  <c r="AO258" i="3"/>
  <c r="AO259" i="3"/>
  <c r="AO260" i="3"/>
  <c r="AO261" i="3"/>
  <c r="AO262" i="3"/>
  <c r="AO263" i="3"/>
  <c r="AO264" i="3"/>
  <c r="AO265" i="3"/>
  <c r="AO266" i="3"/>
  <c r="AO267" i="3"/>
  <c r="AO268" i="3"/>
  <c r="AO269" i="3"/>
  <c r="AO270" i="3"/>
  <c r="AO271" i="3"/>
  <c r="AO272" i="3"/>
  <c r="AO273" i="3"/>
  <c r="AO274" i="3"/>
  <c r="AO275" i="3"/>
  <c r="AO276" i="3"/>
  <c r="AO277" i="3"/>
  <c r="AO278" i="3"/>
  <c r="AO279" i="3"/>
  <c r="AO280" i="3"/>
  <c r="AO281" i="3"/>
  <c r="AO282" i="3"/>
  <c r="AO283" i="3"/>
  <c r="AO284" i="3"/>
  <c r="AO285" i="3"/>
  <c r="AO286" i="3"/>
  <c r="AO287" i="3"/>
  <c r="AO288" i="3"/>
  <c r="AO289" i="3"/>
  <c r="AO290" i="3"/>
  <c r="AO291" i="3"/>
  <c r="AO292" i="3"/>
  <c r="AO293" i="3"/>
  <c r="AO294" i="3"/>
  <c r="AO295" i="3"/>
  <c r="AO296" i="3"/>
  <c r="AO297" i="3"/>
  <c r="AO298" i="3"/>
  <c r="AO299" i="3"/>
  <c r="AO300" i="3"/>
  <c r="AO301" i="3"/>
  <c r="AO302" i="3"/>
  <c r="AO303" i="3"/>
  <c r="AO304" i="3"/>
  <c r="AO305" i="3"/>
  <c r="AO306" i="3"/>
  <c r="AO307" i="3"/>
  <c r="AO308" i="3"/>
  <c r="AO309" i="3"/>
  <c r="AO310" i="3"/>
  <c r="AO311" i="3"/>
  <c r="AO312" i="3"/>
  <c r="AO313" i="3"/>
  <c r="AO314" i="3"/>
  <c r="AO315" i="3"/>
  <c r="AO316" i="3"/>
  <c r="AO317" i="3"/>
  <c r="AO318" i="3"/>
  <c r="AO319" i="3"/>
  <c r="AO320" i="3"/>
  <c r="AO321" i="3"/>
  <c r="AO322" i="3"/>
  <c r="AO323" i="3"/>
  <c r="AO324" i="3"/>
  <c r="AO325" i="3"/>
  <c r="AO326" i="3"/>
  <c r="AO327" i="3"/>
  <c r="AO328" i="3"/>
  <c r="AO329" i="3"/>
  <c r="AO330" i="3"/>
  <c r="AO331" i="3"/>
  <c r="AO332" i="3"/>
  <c r="AO333" i="3"/>
  <c r="AO334" i="3"/>
  <c r="AO335" i="3"/>
  <c r="AO336" i="3"/>
  <c r="AO337" i="3"/>
  <c r="AO338" i="3"/>
  <c r="AO339" i="3"/>
  <c r="AO340" i="3"/>
  <c r="AO341" i="3"/>
  <c r="AO342" i="3"/>
  <c r="AO343" i="3"/>
  <c r="AO344" i="3"/>
  <c r="AO345" i="3"/>
  <c r="AO346" i="3"/>
  <c r="AO347" i="3"/>
  <c r="AO348" i="3"/>
  <c r="AO349" i="3"/>
  <c r="AO350" i="3"/>
  <c r="AO351" i="3"/>
  <c r="AO352" i="3"/>
  <c r="AO353" i="3"/>
  <c r="AO354" i="3"/>
  <c r="AO355" i="3"/>
  <c r="AO356" i="3"/>
  <c r="AO357" i="3"/>
  <c r="AO358" i="3"/>
  <c r="AO359" i="3"/>
  <c r="AO360" i="3"/>
  <c r="AO361" i="3"/>
  <c r="AO362" i="3"/>
  <c r="AO363" i="3"/>
  <c r="AO364" i="3"/>
  <c r="AO365" i="3"/>
  <c r="AO366" i="3"/>
  <c r="AO367" i="3"/>
  <c r="AO368" i="3"/>
  <c r="AO369" i="3"/>
  <c r="AO370" i="3"/>
  <c r="AO371" i="3"/>
  <c r="AO372" i="3"/>
  <c r="AO373" i="3"/>
  <c r="AO374" i="3"/>
  <c r="AO375" i="3"/>
  <c r="AO376" i="3"/>
  <c r="AO377" i="3"/>
  <c r="AO378" i="3"/>
  <c r="AO379" i="3"/>
  <c r="AO380" i="3"/>
  <c r="AO381" i="3"/>
  <c r="AO382" i="3"/>
  <c r="AO383" i="3"/>
  <c r="AO384" i="3"/>
  <c r="AO385" i="3"/>
  <c r="AO386" i="3"/>
  <c r="AO387" i="3"/>
  <c r="AO388" i="3"/>
  <c r="AO389" i="3"/>
  <c r="AO390" i="3"/>
  <c r="AO391" i="3"/>
  <c r="AO392" i="3"/>
  <c r="AO393" i="3"/>
  <c r="AO394" i="3"/>
  <c r="AO395" i="3"/>
  <c r="AO396" i="3"/>
  <c r="AO397" i="3"/>
  <c r="AO398" i="3"/>
  <c r="AO399" i="3"/>
  <c r="AO400" i="3"/>
  <c r="AO401" i="3"/>
  <c r="AO402" i="3"/>
  <c r="AO403" i="3"/>
  <c r="AO404" i="3"/>
  <c r="AO405" i="3"/>
  <c r="AO406" i="3"/>
  <c r="AO407" i="3"/>
  <c r="AO408" i="3"/>
  <c r="AO409" i="3"/>
  <c r="AO410" i="3"/>
  <c r="AO411" i="3"/>
  <c r="AO412" i="3"/>
  <c r="AO413" i="3"/>
  <c r="AO414" i="3"/>
  <c r="AO415" i="3"/>
  <c r="AO416" i="3"/>
  <c r="AO417" i="3"/>
  <c r="AO418" i="3"/>
  <c r="AO419" i="3"/>
  <c r="AO420" i="3"/>
  <c r="AO421" i="3"/>
  <c r="AO422" i="3"/>
  <c r="AO423" i="3"/>
  <c r="AO424" i="3"/>
  <c r="AO425" i="3"/>
  <c r="AO426" i="3"/>
  <c r="AO427" i="3"/>
  <c r="AO428" i="3"/>
  <c r="AO429" i="3"/>
  <c r="AO430" i="3"/>
  <c r="AO431" i="3"/>
  <c r="AO432" i="3"/>
  <c r="AO433" i="3"/>
  <c r="AO434" i="3"/>
  <c r="AO435" i="3"/>
  <c r="AO436" i="3"/>
  <c r="AO437" i="3"/>
  <c r="AO438" i="3"/>
  <c r="AO439" i="3"/>
  <c r="AO440" i="3"/>
  <c r="AO441" i="3"/>
  <c r="AO442" i="3"/>
  <c r="AO443" i="3"/>
  <c r="AO444" i="3"/>
  <c r="AO445" i="3"/>
  <c r="AO446" i="3"/>
  <c r="AO447" i="3"/>
  <c r="AO448" i="3"/>
  <c r="AO449" i="3"/>
  <c r="AO450" i="3"/>
  <c r="AO451" i="3"/>
  <c r="AO452" i="3"/>
  <c r="AO453" i="3"/>
  <c r="AO454" i="3"/>
  <c r="AO455" i="3"/>
  <c r="AO456" i="3"/>
  <c r="AO457" i="3"/>
  <c r="AO458" i="3"/>
  <c r="AO459" i="3"/>
  <c r="AO460" i="3"/>
  <c r="AO461" i="3"/>
  <c r="AO462" i="3"/>
  <c r="AO463" i="3"/>
  <c r="AO464" i="3"/>
  <c r="AO465" i="3"/>
  <c r="AO466" i="3"/>
  <c r="AO467" i="3"/>
  <c r="AO468" i="3"/>
  <c r="AO469" i="3"/>
  <c r="AO470" i="3"/>
  <c r="AO471" i="3"/>
  <c r="AO472" i="3"/>
  <c r="AO473" i="3"/>
  <c r="AO474" i="3"/>
  <c r="AO475" i="3"/>
  <c r="AO476" i="3"/>
  <c r="AO477" i="3"/>
  <c r="AO478" i="3"/>
  <c r="AO479" i="3"/>
  <c r="AO480" i="3"/>
  <c r="AO481" i="3"/>
  <c r="AO482" i="3"/>
  <c r="AO483" i="3"/>
  <c r="AO484" i="3"/>
  <c r="AO485" i="3"/>
  <c r="AO486" i="3"/>
  <c r="AO487" i="3"/>
  <c r="AO488" i="3"/>
  <c r="AO489" i="3"/>
  <c r="AO490" i="3"/>
  <c r="AO491" i="3"/>
  <c r="AO492" i="3"/>
  <c r="AO493" i="3"/>
  <c r="AO494" i="3"/>
  <c r="AO495" i="3"/>
  <c r="AO496" i="3"/>
  <c r="AO497" i="3"/>
  <c r="AO498" i="3"/>
  <c r="AO499" i="3"/>
  <c r="AO500" i="3"/>
  <c r="AO501" i="3"/>
  <c r="AO502" i="3"/>
  <c r="AO503" i="3"/>
  <c r="AO504" i="3"/>
  <c r="AO505" i="3"/>
  <c r="AO506" i="3"/>
  <c r="AO507" i="3"/>
  <c r="AO508" i="3"/>
  <c r="AO509" i="3"/>
  <c r="AO510" i="3"/>
  <c r="AO511" i="3"/>
  <c r="AO512" i="3"/>
  <c r="AO513" i="3"/>
  <c r="AO514" i="3"/>
  <c r="AO515" i="3"/>
  <c r="AO516" i="3"/>
  <c r="AO517" i="3"/>
  <c r="AO518" i="3"/>
  <c r="AO519" i="3"/>
  <c r="AO520" i="3"/>
  <c r="AO521" i="3"/>
  <c r="AO522" i="3"/>
  <c r="AO523" i="3"/>
  <c r="AO524" i="3"/>
  <c r="AO525" i="3"/>
  <c r="AO526" i="3"/>
  <c r="AO527" i="3"/>
  <c r="AO528" i="3"/>
  <c r="AO529" i="3"/>
  <c r="AO530" i="3"/>
  <c r="AO531" i="3"/>
  <c r="AO532" i="3"/>
  <c r="AO533" i="3"/>
  <c r="AO534" i="3"/>
  <c r="AO535" i="3"/>
  <c r="AO536" i="3"/>
  <c r="AO537" i="3"/>
  <c r="AO538" i="3"/>
  <c r="AO539" i="3"/>
  <c r="AO540" i="3"/>
  <c r="AO541" i="3"/>
  <c r="AO542" i="3"/>
  <c r="AO543" i="3"/>
  <c r="AO544" i="3"/>
  <c r="AO545" i="3"/>
  <c r="AO546" i="3"/>
  <c r="AO547" i="3"/>
  <c r="AO548" i="3"/>
  <c r="AO549" i="3"/>
  <c r="AO550" i="3"/>
  <c r="AO551" i="3"/>
  <c r="AO552" i="3"/>
  <c r="AO553" i="3"/>
  <c r="AO554" i="3"/>
  <c r="AO555" i="3"/>
  <c r="AO556" i="3"/>
  <c r="AO557" i="3"/>
  <c r="AO558" i="3"/>
  <c r="AO559" i="3"/>
  <c r="AO560" i="3"/>
  <c r="AO561" i="3"/>
  <c r="AO562" i="3"/>
  <c r="AO563" i="3"/>
  <c r="AO564" i="3"/>
  <c r="AO565" i="3"/>
  <c r="AO566" i="3"/>
  <c r="AO567" i="3"/>
  <c r="AO568" i="3"/>
  <c r="AO569" i="3"/>
  <c r="AO570" i="3"/>
  <c r="AO571" i="3"/>
  <c r="AO572" i="3"/>
  <c r="AO573" i="3"/>
  <c r="AO574" i="3"/>
  <c r="AO575" i="3"/>
  <c r="AO576" i="3"/>
  <c r="AO577" i="3"/>
  <c r="AO578" i="3"/>
  <c r="AO579" i="3"/>
  <c r="AO580" i="3"/>
  <c r="AO581" i="3"/>
  <c r="AO582" i="3"/>
  <c r="AO583" i="3"/>
  <c r="AO584" i="3"/>
  <c r="AO585" i="3"/>
  <c r="AO586" i="3"/>
  <c r="AO587" i="3"/>
  <c r="AO588" i="3"/>
  <c r="AO589" i="3"/>
  <c r="AO590" i="3"/>
  <c r="AO591" i="3"/>
  <c r="AO592" i="3"/>
  <c r="AO593" i="3"/>
  <c r="AO594" i="3"/>
  <c r="AO595" i="3"/>
  <c r="AO596" i="3"/>
  <c r="AO597" i="3"/>
  <c r="AO598" i="3"/>
  <c r="AO599" i="3"/>
  <c r="AO600" i="3"/>
  <c r="AO601" i="3"/>
  <c r="AO602" i="3"/>
  <c r="AO603" i="3"/>
  <c r="AO604" i="3"/>
  <c r="AO605" i="3"/>
  <c r="AO606" i="3"/>
  <c r="AO607" i="3"/>
  <c r="AO608" i="3"/>
  <c r="AO609" i="3"/>
  <c r="AO610" i="3"/>
  <c r="AO611" i="3"/>
  <c r="AO612" i="3"/>
  <c r="AO613" i="3"/>
  <c r="AO614" i="3"/>
  <c r="AO615" i="3"/>
  <c r="AO616" i="3"/>
  <c r="AO617" i="3"/>
  <c r="AO618" i="3"/>
  <c r="AO619" i="3"/>
  <c r="AO620" i="3"/>
  <c r="AO621" i="3"/>
  <c r="AO622" i="3"/>
  <c r="AO623" i="3"/>
  <c r="AO624" i="3"/>
  <c r="AO625" i="3"/>
  <c r="AO626" i="3"/>
  <c r="AO627" i="3"/>
  <c r="AO628" i="3"/>
  <c r="AO629" i="3"/>
  <c r="AO630" i="3"/>
  <c r="AO631" i="3"/>
  <c r="AO632" i="3"/>
  <c r="AO633" i="3"/>
  <c r="AO634" i="3"/>
  <c r="AO635" i="3"/>
  <c r="AO636" i="3"/>
  <c r="AO637" i="3"/>
  <c r="AO638" i="3"/>
  <c r="AO639" i="3"/>
  <c r="AO640" i="3"/>
  <c r="AO641" i="3"/>
  <c r="AO642" i="3"/>
  <c r="AO643" i="3"/>
  <c r="AO644" i="3"/>
  <c r="AO645" i="3"/>
  <c r="AO646" i="3"/>
  <c r="AO647" i="3"/>
  <c r="AO648" i="3"/>
  <c r="AO649" i="3"/>
  <c r="AO650" i="3"/>
  <c r="AO651" i="3"/>
  <c r="AO652" i="3"/>
  <c r="AO653" i="3"/>
  <c r="AO654" i="3"/>
  <c r="AO655" i="3"/>
  <c r="AO656" i="3"/>
  <c r="AO657" i="3"/>
  <c r="AO658" i="3"/>
  <c r="AO659" i="3"/>
  <c r="AO660" i="3"/>
  <c r="AO661" i="3"/>
  <c r="AO662" i="3"/>
  <c r="AO663" i="3"/>
  <c r="AO664" i="3"/>
  <c r="AO665" i="3"/>
  <c r="AO666" i="3"/>
  <c r="AO667" i="3"/>
  <c r="AO668" i="3"/>
  <c r="AO669" i="3"/>
  <c r="AO670" i="3"/>
  <c r="AO671" i="3"/>
  <c r="AO672" i="3"/>
  <c r="AO673" i="3"/>
  <c r="AO674" i="3"/>
  <c r="AO675" i="3"/>
  <c r="AO676" i="3"/>
  <c r="AO677" i="3"/>
  <c r="AO678" i="3"/>
  <c r="AO679" i="3"/>
  <c r="AO680" i="3"/>
  <c r="AO681" i="3"/>
  <c r="AO682" i="3"/>
  <c r="AO683" i="3"/>
  <c r="AO684" i="3"/>
  <c r="AO685" i="3"/>
  <c r="AO686" i="3"/>
  <c r="AO687" i="3"/>
  <c r="AO688" i="3"/>
  <c r="AO689" i="3"/>
  <c r="AO690" i="3"/>
  <c r="AO691" i="3"/>
  <c r="AO692" i="3"/>
  <c r="AO693" i="3"/>
  <c r="AO694" i="3"/>
  <c r="AO695" i="3"/>
  <c r="AO696" i="3"/>
  <c r="AO697" i="3"/>
  <c r="AO698" i="3"/>
  <c r="AO699" i="3"/>
  <c r="AO700" i="3"/>
  <c r="AO701" i="3"/>
  <c r="AO702" i="3"/>
  <c r="AO703" i="3"/>
  <c r="AO704" i="3"/>
  <c r="AO705" i="3"/>
  <c r="AO706" i="3"/>
  <c r="AO707" i="3"/>
  <c r="AO708" i="3"/>
  <c r="AO709" i="3"/>
  <c r="AO710" i="3"/>
  <c r="AO711" i="3"/>
  <c r="AO712" i="3"/>
  <c r="AO713" i="3"/>
  <c r="AO714" i="3"/>
  <c r="AO715" i="3"/>
  <c r="AO716" i="3"/>
  <c r="AO717" i="3"/>
  <c r="AO718" i="3"/>
  <c r="AO719" i="3"/>
  <c r="AO720" i="3"/>
  <c r="AO721" i="3"/>
  <c r="AO722" i="3"/>
  <c r="AO723" i="3"/>
  <c r="AO724" i="3"/>
  <c r="AO725" i="3"/>
  <c r="AO726" i="3"/>
  <c r="AO727" i="3"/>
  <c r="AO728" i="3"/>
  <c r="AO729" i="3"/>
  <c r="AO730" i="3"/>
  <c r="AO731" i="3"/>
  <c r="AO732" i="3"/>
  <c r="AO733" i="3"/>
  <c r="AO734" i="3"/>
  <c r="AO735" i="3"/>
  <c r="AO736" i="3"/>
  <c r="AO737" i="3"/>
  <c r="AO738" i="3"/>
  <c r="AO739" i="3"/>
  <c r="AO740" i="3"/>
  <c r="AO741" i="3"/>
  <c r="AO742" i="3"/>
  <c r="AO743" i="3"/>
  <c r="AO744" i="3"/>
  <c r="AO745" i="3"/>
  <c r="AO746" i="3"/>
  <c r="AO747" i="3"/>
  <c r="AO748" i="3"/>
  <c r="AO749" i="3"/>
  <c r="AO750" i="3"/>
  <c r="AO751" i="3"/>
  <c r="AO752" i="3"/>
  <c r="AO753" i="3"/>
  <c r="AO754" i="3"/>
  <c r="AO755" i="3"/>
  <c r="AO756" i="3"/>
  <c r="AO757" i="3"/>
  <c r="AO758" i="3"/>
  <c r="AO759" i="3"/>
  <c r="AO760" i="3"/>
  <c r="AO761" i="3"/>
  <c r="AO762" i="3"/>
  <c r="AO763" i="3"/>
  <c r="AO764" i="3"/>
  <c r="AO765" i="3"/>
  <c r="AO766" i="3"/>
  <c r="AO767" i="3"/>
  <c r="AO768" i="3"/>
  <c r="AO769" i="3"/>
  <c r="AO770" i="3"/>
  <c r="AO771" i="3"/>
  <c r="AO772" i="3"/>
  <c r="AO773" i="3"/>
  <c r="AO774" i="3"/>
  <c r="AO775" i="3"/>
  <c r="AO776" i="3"/>
  <c r="AO777" i="3"/>
  <c r="AO778" i="3"/>
  <c r="AO779" i="3"/>
  <c r="AO780" i="3"/>
  <c r="AO781" i="3"/>
  <c r="AO782" i="3"/>
  <c r="AO783" i="3"/>
  <c r="AO784" i="3"/>
  <c r="AO785" i="3"/>
  <c r="AO786" i="3"/>
  <c r="AO787" i="3"/>
  <c r="AO788" i="3"/>
  <c r="AO789" i="3"/>
  <c r="AO790" i="3"/>
  <c r="AO791" i="3"/>
  <c r="AO792" i="3"/>
  <c r="AO793" i="3"/>
  <c r="AO794" i="3"/>
  <c r="AO795" i="3"/>
  <c r="AO796" i="3"/>
  <c r="AO797" i="3"/>
  <c r="AO798" i="3"/>
  <c r="AO799" i="3"/>
  <c r="AO800" i="3"/>
  <c r="AO801" i="3"/>
  <c r="AO802" i="3"/>
  <c r="AO803" i="3"/>
  <c r="AO804" i="3"/>
  <c r="AO805" i="3"/>
  <c r="AO806" i="3"/>
  <c r="AO807" i="3"/>
  <c r="AO808" i="3"/>
  <c r="AO809" i="3"/>
  <c r="AO810" i="3"/>
  <c r="AO811" i="3"/>
  <c r="AO812" i="3"/>
  <c r="AO813" i="3"/>
  <c r="AO814" i="3"/>
  <c r="AO815" i="3"/>
  <c r="AO816" i="3"/>
  <c r="AO817" i="3"/>
  <c r="AO818" i="3"/>
  <c r="AO819" i="3"/>
  <c r="AO820" i="3"/>
  <c r="AO821" i="3"/>
  <c r="AO822" i="3"/>
  <c r="AO823" i="3"/>
  <c r="AO824" i="3"/>
  <c r="AO825" i="3"/>
  <c r="AO826" i="3"/>
  <c r="AO827" i="3"/>
  <c r="AO828" i="3"/>
  <c r="AO829" i="3"/>
  <c r="AO830" i="3"/>
  <c r="AO831" i="3"/>
  <c r="AO832" i="3"/>
  <c r="AO833" i="3"/>
  <c r="AO834" i="3"/>
  <c r="AO835" i="3"/>
  <c r="AO836" i="3"/>
  <c r="AO837" i="3"/>
  <c r="AO838" i="3"/>
  <c r="AO839" i="3"/>
  <c r="AO840" i="3"/>
  <c r="AO841" i="3"/>
  <c r="AO842" i="3"/>
  <c r="AO843" i="3"/>
  <c r="AO844" i="3"/>
  <c r="AO845" i="3"/>
  <c r="AO846" i="3"/>
  <c r="AO847" i="3"/>
  <c r="AO848" i="3"/>
  <c r="AO849" i="3"/>
  <c r="AO850" i="3"/>
  <c r="AO851" i="3"/>
  <c r="AO852" i="3"/>
  <c r="AO853" i="3"/>
  <c r="AO854" i="3"/>
  <c r="AO855" i="3"/>
  <c r="AO856" i="3"/>
  <c r="AO857" i="3"/>
  <c r="AO858" i="3"/>
  <c r="AO859" i="3"/>
  <c r="AO860" i="3"/>
  <c r="AO861" i="3"/>
  <c r="AO862" i="3"/>
  <c r="AO863" i="3"/>
  <c r="AO864" i="3"/>
  <c r="AO865" i="3"/>
  <c r="AO866" i="3"/>
  <c r="AO867" i="3"/>
  <c r="AO868" i="3"/>
  <c r="AO869" i="3"/>
  <c r="AO870" i="3"/>
  <c r="AO871" i="3"/>
  <c r="AO872" i="3"/>
  <c r="AO873" i="3"/>
  <c r="AO874" i="3"/>
  <c r="AO875" i="3"/>
  <c r="AO876" i="3"/>
  <c r="AO877" i="3"/>
  <c r="AO878" i="3"/>
  <c r="AO879" i="3"/>
  <c r="AO880" i="3"/>
  <c r="AO881" i="3"/>
  <c r="AO882" i="3"/>
  <c r="AO883" i="3"/>
  <c r="AO884" i="3"/>
  <c r="AO885" i="3"/>
  <c r="AO886" i="3"/>
  <c r="AO887" i="3"/>
  <c r="AO888" i="3"/>
  <c r="AO889" i="3"/>
  <c r="AO890" i="3"/>
  <c r="AO891" i="3"/>
  <c r="AO892" i="3"/>
  <c r="AO893" i="3"/>
  <c r="AO894" i="3"/>
  <c r="AO895" i="3"/>
  <c r="AO896" i="3"/>
  <c r="AO897" i="3"/>
  <c r="AO898" i="3"/>
  <c r="AO899" i="3"/>
  <c r="AO900" i="3"/>
  <c r="AO901" i="3"/>
  <c r="AO902" i="3"/>
  <c r="AO903" i="3"/>
  <c r="AO904" i="3"/>
  <c r="AO905" i="3"/>
  <c r="AO906" i="3"/>
  <c r="AO907" i="3"/>
  <c r="AO908" i="3"/>
  <c r="AO909" i="3"/>
  <c r="AO910" i="3"/>
  <c r="AO911" i="3"/>
  <c r="AO912" i="3"/>
  <c r="AO913" i="3"/>
  <c r="AO914" i="3"/>
  <c r="AO915" i="3"/>
  <c r="AO916" i="3"/>
  <c r="AO917" i="3"/>
  <c r="AO918" i="3"/>
  <c r="AO919" i="3"/>
  <c r="AO920" i="3"/>
  <c r="AO921" i="3"/>
  <c r="AO922" i="3"/>
  <c r="AO923" i="3"/>
  <c r="AO924" i="3"/>
  <c r="AO925" i="3"/>
  <c r="AO926" i="3"/>
  <c r="AO927" i="3"/>
  <c r="AO928" i="3"/>
  <c r="AO929" i="3"/>
  <c r="AO930" i="3"/>
  <c r="AO931" i="3"/>
  <c r="AO932" i="3"/>
  <c r="AO933" i="3"/>
  <c r="AO934" i="3"/>
  <c r="AO935" i="3"/>
  <c r="AO936" i="3"/>
  <c r="AO937" i="3"/>
  <c r="AO938" i="3"/>
  <c r="AO939" i="3"/>
  <c r="AO940" i="3"/>
  <c r="AO941" i="3"/>
  <c r="AO942" i="3"/>
  <c r="AO943" i="3"/>
  <c r="AO944" i="3"/>
  <c r="AO945" i="3"/>
  <c r="AO946" i="3"/>
  <c r="AO947" i="3"/>
  <c r="AO948" i="3"/>
  <c r="AO949" i="3"/>
  <c r="AO950" i="3"/>
  <c r="AO951" i="3"/>
  <c r="AO952" i="3"/>
  <c r="AO953" i="3"/>
  <c r="AO954" i="3"/>
  <c r="AO955" i="3"/>
  <c r="AO956" i="3"/>
  <c r="AO957" i="3"/>
  <c r="AO958" i="3"/>
  <c r="AO959" i="3"/>
  <c r="AO960" i="3"/>
  <c r="AO961" i="3"/>
  <c r="AO962" i="3"/>
  <c r="AO963" i="3"/>
  <c r="AO964" i="3"/>
  <c r="AO965" i="3"/>
  <c r="AO966" i="3"/>
  <c r="AO967" i="3"/>
  <c r="AO968" i="3"/>
  <c r="AO969" i="3"/>
  <c r="AO970" i="3"/>
  <c r="AO971" i="3"/>
  <c r="AO972" i="3"/>
  <c r="AO973" i="3"/>
  <c r="AO974" i="3"/>
  <c r="AO975" i="3"/>
  <c r="AO976" i="3"/>
  <c r="AO977" i="3"/>
  <c r="AO978" i="3"/>
  <c r="AO979" i="3"/>
  <c r="AO980" i="3"/>
  <c r="AO981" i="3"/>
  <c r="AO982" i="3"/>
  <c r="AO983" i="3"/>
  <c r="AO984" i="3"/>
  <c r="AO985" i="3"/>
  <c r="AO986" i="3"/>
  <c r="AO987" i="3"/>
  <c r="AO988" i="3"/>
  <c r="AO989" i="3"/>
  <c r="AO990" i="3"/>
  <c r="AO991" i="3"/>
  <c r="AO992" i="3"/>
  <c r="AO993" i="3"/>
  <c r="AO994" i="3"/>
  <c r="AO995" i="3"/>
  <c r="AO996" i="3"/>
  <c r="AO997" i="3"/>
  <c r="AO998" i="3"/>
  <c r="AO999" i="3"/>
  <c r="AO1000" i="3"/>
  <c r="AO1001" i="3"/>
  <c r="AO1002" i="3"/>
  <c r="AO1003" i="3"/>
  <c r="AO1004" i="3"/>
  <c r="AO1005" i="3"/>
  <c r="AP6" i="3"/>
  <c r="AO6" i="3"/>
  <c r="F56" i="3"/>
  <c r="E55" i="3"/>
  <c r="E54" i="3"/>
  <c r="F53" i="3"/>
  <c r="F52" i="3"/>
  <c r="G51" i="3"/>
  <c r="AT7" i="3" s="1"/>
  <c r="E51" i="3"/>
  <c r="AS16" i="3" s="1"/>
  <c r="F45" i="3"/>
  <c r="E44" i="3"/>
  <c r="E43" i="3"/>
  <c r="F42" i="3"/>
  <c r="F41" i="3"/>
  <c r="G40" i="3"/>
  <c r="E40" i="3"/>
  <c r="J37" i="3"/>
  <c r="J38" i="3"/>
  <c r="I74" i="1"/>
  <c r="I63" i="1"/>
  <c r="H72" i="1"/>
  <c r="H73" i="1" s="1"/>
  <c r="H61" i="1"/>
  <c r="H62" i="1" s="1"/>
  <c r="I7" i="2"/>
  <c r="F3" i="3"/>
  <c r="W6" i="3"/>
  <c r="X6" i="3"/>
  <c r="F31" i="3"/>
  <c r="F30" i="3"/>
  <c r="S366" i="3" s="1"/>
  <c r="G29" i="3"/>
  <c r="S312" i="3" s="1"/>
  <c r="E29" i="3"/>
  <c r="R59" i="3" s="1"/>
  <c r="F20" i="3"/>
  <c r="F19" i="3"/>
  <c r="G18" i="3"/>
  <c r="O333" i="3" s="1"/>
  <c r="E18" i="3"/>
  <c r="N12" i="3" s="1"/>
  <c r="F2" i="3"/>
  <c r="F9" i="3"/>
  <c r="F8" i="3"/>
  <c r="J39" i="3" s="1"/>
  <c r="G7" i="3"/>
  <c r="E7" i="3"/>
  <c r="K881" i="3"/>
  <c r="K882" i="3"/>
  <c r="K978" i="3"/>
  <c r="K984" i="3"/>
  <c r="K991" i="3"/>
  <c r="K993" i="3"/>
  <c r="S8" i="3"/>
  <c r="S26" i="3"/>
  <c r="S27" i="3"/>
  <c r="S30" i="3"/>
  <c r="S31" i="3"/>
  <c r="S425" i="3"/>
  <c r="S439" i="3"/>
  <c r="S441" i="3"/>
  <c r="S442" i="3"/>
  <c r="S443" i="3"/>
  <c r="S444" i="3"/>
  <c r="S450" i="3"/>
  <c r="S469" i="3"/>
  <c r="S484" i="3"/>
  <c r="S487" i="3"/>
  <c r="S488" i="3"/>
  <c r="S503" i="3"/>
  <c r="S504" i="3"/>
  <c r="S505" i="3"/>
  <c r="S506" i="3"/>
  <c r="S507" i="3"/>
  <c r="S508" i="3"/>
  <c r="S511" i="3"/>
  <c r="S531" i="3"/>
  <c r="S532" i="3"/>
  <c r="S533" i="3"/>
  <c r="S534" i="3"/>
  <c r="S540" i="3"/>
  <c r="S543" i="3"/>
  <c r="S545" i="3"/>
  <c r="S546" i="3"/>
  <c r="S547" i="3"/>
  <c r="S553" i="3"/>
  <c r="S562" i="3"/>
  <c r="S568" i="3"/>
  <c r="S569" i="3"/>
  <c r="S570" i="3"/>
  <c r="S571" i="3"/>
  <c r="S585" i="3"/>
  <c r="S586" i="3"/>
  <c r="S587" i="3"/>
  <c r="S588" i="3"/>
  <c r="S591" i="3"/>
  <c r="S593" i="3"/>
  <c r="S594" i="3"/>
  <c r="S613" i="3"/>
  <c r="S619" i="3"/>
  <c r="S620" i="3"/>
  <c r="S623" i="3"/>
  <c r="S624" i="3"/>
  <c r="S625" i="3"/>
  <c r="S626" i="3"/>
  <c r="S627" i="3"/>
  <c r="S628" i="3"/>
  <c r="S629" i="3"/>
  <c r="S641" i="3"/>
  <c r="S647" i="3"/>
  <c r="S648" i="3"/>
  <c r="S655" i="3"/>
  <c r="S656" i="3"/>
  <c r="S657" i="3"/>
  <c r="S663" i="3"/>
  <c r="S664" i="3"/>
  <c r="S665" i="3"/>
  <c r="S672" i="3"/>
  <c r="S673" i="3"/>
  <c r="S674" i="3"/>
  <c r="S690" i="3"/>
  <c r="S691" i="3"/>
  <c r="S692" i="3"/>
  <c r="S693" i="3"/>
  <c r="S694" i="3"/>
  <c r="S695" i="3"/>
  <c r="S696" i="3"/>
  <c r="S697" i="3"/>
  <c r="S698" i="3"/>
  <c r="S699" i="3"/>
  <c r="S703" i="3"/>
  <c r="S716" i="3"/>
  <c r="S719" i="3"/>
  <c r="S722" i="3"/>
  <c r="S723" i="3"/>
  <c r="S724" i="3"/>
  <c r="S725" i="3"/>
  <c r="S728" i="3"/>
  <c r="S730" i="3"/>
  <c r="S731" i="3"/>
  <c r="S732" i="3"/>
  <c r="S735" i="3"/>
  <c r="S743" i="3"/>
  <c r="S744" i="3"/>
  <c r="S745" i="3"/>
  <c r="S748" i="3"/>
  <c r="S751" i="3"/>
  <c r="S754" i="3"/>
  <c r="S755" i="3"/>
  <c r="S756" i="3"/>
  <c r="S757" i="3"/>
  <c r="S758" i="3"/>
  <c r="S759" i="3"/>
  <c r="S767" i="3"/>
  <c r="S772" i="3"/>
  <c r="S773" i="3"/>
  <c r="S774" i="3"/>
  <c r="S775" i="3"/>
  <c r="S776" i="3"/>
  <c r="S777" i="3"/>
  <c r="S778" i="3"/>
  <c r="S779" i="3"/>
  <c r="S780" i="3"/>
  <c r="S783" i="3"/>
  <c r="S788" i="3"/>
  <c r="S793" i="3"/>
  <c r="S794" i="3"/>
  <c r="S795" i="3"/>
  <c r="S796" i="3"/>
  <c r="S799" i="3"/>
  <c r="S801" i="3"/>
  <c r="S802" i="3"/>
  <c r="S803" i="3"/>
  <c r="S804" i="3"/>
  <c r="S805" i="3"/>
  <c r="S806" i="3"/>
  <c r="S811" i="3"/>
  <c r="S815" i="3"/>
  <c r="S817" i="3"/>
  <c r="S818" i="3"/>
  <c r="S819" i="3"/>
  <c r="S820" i="3"/>
  <c r="S821" i="3"/>
  <c r="S822" i="3"/>
  <c r="S823" i="3"/>
  <c r="S824" i="3"/>
  <c r="S825" i="3"/>
  <c r="S826" i="3"/>
  <c r="S827" i="3"/>
  <c r="S835" i="3"/>
  <c r="S837" i="3"/>
  <c r="S838" i="3"/>
  <c r="S839" i="3"/>
  <c r="S840" i="3"/>
  <c r="S841" i="3"/>
  <c r="S842" i="3"/>
  <c r="S843" i="3"/>
  <c r="S844" i="3"/>
  <c r="S847" i="3"/>
  <c r="S848" i="3"/>
  <c r="S851" i="3"/>
  <c r="S852" i="3"/>
  <c r="S855" i="3"/>
  <c r="S857" i="3"/>
  <c r="S858" i="3"/>
  <c r="S859" i="3"/>
  <c r="S860" i="3"/>
  <c r="S861" i="3"/>
  <c r="S863" i="3"/>
  <c r="S864" i="3"/>
  <c r="S865" i="3"/>
  <c r="S868" i="3"/>
  <c r="S869" i="3"/>
  <c r="S870" i="3"/>
  <c r="S871" i="3"/>
  <c r="S874" i="3"/>
  <c r="S876" i="3"/>
  <c r="S877" i="3"/>
  <c r="S879" i="3"/>
  <c r="S880" i="3"/>
  <c r="S881" i="3"/>
  <c r="S882" i="3"/>
  <c r="S885" i="3"/>
  <c r="S886" i="3"/>
  <c r="S887" i="3"/>
  <c r="S888" i="3"/>
  <c r="S889" i="3"/>
  <c r="S890" i="3"/>
  <c r="S893" i="3"/>
  <c r="S896" i="3"/>
  <c r="S897" i="3"/>
  <c r="S898" i="3"/>
  <c r="S899" i="3"/>
  <c r="S902" i="3"/>
  <c r="S903" i="3"/>
  <c r="S904" i="3"/>
  <c r="S905" i="3"/>
  <c r="S906" i="3"/>
  <c r="S907" i="3"/>
  <c r="S908" i="3"/>
  <c r="S909" i="3"/>
  <c r="S913" i="3"/>
  <c r="S915" i="3"/>
  <c r="S916" i="3"/>
  <c r="S919" i="3"/>
  <c r="S920" i="3"/>
  <c r="S921" i="3"/>
  <c r="S922" i="3"/>
  <c r="S923" i="3"/>
  <c r="S924" i="3"/>
  <c r="S925" i="3"/>
  <c r="S927" i="3"/>
  <c r="S928" i="3"/>
  <c r="S929" i="3"/>
  <c r="S932" i="3"/>
  <c r="S933" i="3"/>
  <c r="S936" i="3"/>
  <c r="S937" i="3"/>
  <c r="S938" i="3"/>
  <c r="S939" i="3"/>
  <c r="S940" i="3"/>
  <c r="S941" i="3"/>
  <c r="S943" i="3"/>
  <c r="S944" i="3"/>
  <c r="S945" i="3"/>
  <c r="S946" i="3"/>
  <c r="S947" i="3"/>
  <c r="S948" i="3"/>
  <c r="S953" i="3"/>
  <c r="S954" i="3"/>
  <c r="S955" i="3"/>
  <c r="S956" i="3"/>
  <c r="S957" i="3"/>
  <c r="S959" i="3"/>
  <c r="S960" i="3"/>
  <c r="S961" i="3"/>
  <c r="S962" i="3"/>
  <c r="S963" i="3"/>
  <c r="S964" i="3"/>
  <c r="S965" i="3"/>
  <c r="S966" i="3"/>
  <c r="S967" i="3"/>
  <c r="S970" i="3"/>
  <c r="S972" i="3"/>
  <c r="S973" i="3"/>
  <c r="S975" i="3"/>
  <c r="S976" i="3"/>
  <c r="S977" i="3"/>
  <c r="S978" i="3"/>
  <c r="S979" i="3"/>
  <c r="S980" i="3"/>
  <c r="S981" i="3"/>
  <c r="S982" i="3"/>
  <c r="S983" i="3"/>
  <c r="S984" i="3"/>
  <c r="S987" i="3"/>
  <c r="S988" i="3"/>
  <c r="S989" i="3"/>
  <c r="S991" i="3"/>
  <c r="S992" i="3"/>
  <c r="S993" i="3"/>
  <c r="S994" i="3"/>
  <c r="S995" i="3"/>
  <c r="S996" i="3"/>
  <c r="S997" i="3"/>
  <c r="S998" i="3"/>
  <c r="S999" i="3"/>
  <c r="S1000" i="3"/>
  <c r="S1001" i="3"/>
  <c r="S1004" i="3"/>
  <c r="S1005" i="3"/>
  <c r="R7" i="3"/>
  <c r="R8" i="3"/>
  <c r="R9" i="3"/>
  <c r="R10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6" i="3"/>
  <c r="S6" i="3"/>
  <c r="K6" i="3"/>
  <c r="J67" i="3"/>
  <c r="J77" i="3"/>
  <c r="J93" i="3"/>
  <c r="J157" i="3"/>
  <c r="J162" i="3"/>
  <c r="J178" i="3"/>
  <c r="J242" i="3"/>
  <c r="J243" i="3"/>
  <c r="J259" i="3"/>
  <c r="J307" i="3"/>
  <c r="J312" i="3"/>
  <c r="J322" i="3"/>
  <c r="J355" i="3"/>
  <c r="J357" i="3"/>
  <c r="J368" i="3"/>
  <c r="J400" i="3"/>
  <c r="J402" i="3"/>
  <c r="J408" i="3"/>
  <c r="J440" i="3"/>
  <c r="J445" i="3"/>
  <c r="J451" i="3"/>
  <c r="J483" i="3"/>
  <c r="J484" i="3"/>
  <c r="J491" i="3"/>
  <c r="J515" i="3"/>
  <c r="J516" i="3"/>
  <c r="J523" i="3"/>
  <c r="J547" i="3"/>
  <c r="J548" i="3"/>
  <c r="J555" i="3"/>
  <c r="J579" i="3"/>
  <c r="J580" i="3"/>
  <c r="J587" i="3"/>
  <c r="J607" i="3"/>
  <c r="J608" i="3"/>
  <c r="J612" i="3"/>
  <c r="J631" i="3"/>
  <c r="J632" i="3"/>
  <c r="J639" i="3"/>
  <c r="J658" i="3"/>
  <c r="J659" i="3"/>
  <c r="J663" i="3"/>
  <c r="J683" i="3"/>
  <c r="J685" i="3"/>
  <c r="J690" i="3"/>
  <c r="J708" i="3"/>
  <c r="J709" i="3"/>
  <c r="J714" i="3"/>
  <c r="J731" i="3"/>
  <c r="J733" i="3"/>
  <c r="J738" i="3"/>
  <c r="J755" i="3"/>
  <c r="J756" i="3"/>
  <c r="J760" i="3"/>
  <c r="J778" i="3"/>
  <c r="J779" i="3"/>
  <c r="J784" i="3"/>
  <c r="J802" i="3"/>
  <c r="J803" i="3"/>
  <c r="J807" i="3"/>
  <c r="J823" i="3"/>
  <c r="J824" i="3"/>
  <c r="J826" i="3"/>
  <c r="J829" i="3"/>
  <c r="J845" i="3"/>
  <c r="J847" i="3"/>
  <c r="J851" i="3"/>
  <c r="J867" i="3"/>
  <c r="J868" i="3"/>
  <c r="J872" i="3"/>
  <c r="J888" i="3"/>
  <c r="J890" i="3"/>
  <c r="J893" i="3"/>
  <c r="J909" i="3"/>
  <c r="J911" i="3"/>
  <c r="J915" i="3"/>
  <c r="J931" i="3"/>
  <c r="J932" i="3"/>
  <c r="J936" i="3"/>
  <c r="J951" i="3"/>
  <c r="J952" i="3"/>
  <c r="J955" i="3"/>
  <c r="J969" i="3"/>
  <c r="J970" i="3"/>
  <c r="J973" i="3"/>
  <c r="J987" i="3"/>
  <c r="J988" i="3"/>
  <c r="J992" i="3"/>
  <c r="J1005" i="3"/>
  <c r="AS999" i="3" l="1"/>
  <c r="AS949" i="3"/>
  <c r="AS900" i="3"/>
  <c r="AS851" i="3"/>
  <c r="AS792" i="3"/>
  <c r="AS724" i="3"/>
  <c r="AS643" i="3"/>
  <c r="AS549" i="3"/>
  <c r="AS468" i="3"/>
  <c r="AS371" i="3"/>
  <c r="AS243" i="3"/>
  <c r="AS997" i="3"/>
  <c r="AS948" i="3"/>
  <c r="AS899" i="3"/>
  <c r="AS840" i="3"/>
  <c r="AS791" i="3"/>
  <c r="AS723" i="3"/>
  <c r="AS629" i="3"/>
  <c r="AS548" i="3"/>
  <c r="AS467" i="3"/>
  <c r="AS356" i="3"/>
  <c r="AS228" i="3"/>
  <c r="AS996" i="3"/>
  <c r="AS947" i="3"/>
  <c r="AS888" i="3"/>
  <c r="AS839" i="3"/>
  <c r="AS789" i="3"/>
  <c r="AS709" i="3"/>
  <c r="AS628" i="3"/>
  <c r="AS547" i="3"/>
  <c r="AS453" i="3"/>
  <c r="AS355" i="3"/>
  <c r="AS227" i="3"/>
  <c r="AS995" i="3"/>
  <c r="AS936" i="3"/>
  <c r="AS887" i="3"/>
  <c r="AS837" i="3"/>
  <c r="AS788" i="3"/>
  <c r="AS708" i="3"/>
  <c r="AS627" i="3"/>
  <c r="AS533" i="3"/>
  <c r="AS452" i="3"/>
  <c r="AS340" i="3"/>
  <c r="AS211" i="3"/>
  <c r="AS984" i="3"/>
  <c r="AS935" i="3"/>
  <c r="AS885" i="3"/>
  <c r="AS836" i="3"/>
  <c r="AS787" i="3"/>
  <c r="AS707" i="3"/>
  <c r="AS613" i="3"/>
  <c r="AS532" i="3"/>
  <c r="AS451" i="3"/>
  <c r="AS339" i="3"/>
  <c r="AS195" i="3"/>
  <c r="AS983" i="3"/>
  <c r="AS933" i="3"/>
  <c r="AS884" i="3"/>
  <c r="AS835" i="3"/>
  <c r="AS775" i="3"/>
  <c r="AS693" i="3"/>
  <c r="AS612" i="3"/>
  <c r="AS531" i="3"/>
  <c r="AS437" i="3"/>
  <c r="AS324" i="3"/>
  <c r="AS179" i="3"/>
  <c r="AS981" i="3"/>
  <c r="AS932" i="3"/>
  <c r="AS883" i="3"/>
  <c r="AS824" i="3"/>
  <c r="AS773" i="3"/>
  <c r="AS692" i="3"/>
  <c r="AS611" i="3"/>
  <c r="AS517" i="3"/>
  <c r="AS436" i="3"/>
  <c r="AS323" i="3"/>
  <c r="AS163" i="3"/>
  <c r="AS980" i="3"/>
  <c r="AS931" i="3"/>
  <c r="AS872" i="3"/>
  <c r="AS823" i="3"/>
  <c r="AS772" i="3"/>
  <c r="AS691" i="3"/>
  <c r="AS597" i="3"/>
  <c r="AS516" i="3"/>
  <c r="AS435" i="3"/>
  <c r="AS308" i="3"/>
  <c r="AS147" i="3"/>
  <c r="AS979" i="3"/>
  <c r="AS920" i="3"/>
  <c r="AS871" i="3"/>
  <c r="AS821" i="3"/>
  <c r="AS771" i="3"/>
  <c r="AS677" i="3"/>
  <c r="AS596" i="3"/>
  <c r="AS515" i="3"/>
  <c r="AS421" i="3"/>
  <c r="AS307" i="3"/>
  <c r="AS131" i="3"/>
  <c r="AS968" i="3"/>
  <c r="AS919" i="3"/>
  <c r="AS869" i="3"/>
  <c r="AS820" i="3"/>
  <c r="AS757" i="3"/>
  <c r="AS676" i="3"/>
  <c r="AS595" i="3"/>
  <c r="AS501" i="3"/>
  <c r="AS420" i="3"/>
  <c r="AS292" i="3"/>
  <c r="AS115" i="3"/>
  <c r="AS967" i="3"/>
  <c r="AS917" i="3"/>
  <c r="AS868" i="3"/>
  <c r="AS819" i="3"/>
  <c r="AS756" i="3"/>
  <c r="AS675" i="3"/>
  <c r="AS581" i="3"/>
  <c r="AS500" i="3"/>
  <c r="AS419" i="3"/>
  <c r="AS291" i="3"/>
  <c r="AS99" i="3"/>
  <c r="AS965" i="3"/>
  <c r="AS916" i="3"/>
  <c r="AS867" i="3"/>
  <c r="AS808" i="3"/>
  <c r="AS755" i="3"/>
  <c r="AS661" i="3"/>
  <c r="AS580" i="3"/>
  <c r="AS499" i="3"/>
  <c r="AS404" i="3"/>
  <c r="AS276" i="3"/>
  <c r="AS83" i="3"/>
  <c r="AS964" i="3"/>
  <c r="AS915" i="3"/>
  <c r="AS856" i="3"/>
  <c r="AS807" i="3"/>
  <c r="AS741" i="3"/>
  <c r="AS660" i="3"/>
  <c r="AS579" i="3"/>
  <c r="AS485" i="3"/>
  <c r="AS403" i="3"/>
  <c r="AS275" i="3"/>
  <c r="AS67" i="3"/>
  <c r="AS963" i="3"/>
  <c r="AS904" i="3"/>
  <c r="AS855" i="3"/>
  <c r="AS805" i="3"/>
  <c r="AS740" i="3"/>
  <c r="AS659" i="3"/>
  <c r="AS565" i="3"/>
  <c r="AS484" i="3"/>
  <c r="AS388" i="3"/>
  <c r="AS260" i="3"/>
  <c r="AS51" i="3"/>
  <c r="AS952" i="3"/>
  <c r="AS903" i="3"/>
  <c r="AS853" i="3"/>
  <c r="AS804" i="3"/>
  <c r="AS739" i="3"/>
  <c r="AS645" i="3"/>
  <c r="AS564" i="3"/>
  <c r="AS483" i="3"/>
  <c r="AS387" i="3"/>
  <c r="AS259" i="3"/>
  <c r="AS35" i="3"/>
  <c r="AS6" i="3"/>
  <c r="AS1000" i="3"/>
  <c r="AS951" i="3"/>
  <c r="AS901" i="3"/>
  <c r="AS852" i="3"/>
  <c r="AS803" i="3"/>
  <c r="AS725" i="3"/>
  <c r="AS644" i="3"/>
  <c r="AS563" i="3"/>
  <c r="AS469" i="3"/>
  <c r="AS372" i="3"/>
  <c r="AS244" i="3"/>
  <c r="AS19" i="3"/>
  <c r="AT950" i="3"/>
  <c r="AT742" i="3"/>
  <c r="AT582" i="3"/>
  <c r="AT502" i="3"/>
  <c r="AT390" i="3"/>
  <c r="AT374" i="3"/>
  <c r="AT358" i="3"/>
  <c r="AT342" i="3"/>
  <c r="AT326" i="3"/>
  <c r="AT310" i="3"/>
  <c r="AT294" i="3"/>
  <c r="AT278" i="3"/>
  <c r="AT262" i="3"/>
  <c r="AT998" i="3"/>
  <c r="AT758" i="3"/>
  <c r="AT534" i="3"/>
  <c r="AT22" i="3"/>
  <c r="AT997" i="3"/>
  <c r="AT981" i="3"/>
  <c r="AT965" i="3"/>
  <c r="AT949" i="3"/>
  <c r="AT933" i="3"/>
  <c r="AT917" i="3"/>
  <c r="AT901" i="3"/>
  <c r="AT885" i="3"/>
  <c r="AT869" i="3"/>
  <c r="AT853" i="3"/>
  <c r="AT837" i="3"/>
  <c r="AT821" i="3"/>
  <c r="AT805" i="3"/>
  <c r="AT789" i="3"/>
  <c r="AT773" i="3"/>
  <c r="AT757" i="3"/>
  <c r="AT741" i="3"/>
  <c r="AT725" i="3"/>
  <c r="AT709" i="3"/>
  <c r="AT693" i="3"/>
  <c r="AT677" i="3"/>
  <c r="AT661" i="3"/>
  <c r="AT645" i="3"/>
  <c r="AT629" i="3"/>
  <c r="AT613" i="3"/>
  <c r="AT597" i="3"/>
  <c r="AT581" i="3"/>
  <c r="AT565" i="3"/>
  <c r="AT549" i="3"/>
  <c r="AT533" i="3"/>
  <c r="AT517" i="3"/>
  <c r="AT501" i="3"/>
  <c r="AT485" i="3"/>
  <c r="AT469" i="3"/>
  <c r="AT453" i="3"/>
  <c r="AT437" i="3"/>
  <c r="AT421" i="3"/>
  <c r="AT405" i="3"/>
  <c r="AT389" i="3"/>
  <c r="AT373" i="3"/>
  <c r="AT357" i="3"/>
  <c r="AT341" i="3"/>
  <c r="AT325" i="3"/>
  <c r="AT309" i="3"/>
  <c r="AT293" i="3"/>
  <c r="AT277" i="3"/>
  <c r="AT261" i="3"/>
  <c r="AT245" i="3"/>
  <c r="AT229" i="3"/>
  <c r="AT213" i="3"/>
  <c r="AT197" i="3"/>
  <c r="AT181" i="3"/>
  <c r="AT165" i="3"/>
  <c r="AT149" i="3"/>
  <c r="AT133" i="3"/>
  <c r="AT117" i="3"/>
  <c r="AT101" i="3"/>
  <c r="AT85" i="3"/>
  <c r="AT69" i="3"/>
  <c r="AT53" i="3"/>
  <c r="AT37" i="3"/>
  <c r="AT21" i="3"/>
  <c r="AT70" i="3"/>
  <c r="AT996" i="3"/>
  <c r="AT980" i="3"/>
  <c r="AT964" i="3"/>
  <c r="AT948" i="3"/>
  <c r="AT932" i="3"/>
  <c r="AT916" i="3"/>
  <c r="AT900" i="3"/>
  <c r="AT884" i="3"/>
  <c r="AT868" i="3"/>
  <c r="AT852" i="3"/>
  <c r="AT836" i="3"/>
  <c r="AT820" i="3"/>
  <c r="AT804" i="3"/>
  <c r="AT788" i="3"/>
  <c r="AT772" i="3"/>
  <c r="AT756" i="3"/>
  <c r="AT740" i="3"/>
  <c r="AT724" i="3"/>
  <c r="AT708" i="3"/>
  <c r="AT692" i="3"/>
  <c r="AT676" i="3"/>
  <c r="AT660" i="3"/>
  <c r="AT644" i="3"/>
  <c r="AT628" i="3"/>
  <c r="AT612" i="3"/>
  <c r="AT596" i="3"/>
  <c r="AT580" i="3"/>
  <c r="AT564" i="3"/>
  <c r="AT548" i="3"/>
  <c r="AT532" i="3"/>
  <c r="AT516" i="3"/>
  <c r="AT500" i="3"/>
  <c r="AT484" i="3"/>
  <c r="AT468" i="3"/>
  <c r="AT452" i="3"/>
  <c r="AT436" i="3"/>
  <c r="AT420" i="3"/>
  <c r="AT404" i="3"/>
  <c r="AT388" i="3"/>
  <c r="AT372" i="3"/>
  <c r="AT356" i="3"/>
  <c r="AT340" i="3"/>
  <c r="AT324" i="3"/>
  <c r="AT308" i="3"/>
  <c r="AT292" i="3"/>
  <c r="AT276" i="3"/>
  <c r="AT260" i="3"/>
  <c r="AT244" i="3"/>
  <c r="AT228" i="3"/>
  <c r="AT212" i="3"/>
  <c r="AT196" i="3"/>
  <c r="AT180" i="3"/>
  <c r="AT164" i="3"/>
  <c r="AT148" i="3"/>
  <c r="AT132" i="3"/>
  <c r="AT116" i="3"/>
  <c r="AT100" i="3"/>
  <c r="AT84" i="3"/>
  <c r="AT68" i="3"/>
  <c r="AT52" i="3"/>
  <c r="AT36" i="3"/>
  <c r="AT20" i="3"/>
  <c r="AT902" i="3"/>
  <c r="AT678" i="3"/>
  <c r="AT422" i="3"/>
  <c r="AT118" i="3"/>
  <c r="AT995" i="3"/>
  <c r="AT979" i="3"/>
  <c r="AT963" i="3"/>
  <c r="AT947" i="3"/>
  <c r="AT931" i="3"/>
  <c r="AT915" i="3"/>
  <c r="AT899" i="3"/>
  <c r="AT883" i="3"/>
  <c r="AT867" i="3"/>
  <c r="AT851" i="3"/>
  <c r="AT835" i="3"/>
  <c r="AT819" i="3"/>
  <c r="AT803" i="3"/>
  <c r="AT787" i="3"/>
  <c r="AT771" i="3"/>
  <c r="AT755" i="3"/>
  <c r="AT739" i="3"/>
  <c r="AT723" i="3"/>
  <c r="AT707" i="3"/>
  <c r="AT691" i="3"/>
  <c r="AT675" i="3"/>
  <c r="AT659" i="3"/>
  <c r="AT643" i="3"/>
  <c r="AT627" i="3"/>
  <c r="AT611" i="3"/>
  <c r="AT595" i="3"/>
  <c r="AT579" i="3"/>
  <c r="AT563" i="3"/>
  <c r="AT547" i="3"/>
  <c r="AT531" i="3"/>
  <c r="AT515" i="3"/>
  <c r="AT499" i="3"/>
  <c r="AT483" i="3"/>
  <c r="AT467" i="3"/>
  <c r="AT451" i="3"/>
  <c r="AT435" i="3"/>
  <c r="AT419" i="3"/>
  <c r="AT403" i="3"/>
  <c r="AT387" i="3"/>
  <c r="AT371" i="3"/>
  <c r="AT355" i="3"/>
  <c r="AT339" i="3"/>
  <c r="AT323" i="3"/>
  <c r="AT307" i="3"/>
  <c r="AT291" i="3"/>
  <c r="AT275" i="3"/>
  <c r="AT259" i="3"/>
  <c r="AT243" i="3"/>
  <c r="AT227" i="3"/>
  <c r="AT211" i="3"/>
  <c r="AT195" i="3"/>
  <c r="AT179" i="3"/>
  <c r="AT163" i="3"/>
  <c r="AT147" i="3"/>
  <c r="AT131" i="3"/>
  <c r="AT115" i="3"/>
  <c r="AT99" i="3"/>
  <c r="AT83" i="3"/>
  <c r="AT67" i="3"/>
  <c r="AT51" i="3"/>
  <c r="AT35" i="3"/>
  <c r="AT19" i="3"/>
  <c r="AT886" i="3"/>
  <c r="AT646" i="3"/>
  <c r="AT438" i="3"/>
  <c r="AT54" i="3"/>
  <c r="AT994" i="3"/>
  <c r="AT978" i="3"/>
  <c r="AT962" i="3"/>
  <c r="AT946" i="3"/>
  <c r="AT930" i="3"/>
  <c r="AT914" i="3"/>
  <c r="AT898" i="3"/>
  <c r="AT882" i="3"/>
  <c r="AT866" i="3"/>
  <c r="AT850" i="3"/>
  <c r="AT834" i="3"/>
  <c r="AT818" i="3"/>
  <c r="AT802" i="3"/>
  <c r="AT786" i="3"/>
  <c r="AT770" i="3"/>
  <c r="AT754" i="3"/>
  <c r="AT738" i="3"/>
  <c r="AT722" i="3"/>
  <c r="AT706" i="3"/>
  <c r="AT690" i="3"/>
  <c r="AT674" i="3"/>
  <c r="AT658" i="3"/>
  <c r="AT642" i="3"/>
  <c r="AT626" i="3"/>
  <c r="AT610" i="3"/>
  <c r="AT594" i="3"/>
  <c r="AT578" i="3"/>
  <c r="AT562" i="3"/>
  <c r="AT546" i="3"/>
  <c r="AT530" i="3"/>
  <c r="AT514" i="3"/>
  <c r="AT498" i="3"/>
  <c r="AT482" i="3"/>
  <c r="AT466" i="3"/>
  <c r="AT450" i="3"/>
  <c r="AT434" i="3"/>
  <c r="AT418" i="3"/>
  <c r="AT402" i="3"/>
  <c r="AT386" i="3"/>
  <c r="AT370" i="3"/>
  <c r="AT354" i="3"/>
  <c r="AT338" i="3"/>
  <c r="AT322" i="3"/>
  <c r="AT306" i="3"/>
  <c r="AT290" i="3"/>
  <c r="AT274" i="3"/>
  <c r="AT258" i="3"/>
  <c r="AT242" i="3"/>
  <c r="AT226" i="3"/>
  <c r="AT210" i="3"/>
  <c r="AT194" i="3"/>
  <c r="AT178" i="3"/>
  <c r="AT162" i="3"/>
  <c r="AT146" i="3"/>
  <c r="AT130" i="3"/>
  <c r="AT114" i="3"/>
  <c r="AT98" i="3"/>
  <c r="AT82" i="3"/>
  <c r="AT66" i="3"/>
  <c r="AT50" i="3"/>
  <c r="AT34" i="3"/>
  <c r="AT18" i="3"/>
  <c r="AT918" i="3"/>
  <c r="AT598" i="3"/>
  <c r="AT38" i="3"/>
  <c r="AT993" i="3"/>
  <c r="AT977" i="3"/>
  <c r="AT961" i="3"/>
  <c r="AT945" i="3"/>
  <c r="AT929" i="3"/>
  <c r="AT913" i="3"/>
  <c r="AT897" i="3"/>
  <c r="AT881" i="3"/>
  <c r="AT865" i="3"/>
  <c r="AT849" i="3"/>
  <c r="AT833" i="3"/>
  <c r="AT817" i="3"/>
  <c r="AT801" i="3"/>
  <c r="AT785" i="3"/>
  <c r="AT769" i="3"/>
  <c r="AT753" i="3"/>
  <c r="AT737" i="3"/>
  <c r="AT721" i="3"/>
  <c r="AT705" i="3"/>
  <c r="AT689" i="3"/>
  <c r="AT673" i="3"/>
  <c r="AT657" i="3"/>
  <c r="AT641" i="3"/>
  <c r="AT625" i="3"/>
  <c r="AT609" i="3"/>
  <c r="AT593" i="3"/>
  <c r="AT577" i="3"/>
  <c r="AT561" i="3"/>
  <c r="AT545" i="3"/>
  <c r="AT529" i="3"/>
  <c r="AT513" i="3"/>
  <c r="AT497" i="3"/>
  <c r="AT481" i="3"/>
  <c r="AT465" i="3"/>
  <c r="AT449" i="3"/>
  <c r="AT433" i="3"/>
  <c r="AT417" i="3"/>
  <c r="AT401" i="3"/>
  <c r="AT385" i="3"/>
  <c r="AT369" i="3"/>
  <c r="AT353" i="3"/>
  <c r="AT337" i="3"/>
  <c r="AT321" i="3"/>
  <c r="AT305" i="3"/>
  <c r="AT289" i="3"/>
  <c r="AT273" i="3"/>
  <c r="AT257" i="3"/>
  <c r="AT241" i="3"/>
  <c r="AT225" i="3"/>
  <c r="AT209" i="3"/>
  <c r="AT193" i="3"/>
  <c r="AT177" i="3"/>
  <c r="AT161" i="3"/>
  <c r="AT145" i="3"/>
  <c r="AT129" i="3"/>
  <c r="AT113" i="3"/>
  <c r="AT97" i="3"/>
  <c r="AT81" i="3"/>
  <c r="AT65" i="3"/>
  <c r="AT49" i="3"/>
  <c r="AT33" i="3"/>
  <c r="AT17" i="3"/>
  <c r="AT838" i="3"/>
  <c r="AT86" i="3"/>
  <c r="AT992" i="3"/>
  <c r="AT976" i="3"/>
  <c r="AT960" i="3"/>
  <c r="AT944" i="3"/>
  <c r="AT928" i="3"/>
  <c r="AT912" i="3"/>
  <c r="AT896" i="3"/>
  <c r="AT880" i="3"/>
  <c r="AT864" i="3"/>
  <c r="AT848" i="3"/>
  <c r="AT832" i="3"/>
  <c r="AT816" i="3"/>
  <c r="AT800" i="3"/>
  <c r="AT784" i="3"/>
  <c r="AT768" i="3"/>
  <c r="AT752" i="3"/>
  <c r="AT736" i="3"/>
  <c r="AT720" i="3"/>
  <c r="AT704" i="3"/>
  <c r="AT688" i="3"/>
  <c r="AT672" i="3"/>
  <c r="AT656" i="3"/>
  <c r="AT640" i="3"/>
  <c r="AT624" i="3"/>
  <c r="AT608" i="3"/>
  <c r="AT592" i="3"/>
  <c r="AT576" i="3"/>
  <c r="AT560" i="3"/>
  <c r="AT544" i="3"/>
  <c r="AT528" i="3"/>
  <c r="AT512" i="3"/>
  <c r="AT496" i="3"/>
  <c r="AT480" i="3"/>
  <c r="AT464" i="3"/>
  <c r="AT448" i="3"/>
  <c r="AT432" i="3"/>
  <c r="AT416" i="3"/>
  <c r="AT400" i="3"/>
  <c r="AT384" i="3"/>
  <c r="AT368" i="3"/>
  <c r="AT352" i="3"/>
  <c r="AT336" i="3"/>
  <c r="AT320" i="3"/>
  <c r="AT304" i="3"/>
  <c r="AT288" i="3"/>
  <c r="AT272" i="3"/>
  <c r="AT256" i="3"/>
  <c r="AT240" i="3"/>
  <c r="AT224" i="3"/>
  <c r="AT208" i="3"/>
  <c r="AT192" i="3"/>
  <c r="AT176" i="3"/>
  <c r="AT160" i="3"/>
  <c r="AT144" i="3"/>
  <c r="AT128" i="3"/>
  <c r="AT112" i="3"/>
  <c r="AT96" i="3"/>
  <c r="AT80" i="3"/>
  <c r="AT64" i="3"/>
  <c r="AT48" i="3"/>
  <c r="AT32" i="3"/>
  <c r="AT16" i="3"/>
  <c r="AT854" i="3"/>
  <c r="AT662" i="3"/>
  <c r="AT486" i="3"/>
  <c r="AT134" i="3"/>
  <c r="AT991" i="3"/>
  <c r="AT975" i="3"/>
  <c r="AT959" i="3"/>
  <c r="AT943" i="3"/>
  <c r="AT927" i="3"/>
  <c r="AT911" i="3"/>
  <c r="AT895" i="3"/>
  <c r="AT879" i="3"/>
  <c r="AT863" i="3"/>
  <c r="AT847" i="3"/>
  <c r="AT831" i="3"/>
  <c r="AT815" i="3"/>
  <c r="AT799" i="3"/>
  <c r="AT783" i="3"/>
  <c r="AT767" i="3"/>
  <c r="AT751" i="3"/>
  <c r="AT735" i="3"/>
  <c r="AT719" i="3"/>
  <c r="AT703" i="3"/>
  <c r="AT687" i="3"/>
  <c r="AT671" i="3"/>
  <c r="AT655" i="3"/>
  <c r="AT639" i="3"/>
  <c r="AT623" i="3"/>
  <c r="AT607" i="3"/>
  <c r="AT591" i="3"/>
  <c r="AT575" i="3"/>
  <c r="AT559" i="3"/>
  <c r="AT543" i="3"/>
  <c r="AT527" i="3"/>
  <c r="AT511" i="3"/>
  <c r="AT495" i="3"/>
  <c r="AT479" i="3"/>
  <c r="AT463" i="3"/>
  <c r="AT447" i="3"/>
  <c r="AT431" i="3"/>
  <c r="AT415" i="3"/>
  <c r="AT399" i="3"/>
  <c r="AT383" i="3"/>
  <c r="AT367" i="3"/>
  <c r="AT351" i="3"/>
  <c r="AT335" i="3"/>
  <c r="AT319" i="3"/>
  <c r="AT303" i="3"/>
  <c r="AT287" i="3"/>
  <c r="AT271" i="3"/>
  <c r="AT255" i="3"/>
  <c r="AT239" i="3"/>
  <c r="AT223" i="3"/>
  <c r="AT207" i="3"/>
  <c r="AT191" i="3"/>
  <c r="AT175" i="3"/>
  <c r="AT159" i="3"/>
  <c r="AT143" i="3"/>
  <c r="AT127" i="3"/>
  <c r="AT111" i="3"/>
  <c r="AT95" i="3"/>
  <c r="AT79" i="3"/>
  <c r="AT63" i="3"/>
  <c r="AT47" i="3"/>
  <c r="AT31" i="3"/>
  <c r="AT15" i="3"/>
  <c r="AT806" i="3"/>
  <c r="AT166" i="3"/>
  <c r="AT990" i="3"/>
  <c r="AT974" i="3"/>
  <c r="AT958" i="3"/>
  <c r="AT942" i="3"/>
  <c r="AT926" i="3"/>
  <c r="AT910" i="3"/>
  <c r="AT894" i="3"/>
  <c r="AT878" i="3"/>
  <c r="AT862" i="3"/>
  <c r="AT846" i="3"/>
  <c r="AT830" i="3"/>
  <c r="AT814" i="3"/>
  <c r="AT798" i="3"/>
  <c r="AT782" i="3"/>
  <c r="AT766" i="3"/>
  <c r="AT750" i="3"/>
  <c r="AT734" i="3"/>
  <c r="AT718" i="3"/>
  <c r="AT702" i="3"/>
  <c r="AT686" i="3"/>
  <c r="AT670" i="3"/>
  <c r="AT654" i="3"/>
  <c r="AT638" i="3"/>
  <c r="AT622" i="3"/>
  <c r="AT606" i="3"/>
  <c r="AT590" i="3"/>
  <c r="AT574" i="3"/>
  <c r="AT558" i="3"/>
  <c r="AT542" i="3"/>
  <c r="AT526" i="3"/>
  <c r="AT510" i="3"/>
  <c r="AT494" i="3"/>
  <c r="AT478" i="3"/>
  <c r="AT462" i="3"/>
  <c r="AT446" i="3"/>
  <c r="AT430" i="3"/>
  <c r="AT414" i="3"/>
  <c r="AT398" i="3"/>
  <c r="AT382" i="3"/>
  <c r="AT366" i="3"/>
  <c r="AT350" i="3"/>
  <c r="AT334" i="3"/>
  <c r="AT318" i="3"/>
  <c r="AT302" i="3"/>
  <c r="AT286" i="3"/>
  <c r="AT270" i="3"/>
  <c r="AT254" i="3"/>
  <c r="AT238" i="3"/>
  <c r="AT222" i="3"/>
  <c r="AT206" i="3"/>
  <c r="AT190" i="3"/>
  <c r="AT174" i="3"/>
  <c r="AT158" i="3"/>
  <c r="AT142" i="3"/>
  <c r="AT126" i="3"/>
  <c r="AT110" i="3"/>
  <c r="AT94" i="3"/>
  <c r="AT78" i="3"/>
  <c r="AT62" i="3"/>
  <c r="AT46" i="3"/>
  <c r="AT30" i="3"/>
  <c r="AT14" i="3"/>
  <c r="AT966" i="3"/>
  <c r="AT726" i="3"/>
  <c r="AT550" i="3"/>
  <c r="AT102" i="3"/>
  <c r="AT6" i="3"/>
  <c r="AT1005" i="3"/>
  <c r="AT989" i="3"/>
  <c r="AT973" i="3"/>
  <c r="AT957" i="3"/>
  <c r="AT941" i="3"/>
  <c r="AT925" i="3"/>
  <c r="AT909" i="3"/>
  <c r="AT893" i="3"/>
  <c r="AT877" i="3"/>
  <c r="AT861" i="3"/>
  <c r="AT845" i="3"/>
  <c r="AT829" i="3"/>
  <c r="AT813" i="3"/>
  <c r="AT797" i="3"/>
  <c r="AT781" i="3"/>
  <c r="AT765" i="3"/>
  <c r="AT749" i="3"/>
  <c r="AT733" i="3"/>
  <c r="AT717" i="3"/>
  <c r="AT701" i="3"/>
  <c r="AT685" i="3"/>
  <c r="AT669" i="3"/>
  <c r="AT653" i="3"/>
  <c r="AT637" i="3"/>
  <c r="AT621" i="3"/>
  <c r="AT605" i="3"/>
  <c r="AT589" i="3"/>
  <c r="AT573" i="3"/>
  <c r="AT557" i="3"/>
  <c r="AT541" i="3"/>
  <c r="AT525" i="3"/>
  <c r="AT509" i="3"/>
  <c r="AT493" i="3"/>
  <c r="AT477" i="3"/>
  <c r="AT461" i="3"/>
  <c r="AT445" i="3"/>
  <c r="AT429" i="3"/>
  <c r="AT413" i="3"/>
  <c r="AT397" i="3"/>
  <c r="AT381" i="3"/>
  <c r="AT365" i="3"/>
  <c r="AT349" i="3"/>
  <c r="AT333" i="3"/>
  <c r="AT317" i="3"/>
  <c r="AT301" i="3"/>
  <c r="AT285" i="3"/>
  <c r="AT269" i="3"/>
  <c r="AT253" i="3"/>
  <c r="AT237" i="3"/>
  <c r="AT221" i="3"/>
  <c r="AT205" i="3"/>
  <c r="AT189" i="3"/>
  <c r="AT173" i="3"/>
  <c r="AT157" i="3"/>
  <c r="AT141" i="3"/>
  <c r="AT125" i="3"/>
  <c r="AT109" i="3"/>
  <c r="AT93" i="3"/>
  <c r="AT77" i="3"/>
  <c r="AT61" i="3"/>
  <c r="AT45" i="3"/>
  <c r="AT29" i="3"/>
  <c r="AT13" i="3"/>
  <c r="AT774" i="3"/>
  <c r="AT214" i="3"/>
  <c r="AT1004" i="3"/>
  <c r="AT988" i="3"/>
  <c r="AT972" i="3"/>
  <c r="AT956" i="3"/>
  <c r="AT940" i="3"/>
  <c r="AT924" i="3"/>
  <c r="AT908" i="3"/>
  <c r="AT892" i="3"/>
  <c r="AT876" i="3"/>
  <c r="AT860" i="3"/>
  <c r="AT844" i="3"/>
  <c r="AT828" i="3"/>
  <c r="AT812" i="3"/>
  <c r="AT796" i="3"/>
  <c r="AT780" i="3"/>
  <c r="AT764" i="3"/>
  <c r="AT748" i="3"/>
  <c r="AT732" i="3"/>
  <c r="AT716" i="3"/>
  <c r="AT700" i="3"/>
  <c r="AT684" i="3"/>
  <c r="AT668" i="3"/>
  <c r="AT652" i="3"/>
  <c r="AT636" i="3"/>
  <c r="AT620" i="3"/>
  <c r="AT604" i="3"/>
  <c r="AT588" i="3"/>
  <c r="AT572" i="3"/>
  <c r="AT556" i="3"/>
  <c r="AT540" i="3"/>
  <c r="AT524" i="3"/>
  <c r="AT508" i="3"/>
  <c r="AT492" i="3"/>
  <c r="AT476" i="3"/>
  <c r="AT460" i="3"/>
  <c r="AT444" i="3"/>
  <c r="AT428" i="3"/>
  <c r="AT412" i="3"/>
  <c r="AT396" i="3"/>
  <c r="AT380" i="3"/>
  <c r="AT364" i="3"/>
  <c r="AT348" i="3"/>
  <c r="AT332" i="3"/>
  <c r="AT316" i="3"/>
  <c r="AT300" i="3"/>
  <c r="AT284" i="3"/>
  <c r="AT268" i="3"/>
  <c r="AT252" i="3"/>
  <c r="AT236" i="3"/>
  <c r="AT220" i="3"/>
  <c r="AT204" i="3"/>
  <c r="AT188" i="3"/>
  <c r="AT172" i="3"/>
  <c r="AT156" i="3"/>
  <c r="AT140" i="3"/>
  <c r="AT124" i="3"/>
  <c r="AT108" i="3"/>
  <c r="AT92" i="3"/>
  <c r="AT76" i="3"/>
  <c r="AT60" i="3"/>
  <c r="AT44" i="3"/>
  <c r="AT28" i="3"/>
  <c r="AT12" i="3"/>
  <c r="AT982" i="3"/>
  <c r="AT790" i="3"/>
  <c r="AT566" i="3"/>
  <c r="AT406" i="3"/>
  <c r="AT198" i="3"/>
  <c r="AT1003" i="3"/>
  <c r="AT987" i="3"/>
  <c r="AT971" i="3"/>
  <c r="AT955" i="3"/>
  <c r="AT939" i="3"/>
  <c r="AT923" i="3"/>
  <c r="AT907" i="3"/>
  <c r="AT891" i="3"/>
  <c r="AT875" i="3"/>
  <c r="AT859" i="3"/>
  <c r="AT843" i="3"/>
  <c r="AT827" i="3"/>
  <c r="AT811" i="3"/>
  <c r="AT795" i="3"/>
  <c r="AT779" i="3"/>
  <c r="AT763" i="3"/>
  <c r="AT747" i="3"/>
  <c r="AT731" i="3"/>
  <c r="AT715" i="3"/>
  <c r="AT699" i="3"/>
  <c r="AT683" i="3"/>
  <c r="AT667" i="3"/>
  <c r="AT651" i="3"/>
  <c r="AT635" i="3"/>
  <c r="AT619" i="3"/>
  <c r="AT603" i="3"/>
  <c r="AT587" i="3"/>
  <c r="AT571" i="3"/>
  <c r="AT555" i="3"/>
  <c r="AT539" i="3"/>
  <c r="AT523" i="3"/>
  <c r="AT507" i="3"/>
  <c r="AT491" i="3"/>
  <c r="AT475" i="3"/>
  <c r="AT459" i="3"/>
  <c r="AT443" i="3"/>
  <c r="AT427" i="3"/>
  <c r="AT411" i="3"/>
  <c r="AT395" i="3"/>
  <c r="AT379" i="3"/>
  <c r="AT363" i="3"/>
  <c r="AT347" i="3"/>
  <c r="AT331" i="3"/>
  <c r="AT315" i="3"/>
  <c r="AT299" i="3"/>
  <c r="AT283" i="3"/>
  <c r="AT267" i="3"/>
  <c r="AT251" i="3"/>
  <c r="AT235" i="3"/>
  <c r="AT219" i="3"/>
  <c r="AT203" i="3"/>
  <c r="AT187" i="3"/>
  <c r="AT171" i="3"/>
  <c r="AT155" i="3"/>
  <c r="AT139" i="3"/>
  <c r="AT123" i="3"/>
  <c r="AT107" i="3"/>
  <c r="AT91" i="3"/>
  <c r="AT75" i="3"/>
  <c r="AT59" i="3"/>
  <c r="AT43" i="3"/>
  <c r="AT27" i="3"/>
  <c r="AT11" i="3"/>
  <c r="AT870" i="3"/>
  <c r="AT630" i="3"/>
  <c r="AT454" i="3"/>
  <c r="AT182" i="3"/>
  <c r="AT1002" i="3"/>
  <c r="AT986" i="3"/>
  <c r="AT970" i="3"/>
  <c r="AT954" i="3"/>
  <c r="AT938" i="3"/>
  <c r="AT922" i="3"/>
  <c r="AT906" i="3"/>
  <c r="AT890" i="3"/>
  <c r="AT874" i="3"/>
  <c r="AT858" i="3"/>
  <c r="AT842" i="3"/>
  <c r="AT826" i="3"/>
  <c r="AT810" i="3"/>
  <c r="AT794" i="3"/>
  <c r="AT778" i="3"/>
  <c r="AT762" i="3"/>
  <c r="AT746" i="3"/>
  <c r="AT730" i="3"/>
  <c r="AT714" i="3"/>
  <c r="AT698" i="3"/>
  <c r="AT682" i="3"/>
  <c r="AT666" i="3"/>
  <c r="AT650" i="3"/>
  <c r="AT634" i="3"/>
  <c r="AT618" i="3"/>
  <c r="AT602" i="3"/>
  <c r="AT586" i="3"/>
  <c r="AT570" i="3"/>
  <c r="AT554" i="3"/>
  <c r="AT538" i="3"/>
  <c r="AT522" i="3"/>
  <c r="AT506" i="3"/>
  <c r="AT490" i="3"/>
  <c r="AT474" i="3"/>
  <c r="AT458" i="3"/>
  <c r="AT442" i="3"/>
  <c r="AT426" i="3"/>
  <c r="AT410" i="3"/>
  <c r="AT394" i="3"/>
  <c r="AT378" i="3"/>
  <c r="AT362" i="3"/>
  <c r="AT346" i="3"/>
  <c r="AT330" i="3"/>
  <c r="AT314" i="3"/>
  <c r="AT298" i="3"/>
  <c r="AT282" i="3"/>
  <c r="AT266" i="3"/>
  <c r="AT250" i="3"/>
  <c r="AT234" i="3"/>
  <c r="AT218" i="3"/>
  <c r="AT202" i="3"/>
  <c r="AT186" i="3"/>
  <c r="AT170" i="3"/>
  <c r="AT154" i="3"/>
  <c r="AT138" i="3"/>
  <c r="AT122" i="3"/>
  <c r="AT106" i="3"/>
  <c r="AT90" i="3"/>
  <c r="AT74" i="3"/>
  <c r="AT58" i="3"/>
  <c r="AT42" i="3"/>
  <c r="AT26" i="3"/>
  <c r="AT10" i="3"/>
  <c r="AT934" i="3"/>
  <c r="AT694" i="3"/>
  <c r="AT518" i="3"/>
  <c r="AT150" i="3"/>
  <c r="AT1001" i="3"/>
  <c r="AT985" i="3"/>
  <c r="AT969" i="3"/>
  <c r="AT953" i="3"/>
  <c r="AT937" i="3"/>
  <c r="AT921" i="3"/>
  <c r="AT905" i="3"/>
  <c r="AT889" i="3"/>
  <c r="AT873" i="3"/>
  <c r="AT857" i="3"/>
  <c r="AT841" i="3"/>
  <c r="AT825" i="3"/>
  <c r="AT809" i="3"/>
  <c r="AT793" i="3"/>
  <c r="AT777" i="3"/>
  <c r="AT761" i="3"/>
  <c r="AT745" i="3"/>
  <c r="AT729" i="3"/>
  <c r="AT713" i="3"/>
  <c r="AT697" i="3"/>
  <c r="AT681" i="3"/>
  <c r="AT665" i="3"/>
  <c r="AT649" i="3"/>
  <c r="AT633" i="3"/>
  <c r="AT617" i="3"/>
  <c r="AT601" i="3"/>
  <c r="AT585" i="3"/>
  <c r="AT569" i="3"/>
  <c r="AT553" i="3"/>
  <c r="AT537" i="3"/>
  <c r="AT521" i="3"/>
  <c r="AT505" i="3"/>
  <c r="AT489" i="3"/>
  <c r="AT473" i="3"/>
  <c r="AT457" i="3"/>
  <c r="AT441" i="3"/>
  <c r="AT425" i="3"/>
  <c r="AT409" i="3"/>
  <c r="AT393" i="3"/>
  <c r="AT377" i="3"/>
  <c r="AT361" i="3"/>
  <c r="AT345" i="3"/>
  <c r="AT329" i="3"/>
  <c r="AT313" i="3"/>
  <c r="AT297" i="3"/>
  <c r="AT281" i="3"/>
  <c r="AT265" i="3"/>
  <c r="AT249" i="3"/>
  <c r="AT233" i="3"/>
  <c r="AT217" i="3"/>
  <c r="AT201" i="3"/>
  <c r="AT185" i="3"/>
  <c r="AT169" i="3"/>
  <c r="AT153" i="3"/>
  <c r="AT137" i="3"/>
  <c r="AT121" i="3"/>
  <c r="AT105" i="3"/>
  <c r="AT89" i="3"/>
  <c r="AT73" i="3"/>
  <c r="AT57" i="3"/>
  <c r="AT41" i="3"/>
  <c r="AT25" i="3"/>
  <c r="AT9" i="3"/>
  <c r="AT710" i="3"/>
  <c r="AT246" i="3"/>
  <c r="AT1000" i="3"/>
  <c r="AT984" i="3"/>
  <c r="AT968" i="3"/>
  <c r="AT952" i="3"/>
  <c r="AT936" i="3"/>
  <c r="AT920" i="3"/>
  <c r="AT904" i="3"/>
  <c r="AT888" i="3"/>
  <c r="AT872" i="3"/>
  <c r="AT856" i="3"/>
  <c r="AT840" i="3"/>
  <c r="AT824" i="3"/>
  <c r="AT808" i="3"/>
  <c r="AT792" i="3"/>
  <c r="AT776" i="3"/>
  <c r="AT760" i="3"/>
  <c r="AT744" i="3"/>
  <c r="AT728" i="3"/>
  <c r="AT712" i="3"/>
  <c r="AT696" i="3"/>
  <c r="AT680" i="3"/>
  <c r="AT664" i="3"/>
  <c r="AT648" i="3"/>
  <c r="AT632" i="3"/>
  <c r="AT616" i="3"/>
  <c r="AT600" i="3"/>
  <c r="AT584" i="3"/>
  <c r="AT568" i="3"/>
  <c r="AT552" i="3"/>
  <c r="AT536" i="3"/>
  <c r="AT520" i="3"/>
  <c r="AT504" i="3"/>
  <c r="AT488" i="3"/>
  <c r="AT472" i="3"/>
  <c r="AT456" i="3"/>
  <c r="AT440" i="3"/>
  <c r="AT424" i="3"/>
  <c r="AT408" i="3"/>
  <c r="AT392" i="3"/>
  <c r="AT376" i="3"/>
  <c r="AT360" i="3"/>
  <c r="AT344" i="3"/>
  <c r="AT328" i="3"/>
  <c r="AT312" i="3"/>
  <c r="AT296" i="3"/>
  <c r="AT280" i="3"/>
  <c r="AT264" i="3"/>
  <c r="AT248" i="3"/>
  <c r="AT232" i="3"/>
  <c r="AT216" i="3"/>
  <c r="AT200" i="3"/>
  <c r="AT184" i="3"/>
  <c r="AT168" i="3"/>
  <c r="AT152" i="3"/>
  <c r="AT136" i="3"/>
  <c r="AT120" i="3"/>
  <c r="AT104" i="3"/>
  <c r="AT88" i="3"/>
  <c r="AT72" i="3"/>
  <c r="AT56" i="3"/>
  <c r="AT40" i="3"/>
  <c r="AT24" i="3"/>
  <c r="AT8" i="3"/>
  <c r="AT822" i="3"/>
  <c r="AT614" i="3"/>
  <c r="AT470" i="3"/>
  <c r="AT230" i="3"/>
  <c r="AT999" i="3"/>
  <c r="AT983" i="3"/>
  <c r="AT967" i="3"/>
  <c r="AT951" i="3"/>
  <c r="AT935" i="3"/>
  <c r="AT919" i="3"/>
  <c r="AT903" i="3"/>
  <c r="AT887" i="3"/>
  <c r="AT871" i="3"/>
  <c r="AT855" i="3"/>
  <c r="AT839" i="3"/>
  <c r="AT823" i="3"/>
  <c r="AT807" i="3"/>
  <c r="AT791" i="3"/>
  <c r="AT775" i="3"/>
  <c r="AT759" i="3"/>
  <c r="AT743" i="3"/>
  <c r="AT727" i="3"/>
  <c r="AT711" i="3"/>
  <c r="AT695" i="3"/>
  <c r="AT679" i="3"/>
  <c r="AT663" i="3"/>
  <c r="AT647" i="3"/>
  <c r="AT631" i="3"/>
  <c r="AT615" i="3"/>
  <c r="AT599" i="3"/>
  <c r="AT583" i="3"/>
  <c r="AT567" i="3"/>
  <c r="AT551" i="3"/>
  <c r="AT535" i="3"/>
  <c r="AT519" i="3"/>
  <c r="AT503" i="3"/>
  <c r="AT487" i="3"/>
  <c r="AT471" i="3"/>
  <c r="AT455" i="3"/>
  <c r="AT439" i="3"/>
  <c r="AT423" i="3"/>
  <c r="AT407" i="3"/>
  <c r="AT391" i="3"/>
  <c r="AT375" i="3"/>
  <c r="AT359" i="3"/>
  <c r="AT343" i="3"/>
  <c r="AT327" i="3"/>
  <c r="AT311" i="3"/>
  <c r="AT295" i="3"/>
  <c r="AT279" i="3"/>
  <c r="AT263" i="3"/>
  <c r="AT247" i="3"/>
  <c r="AT231" i="3"/>
  <c r="AT215" i="3"/>
  <c r="AT199" i="3"/>
  <c r="AT183" i="3"/>
  <c r="AT167" i="3"/>
  <c r="AT151" i="3"/>
  <c r="AT135" i="3"/>
  <c r="AT119" i="3"/>
  <c r="AT103" i="3"/>
  <c r="AT87" i="3"/>
  <c r="AT71" i="3"/>
  <c r="AT55" i="3"/>
  <c r="AT39" i="3"/>
  <c r="AT23" i="3"/>
  <c r="AS991" i="3"/>
  <c r="AS975" i="3"/>
  <c r="AS959" i="3"/>
  <c r="AS943" i="3"/>
  <c r="AS927" i="3"/>
  <c r="AS911" i="3"/>
  <c r="AS895" i="3"/>
  <c r="AS879" i="3"/>
  <c r="AS863" i="3"/>
  <c r="AS847" i="3"/>
  <c r="AS831" i="3"/>
  <c r="AS815" i="3"/>
  <c r="AS799" i="3"/>
  <c r="AS783" i="3"/>
  <c r="AS767" i="3"/>
  <c r="AS751" i="3"/>
  <c r="AS735" i="3"/>
  <c r="AS719" i="3"/>
  <c r="AS703" i="3"/>
  <c r="AS687" i="3"/>
  <c r="AS671" i="3"/>
  <c r="AS655" i="3"/>
  <c r="AS639" i="3"/>
  <c r="AS623" i="3"/>
  <c r="AS607" i="3"/>
  <c r="AS591" i="3"/>
  <c r="AS575" i="3"/>
  <c r="AS559" i="3"/>
  <c r="AS543" i="3"/>
  <c r="AS527" i="3"/>
  <c r="AS511" i="3"/>
  <c r="AS495" i="3"/>
  <c r="AS479" i="3"/>
  <c r="AS463" i="3"/>
  <c r="AS447" i="3"/>
  <c r="AS431" i="3"/>
  <c r="AS415" i="3"/>
  <c r="AS399" i="3"/>
  <c r="AS383" i="3"/>
  <c r="AS367" i="3"/>
  <c r="AS351" i="3"/>
  <c r="AS335" i="3"/>
  <c r="AS319" i="3"/>
  <c r="AS303" i="3"/>
  <c r="AS287" i="3"/>
  <c r="AS271" i="3"/>
  <c r="AS255" i="3"/>
  <c r="AS239" i="3"/>
  <c r="AS223" i="3"/>
  <c r="AS207" i="3"/>
  <c r="AS191" i="3"/>
  <c r="AS175" i="3"/>
  <c r="AS159" i="3"/>
  <c r="AS143" i="3"/>
  <c r="AS127" i="3"/>
  <c r="AS111" i="3"/>
  <c r="AS95" i="3"/>
  <c r="AS79" i="3"/>
  <c r="AS63" i="3"/>
  <c r="AS47" i="3"/>
  <c r="AS31" i="3"/>
  <c r="AS15" i="3"/>
  <c r="AS990" i="3"/>
  <c r="AS974" i="3"/>
  <c r="AS958" i="3"/>
  <c r="AS942" i="3"/>
  <c r="AS926" i="3"/>
  <c r="AS910" i="3"/>
  <c r="AS894" i="3"/>
  <c r="AS878" i="3"/>
  <c r="AS862" i="3"/>
  <c r="AS846" i="3"/>
  <c r="AS830" i="3"/>
  <c r="AS814" i="3"/>
  <c r="AS798" i="3"/>
  <c r="AS782" i="3"/>
  <c r="AS766" i="3"/>
  <c r="AS750" i="3"/>
  <c r="AS734" i="3"/>
  <c r="AS718" i="3"/>
  <c r="AS702" i="3"/>
  <c r="AS686" i="3"/>
  <c r="AS670" i="3"/>
  <c r="AS654" i="3"/>
  <c r="AS638" i="3"/>
  <c r="AS622" i="3"/>
  <c r="AS606" i="3"/>
  <c r="AS590" i="3"/>
  <c r="AS574" i="3"/>
  <c r="AS558" i="3"/>
  <c r="AS542" i="3"/>
  <c r="AS526" i="3"/>
  <c r="AS510" i="3"/>
  <c r="AS494" i="3"/>
  <c r="AS478" i="3"/>
  <c r="AS462" i="3"/>
  <c r="AS446" i="3"/>
  <c r="AS430" i="3"/>
  <c r="AS414" i="3"/>
  <c r="AS398" i="3"/>
  <c r="AS382" i="3"/>
  <c r="AS366" i="3"/>
  <c r="AS350" i="3"/>
  <c r="AS334" i="3"/>
  <c r="AS318" i="3"/>
  <c r="AS302" i="3"/>
  <c r="AS286" i="3"/>
  <c r="AS270" i="3"/>
  <c r="AS254" i="3"/>
  <c r="AS238" i="3"/>
  <c r="AS222" i="3"/>
  <c r="AS206" i="3"/>
  <c r="AS190" i="3"/>
  <c r="AS174" i="3"/>
  <c r="AS158" i="3"/>
  <c r="AS142" i="3"/>
  <c r="AS126" i="3"/>
  <c r="AS110" i="3"/>
  <c r="AS94" i="3"/>
  <c r="AS78" i="3"/>
  <c r="AS62" i="3"/>
  <c r="AS46" i="3"/>
  <c r="AS30" i="3"/>
  <c r="AS14" i="3"/>
  <c r="AS1005" i="3"/>
  <c r="AS989" i="3"/>
  <c r="AS973" i="3"/>
  <c r="AS957" i="3"/>
  <c r="AS941" i="3"/>
  <c r="AS925" i="3"/>
  <c r="AS909" i="3"/>
  <c r="AS893" i="3"/>
  <c r="AS877" i="3"/>
  <c r="AS861" i="3"/>
  <c r="AS845" i="3"/>
  <c r="AS829" i="3"/>
  <c r="AS813" i="3"/>
  <c r="AS797" i="3"/>
  <c r="AS781" i="3"/>
  <c r="AS765" i="3"/>
  <c r="AS749" i="3"/>
  <c r="AS733" i="3"/>
  <c r="AS717" i="3"/>
  <c r="AS701" i="3"/>
  <c r="AS685" i="3"/>
  <c r="AS669" i="3"/>
  <c r="AS653" i="3"/>
  <c r="AS637" i="3"/>
  <c r="AS621" i="3"/>
  <c r="AS605" i="3"/>
  <c r="AS589" i="3"/>
  <c r="AS573" i="3"/>
  <c r="AS557" i="3"/>
  <c r="AS541" i="3"/>
  <c r="AS525" i="3"/>
  <c r="AS509" i="3"/>
  <c r="AS493" i="3"/>
  <c r="AS477" i="3"/>
  <c r="AS461" i="3"/>
  <c r="AS445" i="3"/>
  <c r="AS429" i="3"/>
  <c r="AS413" i="3"/>
  <c r="AS397" i="3"/>
  <c r="AS381" i="3"/>
  <c r="AS365" i="3"/>
  <c r="AS349" i="3"/>
  <c r="AS333" i="3"/>
  <c r="AS317" i="3"/>
  <c r="AS301" i="3"/>
  <c r="AS285" i="3"/>
  <c r="AS269" i="3"/>
  <c r="AS253" i="3"/>
  <c r="AS237" i="3"/>
  <c r="AS221" i="3"/>
  <c r="AS205" i="3"/>
  <c r="AS189" i="3"/>
  <c r="AS173" i="3"/>
  <c r="AS157" i="3"/>
  <c r="AS141" i="3"/>
  <c r="AS125" i="3"/>
  <c r="AS109" i="3"/>
  <c r="AS93" i="3"/>
  <c r="AS77" i="3"/>
  <c r="AS61" i="3"/>
  <c r="AS45" i="3"/>
  <c r="AS29" i="3"/>
  <c r="AS13" i="3"/>
  <c r="AS1004" i="3"/>
  <c r="AS988" i="3"/>
  <c r="AS972" i="3"/>
  <c r="AS956" i="3"/>
  <c r="AS940" i="3"/>
  <c r="AS924" i="3"/>
  <c r="AS908" i="3"/>
  <c r="AS892" i="3"/>
  <c r="AS876" i="3"/>
  <c r="AS860" i="3"/>
  <c r="AS844" i="3"/>
  <c r="AS828" i="3"/>
  <c r="AS812" i="3"/>
  <c r="AS796" i="3"/>
  <c r="AS780" i="3"/>
  <c r="AS764" i="3"/>
  <c r="AS748" i="3"/>
  <c r="AS732" i="3"/>
  <c r="AS716" i="3"/>
  <c r="AS700" i="3"/>
  <c r="AS684" i="3"/>
  <c r="AS668" i="3"/>
  <c r="AS652" i="3"/>
  <c r="AS636" i="3"/>
  <c r="AS620" i="3"/>
  <c r="AS604" i="3"/>
  <c r="AS588" i="3"/>
  <c r="AS572" i="3"/>
  <c r="AS556" i="3"/>
  <c r="AS540" i="3"/>
  <c r="AS524" i="3"/>
  <c r="AS508" i="3"/>
  <c r="AS492" i="3"/>
  <c r="AS476" i="3"/>
  <c r="AS460" i="3"/>
  <c r="AS444" i="3"/>
  <c r="AS428" i="3"/>
  <c r="AS412" i="3"/>
  <c r="AS396" i="3"/>
  <c r="AS380" i="3"/>
  <c r="AS364" i="3"/>
  <c r="AS348" i="3"/>
  <c r="AS332" i="3"/>
  <c r="AS316" i="3"/>
  <c r="AS300" i="3"/>
  <c r="AS284" i="3"/>
  <c r="AS268" i="3"/>
  <c r="AS252" i="3"/>
  <c r="AS236" i="3"/>
  <c r="AS220" i="3"/>
  <c r="AS204" i="3"/>
  <c r="AS188" i="3"/>
  <c r="AS172" i="3"/>
  <c r="AS156" i="3"/>
  <c r="AS140" i="3"/>
  <c r="AS124" i="3"/>
  <c r="AS108" i="3"/>
  <c r="AS92" i="3"/>
  <c r="AS76" i="3"/>
  <c r="AS60" i="3"/>
  <c r="AS44" i="3"/>
  <c r="AS28" i="3"/>
  <c r="AS12" i="3"/>
  <c r="AS1003" i="3"/>
  <c r="AS987" i="3"/>
  <c r="AS971" i="3"/>
  <c r="AS955" i="3"/>
  <c r="AS939" i="3"/>
  <c r="AS923" i="3"/>
  <c r="AS907" i="3"/>
  <c r="AS891" i="3"/>
  <c r="AS875" i="3"/>
  <c r="AS859" i="3"/>
  <c r="AS843" i="3"/>
  <c r="AS827" i="3"/>
  <c r="AS811" i="3"/>
  <c r="AS795" i="3"/>
  <c r="AS779" i="3"/>
  <c r="AS763" i="3"/>
  <c r="AS747" i="3"/>
  <c r="AS731" i="3"/>
  <c r="AS715" i="3"/>
  <c r="AS699" i="3"/>
  <c r="AS683" i="3"/>
  <c r="AS667" i="3"/>
  <c r="AS651" i="3"/>
  <c r="AS635" i="3"/>
  <c r="AS619" i="3"/>
  <c r="AS603" i="3"/>
  <c r="AS587" i="3"/>
  <c r="AS571" i="3"/>
  <c r="AS555" i="3"/>
  <c r="AS539" i="3"/>
  <c r="AS523" i="3"/>
  <c r="AS507" i="3"/>
  <c r="AS491" i="3"/>
  <c r="AS475" i="3"/>
  <c r="AS459" i="3"/>
  <c r="AS443" i="3"/>
  <c r="AS427" i="3"/>
  <c r="AS411" i="3"/>
  <c r="AS395" i="3"/>
  <c r="AS379" i="3"/>
  <c r="AS363" i="3"/>
  <c r="AS347" i="3"/>
  <c r="AS331" i="3"/>
  <c r="AS315" i="3"/>
  <c r="AS299" i="3"/>
  <c r="AS283" i="3"/>
  <c r="AS267" i="3"/>
  <c r="AS251" i="3"/>
  <c r="AS235" i="3"/>
  <c r="AS219" i="3"/>
  <c r="AS203" i="3"/>
  <c r="AS187" i="3"/>
  <c r="AS171" i="3"/>
  <c r="AS155" i="3"/>
  <c r="AS139" i="3"/>
  <c r="AS123" i="3"/>
  <c r="AS107" i="3"/>
  <c r="AS91" i="3"/>
  <c r="AS75" i="3"/>
  <c r="AS59" i="3"/>
  <c r="AS43" i="3"/>
  <c r="AS27" i="3"/>
  <c r="AS11" i="3"/>
  <c r="AS1002" i="3"/>
  <c r="AS986" i="3"/>
  <c r="AS970" i="3"/>
  <c r="AS954" i="3"/>
  <c r="AS938" i="3"/>
  <c r="AS922" i="3"/>
  <c r="AS906" i="3"/>
  <c r="AS890" i="3"/>
  <c r="AS874" i="3"/>
  <c r="AS858" i="3"/>
  <c r="AS842" i="3"/>
  <c r="AS826" i="3"/>
  <c r="AS810" i="3"/>
  <c r="AS794" i="3"/>
  <c r="AS778" i="3"/>
  <c r="AS762" i="3"/>
  <c r="AS746" i="3"/>
  <c r="AS730" i="3"/>
  <c r="AS714" i="3"/>
  <c r="AS698" i="3"/>
  <c r="AS682" i="3"/>
  <c r="AS666" i="3"/>
  <c r="AS650" i="3"/>
  <c r="AS634" i="3"/>
  <c r="AS618" i="3"/>
  <c r="AS602" i="3"/>
  <c r="AS586" i="3"/>
  <c r="AS570" i="3"/>
  <c r="AS554" i="3"/>
  <c r="AS538" i="3"/>
  <c r="AS522" i="3"/>
  <c r="AS506" i="3"/>
  <c r="AS490" i="3"/>
  <c r="AS474" i="3"/>
  <c r="AS458" i="3"/>
  <c r="AS442" i="3"/>
  <c r="AS426" i="3"/>
  <c r="AS410" i="3"/>
  <c r="AS394" i="3"/>
  <c r="AS378" i="3"/>
  <c r="AS362" i="3"/>
  <c r="AS346" i="3"/>
  <c r="AS330" i="3"/>
  <c r="AS314" i="3"/>
  <c r="AS298" i="3"/>
  <c r="AS282" i="3"/>
  <c r="AS266" i="3"/>
  <c r="AS250" i="3"/>
  <c r="AS234" i="3"/>
  <c r="AS218" i="3"/>
  <c r="AS202" i="3"/>
  <c r="AS186" i="3"/>
  <c r="AS170" i="3"/>
  <c r="AS154" i="3"/>
  <c r="AS138" i="3"/>
  <c r="AS122" i="3"/>
  <c r="AS106" i="3"/>
  <c r="AS90" i="3"/>
  <c r="AS74" i="3"/>
  <c r="AS58" i="3"/>
  <c r="AS42" i="3"/>
  <c r="AS26" i="3"/>
  <c r="AS10" i="3"/>
  <c r="AS1001" i="3"/>
  <c r="AS985" i="3"/>
  <c r="AS969" i="3"/>
  <c r="AS953" i="3"/>
  <c r="AS937" i="3"/>
  <c r="AS921" i="3"/>
  <c r="AS905" i="3"/>
  <c r="AS889" i="3"/>
  <c r="AS873" i="3"/>
  <c r="AS857" i="3"/>
  <c r="AS841" i="3"/>
  <c r="AS825" i="3"/>
  <c r="AS809" i="3"/>
  <c r="AS793" i="3"/>
  <c r="AS777" i="3"/>
  <c r="AS761" i="3"/>
  <c r="AS745" i="3"/>
  <c r="AS729" i="3"/>
  <c r="AS713" i="3"/>
  <c r="AS697" i="3"/>
  <c r="AS681" i="3"/>
  <c r="AS665" i="3"/>
  <c r="AS649" i="3"/>
  <c r="AS633" i="3"/>
  <c r="AS617" i="3"/>
  <c r="AS601" i="3"/>
  <c r="AS585" i="3"/>
  <c r="AS569" i="3"/>
  <c r="AS553" i="3"/>
  <c r="AS537" i="3"/>
  <c r="AS521" i="3"/>
  <c r="AS505" i="3"/>
  <c r="AS489" i="3"/>
  <c r="AS473" i="3"/>
  <c r="AS457" i="3"/>
  <c r="AS441" i="3"/>
  <c r="AS425" i="3"/>
  <c r="AS409" i="3"/>
  <c r="AS393" i="3"/>
  <c r="AS377" i="3"/>
  <c r="AS361" i="3"/>
  <c r="AS345" i="3"/>
  <c r="AS329" i="3"/>
  <c r="AS313" i="3"/>
  <c r="AS297" i="3"/>
  <c r="AS281" i="3"/>
  <c r="AS265" i="3"/>
  <c r="AS249" i="3"/>
  <c r="AS233" i="3"/>
  <c r="AS217" i="3"/>
  <c r="AS201" i="3"/>
  <c r="AS185" i="3"/>
  <c r="AS169" i="3"/>
  <c r="AS153" i="3"/>
  <c r="AS137" i="3"/>
  <c r="AS121" i="3"/>
  <c r="AS105" i="3"/>
  <c r="AS89" i="3"/>
  <c r="AS73" i="3"/>
  <c r="AS57" i="3"/>
  <c r="AS41" i="3"/>
  <c r="AS25" i="3"/>
  <c r="AS9" i="3"/>
  <c r="AS776" i="3"/>
  <c r="AS760" i="3"/>
  <c r="AS744" i="3"/>
  <c r="AS728" i="3"/>
  <c r="AS712" i="3"/>
  <c r="AS696" i="3"/>
  <c r="AS680" i="3"/>
  <c r="AS664" i="3"/>
  <c r="AS648" i="3"/>
  <c r="AS632" i="3"/>
  <c r="AS616" i="3"/>
  <c r="AS600" i="3"/>
  <c r="AS584" i="3"/>
  <c r="AS568" i="3"/>
  <c r="AS552" i="3"/>
  <c r="AS536" i="3"/>
  <c r="AS520" i="3"/>
  <c r="AS504" i="3"/>
  <c r="AS488" i="3"/>
  <c r="AS472" i="3"/>
  <c r="AS456" i="3"/>
  <c r="AS440" i="3"/>
  <c r="AS424" i="3"/>
  <c r="AS408" i="3"/>
  <c r="AS392" i="3"/>
  <c r="AS376" i="3"/>
  <c r="AS360" i="3"/>
  <c r="AS344" i="3"/>
  <c r="AS328" i="3"/>
  <c r="AS312" i="3"/>
  <c r="AS296" i="3"/>
  <c r="AS280" i="3"/>
  <c r="AS264" i="3"/>
  <c r="AS248" i="3"/>
  <c r="AS232" i="3"/>
  <c r="AS216" i="3"/>
  <c r="AS200" i="3"/>
  <c r="AS184" i="3"/>
  <c r="AS168" i="3"/>
  <c r="AS152" i="3"/>
  <c r="AS136" i="3"/>
  <c r="AS120" i="3"/>
  <c r="AS104" i="3"/>
  <c r="AS88" i="3"/>
  <c r="AS72" i="3"/>
  <c r="AS56" i="3"/>
  <c r="AS40" i="3"/>
  <c r="AS24" i="3"/>
  <c r="AS8" i="3"/>
  <c r="AS759" i="3"/>
  <c r="AS743" i="3"/>
  <c r="AS727" i="3"/>
  <c r="AS711" i="3"/>
  <c r="AS695" i="3"/>
  <c r="AS679" i="3"/>
  <c r="AS663" i="3"/>
  <c r="AS647" i="3"/>
  <c r="AS631" i="3"/>
  <c r="AS615" i="3"/>
  <c r="AS599" i="3"/>
  <c r="AS583" i="3"/>
  <c r="AS567" i="3"/>
  <c r="AS551" i="3"/>
  <c r="AS535" i="3"/>
  <c r="AS519" i="3"/>
  <c r="AS503" i="3"/>
  <c r="AS487" i="3"/>
  <c r="AS471" i="3"/>
  <c r="AS455" i="3"/>
  <c r="AS439" i="3"/>
  <c r="AS423" i="3"/>
  <c r="AS407" i="3"/>
  <c r="AS391" i="3"/>
  <c r="AS375" i="3"/>
  <c r="AS359" i="3"/>
  <c r="AS343" i="3"/>
  <c r="AS327" i="3"/>
  <c r="AS311" i="3"/>
  <c r="AS295" i="3"/>
  <c r="AS279" i="3"/>
  <c r="AS263" i="3"/>
  <c r="AS247" i="3"/>
  <c r="AS231" i="3"/>
  <c r="AS215" i="3"/>
  <c r="AS199" i="3"/>
  <c r="AS183" i="3"/>
  <c r="AS167" i="3"/>
  <c r="AS151" i="3"/>
  <c r="AS135" i="3"/>
  <c r="AS119" i="3"/>
  <c r="AS103" i="3"/>
  <c r="AS87" i="3"/>
  <c r="AS71" i="3"/>
  <c r="AS55" i="3"/>
  <c r="AS39" i="3"/>
  <c r="AS23" i="3"/>
  <c r="AS7" i="3"/>
  <c r="AS998" i="3"/>
  <c r="AS982" i="3"/>
  <c r="AS966" i="3"/>
  <c r="AS950" i="3"/>
  <c r="AS934" i="3"/>
  <c r="AS918" i="3"/>
  <c r="AS902" i="3"/>
  <c r="AS886" i="3"/>
  <c r="AS870" i="3"/>
  <c r="AS854" i="3"/>
  <c r="AS838" i="3"/>
  <c r="AS822" i="3"/>
  <c r="AS806" i="3"/>
  <c r="AS790" i="3"/>
  <c r="AS774" i="3"/>
  <c r="AS758" i="3"/>
  <c r="AS742" i="3"/>
  <c r="AS726" i="3"/>
  <c r="AS710" i="3"/>
  <c r="AS694" i="3"/>
  <c r="AS678" i="3"/>
  <c r="AS662" i="3"/>
  <c r="AS646" i="3"/>
  <c r="AS630" i="3"/>
  <c r="AS614" i="3"/>
  <c r="AS598" i="3"/>
  <c r="AS582" i="3"/>
  <c r="AS566" i="3"/>
  <c r="AS550" i="3"/>
  <c r="AS534" i="3"/>
  <c r="AS518" i="3"/>
  <c r="AS502" i="3"/>
  <c r="AS486" i="3"/>
  <c r="AS470" i="3"/>
  <c r="AS454" i="3"/>
  <c r="AS438" i="3"/>
  <c r="AS422" i="3"/>
  <c r="AS406" i="3"/>
  <c r="AS390" i="3"/>
  <c r="AS374" i="3"/>
  <c r="AS358" i="3"/>
  <c r="AS342" i="3"/>
  <c r="AS326" i="3"/>
  <c r="AS310" i="3"/>
  <c r="AS294" i="3"/>
  <c r="AS278" i="3"/>
  <c r="AS262" i="3"/>
  <c r="AS246" i="3"/>
  <c r="AS230" i="3"/>
  <c r="AS214" i="3"/>
  <c r="AS198" i="3"/>
  <c r="AS182" i="3"/>
  <c r="AS166" i="3"/>
  <c r="AS150" i="3"/>
  <c r="AS134" i="3"/>
  <c r="AS118" i="3"/>
  <c r="AS102" i="3"/>
  <c r="AS86" i="3"/>
  <c r="AS70" i="3"/>
  <c r="AS54" i="3"/>
  <c r="AS38" i="3"/>
  <c r="AS22" i="3"/>
  <c r="AS405" i="3"/>
  <c r="AS389" i="3"/>
  <c r="AS373" i="3"/>
  <c r="AS357" i="3"/>
  <c r="AS341" i="3"/>
  <c r="AS325" i="3"/>
  <c r="AS309" i="3"/>
  <c r="AS293" i="3"/>
  <c r="AS277" i="3"/>
  <c r="AS261" i="3"/>
  <c r="AS245" i="3"/>
  <c r="AS229" i="3"/>
  <c r="AS213" i="3"/>
  <c r="AS197" i="3"/>
  <c r="AS181" i="3"/>
  <c r="AS165" i="3"/>
  <c r="AS149" i="3"/>
  <c r="AS133" i="3"/>
  <c r="AS117" i="3"/>
  <c r="AS101" i="3"/>
  <c r="AS85" i="3"/>
  <c r="AS69" i="3"/>
  <c r="AS53" i="3"/>
  <c r="AS37" i="3"/>
  <c r="AS21" i="3"/>
  <c r="AS212" i="3"/>
  <c r="AS196" i="3"/>
  <c r="AS180" i="3"/>
  <c r="AS164" i="3"/>
  <c r="AS148" i="3"/>
  <c r="AS132" i="3"/>
  <c r="AS116" i="3"/>
  <c r="AS100" i="3"/>
  <c r="AS84" i="3"/>
  <c r="AS68" i="3"/>
  <c r="AS52" i="3"/>
  <c r="AS36" i="3"/>
  <c r="AS20" i="3"/>
  <c r="AS994" i="3"/>
  <c r="AS978" i="3"/>
  <c r="AS962" i="3"/>
  <c r="AS946" i="3"/>
  <c r="AS930" i="3"/>
  <c r="AS914" i="3"/>
  <c r="AS898" i="3"/>
  <c r="AS882" i="3"/>
  <c r="AS866" i="3"/>
  <c r="AS850" i="3"/>
  <c r="AS834" i="3"/>
  <c r="AS818" i="3"/>
  <c r="AS802" i="3"/>
  <c r="AS786" i="3"/>
  <c r="AS770" i="3"/>
  <c r="AS754" i="3"/>
  <c r="AS738" i="3"/>
  <c r="AS722" i="3"/>
  <c r="AS706" i="3"/>
  <c r="AS690" i="3"/>
  <c r="AS674" i="3"/>
  <c r="AS658" i="3"/>
  <c r="AS642" i="3"/>
  <c r="AS626" i="3"/>
  <c r="AS610" i="3"/>
  <c r="AS594" i="3"/>
  <c r="AS578" i="3"/>
  <c r="AS562" i="3"/>
  <c r="AS546" i="3"/>
  <c r="AS530" i="3"/>
  <c r="AS514" i="3"/>
  <c r="AS498" i="3"/>
  <c r="AS482" i="3"/>
  <c r="AS466" i="3"/>
  <c r="AS450" i="3"/>
  <c r="AS434" i="3"/>
  <c r="AS418" i="3"/>
  <c r="AS402" i="3"/>
  <c r="AS386" i="3"/>
  <c r="AS370" i="3"/>
  <c r="AS354" i="3"/>
  <c r="AS338" i="3"/>
  <c r="AS322" i="3"/>
  <c r="AS306" i="3"/>
  <c r="AS290" i="3"/>
  <c r="AS274" i="3"/>
  <c r="AS258" i="3"/>
  <c r="AS242" i="3"/>
  <c r="AS226" i="3"/>
  <c r="AS210" i="3"/>
  <c r="AS194" i="3"/>
  <c r="AS178" i="3"/>
  <c r="AS162" i="3"/>
  <c r="AS146" i="3"/>
  <c r="AS130" i="3"/>
  <c r="AS114" i="3"/>
  <c r="AS98" i="3"/>
  <c r="AS82" i="3"/>
  <c r="AS66" i="3"/>
  <c r="AS50" i="3"/>
  <c r="AS34" i="3"/>
  <c r="AS18" i="3"/>
  <c r="AS993" i="3"/>
  <c r="AS977" i="3"/>
  <c r="AS961" i="3"/>
  <c r="AS945" i="3"/>
  <c r="AS929" i="3"/>
  <c r="AS913" i="3"/>
  <c r="AS897" i="3"/>
  <c r="AS881" i="3"/>
  <c r="AS865" i="3"/>
  <c r="AS849" i="3"/>
  <c r="AS833" i="3"/>
  <c r="AS817" i="3"/>
  <c r="AS801" i="3"/>
  <c r="AS785" i="3"/>
  <c r="AS769" i="3"/>
  <c r="AS753" i="3"/>
  <c r="AS737" i="3"/>
  <c r="AS721" i="3"/>
  <c r="AS705" i="3"/>
  <c r="AS689" i="3"/>
  <c r="AS673" i="3"/>
  <c r="AS657" i="3"/>
  <c r="AS641" i="3"/>
  <c r="AS625" i="3"/>
  <c r="AS609" i="3"/>
  <c r="AS593" i="3"/>
  <c r="AS577" i="3"/>
  <c r="AS561" i="3"/>
  <c r="AS545" i="3"/>
  <c r="AS529" i="3"/>
  <c r="AS513" i="3"/>
  <c r="AS497" i="3"/>
  <c r="AS481" i="3"/>
  <c r="AS465" i="3"/>
  <c r="AS449" i="3"/>
  <c r="AS433" i="3"/>
  <c r="AS417" i="3"/>
  <c r="AS401" i="3"/>
  <c r="AS385" i="3"/>
  <c r="AS369" i="3"/>
  <c r="AS353" i="3"/>
  <c r="AS337" i="3"/>
  <c r="AS321" i="3"/>
  <c r="AS305" i="3"/>
  <c r="AS289" i="3"/>
  <c r="AS273" i="3"/>
  <c r="AS257" i="3"/>
  <c r="AS241" i="3"/>
  <c r="AS225" i="3"/>
  <c r="AS209" i="3"/>
  <c r="AS193" i="3"/>
  <c r="AS177" i="3"/>
  <c r="AS161" i="3"/>
  <c r="AS145" i="3"/>
  <c r="AS129" i="3"/>
  <c r="AS113" i="3"/>
  <c r="AS97" i="3"/>
  <c r="AS81" i="3"/>
  <c r="AS65" i="3"/>
  <c r="AS49" i="3"/>
  <c r="AS33" i="3"/>
  <c r="AS17" i="3"/>
  <c r="AS992" i="3"/>
  <c r="AS976" i="3"/>
  <c r="AS960" i="3"/>
  <c r="AS944" i="3"/>
  <c r="AS928" i="3"/>
  <c r="AS912" i="3"/>
  <c r="AS896" i="3"/>
  <c r="AS880" i="3"/>
  <c r="AS864" i="3"/>
  <c r="AS848" i="3"/>
  <c r="AS832" i="3"/>
  <c r="AS816" i="3"/>
  <c r="AS800" i="3"/>
  <c r="AS784" i="3"/>
  <c r="AS768" i="3"/>
  <c r="AS752" i="3"/>
  <c r="AS736" i="3"/>
  <c r="AS720" i="3"/>
  <c r="AS704" i="3"/>
  <c r="AS688" i="3"/>
  <c r="AS672" i="3"/>
  <c r="AS656" i="3"/>
  <c r="AS640" i="3"/>
  <c r="AS624" i="3"/>
  <c r="AS608" i="3"/>
  <c r="AS592" i="3"/>
  <c r="AS576" i="3"/>
  <c r="AS560" i="3"/>
  <c r="AS544" i="3"/>
  <c r="AS528" i="3"/>
  <c r="AS512" i="3"/>
  <c r="AS496" i="3"/>
  <c r="AS480" i="3"/>
  <c r="AS464" i="3"/>
  <c r="AS448" i="3"/>
  <c r="AS432" i="3"/>
  <c r="AS416" i="3"/>
  <c r="AS400" i="3"/>
  <c r="AS384" i="3"/>
  <c r="AS368" i="3"/>
  <c r="AS352" i="3"/>
  <c r="AS336" i="3"/>
  <c r="AS320" i="3"/>
  <c r="AS304" i="3"/>
  <c r="AS288" i="3"/>
  <c r="AS272" i="3"/>
  <c r="AS256" i="3"/>
  <c r="AS240" i="3"/>
  <c r="AS224" i="3"/>
  <c r="AS208" i="3"/>
  <c r="AS192" i="3"/>
  <c r="AS176" i="3"/>
  <c r="AS160" i="3"/>
  <c r="AS144" i="3"/>
  <c r="AS128" i="3"/>
  <c r="AS112" i="3"/>
  <c r="AS96" i="3"/>
  <c r="AS80" i="3"/>
  <c r="AS64" i="3"/>
  <c r="AS48" i="3"/>
  <c r="AS32" i="3"/>
  <c r="S420" i="3"/>
  <c r="S486" i="3"/>
  <c r="S383" i="3"/>
  <c r="S382" i="3"/>
  <c r="S792" i="3"/>
  <c r="S764" i="3"/>
  <c r="S742" i="3"/>
  <c r="S715" i="3"/>
  <c r="S679" i="3"/>
  <c r="S646" i="3"/>
  <c r="S612" i="3"/>
  <c r="S567" i="3"/>
  <c r="S530" i="3"/>
  <c r="S474" i="3"/>
  <c r="S381" i="3"/>
  <c r="S914" i="3"/>
  <c r="S895" i="3"/>
  <c r="S875" i="3"/>
  <c r="S856" i="3"/>
  <c r="S836" i="3"/>
  <c r="S812" i="3"/>
  <c r="S789" i="3"/>
  <c r="S763" i="3"/>
  <c r="S741" i="3"/>
  <c r="S714" i="3"/>
  <c r="S678" i="3"/>
  <c r="S645" i="3"/>
  <c r="S603" i="3"/>
  <c r="S566" i="3"/>
  <c r="S529" i="3"/>
  <c r="S473" i="3"/>
  <c r="S380" i="3"/>
  <c r="S762" i="3"/>
  <c r="S740" i="3"/>
  <c r="S713" i="3"/>
  <c r="S677" i="3"/>
  <c r="S644" i="3"/>
  <c r="S602" i="3"/>
  <c r="S565" i="3"/>
  <c r="S515" i="3"/>
  <c r="S472" i="3"/>
  <c r="S378" i="3"/>
  <c r="S971" i="3"/>
  <c r="S950" i="3"/>
  <c r="S931" i="3"/>
  <c r="S912" i="3"/>
  <c r="S892" i="3"/>
  <c r="S873" i="3"/>
  <c r="S854" i="3"/>
  <c r="S834" i="3"/>
  <c r="S808" i="3"/>
  <c r="S787" i="3"/>
  <c r="S761" i="3"/>
  <c r="S739" i="3"/>
  <c r="S712" i="3"/>
  <c r="S676" i="3"/>
  <c r="S643" i="3"/>
  <c r="S601" i="3"/>
  <c r="S564" i="3"/>
  <c r="S514" i="3"/>
  <c r="S471" i="3"/>
  <c r="S377" i="3"/>
  <c r="S949" i="3"/>
  <c r="S930" i="3"/>
  <c r="S911" i="3"/>
  <c r="S891" i="3"/>
  <c r="S872" i="3"/>
  <c r="S853" i="3"/>
  <c r="S833" i="3"/>
  <c r="S807" i="3"/>
  <c r="S786" i="3"/>
  <c r="S760" i="3"/>
  <c r="S738" i="3"/>
  <c r="S711" i="3"/>
  <c r="S675" i="3"/>
  <c r="S642" i="3"/>
  <c r="S600" i="3"/>
  <c r="S563" i="3"/>
  <c r="S513" i="3"/>
  <c r="S470" i="3"/>
  <c r="O300" i="3"/>
  <c r="O973" i="3"/>
  <c r="O971" i="3"/>
  <c r="O915" i="3"/>
  <c r="S174" i="3"/>
  <c r="O914" i="3"/>
  <c r="O852" i="3"/>
  <c r="S422" i="3"/>
  <c r="S362" i="3"/>
  <c r="O850" i="3"/>
  <c r="S421" i="3"/>
  <c r="S343" i="3"/>
  <c r="O758" i="3"/>
  <c r="S325" i="3"/>
  <c r="O757" i="3"/>
  <c r="S502" i="3"/>
  <c r="S468" i="3"/>
  <c r="S418" i="3"/>
  <c r="S321" i="3"/>
  <c r="O330" i="3"/>
  <c r="S710" i="3"/>
  <c r="S689" i="3"/>
  <c r="S662" i="3"/>
  <c r="S640" i="3"/>
  <c r="S611" i="3"/>
  <c r="S584" i="3"/>
  <c r="S552" i="3"/>
  <c r="S527" i="3"/>
  <c r="S495" i="3"/>
  <c r="S467" i="3"/>
  <c r="S415" i="3"/>
  <c r="S299" i="3"/>
  <c r="S729" i="3"/>
  <c r="S709" i="3"/>
  <c r="S686" i="3"/>
  <c r="S661" i="3"/>
  <c r="S639" i="3"/>
  <c r="S610" i="3"/>
  <c r="S583" i="3"/>
  <c r="S551" i="3"/>
  <c r="S524" i="3"/>
  <c r="S492" i="3"/>
  <c r="S465" i="3"/>
  <c r="S414" i="3"/>
  <c r="S298" i="3"/>
  <c r="S708" i="3"/>
  <c r="S682" i="3"/>
  <c r="S660" i="3"/>
  <c r="S638" i="3"/>
  <c r="S609" i="3"/>
  <c r="S582" i="3"/>
  <c r="S550" i="3"/>
  <c r="S523" i="3"/>
  <c r="S491" i="3"/>
  <c r="S454" i="3"/>
  <c r="S408" i="3"/>
  <c r="S296" i="3"/>
  <c r="R75" i="3"/>
  <c r="R43" i="3"/>
  <c r="R27" i="3"/>
  <c r="R11" i="3"/>
  <c r="S1003" i="3"/>
  <c r="S986" i="3"/>
  <c r="S969" i="3"/>
  <c r="S952" i="3"/>
  <c r="S935" i="3"/>
  <c r="S918" i="3"/>
  <c r="S901" i="3"/>
  <c r="S884" i="3"/>
  <c r="S867" i="3"/>
  <c r="S850" i="3"/>
  <c r="S831" i="3"/>
  <c r="S810" i="3"/>
  <c r="S791" i="3"/>
  <c r="S771" i="3"/>
  <c r="S747" i="3"/>
  <c r="S727" i="3"/>
  <c r="S707" i="3"/>
  <c r="S681" i="3"/>
  <c r="S659" i="3"/>
  <c r="S631" i="3"/>
  <c r="S607" i="3"/>
  <c r="S581" i="3"/>
  <c r="S549" i="3"/>
  <c r="S522" i="3"/>
  <c r="S490" i="3"/>
  <c r="S453" i="3"/>
  <c r="S406" i="3"/>
  <c r="S286" i="3"/>
  <c r="S1002" i="3"/>
  <c r="S985" i="3"/>
  <c r="S968" i="3"/>
  <c r="S951" i="3"/>
  <c r="S934" i="3"/>
  <c r="S917" i="3"/>
  <c r="S900" i="3"/>
  <c r="S883" i="3"/>
  <c r="S866" i="3"/>
  <c r="S849" i="3"/>
  <c r="S828" i="3"/>
  <c r="S809" i="3"/>
  <c r="S790" i="3"/>
  <c r="S770" i="3"/>
  <c r="S746" i="3"/>
  <c r="S726" i="3"/>
  <c r="S706" i="3"/>
  <c r="S680" i="3"/>
  <c r="S658" i="3"/>
  <c r="S630" i="3"/>
  <c r="S604" i="3"/>
  <c r="S572" i="3"/>
  <c r="S548" i="3"/>
  <c r="S521" i="3"/>
  <c r="S489" i="3"/>
  <c r="S451" i="3"/>
  <c r="S386" i="3"/>
  <c r="S273" i="3"/>
  <c r="S485" i="3"/>
  <c r="S466" i="3"/>
  <c r="S440" i="3"/>
  <c r="S407" i="3"/>
  <c r="S363" i="3"/>
  <c r="S266" i="3"/>
  <c r="S203" i="3"/>
  <c r="S483" i="3"/>
  <c r="S460" i="3"/>
  <c r="S438" i="3"/>
  <c r="S405" i="3"/>
  <c r="S361" i="3"/>
  <c r="S202" i="3"/>
  <c r="O613" i="3"/>
  <c r="S785" i="3"/>
  <c r="S769" i="3"/>
  <c r="S753" i="3"/>
  <c r="S737" i="3"/>
  <c r="S721" i="3"/>
  <c r="S705" i="3"/>
  <c r="S688" i="3"/>
  <c r="S671" i="3"/>
  <c r="S654" i="3"/>
  <c r="S636" i="3"/>
  <c r="S618" i="3"/>
  <c r="S599" i="3"/>
  <c r="S580" i="3"/>
  <c r="S561" i="3"/>
  <c r="S539" i="3"/>
  <c r="S520" i="3"/>
  <c r="S501" i="3"/>
  <c r="S482" i="3"/>
  <c r="S459" i="3"/>
  <c r="S437" i="3"/>
  <c r="S404" i="3"/>
  <c r="S360" i="3"/>
  <c r="S200" i="3"/>
  <c r="O602" i="3"/>
  <c r="S832" i="3"/>
  <c r="S816" i="3"/>
  <c r="S800" i="3"/>
  <c r="S784" i="3"/>
  <c r="S768" i="3"/>
  <c r="S752" i="3"/>
  <c r="S736" i="3"/>
  <c r="S720" i="3"/>
  <c r="S704" i="3"/>
  <c r="S687" i="3"/>
  <c r="S670" i="3"/>
  <c r="S652" i="3"/>
  <c r="S635" i="3"/>
  <c r="S617" i="3"/>
  <c r="S598" i="3"/>
  <c r="S579" i="3"/>
  <c r="S559" i="3"/>
  <c r="S538" i="3"/>
  <c r="S519" i="3"/>
  <c r="S500" i="3"/>
  <c r="S481" i="3"/>
  <c r="S458" i="3"/>
  <c r="S436" i="3"/>
  <c r="S398" i="3"/>
  <c r="S359" i="3"/>
  <c r="S193" i="3"/>
  <c r="S668" i="3"/>
  <c r="S651" i="3"/>
  <c r="S634" i="3"/>
  <c r="S616" i="3"/>
  <c r="S597" i="3"/>
  <c r="S578" i="3"/>
  <c r="S556" i="3"/>
  <c r="S537" i="3"/>
  <c r="S518" i="3"/>
  <c r="S499" i="3"/>
  <c r="S479" i="3"/>
  <c r="S457" i="3"/>
  <c r="S435" i="3"/>
  <c r="S395" i="3"/>
  <c r="S358" i="3"/>
  <c r="S177" i="3"/>
  <c r="S990" i="3"/>
  <c r="S974" i="3"/>
  <c r="S958" i="3"/>
  <c r="S942" i="3"/>
  <c r="S926" i="3"/>
  <c r="S910" i="3"/>
  <c r="S894" i="3"/>
  <c r="S878" i="3"/>
  <c r="S862" i="3"/>
  <c r="S846" i="3"/>
  <c r="S830" i="3"/>
  <c r="S814" i="3"/>
  <c r="S798" i="3"/>
  <c r="S782" i="3"/>
  <c r="S766" i="3"/>
  <c r="S750" i="3"/>
  <c r="S734" i="3"/>
  <c r="S718" i="3"/>
  <c r="S702" i="3"/>
  <c r="S684" i="3"/>
  <c r="S667" i="3"/>
  <c r="S650" i="3"/>
  <c r="S633" i="3"/>
  <c r="S615" i="3"/>
  <c r="S596" i="3"/>
  <c r="S577" i="3"/>
  <c r="S555" i="3"/>
  <c r="S536" i="3"/>
  <c r="S517" i="3"/>
  <c r="S498" i="3"/>
  <c r="S476" i="3"/>
  <c r="S456" i="3"/>
  <c r="S434" i="3"/>
  <c r="S389" i="3"/>
  <c r="S357" i="3"/>
  <c r="S175" i="3"/>
  <c r="S845" i="3"/>
  <c r="S829" i="3"/>
  <c r="S813" i="3"/>
  <c r="S797" i="3"/>
  <c r="S781" i="3"/>
  <c r="S765" i="3"/>
  <c r="S749" i="3"/>
  <c r="S733" i="3"/>
  <c r="S717" i="3"/>
  <c r="S700" i="3"/>
  <c r="S683" i="3"/>
  <c r="S666" i="3"/>
  <c r="S649" i="3"/>
  <c r="S632" i="3"/>
  <c r="S614" i="3"/>
  <c r="S595" i="3"/>
  <c r="S575" i="3"/>
  <c r="S554" i="3"/>
  <c r="S535" i="3"/>
  <c r="S516" i="3"/>
  <c r="S497" i="3"/>
  <c r="S475" i="3"/>
  <c r="S455" i="3"/>
  <c r="S427" i="3"/>
  <c r="S388" i="3"/>
  <c r="S347" i="3"/>
  <c r="O970" i="3"/>
  <c r="O912" i="3"/>
  <c r="O846" i="3"/>
  <c r="O756" i="3"/>
  <c r="O592" i="3"/>
  <c r="O246" i="3"/>
  <c r="O969" i="3"/>
  <c r="O908" i="3"/>
  <c r="O832" i="3"/>
  <c r="O744" i="3"/>
  <c r="O553" i="3"/>
  <c r="O218" i="3"/>
  <c r="N948" i="3"/>
  <c r="O966" i="3"/>
  <c r="O905" i="3"/>
  <c r="O828" i="3"/>
  <c r="O729" i="3"/>
  <c r="O537" i="3"/>
  <c r="O217" i="3"/>
  <c r="N685" i="3"/>
  <c r="O964" i="3"/>
  <c r="O891" i="3"/>
  <c r="O827" i="3"/>
  <c r="O720" i="3"/>
  <c r="O536" i="3"/>
  <c r="O205" i="3"/>
  <c r="N373" i="3"/>
  <c r="O963" i="3"/>
  <c r="O887" i="3"/>
  <c r="O823" i="3"/>
  <c r="O717" i="3"/>
  <c r="O533" i="3"/>
  <c r="O89" i="3"/>
  <c r="S33" i="3"/>
  <c r="O6" i="3"/>
  <c r="O948" i="3"/>
  <c r="O886" i="3"/>
  <c r="O820" i="3"/>
  <c r="O716" i="3"/>
  <c r="O508" i="3"/>
  <c r="O25" i="3"/>
  <c r="S158" i="3"/>
  <c r="O999" i="3"/>
  <c r="O946" i="3"/>
  <c r="O885" i="3"/>
  <c r="O816" i="3"/>
  <c r="O704" i="3"/>
  <c r="O460" i="3"/>
  <c r="O11" i="3"/>
  <c r="S379" i="3"/>
  <c r="S345" i="3"/>
  <c r="S264" i="3"/>
  <c r="S127" i="3"/>
  <c r="O997" i="3"/>
  <c r="O942" i="3"/>
  <c r="O884" i="3"/>
  <c r="O814" i="3"/>
  <c r="O681" i="3"/>
  <c r="O442" i="3"/>
  <c r="S344" i="3"/>
  <c r="S257" i="3"/>
  <c r="S126" i="3"/>
  <c r="O995" i="3"/>
  <c r="O939" i="3"/>
  <c r="O879" i="3"/>
  <c r="O796" i="3"/>
  <c r="O677" i="3"/>
  <c r="O441" i="3"/>
  <c r="S255" i="3"/>
  <c r="S123" i="3"/>
  <c r="O994" i="3"/>
  <c r="O938" i="3"/>
  <c r="O878" i="3"/>
  <c r="O794" i="3"/>
  <c r="O672" i="3"/>
  <c r="O437" i="3"/>
  <c r="S402" i="3"/>
  <c r="S376" i="3"/>
  <c r="S341" i="3"/>
  <c r="S254" i="3"/>
  <c r="S122" i="3"/>
  <c r="O990" i="3"/>
  <c r="O936" i="3"/>
  <c r="O862" i="3"/>
  <c r="O791" i="3"/>
  <c r="O670" i="3"/>
  <c r="O410" i="3"/>
  <c r="S452" i="3"/>
  <c r="S426" i="3"/>
  <c r="S399" i="3"/>
  <c r="S367" i="3"/>
  <c r="S340" i="3"/>
  <c r="S251" i="3"/>
  <c r="S120" i="3"/>
  <c r="O988" i="3"/>
  <c r="O935" i="3"/>
  <c r="O857" i="3"/>
  <c r="O790" i="3"/>
  <c r="O652" i="3"/>
  <c r="O360" i="3"/>
  <c r="S339" i="3"/>
  <c r="S209" i="3"/>
  <c r="S90" i="3"/>
  <c r="O987" i="3"/>
  <c r="O920" i="3"/>
  <c r="O854" i="3"/>
  <c r="O778" i="3"/>
  <c r="O618" i="3"/>
  <c r="O334" i="3"/>
  <c r="S424" i="3"/>
  <c r="S397" i="3"/>
  <c r="S365" i="3"/>
  <c r="S334" i="3"/>
  <c r="S207" i="3"/>
  <c r="S88" i="3"/>
  <c r="O982" i="3"/>
  <c r="O918" i="3"/>
  <c r="O853" i="3"/>
  <c r="O760" i="3"/>
  <c r="O614" i="3"/>
  <c r="S449" i="3"/>
  <c r="S423" i="3"/>
  <c r="S396" i="3"/>
  <c r="S364" i="3"/>
  <c r="S328" i="3"/>
  <c r="S206" i="3"/>
  <c r="S81" i="3"/>
  <c r="N932" i="3"/>
  <c r="N666" i="3"/>
  <c r="N353" i="3"/>
  <c r="N916" i="3"/>
  <c r="N647" i="3"/>
  <c r="N331" i="3"/>
  <c r="N900" i="3"/>
  <c r="N627" i="3"/>
  <c r="N311" i="3"/>
  <c r="N884" i="3"/>
  <c r="N608" i="3"/>
  <c r="N288" i="3"/>
  <c r="N868" i="3"/>
  <c r="N588" i="3"/>
  <c r="N265" i="3"/>
  <c r="N852" i="3"/>
  <c r="N569" i="3"/>
  <c r="N241" i="3"/>
  <c r="N836" i="3"/>
  <c r="N549" i="3"/>
  <c r="N216" i="3"/>
  <c r="N820" i="3"/>
  <c r="N530" i="3"/>
  <c r="N187" i="3"/>
  <c r="S79" i="3"/>
  <c r="N804" i="3"/>
  <c r="N511" i="3"/>
  <c r="N154" i="3"/>
  <c r="S78" i="3"/>
  <c r="N788" i="3"/>
  <c r="N491" i="3"/>
  <c r="N127" i="3"/>
  <c r="S75" i="3"/>
  <c r="N772" i="3"/>
  <c r="N472" i="3"/>
  <c r="N90" i="3"/>
  <c r="S432" i="3"/>
  <c r="S413" i="3"/>
  <c r="S394" i="3"/>
  <c r="S375" i="3"/>
  <c r="S354" i="3"/>
  <c r="S318" i="3"/>
  <c r="S250" i="3"/>
  <c r="S155" i="3"/>
  <c r="S74" i="3"/>
  <c r="N756" i="3"/>
  <c r="N452" i="3"/>
  <c r="N47" i="3"/>
  <c r="S608" i="3"/>
  <c r="S592" i="3"/>
  <c r="S576" i="3"/>
  <c r="S560" i="3"/>
  <c r="S544" i="3"/>
  <c r="S528" i="3"/>
  <c r="S512" i="3"/>
  <c r="S496" i="3"/>
  <c r="S480" i="3"/>
  <c r="S464" i="3"/>
  <c r="S448" i="3"/>
  <c r="S431" i="3"/>
  <c r="S412" i="3"/>
  <c r="S393" i="3"/>
  <c r="S374" i="3"/>
  <c r="S351" i="3"/>
  <c r="S314" i="3"/>
  <c r="S248" i="3"/>
  <c r="S154" i="3"/>
  <c r="S72" i="3"/>
  <c r="N996" i="3"/>
  <c r="N740" i="3"/>
  <c r="N433" i="3"/>
  <c r="S463" i="3"/>
  <c r="S447" i="3"/>
  <c r="S430" i="3"/>
  <c r="S411" i="3"/>
  <c r="S392" i="3"/>
  <c r="S373" i="3"/>
  <c r="S350" i="3"/>
  <c r="S305" i="3"/>
  <c r="S241" i="3"/>
  <c r="S138" i="3"/>
  <c r="S65" i="3"/>
  <c r="N980" i="3"/>
  <c r="N724" i="3"/>
  <c r="N413" i="3"/>
  <c r="S622" i="3"/>
  <c r="S606" i="3"/>
  <c r="S590" i="3"/>
  <c r="S574" i="3"/>
  <c r="S558" i="3"/>
  <c r="S542" i="3"/>
  <c r="S526" i="3"/>
  <c r="S510" i="3"/>
  <c r="S494" i="3"/>
  <c r="S478" i="3"/>
  <c r="S462" i="3"/>
  <c r="S446" i="3"/>
  <c r="S429" i="3"/>
  <c r="S410" i="3"/>
  <c r="S391" i="3"/>
  <c r="S372" i="3"/>
  <c r="S349" i="3"/>
  <c r="S303" i="3"/>
  <c r="S239" i="3"/>
  <c r="S136" i="3"/>
  <c r="S49" i="3"/>
  <c r="N964" i="3"/>
  <c r="N706" i="3"/>
  <c r="N393" i="3"/>
  <c r="S701" i="3"/>
  <c r="S685" i="3"/>
  <c r="S669" i="3"/>
  <c r="S653" i="3"/>
  <c r="S637" i="3"/>
  <c r="S621" i="3"/>
  <c r="S605" i="3"/>
  <c r="S589" i="3"/>
  <c r="S573" i="3"/>
  <c r="S557" i="3"/>
  <c r="S541" i="3"/>
  <c r="S525" i="3"/>
  <c r="S509" i="3"/>
  <c r="S493" i="3"/>
  <c r="S477" i="3"/>
  <c r="S461" i="3"/>
  <c r="S445" i="3"/>
  <c r="S428" i="3"/>
  <c r="S409" i="3"/>
  <c r="S390" i="3"/>
  <c r="S370" i="3"/>
  <c r="S348" i="3"/>
  <c r="S302" i="3"/>
  <c r="S216" i="3"/>
  <c r="S129" i="3"/>
  <c r="S47" i="3"/>
  <c r="N995" i="3"/>
  <c r="N979" i="3"/>
  <c r="N963" i="3"/>
  <c r="N947" i="3"/>
  <c r="N931" i="3"/>
  <c r="N915" i="3"/>
  <c r="N899" i="3"/>
  <c r="N883" i="3"/>
  <c r="N867" i="3"/>
  <c r="N851" i="3"/>
  <c r="N835" i="3"/>
  <c r="N819" i="3"/>
  <c r="N803" i="3"/>
  <c r="N787" i="3"/>
  <c r="N771" i="3"/>
  <c r="N755" i="3"/>
  <c r="N739" i="3"/>
  <c r="N723" i="3"/>
  <c r="N704" i="3"/>
  <c r="N684" i="3"/>
  <c r="N665" i="3"/>
  <c r="N645" i="3"/>
  <c r="N626" i="3"/>
  <c r="N607" i="3"/>
  <c r="N587" i="3"/>
  <c r="N568" i="3"/>
  <c r="N548" i="3"/>
  <c r="N529" i="3"/>
  <c r="N509" i="3"/>
  <c r="N490" i="3"/>
  <c r="N471" i="3"/>
  <c r="N451" i="3"/>
  <c r="N432" i="3"/>
  <c r="N411" i="3"/>
  <c r="N392" i="3"/>
  <c r="N372" i="3"/>
  <c r="N352" i="3"/>
  <c r="N330" i="3"/>
  <c r="N309" i="3"/>
  <c r="N285" i="3"/>
  <c r="N264" i="3"/>
  <c r="N240" i="3"/>
  <c r="N215" i="3"/>
  <c r="N186" i="3"/>
  <c r="N152" i="3"/>
  <c r="N125" i="3"/>
  <c r="N88" i="3"/>
  <c r="N46" i="3"/>
  <c r="N994" i="3"/>
  <c r="N978" i="3"/>
  <c r="N962" i="3"/>
  <c r="N946" i="3"/>
  <c r="N930" i="3"/>
  <c r="N914" i="3"/>
  <c r="N898" i="3"/>
  <c r="N882" i="3"/>
  <c r="N866" i="3"/>
  <c r="N850" i="3"/>
  <c r="N834" i="3"/>
  <c r="N818" i="3"/>
  <c r="N802" i="3"/>
  <c r="N786" i="3"/>
  <c r="N770" i="3"/>
  <c r="N754" i="3"/>
  <c r="N738" i="3"/>
  <c r="N721" i="3"/>
  <c r="N703" i="3"/>
  <c r="N683" i="3"/>
  <c r="N664" i="3"/>
  <c r="N644" i="3"/>
  <c r="N625" i="3"/>
  <c r="N605" i="3"/>
  <c r="N586" i="3"/>
  <c r="N567" i="3"/>
  <c r="N547" i="3"/>
  <c r="N528" i="3"/>
  <c r="N508" i="3"/>
  <c r="N489" i="3"/>
  <c r="N469" i="3"/>
  <c r="N450" i="3"/>
  <c r="N429" i="3"/>
  <c r="N410" i="3"/>
  <c r="N391" i="3"/>
  <c r="N371" i="3"/>
  <c r="N349" i="3"/>
  <c r="N329" i="3"/>
  <c r="N307" i="3"/>
  <c r="N284" i="3"/>
  <c r="N263" i="3"/>
  <c r="N236" i="3"/>
  <c r="N213" i="3"/>
  <c r="N183" i="3"/>
  <c r="N151" i="3"/>
  <c r="N124" i="3"/>
  <c r="N85" i="3"/>
  <c r="N45" i="3"/>
  <c r="N993" i="3"/>
  <c r="N977" i="3"/>
  <c r="N961" i="3"/>
  <c r="N945" i="3"/>
  <c r="N929" i="3"/>
  <c r="N913" i="3"/>
  <c r="N897" i="3"/>
  <c r="N881" i="3"/>
  <c r="N865" i="3"/>
  <c r="N849" i="3"/>
  <c r="N833" i="3"/>
  <c r="N817" i="3"/>
  <c r="N801" i="3"/>
  <c r="N785" i="3"/>
  <c r="N769" i="3"/>
  <c r="N753" i="3"/>
  <c r="N737" i="3"/>
  <c r="N720" i="3"/>
  <c r="N701" i="3"/>
  <c r="N682" i="3"/>
  <c r="N663" i="3"/>
  <c r="N643" i="3"/>
  <c r="N624" i="3"/>
  <c r="N604" i="3"/>
  <c r="N585" i="3"/>
  <c r="N565" i="3"/>
  <c r="N546" i="3"/>
  <c r="N527" i="3"/>
  <c r="N507" i="3"/>
  <c r="N488" i="3"/>
  <c r="N468" i="3"/>
  <c r="N448" i="3"/>
  <c r="N428" i="3"/>
  <c r="N409" i="3"/>
  <c r="N389" i="3"/>
  <c r="N370" i="3"/>
  <c r="N348" i="3"/>
  <c r="N328" i="3"/>
  <c r="N306" i="3"/>
  <c r="N283" i="3"/>
  <c r="N260" i="3"/>
  <c r="N235" i="3"/>
  <c r="N212" i="3"/>
  <c r="N182" i="3"/>
  <c r="N150" i="3"/>
  <c r="N118" i="3"/>
  <c r="N84" i="3"/>
  <c r="N42" i="3"/>
  <c r="N992" i="3"/>
  <c r="N976" i="3"/>
  <c r="N960" i="3"/>
  <c r="N944" i="3"/>
  <c r="N928" i="3"/>
  <c r="N912" i="3"/>
  <c r="N896" i="3"/>
  <c r="N880" i="3"/>
  <c r="N864" i="3"/>
  <c r="N848" i="3"/>
  <c r="N832" i="3"/>
  <c r="N816" i="3"/>
  <c r="N800" i="3"/>
  <c r="N784" i="3"/>
  <c r="N768" i="3"/>
  <c r="N752" i="3"/>
  <c r="N736" i="3"/>
  <c r="N719" i="3"/>
  <c r="N700" i="3"/>
  <c r="N681" i="3"/>
  <c r="N661" i="3"/>
  <c r="N642" i="3"/>
  <c r="N623" i="3"/>
  <c r="N603" i="3"/>
  <c r="N584" i="3"/>
  <c r="N564" i="3"/>
  <c r="N545" i="3"/>
  <c r="N525" i="3"/>
  <c r="N506" i="3"/>
  <c r="N487" i="3"/>
  <c r="N466" i="3"/>
  <c r="N447" i="3"/>
  <c r="N427" i="3"/>
  <c r="N408" i="3"/>
  <c r="N388" i="3"/>
  <c r="N369" i="3"/>
  <c r="N347" i="3"/>
  <c r="N327" i="3"/>
  <c r="N305" i="3"/>
  <c r="N282" i="3"/>
  <c r="N259" i="3"/>
  <c r="N234" i="3"/>
  <c r="N211" i="3"/>
  <c r="N179" i="3"/>
  <c r="N149" i="3"/>
  <c r="N116" i="3"/>
  <c r="N82" i="3"/>
  <c r="N40" i="3"/>
  <c r="N991" i="3"/>
  <c r="N975" i="3"/>
  <c r="N959" i="3"/>
  <c r="N943" i="3"/>
  <c r="N927" i="3"/>
  <c r="N911" i="3"/>
  <c r="N895" i="3"/>
  <c r="N879" i="3"/>
  <c r="N863" i="3"/>
  <c r="N847" i="3"/>
  <c r="N831" i="3"/>
  <c r="N815" i="3"/>
  <c r="N799" i="3"/>
  <c r="N783" i="3"/>
  <c r="N767" i="3"/>
  <c r="N751" i="3"/>
  <c r="N735" i="3"/>
  <c r="N718" i="3"/>
  <c r="N699" i="3"/>
  <c r="N680" i="3"/>
  <c r="N660" i="3"/>
  <c r="N641" i="3"/>
  <c r="N621" i="3"/>
  <c r="N602" i="3"/>
  <c r="N583" i="3"/>
  <c r="N563" i="3"/>
  <c r="N544" i="3"/>
  <c r="N524" i="3"/>
  <c r="N505" i="3"/>
  <c r="N484" i="3"/>
  <c r="N465" i="3"/>
  <c r="N445" i="3"/>
  <c r="N426" i="3"/>
  <c r="N407" i="3"/>
  <c r="N387" i="3"/>
  <c r="N368" i="3"/>
  <c r="N346" i="3"/>
  <c r="N325" i="3"/>
  <c r="N304" i="3"/>
  <c r="N281" i="3"/>
  <c r="N257" i="3"/>
  <c r="N233" i="3"/>
  <c r="N209" i="3"/>
  <c r="N176" i="3"/>
  <c r="N148" i="3"/>
  <c r="N113" i="3"/>
  <c r="N81" i="3"/>
  <c r="N39" i="3"/>
  <c r="N990" i="3"/>
  <c r="N974" i="3"/>
  <c r="N958" i="3"/>
  <c r="N942" i="3"/>
  <c r="N926" i="3"/>
  <c r="N910" i="3"/>
  <c r="N894" i="3"/>
  <c r="N878" i="3"/>
  <c r="N862" i="3"/>
  <c r="N846" i="3"/>
  <c r="N830" i="3"/>
  <c r="N814" i="3"/>
  <c r="N798" i="3"/>
  <c r="N782" i="3"/>
  <c r="N766" i="3"/>
  <c r="N750" i="3"/>
  <c r="N734" i="3"/>
  <c r="N717" i="3"/>
  <c r="N698" i="3"/>
  <c r="N679" i="3"/>
  <c r="N659" i="3"/>
  <c r="N640" i="3"/>
  <c r="N620" i="3"/>
  <c r="N601" i="3"/>
  <c r="N581" i="3"/>
  <c r="N562" i="3"/>
  <c r="N543" i="3"/>
  <c r="N523" i="3"/>
  <c r="N503" i="3"/>
  <c r="N483" i="3"/>
  <c r="N464" i="3"/>
  <c r="N444" i="3"/>
  <c r="N425" i="3"/>
  <c r="N405" i="3"/>
  <c r="N386" i="3"/>
  <c r="N365" i="3"/>
  <c r="N345" i="3"/>
  <c r="N324" i="3"/>
  <c r="N301" i="3"/>
  <c r="N280" i="3"/>
  <c r="N256" i="3"/>
  <c r="N232" i="3"/>
  <c r="N208" i="3"/>
  <c r="N175" i="3"/>
  <c r="N145" i="3"/>
  <c r="N111" i="3"/>
  <c r="N76" i="3"/>
  <c r="N37" i="3"/>
  <c r="N1005" i="3"/>
  <c r="N989" i="3"/>
  <c r="N973" i="3"/>
  <c r="N957" i="3"/>
  <c r="N941" i="3"/>
  <c r="N925" i="3"/>
  <c r="N909" i="3"/>
  <c r="N893" i="3"/>
  <c r="N877" i="3"/>
  <c r="N861" i="3"/>
  <c r="N845" i="3"/>
  <c r="N829" i="3"/>
  <c r="N813" i="3"/>
  <c r="N797" i="3"/>
  <c r="N781" i="3"/>
  <c r="N765" i="3"/>
  <c r="N749" i="3"/>
  <c r="N733" i="3"/>
  <c r="N716" i="3"/>
  <c r="N697" i="3"/>
  <c r="N677" i="3"/>
  <c r="N658" i="3"/>
  <c r="N639" i="3"/>
  <c r="N619" i="3"/>
  <c r="N600" i="3"/>
  <c r="N580" i="3"/>
  <c r="N561" i="3"/>
  <c r="N541" i="3"/>
  <c r="N521" i="3"/>
  <c r="N501" i="3"/>
  <c r="N482" i="3"/>
  <c r="N463" i="3"/>
  <c r="N443" i="3"/>
  <c r="N424" i="3"/>
  <c r="N404" i="3"/>
  <c r="N385" i="3"/>
  <c r="N364" i="3"/>
  <c r="N344" i="3"/>
  <c r="N323" i="3"/>
  <c r="N300" i="3"/>
  <c r="N279" i="3"/>
  <c r="N253" i="3"/>
  <c r="N231" i="3"/>
  <c r="N204" i="3"/>
  <c r="N174" i="3"/>
  <c r="N144" i="3"/>
  <c r="N110" i="3"/>
  <c r="N68" i="3"/>
  <c r="N34" i="3"/>
  <c r="N1004" i="3"/>
  <c r="N988" i="3"/>
  <c r="N972" i="3"/>
  <c r="N956" i="3"/>
  <c r="N940" i="3"/>
  <c r="N924" i="3"/>
  <c r="N908" i="3"/>
  <c r="N892" i="3"/>
  <c r="N876" i="3"/>
  <c r="N860" i="3"/>
  <c r="N844" i="3"/>
  <c r="N828" i="3"/>
  <c r="N812" i="3"/>
  <c r="N796" i="3"/>
  <c r="N780" i="3"/>
  <c r="N764" i="3"/>
  <c r="N748" i="3"/>
  <c r="N732" i="3"/>
  <c r="N715" i="3"/>
  <c r="N696" i="3"/>
  <c r="N676" i="3"/>
  <c r="N657" i="3"/>
  <c r="N637" i="3"/>
  <c r="N618" i="3"/>
  <c r="N599" i="3"/>
  <c r="N579" i="3"/>
  <c r="N560" i="3"/>
  <c r="N539" i="3"/>
  <c r="N520" i="3"/>
  <c r="N500" i="3"/>
  <c r="N481" i="3"/>
  <c r="N461" i="3"/>
  <c r="N442" i="3"/>
  <c r="N423" i="3"/>
  <c r="N403" i="3"/>
  <c r="N384" i="3"/>
  <c r="N363" i="3"/>
  <c r="N343" i="3"/>
  <c r="N322" i="3"/>
  <c r="N299" i="3"/>
  <c r="N276" i="3"/>
  <c r="N252" i="3"/>
  <c r="N228" i="3"/>
  <c r="N203" i="3"/>
  <c r="N171" i="3"/>
  <c r="N142" i="3"/>
  <c r="N109" i="3"/>
  <c r="N67" i="3"/>
  <c r="N31" i="3"/>
  <c r="N1003" i="3"/>
  <c r="N987" i="3"/>
  <c r="N971" i="3"/>
  <c r="N955" i="3"/>
  <c r="N939" i="3"/>
  <c r="N923" i="3"/>
  <c r="N907" i="3"/>
  <c r="N891" i="3"/>
  <c r="N875" i="3"/>
  <c r="N859" i="3"/>
  <c r="N843" i="3"/>
  <c r="N827" i="3"/>
  <c r="N811" i="3"/>
  <c r="N795" i="3"/>
  <c r="N779" i="3"/>
  <c r="N763" i="3"/>
  <c r="N747" i="3"/>
  <c r="N731" i="3"/>
  <c r="N714" i="3"/>
  <c r="N695" i="3"/>
  <c r="N675" i="3"/>
  <c r="N656" i="3"/>
  <c r="N636" i="3"/>
  <c r="N617" i="3"/>
  <c r="N597" i="3"/>
  <c r="N578" i="3"/>
  <c r="N557" i="3"/>
  <c r="N538" i="3"/>
  <c r="N519" i="3"/>
  <c r="N499" i="3"/>
  <c r="N480" i="3"/>
  <c r="N460" i="3"/>
  <c r="N441" i="3"/>
  <c r="N421" i="3"/>
  <c r="N402" i="3"/>
  <c r="N383" i="3"/>
  <c r="N362" i="3"/>
  <c r="N341" i="3"/>
  <c r="N321" i="3"/>
  <c r="N298" i="3"/>
  <c r="N275" i="3"/>
  <c r="N251" i="3"/>
  <c r="N227" i="3"/>
  <c r="N200" i="3"/>
  <c r="N170" i="3"/>
  <c r="N141" i="3"/>
  <c r="N108" i="3"/>
  <c r="N66" i="3"/>
  <c r="N23" i="3"/>
  <c r="N1002" i="3"/>
  <c r="N986" i="3"/>
  <c r="N970" i="3"/>
  <c r="N954" i="3"/>
  <c r="N938" i="3"/>
  <c r="N922" i="3"/>
  <c r="N906" i="3"/>
  <c r="N890" i="3"/>
  <c r="N874" i="3"/>
  <c r="N858" i="3"/>
  <c r="N842" i="3"/>
  <c r="N826" i="3"/>
  <c r="N810" i="3"/>
  <c r="N794" i="3"/>
  <c r="N778" i="3"/>
  <c r="N762" i="3"/>
  <c r="N746" i="3"/>
  <c r="N730" i="3"/>
  <c r="N713" i="3"/>
  <c r="N693" i="3"/>
  <c r="N674" i="3"/>
  <c r="N655" i="3"/>
  <c r="N635" i="3"/>
  <c r="N616" i="3"/>
  <c r="N596" i="3"/>
  <c r="N576" i="3"/>
  <c r="N556" i="3"/>
  <c r="N537" i="3"/>
  <c r="N517" i="3"/>
  <c r="N498" i="3"/>
  <c r="N479" i="3"/>
  <c r="N459" i="3"/>
  <c r="N440" i="3"/>
  <c r="N420" i="3"/>
  <c r="N401" i="3"/>
  <c r="N381" i="3"/>
  <c r="N361" i="3"/>
  <c r="N340" i="3"/>
  <c r="N320" i="3"/>
  <c r="N296" i="3"/>
  <c r="N274" i="3"/>
  <c r="N250" i="3"/>
  <c r="N226" i="3"/>
  <c r="N196" i="3"/>
  <c r="N168" i="3"/>
  <c r="N136" i="3"/>
  <c r="N107" i="3"/>
  <c r="N65" i="3"/>
  <c r="N21" i="3"/>
  <c r="N1001" i="3"/>
  <c r="N985" i="3"/>
  <c r="N969" i="3"/>
  <c r="N953" i="3"/>
  <c r="N937" i="3"/>
  <c r="N921" i="3"/>
  <c r="N905" i="3"/>
  <c r="N889" i="3"/>
  <c r="N873" i="3"/>
  <c r="N857" i="3"/>
  <c r="N841" i="3"/>
  <c r="N825" i="3"/>
  <c r="N809" i="3"/>
  <c r="N793" i="3"/>
  <c r="N777" i="3"/>
  <c r="N761" i="3"/>
  <c r="N745" i="3"/>
  <c r="N729" i="3"/>
  <c r="N712" i="3"/>
  <c r="N692" i="3"/>
  <c r="N673" i="3"/>
  <c r="N653" i="3"/>
  <c r="N634" i="3"/>
  <c r="N615" i="3"/>
  <c r="N594" i="3"/>
  <c r="N575" i="3"/>
  <c r="N555" i="3"/>
  <c r="N536" i="3"/>
  <c r="N516" i="3"/>
  <c r="N497" i="3"/>
  <c r="N477" i="3"/>
  <c r="N458" i="3"/>
  <c r="N439" i="3"/>
  <c r="N419" i="3"/>
  <c r="N400" i="3"/>
  <c r="N380" i="3"/>
  <c r="N360" i="3"/>
  <c r="N339" i="3"/>
  <c r="N317" i="3"/>
  <c r="N295" i="3"/>
  <c r="N273" i="3"/>
  <c r="N248" i="3"/>
  <c r="N225" i="3"/>
  <c r="N195" i="3"/>
  <c r="N166" i="3"/>
  <c r="N133" i="3"/>
  <c r="N102" i="3"/>
  <c r="N64" i="3"/>
  <c r="N20" i="3"/>
  <c r="S356" i="3"/>
  <c r="S337" i="3"/>
  <c r="S289" i="3"/>
  <c r="S238" i="3"/>
  <c r="S171" i="3"/>
  <c r="S113" i="3"/>
  <c r="S46" i="3"/>
  <c r="N1000" i="3"/>
  <c r="N984" i="3"/>
  <c r="N968" i="3"/>
  <c r="N952" i="3"/>
  <c r="N936" i="3"/>
  <c r="N920" i="3"/>
  <c r="N904" i="3"/>
  <c r="N888" i="3"/>
  <c r="N872" i="3"/>
  <c r="N856" i="3"/>
  <c r="N840" i="3"/>
  <c r="N824" i="3"/>
  <c r="N808" i="3"/>
  <c r="N792" i="3"/>
  <c r="N776" i="3"/>
  <c r="N760" i="3"/>
  <c r="N744" i="3"/>
  <c r="N728" i="3"/>
  <c r="N711" i="3"/>
  <c r="N691" i="3"/>
  <c r="N672" i="3"/>
  <c r="N652" i="3"/>
  <c r="N633" i="3"/>
  <c r="N612" i="3"/>
  <c r="N593" i="3"/>
  <c r="N573" i="3"/>
  <c r="N554" i="3"/>
  <c r="N535" i="3"/>
  <c r="N515" i="3"/>
  <c r="N496" i="3"/>
  <c r="N476" i="3"/>
  <c r="N457" i="3"/>
  <c r="N437" i="3"/>
  <c r="N418" i="3"/>
  <c r="N399" i="3"/>
  <c r="N379" i="3"/>
  <c r="N359" i="3"/>
  <c r="N338" i="3"/>
  <c r="N315" i="3"/>
  <c r="N293" i="3"/>
  <c r="N272" i="3"/>
  <c r="N247" i="3"/>
  <c r="N224" i="3"/>
  <c r="N194" i="3"/>
  <c r="N165" i="3"/>
  <c r="N132" i="3"/>
  <c r="N101" i="3"/>
  <c r="N63" i="3"/>
  <c r="N17" i="3"/>
  <c r="S419" i="3"/>
  <c r="S403" i="3"/>
  <c r="S387" i="3"/>
  <c r="S371" i="3"/>
  <c r="S355" i="3"/>
  <c r="S335" i="3"/>
  <c r="S287" i="3"/>
  <c r="S234" i="3"/>
  <c r="S170" i="3"/>
  <c r="S111" i="3"/>
  <c r="S43" i="3"/>
  <c r="N999" i="3"/>
  <c r="N983" i="3"/>
  <c r="N967" i="3"/>
  <c r="N951" i="3"/>
  <c r="N935" i="3"/>
  <c r="N919" i="3"/>
  <c r="N903" i="3"/>
  <c r="N887" i="3"/>
  <c r="N871" i="3"/>
  <c r="N855" i="3"/>
  <c r="N839" i="3"/>
  <c r="N823" i="3"/>
  <c r="N807" i="3"/>
  <c r="N791" i="3"/>
  <c r="N775" i="3"/>
  <c r="N759" i="3"/>
  <c r="N743" i="3"/>
  <c r="N727" i="3"/>
  <c r="N709" i="3"/>
  <c r="N690" i="3"/>
  <c r="N671" i="3"/>
  <c r="N651" i="3"/>
  <c r="N631" i="3"/>
  <c r="N611" i="3"/>
  <c r="N592" i="3"/>
  <c r="N572" i="3"/>
  <c r="N553" i="3"/>
  <c r="N533" i="3"/>
  <c r="N514" i="3"/>
  <c r="N495" i="3"/>
  <c r="N475" i="3"/>
  <c r="N456" i="3"/>
  <c r="N436" i="3"/>
  <c r="N417" i="3"/>
  <c r="N397" i="3"/>
  <c r="N378" i="3"/>
  <c r="N357" i="3"/>
  <c r="N336" i="3"/>
  <c r="N314" i="3"/>
  <c r="N292" i="3"/>
  <c r="N269" i="3"/>
  <c r="N245" i="3"/>
  <c r="N220" i="3"/>
  <c r="N193" i="3"/>
  <c r="N162" i="3"/>
  <c r="N131" i="3"/>
  <c r="N98" i="3"/>
  <c r="N59" i="3"/>
  <c r="N16" i="3"/>
  <c r="S222" i="3"/>
  <c r="S168" i="3"/>
  <c r="S110" i="3"/>
  <c r="S42" i="3"/>
  <c r="N6" i="3"/>
  <c r="N998" i="3"/>
  <c r="N982" i="3"/>
  <c r="N966" i="3"/>
  <c r="N950" i="3"/>
  <c r="N934" i="3"/>
  <c r="N918" i="3"/>
  <c r="N902" i="3"/>
  <c r="N886" i="3"/>
  <c r="N870" i="3"/>
  <c r="N854" i="3"/>
  <c r="N838" i="3"/>
  <c r="N822" i="3"/>
  <c r="N806" i="3"/>
  <c r="N790" i="3"/>
  <c r="N774" i="3"/>
  <c r="N758" i="3"/>
  <c r="N742" i="3"/>
  <c r="N726" i="3"/>
  <c r="N708" i="3"/>
  <c r="N689" i="3"/>
  <c r="N669" i="3"/>
  <c r="N649" i="3"/>
  <c r="N629" i="3"/>
  <c r="N610" i="3"/>
  <c r="N591" i="3"/>
  <c r="N571" i="3"/>
  <c r="N552" i="3"/>
  <c r="N532" i="3"/>
  <c r="N513" i="3"/>
  <c r="N493" i="3"/>
  <c r="N474" i="3"/>
  <c r="N455" i="3"/>
  <c r="N435" i="3"/>
  <c r="N416" i="3"/>
  <c r="N396" i="3"/>
  <c r="N377" i="3"/>
  <c r="N355" i="3"/>
  <c r="N333" i="3"/>
  <c r="N313" i="3"/>
  <c r="N291" i="3"/>
  <c r="N267" i="3"/>
  <c r="N244" i="3"/>
  <c r="N219" i="3"/>
  <c r="N192" i="3"/>
  <c r="N161" i="3"/>
  <c r="N130" i="3"/>
  <c r="N92" i="3"/>
  <c r="N58" i="3"/>
  <c r="N14" i="3"/>
  <c r="S433" i="3"/>
  <c r="S417" i="3"/>
  <c r="S401" i="3"/>
  <c r="S385" i="3"/>
  <c r="S369" i="3"/>
  <c r="S353" i="3"/>
  <c r="S331" i="3"/>
  <c r="S283" i="3"/>
  <c r="S219" i="3"/>
  <c r="S161" i="3"/>
  <c r="S94" i="3"/>
  <c r="S40" i="3"/>
  <c r="N997" i="3"/>
  <c r="N981" i="3"/>
  <c r="N965" i="3"/>
  <c r="N949" i="3"/>
  <c r="N933" i="3"/>
  <c r="N917" i="3"/>
  <c r="N901" i="3"/>
  <c r="N885" i="3"/>
  <c r="N869" i="3"/>
  <c r="N853" i="3"/>
  <c r="N837" i="3"/>
  <c r="N821" i="3"/>
  <c r="N805" i="3"/>
  <c r="N789" i="3"/>
  <c r="N773" i="3"/>
  <c r="N757" i="3"/>
  <c r="N741" i="3"/>
  <c r="N725" i="3"/>
  <c r="N707" i="3"/>
  <c r="N688" i="3"/>
  <c r="N667" i="3"/>
  <c r="N648" i="3"/>
  <c r="N628" i="3"/>
  <c r="N609" i="3"/>
  <c r="N589" i="3"/>
  <c r="N570" i="3"/>
  <c r="N551" i="3"/>
  <c r="N531" i="3"/>
  <c r="N512" i="3"/>
  <c r="N492" i="3"/>
  <c r="N473" i="3"/>
  <c r="N453" i="3"/>
  <c r="N434" i="3"/>
  <c r="N415" i="3"/>
  <c r="N395" i="3"/>
  <c r="N375" i="3"/>
  <c r="N354" i="3"/>
  <c r="N332" i="3"/>
  <c r="N312" i="3"/>
  <c r="N290" i="3"/>
  <c r="N266" i="3"/>
  <c r="N243" i="3"/>
  <c r="N217" i="3"/>
  <c r="N191" i="3"/>
  <c r="N159" i="3"/>
  <c r="N128" i="3"/>
  <c r="N91" i="3"/>
  <c r="N54" i="3"/>
  <c r="S416" i="3"/>
  <c r="S400" i="3"/>
  <c r="S384" i="3"/>
  <c r="S368" i="3"/>
  <c r="S352" i="3"/>
  <c r="S330" i="3"/>
  <c r="S282" i="3"/>
  <c r="S218" i="3"/>
  <c r="S159" i="3"/>
  <c r="S91" i="3"/>
  <c r="O12" i="3"/>
  <c r="O28" i="3"/>
  <c r="O44" i="3"/>
  <c r="O60" i="3"/>
  <c r="O76" i="3"/>
  <c r="O92" i="3"/>
  <c r="O108" i="3"/>
  <c r="O13" i="3"/>
  <c r="O29" i="3"/>
  <c r="O45" i="3"/>
  <c r="O61" i="3"/>
  <c r="O77" i="3"/>
  <c r="O93" i="3"/>
  <c r="O109" i="3"/>
  <c r="O14" i="3"/>
  <c r="O30" i="3"/>
  <c r="O46" i="3"/>
  <c r="O62" i="3"/>
  <c r="O78" i="3"/>
  <c r="O94" i="3"/>
  <c r="O110" i="3"/>
  <c r="O126" i="3"/>
  <c r="O142" i="3"/>
  <c r="O158" i="3"/>
  <c r="O174" i="3"/>
  <c r="O190" i="3"/>
  <c r="O206" i="3"/>
  <c r="O222" i="3"/>
  <c r="O238" i="3"/>
  <c r="O15" i="3"/>
  <c r="O31" i="3"/>
  <c r="O47" i="3"/>
  <c r="O63" i="3"/>
  <c r="O79" i="3"/>
  <c r="O95" i="3"/>
  <c r="O111" i="3"/>
  <c r="O127" i="3"/>
  <c r="O143" i="3"/>
  <c r="O159" i="3"/>
  <c r="O175" i="3"/>
  <c r="O191" i="3"/>
  <c r="O207" i="3"/>
  <c r="O223" i="3"/>
  <c r="O239" i="3"/>
  <c r="O255" i="3"/>
  <c r="O271" i="3"/>
  <c r="O287" i="3"/>
  <c r="O303" i="3"/>
  <c r="O319" i="3"/>
  <c r="O335" i="3"/>
  <c r="O351" i="3"/>
  <c r="O367" i="3"/>
  <c r="O383" i="3"/>
  <c r="O399" i="3"/>
  <c r="O415" i="3"/>
  <c r="O431" i="3"/>
  <c r="O447" i="3"/>
  <c r="O463" i="3"/>
  <c r="O479" i="3"/>
  <c r="O495" i="3"/>
  <c r="O511" i="3"/>
  <c r="O527" i="3"/>
  <c r="O543" i="3"/>
  <c r="O559" i="3"/>
  <c r="O575" i="3"/>
  <c r="O591" i="3"/>
  <c r="O607" i="3"/>
  <c r="O623" i="3"/>
  <c r="O639" i="3"/>
  <c r="O655" i="3"/>
  <c r="O671" i="3"/>
  <c r="O687" i="3"/>
  <c r="O703" i="3"/>
  <c r="O719" i="3"/>
  <c r="O735" i="3"/>
  <c r="O751" i="3"/>
  <c r="O767" i="3"/>
  <c r="O783" i="3"/>
  <c r="O799" i="3"/>
  <c r="O815" i="3"/>
  <c r="O16" i="3"/>
  <c r="O32" i="3"/>
  <c r="O48" i="3"/>
  <c r="O64" i="3"/>
  <c r="O80" i="3"/>
  <c r="O96" i="3"/>
  <c r="O112" i="3"/>
  <c r="O128" i="3"/>
  <c r="O144" i="3"/>
  <c r="O160" i="3"/>
  <c r="O176" i="3"/>
  <c r="O192" i="3"/>
  <c r="O208" i="3"/>
  <c r="O224" i="3"/>
  <c r="O240" i="3"/>
  <c r="O256" i="3"/>
  <c r="O272" i="3"/>
  <c r="O288" i="3"/>
  <c r="O304" i="3"/>
  <c r="O320" i="3"/>
  <c r="O336" i="3"/>
  <c r="O352" i="3"/>
  <c r="O368" i="3"/>
  <c r="O384" i="3"/>
  <c r="O400" i="3"/>
  <c r="O416" i="3"/>
  <c r="O432" i="3"/>
  <c r="O448" i="3"/>
  <c r="O464" i="3"/>
  <c r="O480" i="3"/>
  <c r="O496" i="3"/>
  <c r="O512" i="3"/>
  <c r="O528" i="3"/>
  <c r="O544" i="3"/>
  <c r="O560" i="3"/>
  <c r="O17" i="3"/>
  <c r="O33" i="3"/>
  <c r="O49" i="3"/>
  <c r="O65" i="3"/>
  <c r="O81" i="3"/>
  <c r="O97" i="3"/>
  <c r="O113" i="3"/>
  <c r="O129" i="3"/>
  <c r="O145" i="3"/>
  <c r="O161" i="3"/>
  <c r="O177" i="3"/>
  <c r="O193" i="3"/>
  <c r="O209" i="3"/>
  <c r="O225" i="3"/>
  <c r="O241" i="3"/>
  <c r="O257" i="3"/>
  <c r="O273" i="3"/>
  <c r="O289" i="3"/>
  <c r="O305" i="3"/>
  <c r="O321" i="3"/>
  <c r="O337" i="3"/>
  <c r="O353" i="3"/>
  <c r="O369" i="3"/>
  <c r="O385" i="3"/>
  <c r="O401" i="3"/>
  <c r="O417" i="3"/>
  <c r="O433" i="3"/>
  <c r="O449" i="3"/>
  <c r="O465" i="3"/>
  <c r="O481" i="3"/>
  <c r="O497" i="3"/>
  <c r="O513" i="3"/>
  <c r="O529" i="3"/>
  <c r="O545" i="3"/>
  <c r="O561" i="3"/>
  <c r="O577" i="3"/>
  <c r="O593" i="3"/>
  <c r="O609" i="3"/>
  <c r="O625" i="3"/>
  <c r="O641" i="3"/>
  <c r="O657" i="3"/>
  <c r="O673" i="3"/>
  <c r="O689" i="3"/>
  <c r="O705" i="3"/>
  <c r="O721" i="3"/>
  <c r="O737" i="3"/>
  <c r="O753" i="3"/>
  <c r="O769" i="3"/>
  <c r="O785" i="3"/>
  <c r="O801" i="3"/>
  <c r="O817" i="3"/>
  <c r="O833" i="3"/>
  <c r="O849" i="3"/>
  <c r="O865" i="3"/>
  <c r="O881" i="3"/>
  <c r="O897" i="3"/>
  <c r="O913" i="3"/>
  <c r="O929" i="3"/>
  <c r="O945" i="3"/>
  <c r="O961" i="3"/>
  <c r="O977" i="3"/>
  <c r="O993" i="3"/>
  <c r="N9" i="3"/>
  <c r="N25" i="3"/>
  <c r="N41" i="3"/>
  <c r="N57" i="3"/>
  <c r="N73" i="3"/>
  <c r="N89" i="3"/>
  <c r="N105" i="3"/>
  <c r="N121" i="3"/>
  <c r="N137" i="3"/>
  <c r="N153" i="3"/>
  <c r="N169" i="3"/>
  <c r="N185" i="3"/>
  <c r="N201" i="3"/>
  <c r="O18" i="3"/>
  <c r="O34" i="3"/>
  <c r="O50" i="3"/>
  <c r="O66" i="3"/>
  <c r="O82" i="3"/>
  <c r="O98" i="3"/>
  <c r="O114" i="3"/>
  <c r="O130" i="3"/>
  <c r="O146" i="3"/>
  <c r="O162" i="3"/>
  <c r="O178" i="3"/>
  <c r="O194" i="3"/>
  <c r="O210" i="3"/>
  <c r="O226" i="3"/>
  <c r="O242" i="3"/>
  <c r="O258" i="3"/>
  <c r="O274" i="3"/>
  <c r="O290" i="3"/>
  <c r="O306" i="3"/>
  <c r="O322" i="3"/>
  <c r="O338" i="3"/>
  <c r="O354" i="3"/>
  <c r="O370" i="3"/>
  <c r="O386" i="3"/>
  <c r="O402" i="3"/>
  <c r="O418" i="3"/>
  <c r="O434" i="3"/>
  <c r="O450" i="3"/>
  <c r="O466" i="3"/>
  <c r="O19" i="3"/>
  <c r="O35" i="3"/>
  <c r="O51" i="3"/>
  <c r="O67" i="3"/>
  <c r="O83" i="3"/>
  <c r="O99" i="3"/>
  <c r="O115" i="3"/>
  <c r="O131" i="3"/>
  <c r="O147" i="3"/>
  <c r="O163" i="3"/>
  <c r="O179" i="3"/>
  <c r="O195" i="3"/>
  <c r="O211" i="3"/>
  <c r="O227" i="3"/>
  <c r="O243" i="3"/>
  <c r="O259" i="3"/>
  <c r="O275" i="3"/>
  <c r="O291" i="3"/>
  <c r="O307" i="3"/>
  <c r="O323" i="3"/>
  <c r="O339" i="3"/>
  <c r="O355" i="3"/>
  <c r="O371" i="3"/>
  <c r="O387" i="3"/>
  <c r="O403" i="3"/>
  <c r="O419" i="3"/>
  <c r="O435" i="3"/>
  <c r="O451" i="3"/>
  <c r="O467" i="3"/>
  <c r="O483" i="3"/>
  <c r="O499" i="3"/>
  <c r="O515" i="3"/>
  <c r="O531" i="3"/>
  <c r="O547" i="3"/>
  <c r="O563" i="3"/>
  <c r="O579" i="3"/>
  <c r="O595" i="3"/>
  <c r="O611" i="3"/>
  <c r="O627" i="3"/>
  <c r="O643" i="3"/>
  <c r="O659" i="3"/>
  <c r="O675" i="3"/>
  <c r="O691" i="3"/>
  <c r="O707" i="3"/>
  <c r="O723" i="3"/>
  <c r="O739" i="3"/>
  <c r="O755" i="3"/>
  <c r="O771" i="3"/>
  <c r="O787" i="3"/>
  <c r="O803" i="3"/>
  <c r="O819" i="3"/>
  <c r="O20" i="3"/>
  <c r="O36" i="3"/>
  <c r="O52" i="3"/>
  <c r="O68" i="3"/>
  <c r="O84" i="3"/>
  <c r="O100" i="3"/>
  <c r="O116" i="3"/>
  <c r="O132" i="3"/>
  <c r="O148" i="3"/>
  <c r="O164" i="3"/>
  <c r="O180" i="3"/>
  <c r="O196" i="3"/>
  <c r="O212" i="3"/>
  <c r="O228" i="3"/>
  <c r="O244" i="3"/>
  <c r="O260" i="3"/>
  <c r="O276" i="3"/>
  <c r="O292" i="3"/>
  <c r="O308" i="3"/>
  <c r="O324" i="3"/>
  <c r="O340" i="3"/>
  <c r="O356" i="3"/>
  <c r="O21" i="3"/>
  <c r="O37" i="3"/>
  <c r="O53" i="3"/>
  <c r="O69" i="3"/>
  <c r="O85" i="3"/>
  <c r="O101" i="3"/>
  <c r="O22" i="3"/>
  <c r="O38" i="3"/>
  <c r="O54" i="3"/>
  <c r="O70" i="3"/>
  <c r="O86" i="3"/>
  <c r="O102" i="3"/>
  <c r="O118" i="3"/>
  <c r="O134" i="3"/>
  <c r="O150" i="3"/>
  <c r="O166" i="3"/>
  <c r="O182" i="3"/>
  <c r="O198" i="3"/>
  <c r="O214" i="3"/>
  <c r="O230" i="3"/>
  <c r="O7" i="3"/>
  <c r="O23" i="3"/>
  <c r="O39" i="3"/>
  <c r="O55" i="3"/>
  <c r="O71" i="3"/>
  <c r="O87" i="3"/>
  <c r="O103" i="3"/>
  <c r="O119" i="3"/>
  <c r="O135" i="3"/>
  <c r="O151" i="3"/>
  <c r="O167" i="3"/>
  <c r="O183" i="3"/>
  <c r="O199" i="3"/>
  <c r="O215" i="3"/>
  <c r="O231" i="3"/>
  <c r="O247" i="3"/>
  <c r="O263" i="3"/>
  <c r="O279" i="3"/>
  <c r="O295" i="3"/>
  <c r="O311" i="3"/>
  <c r="O327" i="3"/>
  <c r="O343" i="3"/>
  <c r="O359" i="3"/>
  <c r="O375" i="3"/>
  <c r="O391" i="3"/>
  <c r="O407" i="3"/>
  <c r="O423" i="3"/>
  <c r="O439" i="3"/>
  <c r="O455" i="3"/>
  <c r="O471" i="3"/>
  <c r="O487" i="3"/>
  <c r="O503" i="3"/>
  <c r="O519" i="3"/>
  <c r="O8" i="3"/>
  <c r="O24" i="3"/>
  <c r="O40" i="3"/>
  <c r="O56" i="3"/>
  <c r="O72" i="3"/>
  <c r="O88" i="3"/>
  <c r="O9" i="3"/>
  <c r="O90" i="3"/>
  <c r="O138" i="3"/>
  <c r="O172" i="3"/>
  <c r="O213" i="3"/>
  <c r="O248" i="3"/>
  <c r="O277" i="3"/>
  <c r="O301" i="3"/>
  <c r="O331" i="3"/>
  <c r="O361" i="3"/>
  <c r="O388" i="3"/>
  <c r="O411" i="3"/>
  <c r="O438" i="3"/>
  <c r="O461" i="3"/>
  <c r="O488" i="3"/>
  <c r="O509" i="3"/>
  <c r="O534" i="3"/>
  <c r="O554" i="3"/>
  <c r="O574" i="3"/>
  <c r="O596" i="3"/>
  <c r="O615" i="3"/>
  <c r="O634" i="3"/>
  <c r="O653" i="3"/>
  <c r="O674" i="3"/>
  <c r="O694" i="3"/>
  <c r="O713" i="3"/>
  <c r="O732" i="3"/>
  <c r="O752" i="3"/>
  <c r="O773" i="3"/>
  <c r="O792" i="3"/>
  <c r="O811" i="3"/>
  <c r="O830" i="3"/>
  <c r="O847" i="3"/>
  <c r="O864" i="3"/>
  <c r="O882" i="3"/>
  <c r="O899" i="3"/>
  <c r="O916" i="3"/>
  <c r="O933" i="3"/>
  <c r="O950" i="3"/>
  <c r="O967" i="3"/>
  <c r="O984" i="3"/>
  <c r="O1001" i="3"/>
  <c r="N18" i="3"/>
  <c r="N35" i="3"/>
  <c r="N52" i="3"/>
  <c r="N69" i="3"/>
  <c r="N86" i="3"/>
  <c r="N103" i="3"/>
  <c r="N120" i="3"/>
  <c r="N138" i="3"/>
  <c r="N155" i="3"/>
  <c r="N172" i="3"/>
  <c r="N189" i="3"/>
  <c r="N206" i="3"/>
  <c r="N222" i="3"/>
  <c r="N238" i="3"/>
  <c r="N254" i="3"/>
  <c r="N270" i="3"/>
  <c r="N286" i="3"/>
  <c r="N302" i="3"/>
  <c r="N318" i="3"/>
  <c r="N334" i="3"/>
  <c r="N350" i="3"/>
  <c r="N366" i="3"/>
  <c r="N382" i="3"/>
  <c r="N398" i="3"/>
  <c r="N414" i="3"/>
  <c r="N430" i="3"/>
  <c r="N446" i="3"/>
  <c r="N462" i="3"/>
  <c r="N478" i="3"/>
  <c r="N494" i="3"/>
  <c r="N510" i="3"/>
  <c r="N526" i="3"/>
  <c r="N542" i="3"/>
  <c r="N558" i="3"/>
  <c r="N574" i="3"/>
  <c r="N590" i="3"/>
  <c r="N606" i="3"/>
  <c r="N622" i="3"/>
  <c r="N638" i="3"/>
  <c r="N654" i="3"/>
  <c r="N670" i="3"/>
  <c r="N686" i="3"/>
  <c r="N702" i="3"/>
  <c r="O10" i="3"/>
  <c r="O91" i="3"/>
  <c r="O139" i="3"/>
  <c r="O173" i="3"/>
  <c r="O216" i="3"/>
  <c r="O249" i="3"/>
  <c r="O278" i="3"/>
  <c r="O302" i="3"/>
  <c r="O332" i="3"/>
  <c r="O362" i="3"/>
  <c r="O389" i="3"/>
  <c r="O412" i="3"/>
  <c r="O440" i="3"/>
  <c r="O462" i="3"/>
  <c r="O489" i="3"/>
  <c r="O510" i="3"/>
  <c r="O535" i="3"/>
  <c r="O555" i="3"/>
  <c r="O576" i="3"/>
  <c r="O597" i="3"/>
  <c r="O616" i="3"/>
  <c r="O635" i="3"/>
  <c r="O654" i="3"/>
  <c r="O676" i="3"/>
  <c r="O695" i="3"/>
  <c r="O714" i="3"/>
  <c r="O733" i="3"/>
  <c r="O754" i="3"/>
  <c r="O774" i="3"/>
  <c r="O793" i="3"/>
  <c r="O812" i="3"/>
  <c r="O831" i="3"/>
  <c r="O848" i="3"/>
  <c r="O866" i="3"/>
  <c r="O883" i="3"/>
  <c r="O900" i="3"/>
  <c r="O917" i="3"/>
  <c r="O934" i="3"/>
  <c r="O951" i="3"/>
  <c r="O968" i="3"/>
  <c r="O985" i="3"/>
  <c r="O1002" i="3"/>
  <c r="N19" i="3"/>
  <c r="N36" i="3"/>
  <c r="N53" i="3"/>
  <c r="N70" i="3"/>
  <c r="N87" i="3"/>
  <c r="N104" i="3"/>
  <c r="N122" i="3"/>
  <c r="N139" i="3"/>
  <c r="N156" i="3"/>
  <c r="N173" i="3"/>
  <c r="N190" i="3"/>
  <c r="N207" i="3"/>
  <c r="N223" i="3"/>
  <c r="N239" i="3"/>
  <c r="N255" i="3"/>
  <c r="N271" i="3"/>
  <c r="N287" i="3"/>
  <c r="N303" i="3"/>
  <c r="N319" i="3"/>
  <c r="N335" i="3"/>
  <c r="N351" i="3"/>
  <c r="N367" i="3"/>
  <c r="O26" i="3"/>
  <c r="O106" i="3"/>
  <c r="O149" i="3"/>
  <c r="O185" i="3"/>
  <c r="O219" i="3"/>
  <c r="O252" i="3"/>
  <c r="O282" i="3"/>
  <c r="O312" i="3"/>
  <c r="O341" i="3"/>
  <c r="O365" i="3"/>
  <c r="O393" i="3"/>
  <c r="O420" i="3"/>
  <c r="O443" i="3"/>
  <c r="O470" i="3"/>
  <c r="O492" i="3"/>
  <c r="O517" i="3"/>
  <c r="O538" i="3"/>
  <c r="O558" i="3"/>
  <c r="O581" i="3"/>
  <c r="O600" i="3"/>
  <c r="O619" i="3"/>
  <c r="O638" i="3"/>
  <c r="O660" i="3"/>
  <c r="O679" i="3"/>
  <c r="O27" i="3"/>
  <c r="O107" i="3"/>
  <c r="O152" i="3"/>
  <c r="O186" i="3"/>
  <c r="O220" i="3"/>
  <c r="O253" i="3"/>
  <c r="O283" i="3"/>
  <c r="O313" i="3"/>
  <c r="O342" i="3"/>
  <c r="O366" i="3"/>
  <c r="O394" i="3"/>
  <c r="O421" i="3"/>
  <c r="O444" i="3"/>
  <c r="O472" i="3"/>
  <c r="O493" i="3"/>
  <c r="O518" i="3"/>
  <c r="O539" i="3"/>
  <c r="O562" i="3"/>
  <c r="O582" i="3"/>
  <c r="O601" i="3"/>
  <c r="O620" i="3"/>
  <c r="O640" i="3"/>
  <c r="O661" i="3"/>
  <c r="O680" i="3"/>
  <c r="O699" i="3"/>
  <c r="O718" i="3"/>
  <c r="O41" i="3"/>
  <c r="O117" i="3"/>
  <c r="O153" i="3"/>
  <c r="O187" i="3"/>
  <c r="O221" i="3"/>
  <c r="O254" i="3"/>
  <c r="O284" i="3"/>
  <c r="O314" i="3"/>
  <c r="O344" i="3"/>
  <c r="O372" i="3"/>
  <c r="O395" i="3"/>
  <c r="O422" i="3"/>
  <c r="O445" i="3"/>
  <c r="O473" i="3"/>
  <c r="O494" i="3"/>
  <c r="O520" i="3"/>
  <c r="O540" i="3"/>
  <c r="O564" i="3"/>
  <c r="O42" i="3"/>
  <c r="O120" i="3"/>
  <c r="O154" i="3"/>
  <c r="O188" i="3"/>
  <c r="O229" i="3"/>
  <c r="O261" i="3"/>
  <c r="O285" i="3"/>
  <c r="O315" i="3"/>
  <c r="O345" i="3"/>
  <c r="O373" i="3"/>
  <c r="O396" i="3"/>
  <c r="O424" i="3"/>
  <c r="O446" i="3"/>
  <c r="O474" i="3"/>
  <c r="O498" i="3"/>
  <c r="O521" i="3"/>
  <c r="O541" i="3"/>
  <c r="O565" i="3"/>
  <c r="O584" i="3"/>
  <c r="O603" i="3"/>
  <c r="O622" i="3"/>
  <c r="O644" i="3"/>
  <c r="O663" i="3"/>
  <c r="O682" i="3"/>
  <c r="O701" i="3"/>
  <c r="O722" i="3"/>
  <c r="O742" i="3"/>
  <c r="O761" i="3"/>
  <c r="O780" i="3"/>
  <c r="O800" i="3"/>
  <c r="O821" i="3"/>
  <c r="O838" i="3"/>
  <c r="O855" i="3"/>
  <c r="O872" i="3"/>
  <c r="O889" i="3"/>
  <c r="O906" i="3"/>
  <c r="O923" i="3"/>
  <c r="O940" i="3"/>
  <c r="O957" i="3"/>
  <c r="O974" i="3"/>
  <c r="O991" i="3"/>
  <c r="N8" i="3"/>
  <c r="N26" i="3"/>
  <c r="N43" i="3"/>
  <c r="N60" i="3"/>
  <c r="N77" i="3"/>
  <c r="O43" i="3"/>
  <c r="O121" i="3"/>
  <c r="O155" i="3"/>
  <c r="O189" i="3"/>
  <c r="O232" i="3"/>
  <c r="O262" i="3"/>
  <c r="O286" i="3"/>
  <c r="O316" i="3"/>
  <c r="O346" i="3"/>
  <c r="O374" i="3"/>
  <c r="O397" i="3"/>
  <c r="O425" i="3"/>
  <c r="O452" i="3"/>
  <c r="O475" i="3"/>
  <c r="O500" i="3"/>
  <c r="O522" i="3"/>
  <c r="O542" i="3"/>
  <c r="O566" i="3"/>
  <c r="O585" i="3"/>
  <c r="O604" i="3"/>
  <c r="O624" i="3"/>
  <c r="O645" i="3"/>
  <c r="O664" i="3"/>
  <c r="O683" i="3"/>
  <c r="O702" i="3"/>
  <c r="O724" i="3"/>
  <c r="O743" i="3"/>
  <c r="O762" i="3"/>
  <c r="O781" i="3"/>
  <c r="O802" i="3"/>
  <c r="O822" i="3"/>
  <c r="O839" i="3"/>
  <c r="O856" i="3"/>
  <c r="O873" i="3"/>
  <c r="O890" i="3"/>
  <c r="O907" i="3"/>
  <c r="O924" i="3"/>
  <c r="O941" i="3"/>
  <c r="O958" i="3"/>
  <c r="O975" i="3"/>
  <c r="O992" i="3"/>
  <c r="N10" i="3"/>
  <c r="N27" i="3"/>
  <c r="N44" i="3"/>
  <c r="N61" i="3"/>
  <c r="N78" i="3"/>
  <c r="N95" i="3"/>
  <c r="N112" i="3"/>
  <c r="N129" i="3"/>
  <c r="N146" i="3"/>
  <c r="N163" i="3"/>
  <c r="N180" i="3"/>
  <c r="N197" i="3"/>
  <c r="N214" i="3"/>
  <c r="N230" i="3"/>
  <c r="N246" i="3"/>
  <c r="N262" i="3"/>
  <c r="N278" i="3"/>
  <c r="N294" i="3"/>
  <c r="N310" i="3"/>
  <c r="N326" i="3"/>
  <c r="N342" i="3"/>
  <c r="N358" i="3"/>
  <c r="N374" i="3"/>
  <c r="N390" i="3"/>
  <c r="N406" i="3"/>
  <c r="N422" i="3"/>
  <c r="N438" i="3"/>
  <c r="N454" i="3"/>
  <c r="N470" i="3"/>
  <c r="N486" i="3"/>
  <c r="N502" i="3"/>
  <c r="N518" i="3"/>
  <c r="N534" i="3"/>
  <c r="N550" i="3"/>
  <c r="N566" i="3"/>
  <c r="N582" i="3"/>
  <c r="N598" i="3"/>
  <c r="N614" i="3"/>
  <c r="N630" i="3"/>
  <c r="N646" i="3"/>
  <c r="N662" i="3"/>
  <c r="N678" i="3"/>
  <c r="N694" i="3"/>
  <c r="N710" i="3"/>
  <c r="O57" i="3"/>
  <c r="O122" i="3"/>
  <c r="O156" i="3"/>
  <c r="O197" i="3"/>
  <c r="O233" i="3"/>
  <c r="O264" i="3"/>
  <c r="O293" i="3"/>
  <c r="O317" i="3"/>
  <c r="O347" i="3"/>
  <c r="O376" i="3"/>
  <c r="O398" i="3"/>
  <c r="O426" i="3"/>
  <c r="O453" i="3"/>
  <c r="O476" i="3"/>
  <c r="O501" i="3"/>
  <c r="O523" i="3"/>
  <c r="O546" i="3"/>
  <c r="O567" i="3"/>
  <c r="O586" i="3"/>
  <c r="O605" i="3"/>
  <c r="O626" i="3"/>
  <c r="O646" i="3"/>
  <c r="O665" i="3"/>
  <c r="O58" i="3"/>
  <c r="O123" i="3"/>
  <c r="O157" i="3"/>
  <c r="O200" i="3"/>
  <c r="O234" i="3"/>
  <c r="O265" i="3"/>
  <c r="O294" i="3"/>
  <c r="O318" i="3"/>
  <c r="O348" i="3"/>
  <c r="O377" i="3"/>
  <c r="O404" i="3"/>
  <c r="O427" i="3"/>
  <c r="O454" i="3"/>
  <c r="O477" i="3"/>
  <c r="O502" i="3"/>
  <c r="O524" i="3"/>
  <c r="O548" i="3"/>
  <c r="O568" i="3"/>
  <c r="O587" i="3"/>
  <c r="O606" i="3"/>
  <c r="O628" i="3"/>
  <c r="O647" i="3"/>
  <c r="O666" i="3"/>
  <c r="O685" i="3"/>
  <c r="O706" i="3"/>
  <c r="O726" i="3"/>
  <c r="O745" i="3"/>
  <c r="O764" i="3"/>
  <c r="O784" i="3"/>
  <c r="O805" i="3"/>
  <c r="O824" i="3"/>
  <c r="O841" i="3"/>
  <c r="O858" i="3"/>
  <c r="O875" i="3"/>
  <c r="O892" i="3"/>
  <c r="O909" i="3"/>
  <c r="O926" i="3"/>
  <c r="O943" i="3"/>
  <c r="O960" i="3"/>
  <c r="O59" i="3"/>
  <c r="O124" i="3"/>
  <c r="O165" i="3"/>
  <c r="O201" i="3"/>
  <c r="O235" i="3"/>
  <c r="O266" i="3"/>
  <c r="O296" i="3"/>
  <c r="O325" i="3"/>
  <c r="O349" i="3"/>
  <c r="O378" i="3"/>
  <c r="O405" i="3"/>
  <c r="O428" i="3"/>
  <c r="O456" i="3"/>
  <c r="O478" i="3"/>
  <c r="O504" i="3"/>
  <c r="O525" i="3"/>
  <c r="O549" i="3"/>
  <c r="O569" i="3"/>
  <c r="O588" i="3"/>
  <c r="O608" i="3"/>
  <c r="O629" i="3"/>
  <c r="O648" i="3"/>
  <c r="O667" i="3"/>
  <c r="O686" i="3"/>
  <c r="O708" i="3"/>
  <c r="O727" i="3"/>
  <c r="O746" i="3"/>
  <c r="O765" i="3"/>
  <c r="O786" i="3"/>
  <c r="O806" i="3"/>
  <c r="O825" i="3"/>
  <c r="O842" i="3"/>
  <c r="O859" i="3"/>
  <c r="O876" i="3"/>
  <c r="O893" i="3"/>
  <c r="O910" i="3"/>
  <c r="O927" i="3"/>
  <c r="O944" i="3"/>
  <c r="O962" i="3"/>
  <c r="O979" i="3"/>
  <c r="O996" i="3"/>
  <c r="N13" i="3"/>
  <c r="O73" i="3"/>
  <c r="O125" i="3"/>
  <c r="O168" i="3"/>
  <c r="O202" i="3"/>
  <c r="O236" i="3"/>
  <c r="O267" i="3"/>
  <c r="O297" i="3"/>
  <c r="O326" i="3"/>
  <c r="O350" i="3"/>
  <c r="O379" i="3"/>
  <c r="O406" i="3"/>
  <c r="O429" i="3"/>
  <c r="O457" i="3"/>
  <c r="O482" i="3"/>
  <c r="O505" i="3"/>
  <c r="O526" i="3"/>
  <c r="O550" i="3"/>
  <c r="O570" i="3"/>
  <c r="O589" i="3"/>
  <c r="O610" i="3"/>
  <c r="O630" i="3"/>
  <c r="O649" i="3"/>
  <c r="O668" i="3"/>
  <c r="O688" i="3"/>
  <c r="O709" i="3"/>
  <c r="O728" i="3"/>
  <c r="O747" i="3"/>
  <c r="O766" i="3"/>
  <c r="O788" i="3"/>
  <c r="O807" i="3"/>
  <c r="O826" i="3"/>
  <c r="O843" i="3"/>
  <c r="O860" i="3"/>
  <c r="O877" i="3"/>
  <c r="O894" i="3"/>
  <c r="O74" i="3"/>
  <c r="O133" i="3"/>
  <c r="O169" i="3"/>
  <c r="O203" i="3"/>
  <c r="O237" i="3"/>
  <c r="O268" i="3"/>
  <c r="O298" i="3"/>
  <c r="O328" i="3"/>
  <c r="O357" i="3"/>
  <c r="O380" i="3"/>
  <c r="O408" i="3"/>
  <c r="O430" i="3"/>
  <c r="O458" i="3"/>
  <c r="O484" i="3"/>
  <c r="O506" i="3"/>
  <c r="O530" i="3"/>
  <c r="O551" i="3"/>
  <c r="O571" i="3"/>
  <c r="O590" i="3"/>
  <c r="O612" i="3"/>
  <c r="O631" i="3"/>
  <c r="O650" i="3"/>
  <c r="O669" i="3"/>
  <c r="O690" i="3"/>
  <c r="O710" i="3"/>
  <c r="O789" i="3"/>
  <c r="O750" i="3"/>
  <c r="O715" i="3"/>
  <c r="O662" i="3"/>
  <c r="O599" i="3"/>
  <c r="O532" i="3"/>
  <c r="O436" i="3"/>
  <c r="O329" i="3"/>
  <c r="O204" i="3"/>
  <c r="N308" i="3"/>
  <c r="N289" i="3"/>
  <c r="N268" i="3"/>
  <c r="N249" i="3"/>
  <c r="N229" i="3"/>
  <c r="N210" i="3"/>
  <c r="N188" i="3"/>
  <c r="N167" i="3"/>
  <c r="N147" i="3"/>
  <c r="N126" i="3"/>
  <c r="N106" i="3"/>
  <c r="N83" i="3"/>
  <c r="N62" i="3"/>
  <c r="N38" i="3"/>
  <c r="N15" i="3"/>
  <c r="O989" i="3"/>
  <c r="O965" i="3"/>
  <c r="O937" i="3"/>
  <c r="O911" i="3"/>
  <c r="O880" i="3"/>
  <c r="O851" i="3"/>
  <c r="O818" i="3"/>
  <c r="O782" i="3"/>
  <c r="O749" i="3"/>
  <c r="O712" i="3"/>
  <c r="O658" i="3"/>
  <c r="O598" i="3"/>
  <c r="O516" i="3"/>
  <c r="O414" i="3"/>
  <c r="O310" i="3"/>
  <c r="O184" i="3"/>
  <c r="O779" i="3"/>
  <c r="O748" i="3"/>
  <c r="O711" i="3"/>
  <c r="O656" i="3"/>
  <c r="O594" i="3"/>
  <c r="O514" i="3"/>
  <c r="O413" i="3"/>
  <c r="O309" i="3"/>
  <c r="O181" i="3"/>
  <c r="O171" i="3"/>
  <c r="N205" i="3"/>
  <c r="N184" i="3"/>
  <c r="N164" i="3"/>
  <c r="N143" i="3"/>
  <c r="N123" i="3"/>
  <c r="N100" i="3"/>
  <c r="N80" i="3"/>
  <c r="N56" i="3"/>
  <c r="N33" i="3"/>
  <c r="N11" i="3"/>
  <c r="O986" i="3"/>
  <c r="O959" i="3"/>
  <c r="O932" i="3"/>
  <c r="O904" i="3"/>
  <c r="O874" i="3"/>
  <c r="O845" i="3"/>
  <c r="O813" i="3"/>
  <c r="O777" i="3"/>
  <c r="O741" i="3"/>
  <c r="O700" i="3"/>
  <c r="O651" i="3"/>
  <c r="O583" i="3"/>
  <c r="O507" i="3"/>
  <c r="O409" i="3"/>
  <c r="O299" i="3"/>
  <c r="O170" i="3"/>
  <c r="N119" i="3"/>
  <c r="N99" i="3"/>
  <c r="N79" i="3"/>
  <c r="N55" i="3"/>
  <c r="N32" i="3"/>
  <c r="N7" i="3"/>
  <c r="O983" i="3"/>
  <c r="O956" i="3"/>
  <c r="O931" i="3"/>
  <c r="O903" i="3"/>
  <c r="O871" i="3"/>
  <c r="O844" i="3"/>
  <c r="O810" i="3"/>
  <c r="O776" i="3"/>
  <c r="O740" i="3"/>
  <c r="O698" i="3"/>
  <c r="O642" i="3"/>
  <c r="O580" i="3"/>
  <c r="O491" i="3"/>
  <c r="O392" i="3"/>
  <c r="O281" i="3"/>
  <c r="O141" i="3"/>
  <c r="O955" i="3"/>
  <c r="O930" i="3"/>
  <c r="O902" i="3"/>
  <c r="O870" i="3"/>
  <c r="O840" i="3"/>
  <c r="O809" i="3"/>
  <c r="O775" i="3"/>
  <c r="O738" i="3"/>
  <c r="O697" i="3"/>
  <c r="O637" i="3"/>
  <c r="O578" i="3"/>
  <c r="O490" i="3"/>
  <c r="O390" i="3"/>
  <c r="O280" i="3"/>
  <c r="O140" i="3"/>
  <c r="N261" i="3"/>
  <c r="N242" i="3"/>
  <c r="N221" i="3"/>
  <c r="N202" i="3"/>
  <c r="N181" i="3"/>
  <c r="N160" i="3"/>
  <c r="N140" i="3"/>
  <c r="N117" i="3"/>
  <c r="N97" i="3"/>
  <c r="N75" i="3"/>
  <c r="N51" i="3"/>
  <c r="N30" i="3"/>
  <c r="O1005" i="3"/>
  <c r="O981" i="3"/>
  <c r="O954" i="3"/>
  <c r="O928" i="3"/>
  <c r="O901" i="3"/>
  <c r="O869" i="3"/>
  <c r="O837" i="3"/>
  <c r="O808" i="3"/>
  <c r="O772" i="3"/>
  <c r="O736" i="3"/>
  <c r="O696" i="3"/>
  <c r="O636" i="3"/>
  <c r="O573" i="3"/>
  <c r="O486" i="3"/>
  <c r="O382" i="3"/>
  <c r="O270" i="3"/>
  <c r="O137" i="3"/>
  <c r="N96" i="3"/>
  <c r="N74" i="3"/>
  <c r="N50" i="3"/>
  <c r="N29" i="3"/>
  <c r="O1004" i="3"/>
  <c r="O980" i="3"/>
  <c r="O953" i="3"/>
  <c r="O925" i="3"/>
  <c r="O898" i="3"/>
  <c r="O868" i="3"/>
  <c r="O836" i="3"/>
  <c r="O804" i="3"/>
  <c r="O770" i="3"/>
  <c r="O734" i="3"/>
  <c r="O693" i="3"/>
  <c r="O633" i="3"/>
  <c r="O572" i="3"/>
  <c r="O485" i="3"/>
  <c r="O381" i="3"/>
  <c r="O269" i="3"/>
  <c r="O136" i="3"/>
  <c r="N199" i="3"/>
  <c r="N178" i="3"/>
  <c r="N158" i="3"/>
  <c r="N135" i="3"/>
  <c r="N115" i="3"/>
  <c r="N94" i="3"/>
  <c r="N72" i="3"/>
  <c r="N49" i="3"/>
  <c r="N28" i="3"/>
  <c r="O1003" i="3"/>
  <c r="O978" i="3"/>
  <c r="O952" i="3"/>
  <c r="O922" i="3"/>
  <c r="O896" i="3"/>
  <c r="O867" i="3"/>
  <c r="O835" i="3"/>
  <c r="O798" i="3"/>
  <c r="O768" i="3"/>
  <c r="O731" i="3"/>
  <c r="O692" i="3"/>
  <c r="O632" i="3"/>
  <c r="O557" i="3"/>
  <c r="O469" i="3"/>
  <c r="O364" i="3"/>
  <c r="O251" i="3"/>
  <c r="O105" i="3"/>
  <c r="N722" i="3"/>
  <c r="N705" i="3"/>
  <c r="N687" i="3"/>
  <c r="N668" i="3"/>
  <c r="N650" i="3"/>
  <c r="N632" i="3"/>
  <c r="N613" i="3"/>
  <c r="N595" i="3"/>
  <c r="N577" i="3"/>
  <c r="N559" i="3"/>
  <c r="N540" i="3"/>
  <c r="N522" i="3"/>
  <c r="N504" i="3"/>
  <c r="N485" i="3"/>
  <c r="N467" i="3"/>
  <c r="N449" i="3"/>
  <c r="N431" i="3"/>
  <c r="N412" i="3"/>
  <c r="N394" i="3"/>
  <c r="N376" i="3"/>
  <c r="N356" i="3"/>
  <c r="N337" i="3"/>
  <c r="N316" i="3"/>
  <c r="N297" i="3"/>
  <c r="N277" i="3"/>
  <c r="N258" i="3"/>
  <c r="N237" i="3"/>
  <c r="N218" i="3"/>
  <c r="N198" i="3"/>
  <c r="N177" i="3"/>
  <c r="N157" i="3"/>
  <c r="N134" i="3"/>
  <c r="N114" i="3"/>
  <c r="N93" i="3"/>
  <c r="N71" i="3"/>
  <c r="N48" i="3"/>
  <c r="N24" i="3"/>
  <c r="O1000" i="3"/>
  <c r="O976" i="3"/>
  <c r="O949" i="3"/>
  <c r="O921" i="3"/>
  <c r="O895" i="3"/>
  <c r="O863" i="3"/>
  <c r="O834" i="3"/>
  <c r="O797" i="3"/>
  <c r="O763" i="3"/>
  <c r="O730" i="3"/>
  <c r="O684" i="3"/>
  <c r="O621" i="3"/>
  <c r="O556" i="3"/>
  <c r="O468" i="3"/>
  <c r="O363" i="3"/>
  <c r="O250" i="3"/>
  <c r="O104" i="3"/>
  <c r="N22" i="3"/>
  <c r="O998" i="3"/>
  <c r="O972" i="3"/>
  <c r="O947" i="3"/>
  <c r="O919" i="3"/>
  <c r="O888" i="3"/>
  <c r="O861" i="3"/>
  <c r="O829" i="3"/>
  <c r="O795" i="3"/>
  <c r="O759" i="3"/>
  <c r="O725" i="3"/>
  <c r="O678" i="3"/>
  <c r="O617" i="3"/>
  <c r="O552" i="3"/>
  <c r="O459" i="3"/>
  <c r="O358" i="3"/>
  <c r="O245" i="3"/>
  <c r="O75" i="3"/>
  <c r="K879" i="3"/>
  <c r="K821" i="3"/>
  <c r="K648" i="3"/>
  <c r="S10" i="3"/>
  <c r="K594" i="3"/>
  <c r="S346" i="3"/>
  <c r="S319" i="3"/>
  <c r="S280" i="3"/>
  <c r="S235" i="3"/>
  <c r="S191" i="3"/>
  <c r="S152" i="3"/>
  <c r="S107" i="3"/>
  <c r="S63" i="3"/>
  <c r="S24" i="3"/>
  <c r="K584" i="3"/>
  <c r="J46" i="3"/>
  <c r="S190" i="3"/>
  <c r="S145" i="3"/>
  <c r="S106" i="3"/>
  <c r="S62" i="3"/>
  <c r="S17" i="3"/>
  <c r="K479" i="3"/>
  <c r="J45" i="3"/>
  <c r="S315" i="3"/>
  <c r="S271" i="3"/>
  <c r="S232" i="3"/>
  <c r="S187" i="3"/>
  <c r="S143" i="3"/>
  <c r="S104" i="3"/>
  <c r="S59" i="3"/>
  <c r="S15" i="3"/>
  <c r="K13" i="3"/>
  <c r="J44" i="3"/>
  <c r="S270" i="3"/>
  <c r="S225" i="3"/>
  <c r="S186" i="3"/>
  <c r="S142" i="3"/>
  <c r="S97" i="3"/>
  <c r="S58" i="3"/>
  <c r="S14" i="3"/>
  <c r="J13" i="3"/>
  <c r="J43" i="3"/>
  <c r="S342" i="3"/>
  <c r="S267" i="3"/>
  <c r="S223" i="3"/>
  <c r="S184" i="3"/>
  <c r="S139" i="3"/>
  <c r="S95" i="3"/>
  <c r="S56" i="3"/>
  <c r="S11" i="3"/>
  <c r="K961" i="3"/>
  <c r="J42" i="3"/>
  <c r="J41" i="3"/>
  <c r="J40" i="3"/>
  <c r="J993" i="3"/>
  <c r="J975" i="3"/>
  <c r="J956" i="3"/>
  <c r="J938" i="3"/>
  <c r="J916" i="3"/>
  <c r="J895" i="3"/>
  <c r="J874" i="3"/>
  <c r="J852" i="3"/>
  <c r="J831" i="3"/>
  <c r="J808" i="3"/>
  <c r="J786" i="3"/>
  <c r="J762" i="3"/>
  <c r="J739" i="3"/>
  <c r="J715" i="3"/>
  <c r="J691" i="3"/>
  <c r="J664" i="3"/>
  <c r="J640" i="3"/>
  <c r="J613" i="3"/>
  <c r="J589" i="3"/>
  <c r="J557" i="3"/>
  <c r="J525" i="3"/>
  <c r="J493" i="3"/>
  <c r="J453" i="3"/>
  <c r="J413" i="3"/>
  <c r="J370" i="3"/>
  <c r="J323" i="3"/>
  <c r="J269" i="3"/>
  <c r="J179" i="3"/>
  <c r="J98" i="3"/>
  <c r="J20" i="3"/>
  <c r="J36" i="3"/>
  <c r="J52" i="3"/>
  <c r="J68" i="3"/>
  <c r="J84" i="3"/>
  <c r="J100" i="3"/>
  <c r="J116" i="3"/>
  <c r="J132" i="3"/>
  <c r="J148" i="3"/>
  <c r="J164" i="3"/>
  <c r="J180" i="3"/>
  <c r="J196" i="3"/>
  <c r="J212" i="3"/>
  <c r="J228" i="3"/>
  <c r="J244" i="3"/>
  <c r="J260" i="3"/>
  <c r="J276" i="3"/>
  <c r="J292" i="3"/>
  <c r="J308" i="3"/>
  <c r="J324" i="3"/>
  <c r="J340" i="3"/>
  <c r="J356" i="3"/>
  <c r="J372" i="3"/>
  <c r="J388" i="3"/>
  <c r="J404" i="3"/>
  <c r="J420" i="3"/>
  <c r="J436" i="3"/>
  <c r="J452" i="3"/>
  <c r="J468" i="3"/>
  <c r="J21" i="3"/>
  <c r="J53" i="3"/>
  <c r="J69" i="3"/>
  <c r="J85" i="3"/>
  <c r="J101" i="3"/>
  <c r="J117" i="3"/>
  <c r="J133" i="3"/>
  <c r="J149" i="3"/>
  <c r="J165" i="3"/>
  <c r="J181" i="3"/>
  <c r="J197" i="3"/>
  <c r="J213" i="3"/>
  <c r="J229" i="3"/>
  <c r="J245" i="3"/>
  <c r="J261" i="3"/>
  <c r="J277" i="3"/>
  <c r="J293" i="3"/>
  <c r="J309" i="3"/>
  <c r="J325" i="3"/>
  <c r="J22" i="3"/>
  <c r="J54" i="3"/>
  <c r="J70" i="3"/>
  <c r="J86" i="3"/>
  <c r="J102" i="3"/>
  <c r="J118" i="3"/>
  <c r="J134" i="3"/>
  <c r="J150" i="3"/>
  <c r="J166" i="3"/>
  <c r="J182" i="3"/>
  <c r="J198" i="3"/>
  <c r="J214" i="3"/>
  <c r="J230" i="3"/>
  <c r="J246" i="3"/>
  <c r="J262" i="3"/>
  <c r="J278" i="3"/>
  <c r="J294" i="3"/>
  <c r="J310" i="3"/>
  <c r="J326" i="3"/>
  <c r="J342" i="3"/>
  <c r="J358" i="3"/>
  <c r="J374" i="3"/>
  <c r="J390" i="3"/>
  <c r="J406" i="3"/>
  <c r="J422" i="3"/>
  <c r="J438" i="3"/>
  <c r="J454" i="3"/>
  <c r="J470" i="3"/>
  <c r="J486" i="3"/>
  <c r="J502" i="3"/>
  <c r="J518" i="3"/>
  <c r="J534" i="3"/>
  <c r="J550" i="3"/>
  <c r="J566" i="3"/>
  <c r="J582" i="3"/>
  <c r="J598" i="3"/>
  <c r="J614" i="3"/>
  <c r="J630" i="3"/>
  <c r="J646" i="3"/>
  <c r="J662" i="3"/>
  <c r="J678" i="3"/>
  <c r="J694" i="3"/>
  <c r="J710" i="3"/>
  <c r="J726" i="3"/>
  <c r="J742" i="3"/>
  <c r="J758" i="3"/>
  <c r="J774" i="3"/>
  <c r="J790" i="3"/>
  <c r="J806" i="3"/>
  <c r="J822" i="3"/>
  <c r="J838" i="3"/>
  <c r="J854" i="3"/>
  <c r="J870" i="3"/>
  <c r="J886" i="3"/>
  <c r="J902" i="3"/>
  <c r="J918" i="3"/>
  <c r="J934" i="3"/>
  <c r="J950" i="3"/>
  <c r="J966" i="3"/>
  <c r="J982" i="3"/>
  <c r="J998" i="3"/>
  <c r="J55" i="3"/>
  <c r="J103" i="3"/>
  <c r="J135" i="3"/>
  <c r="J167" i="3"/>
  <c r="J183" i="3"/>
  <c r="J215" i="3"/>
  <c r="J247" i="3"/>
  <c r="J263" i="3"/>
  <c r="J295" i="3"/>
  <c r="J311" i="3"/>
  <c r="J343" i="3"/>
  <c r="J375" i="3"/>
  <c r="J407" i="3"/>
  <c r="J423" i="3"/>
  <c r="J455" i="3"/>
  <c r="J487" i="3"/>
  <c r="J503" i="3"/>
  <c r="J535" i="3"/>
  <c r="J567" i="3"/>
  <c r="J7" i="3"/>
  <c r="J23" i="3"/>
  <c r="J71" i="3"/>
  <c r="J87" i="3"/>
  <c r="J119" i="3"/>
  <c r="J151" i="3"/>
  <c r="J199" i="3"/>
  <c r="J231" i="3"/>
  <c r="J279" i="3"/>
  <c r="J327" i="3"/>
  <c r="J359" i="3"/>
  <c r="J391" i="3"/>
  <c r="J439" i="3"/>
  <c r="J471" i="3"/>
  <c r="J519" i="3"/>
  <c r="J551" i="3"/>
  <c r="J583" i="3"/>
  <c r="J8" i="3"/>
  <c r="J24" i="3"/>
  <c r="J56" i="3"/>
  <c r="J72" i="3"/>
  <c r="J88" i="3"/>
  <c r="J104" i="3"/>
  <c r="J120" i="3"/>
  <c r="J136" i="3"/>
  <c r="J152" i="3"/>
  <c r="J168" i="3"/>
  <c r="J184" i="3"/>
  <c r="J200" i="3"/>
  <c r="J216" i="3"/>
  <c r="J232" i="3"/>
  <c r="J248" i="3"/>
  <c r="J264" i="3"/>
  <c r="J280" i="3"/>
  <c r="J9" i="3"/>
  <c r="J25" i="3"/>
  <c r="J57" i="3"/>
  <c r="J73" i="3"/>
  <c r="J89" i="3"/>
  <c r="J105" i="3"/>
  <c r="J121" i="3"/>
  <c r="J137" i="3"/>
  <c r="J153" i="3"/>
  <c r="J169" i="3"/>
  <c r="J185" i="3"/>
  <c r="J201" i="3"/>
  <c r="J217" i="3"/>
  <c r="J233" i="3"/>
  <c r="J249" i="3"/>
  <c r="J265" i="3"/>
  <c r="J281" i="3"/>
  <c r="J297" i="3"/>
  <c r="J313" i="3"/>
  <c r="J329" i="3"/>
  <c r="J345" i="3"/>
  <c r="J361" i="3"/>
  <c r="J377" i="3"/>
  <c r="J393" i="3"/>
  <c r="J409" i="3"/>
  <c r="J425" i="3"/>
  <c r="J441" i="3"/>
  <c r="J457" i="3"/>
  <c r="J473" i="3"/>
  <c r="J489" i="3"/>
  <c r="J505" i="3"/>
  <c r="J521" i="3"/>
  <c r="J537" i="3"/>
  <c r="J553" i="3"/>
  <c r="J569" i="3"/>
  <c r="J585" i="3"/>
  <c r="J601" i="3"/>
  <c r="J617" i="3"/>
  <c r="J633" i="3"/>
  <c r="J649" i="3"/>
  <c r="J665" i="3"/>
  <c r="J681" i="3"/>
  <c r="J697" i="3"/>
  <c r="J713" i="3"/>
  <c r="J729" i="3"/>
  <c r="J745" i="3"/>
  <c r="J761" i="3"/>
  <c r="J777" i="3"/>
  <c r="J793" i="3"/>
  <c r="J809" i="3"/>
  <c r="J825" i="3"/>
  <c r="J841" i="3"/>
  <c r="J857" i="3"/>
  <c r="J873" i="3"/>
  <c r="J889" i="3"/>
  <c r="J905" i="3"/>
  <c r="J921" i="3"/>
  <c r="J937" i="3"/>
  <c r="J10" i="3"/>
  <c r="J26" i="3"/>
  <c r="J58" i="3"/>
  <c r="J74" i="3"/>
  <c r="J90" i="3"/>
  <c r="J106" i="3"/>
  <c r="J122" i="3"/>
  <c r="J138" i="3"/>
  <c r="J154" i="3"/>
  <c r="J170" i="3"/>
  <c r="J186" i="3"/>
  <c r="J202" i="3"/>
  <c r="J218" i="3"/>
  <c r="J234" i="3"/>
  <c r="J250" i="3"/>
  <c r="J266" i="3"/>
  <c r="J282" i="3"/>
  <c r="J298" i="3"/>
  <c r="J314" i="3"/>
  <c r="J330" i="3"/>
  <c r="J346" i="3"/>
  <c r="J362" i="3"/>
  <c r="J378" i="3"/>
  <c r="J394" i="3"/>
  <c r="J410" i="3"/>
  <c r="J426" i="3"/>
  <c r="J442" i="3"/>
  <c r="J458" i="3"/>
  <c r="J474" i="3"/>
  <c r="J490" i="3"/>
  <c r="J506" i="3"/>
  <c r="J522" i="3"/>
  <c r="J538" i="3"/>
  <c r="J554" i="3"/>
  <c r="J570" i="3"/>
  <c r="J586" i="3"/>
  <c r="J602" i="3"/>
  <c r="J618" i="3"/>
  <c r="J634" i="3"/>
  <c r="J650" i="3"/>
  <c r="J666" i="3"/>
  <c r="J682" i="3"/>
  <c r="J698" i="3"/>
  <c r="J11" i="3"/>
  <c r="J27" i="3"/>
  <c r="J59" i="3"/>
  <c r="J75" i="3"/>
  <c r="J91" i="3"/>
  <c r="J107" i="3"/>
  <c r="J123" i="3"/>
  <c r="J139" i="3"/>
  <c r="J155" i="3"/>
  <c r="J171" i="3"/>
  <c r="J187" i="3"/>
  <c r="J203" i="3"/>
  <c r="J219" i="3"/>
  <c r="J235" i="3"/>
  <c r="J251" i="3"/>
  <c r="J267" i="3"/>
  <c r="J283" i="3"/>
  <c r="J299" i="3"/>
  <c r="J315" i="3"/>
  <c r="J331" i="3"/>
  <c r="J347" i="3"/>
  <c r="J363" i="3"/>
  <c r="J379" i="3"/>
  <c r="J395" i="3"/>
  <c r="J411" i="3"/>
  <c r="J427" i="3"/>
  <c r="J443" i="3"/>
  <c r="J459" i="3"/>
  <c r="J475" i="3"/>
  <c r="J12" i="3"/>
  <c r="J28" i="3"/>
  <c r="J60" i="3"/>
  <c r="J76" i="3"/>
  <c r="J92" i="3"/>
  <c r="J108" i="3"/>
  <c r="J124" i="3"/>
  <c r="J140" i="3"/>
  <c r="J156" i="3"/>
  <c r="J172" i="3"/>
  <c r="J188" i="3"/>
  <c r="J204" i="3"/>
  <c r="J220" i="3"/>
  <c r="J236" i="3"/>
  <c r="J252" i="3"/>
  <c r="J268" i="3"/>
  <c r="J284" i="3"/>
  <c r="J300" i="3"/>
  <c r="J316" i="3"/>
  <c r="J332" i="3"/>
  <c r="J348" i="3"/>
  <c r="J364" i="3"/>
  <c r="J380" i="3"/>
  <c r="J396" i="3"/>
  <c r="J412" i="3"/>
  <c r="J428" i="3"/>
  <c r="J444" i="3"/>
  <c r="J460" i="3"/>
  <c r="J476" i="3"/>
  <c r="J492" i="3"/>
  <c r="J508" i="3"/>
  <c r="J524" i="3"/>
  <c r="J540" i="3"/>
  <c r="J556" i="3"/>
  <c r="J572" i="3"/>
  <c r="J588" i="3"/>
  <c r="J604" i="3"/>
  <c r="J620" i="3"/>
  <c r="J636" i="3"/>
  <c r="J652" i="3"/>
  <c r="J668" i="3"/>
  <c r="J684" i="3"/>
  <c r="J700" i="3"/>
  <c r="J716" i="3"/>
  <c r="J732" i="3"/>
  <c r="J748" i="3"/>
  <c r="J764" i="3"/>
  <c r="J780" i="3"/>
  <c r="J796" i="3"/>
  <c r="J812" i="3"/>
  <c r="J14" i="3"/>
  <c r="J30" i="3"/>
  <c r="J62" i="3"/>
  <c r="J78" i="3"/>
  <c r="J94" i="3"/>
  <c r="J110" i="3"/>
  <c r="J126" i="3"/>
  <c r="J142" i="3"/>
  <c r="J158" i="3"/>
  <c r="J174" i="3"/>
  <c r="J190" i="3"/>
  <c r="J206" i="3"/>
  <c r="J222" i="3"/>
  <c r="J238" i="3"/>
  <c r="J254" i="3"/>
  <c r="J270" i="3"/>
  <c r="J286" i="3"/>
  <c r="J302" i="3"/>
  <c r="J318" i="3"/>
  <c r="J334" i="3"/>
  <c r="J350" i="3"/>
  <c r="J366" i="3"/>
  <c r="J382" i="3"/>
  <c r="J398" i="3"/>
  <c r="J414" i="3"/>
  <c r="J430" i="3"/>
  <c r="J446" i="3"/>
  <c r="J462" i="3"/>
  <c r="J478" i="3"/>
  <c r="J494" i="3"/>
  <c r="J510" i="3"/>
  <c r="J526" i="3"/>
  <c r="J542" i="3"/>
  <c r="J558" i="3"/>
  <c r="J574" i="3"/>
  <c r="J590" i="3"/>
  <c r="J606" i="3"/>
  <c r="J622" i="3"/>
  <c r="J638" i="3"/>
  <c r="J654" i="3"/>
  <c r="J670" i="3"/>
  <c r="J686" i="3"/>
  <c r="J702" i="3"/>
  <c r="J718" i="3"/>
  <c r="J734" i="3"/>
  <c r="J750" i="3"/>
  <c r="J766" i="3"/>
  <c r="J782" i="3"/>
  <c r="J798" i="3"/>
  <c r="J814" i="3"/>
  <c r="J830" i="3"/>
  <c r="J846" i="3"/>
  <c r="J862" i="3"/>
  <c r="J878" i="3"/>
  <c r="J894" i="3"/>
  <c r="J910" i="3"/>
  <c r="J926" i="3"/>
  <c r="J942" i="3"/>
  <c r="J958" i="3"/>
  <c r="J974" i="3"/>
  <c r="J990" i="3"/>
  <c r="J6" i="3"/>
  <c r="J47" i="3"/>
  <c r="J95" i="3"/>
  <c r="J127" i="3"/>
  <c r="J143" i="3"/>
  <c r="J175" i="3"/>
  <c r="J207" i="3"/>
  <c r="J223" i="3"/>
  <c r="J255" i="3"/>
  <c r="J287" i="3"/>
  <c r="J319" i="3"/>
  <c r="J335" i="3"/>
  <c r="J367" i="3"/>
  <c r="J383" i="3"/>
  <c r="J415" i="3"/>
  <c r="J447" i="3"/>
  <c r="J479" i="3"/>
  <c r="J495" i="3"/>
  <c r="J527" i="3"/>
  <c r="J559" i="3"/>
  <c r="J15" i="3"/>
  <c r="J31" i="3"/>
  <c r="J63" i="3"/>
  <c r="J79" i="3"/>
  <c r="J111" i="3"/>
  <c r="J159" i="3"/>
  <c r="J191" i="3"/>
  <c r="J239" i="3"/>
  <c r="J271" i="3"/>
  <c r="J303" i="3"/>
  <c r="J351" i="3"/>
  <c r="J399" i="3"/>
  <c r="J431" i="3"/>
  <c r="J463" i="3"/>
  <c r="J511" i="3"/>
  <c r="J543" i="3"/>
  <c r="J575" i="3"/>
  <c r="J16" i="3"/>
  <c r="J32" i="3"/>
  <c r="J48" i="3"/>
  <c r="J64" i="3"/>
  <c r="J80" i="3"/>
  <c r="J96" i="3"/>
  <c r="J112" i="3"/>
  <c r="J128" i="3"/>
  <c r="J144" i="3"/>
  <c r="J160" i="3"/>
  <c r="J176" i="3"/>
  <c r="J192" i="3"/>
  <c r="J208" i="3"/>
  <c r="J224" i="3"/>
  <c r="J240" i="3"/>
  <c r="J256" i="3"/>
  <c r="J272" i="3"/>
  <c r="J17" i="3"/>
  <c r="J33" i="3"/>
  <c r="J49" i="3"/>
  <c r="J65" i="3"/>
  <c r="J81" i="3"/>
  <c r="J97" i="3"/>
  <c r="J113" i="3"/>
  <c r="J129" i="3"/>
  <c r="J145" i="3"/>
  <c r="J161" i="3"/>
  <c r="J177" i="3"/>
  <c r="J193" i="3"/>
  <c r="J209" i="3"/>
  <c r="J225" i="3"/>
  <c r="J241" i="3"/>
  <c r="J257" i="3"/>
  <c r="J273" i="3"/>
  <c r="J289" i="3"/>
  <c r="J305" i="3"/>
  <c r="J321" i="3"/>
  <c r="J337" i="3"/>
  <c r="J353" i="3"/>
  <c r="J369" i="3"/>
  <c r="J385" i="3"/>
  <c r="J401" i="3"/>
  <c r="J417" i="3"/>
  <c r="J433" i="3"/>
  <c r="J449" i="3"/>
  <c r="J465" i="3"/>
  <c r="J481" i="3"/>
  <c r="J497" i="3"/>
  <c r="J513" i="3"/>
  <c r="J529" i="3"/>
  <c r="J545" i="3"/>
  <c r="J561" i="3"/>
  <c r="J577" i="3"/>
  <c r="J593" i="3"/>
  <c r="J609" i="3"/>
  <c r="J625" i="3"/>
  <c r="J641" i="3"/>
  <c r="J657" i="3"/>
  <c r="J673" i="3"/>
  <c r="J689" i="3"/>
  <c r="J705" i="3"/>
  <c r="J721" i="3"/>
  <c r="J737" i="3"/>
  <c r="J753" i="3"/>
  <c r="J769" i="3"/>
  <c r="J785" i="3"/>
  <c r="J801" i="3"/>
  <c r="J817" i="3"/>
  <c r="J833" i="3"/>
  <c r="J849" i="3"/>
  <c r="J865" i="3"/>
  <c r="J881" i="3"/>
  <c r="J897" i="3"/>
  <c r="J913" i="3"/>
  <c r="J929" i="3"/>
  <c r="J991" i="3"/>
  <c r="J972" i="3"/>
  <c r="J954" i="3"/>
  <c r="J935" i="3"/>
  <c r="J914" i="3"/>
  <c r="J892" i="3"/>
  <c r="J871" i="3"/>
  <c r="J850" i="3"/>
  <c r="J828" i="3"/>
  <c r="J805" i="3"/>
  <c r="J783" i="3"/>
  <c r="J759" i="3"/>
  <c r="J736" i="3"/>
  <c r="J712" i="3"/>
  <c r="J688" i="3"/>
  <c r="J661" i="3"/>
  <c r="J637" i="3"/>
  <c r="J611" i="3"/>
  <c r="J584" i="3"/>
  <c r="J552" i="3"/>
  <c r="J520" i="3"/>
  <c r="J488" i="3"/>
  <c r="J450" i="3"/>
  <c r="J405" i="3"/>
  <c r="J365" i="3"/>
  <c r="J320" i="3"/>
  <c r="J258" i="3"/>
  <c r="J173" i="3"/>
  <c r="J83" i="3"/>
  <c r="J989" i="3"/>
  <c r="J971" i="3"/>
  <c r="J953" i="3"/>
  <c r="J933" i="3"/>
  <c r="J912" i="3"/>
  <c r="J891" i="3"/>
  <c r="J869" i="3"/>
  <c r="J848" i="3"/>
  <c r="J827" i="3"/>
  <c r="J804" i="3"/>
  <c r="J781" i="3"/>
  <c r="J757" i="3"/>
  <c r="J735" i="3"/>
  <c r="J711" i="3"/>
  <c r="J687" i="3"/>
  <c r="J660" i="3"/>
  <c r="J635" i="3"/>
  <c r="J610" i="3"/>
  <c r="J581" i="3"/>
  <c r="J549" i="3"/>
  <c r="J517" i="3"/>
  <c r="J485" i="3"/>
  <c r="J448" i="3"/>
  <c r="J403" i="3"/>
  <c r="J360" i="3"/>
  <c r="J317" i="3"/>
  <c r="J253" i="3"/>
  <c r="J163" i="3"/>
  <c r="J82" i="3"/>
  <c r="J800" i="3"/>
  <c r="J776" i="3"/>
  <c r="J754" i="3"/>
  <c r="J730" i="3"/>
  <c r="J707" i="3"/>
  <c r="J680" i="3"/>
  <c r="J656" i="3"/>
  <c r="J629" i="3"/>
  <c r="J605" i="3"/>
  <c r="J578" i="3"/>
  <c r="J546" i="3"/>
  <c r="J514" i="3"/>
  <c r="J482" i="3"/>
  <c r="J437" i="3"/>
  <c r="J397" i="3"/>
  <c r="J354" i="3"/>
  <c r="J306" i="3"/>
  <c r="J237" i="3"/>
  <c r="J147" i="3"/>
  <c r="J66" i="3"/>
  <c r="J907" i="3"/>
  <c r="J864" i="3"/>
  <c r="J843" i="3"/>
  <c r="J821" i="3"/>
  <c r="J799" i="3"/>
  <c r="J775" i="3"/>
  <c r="J752" i="3"/>
  <c r="J728" i="3"/>
  <c r="J706" i="3"/>
  <c r="J679" i="3"/>
  <c r="J655" i="3"/>
  <c r="J628" i="3"/>
  <c r="J603" i="3"/>
  <c r="J576" i="3"/>
  <c r="J544" i="3"/>
  <c r="J512" i="3"/>
  <c r="J480" i="3"/>
  <c r="J435" i="3"/>
  <c r="J392" i="3"/>
  <c r="J352" i="3"/>
  <c r="J304" i="3"/>
  <c r="J227" i="3"/>
  <c r="J146" i="3"/>
  <c r="J61" i="3"/>
  <c r="J927" i="3"/>
  <c r="J773" i="3"/>
  <c r="J751" i="3"/>
  <c r="J727" i="3"/>
  <c r="J677" i="3"/>
  <c r="J653" i="3"/>
  <c r="J627" i="3"/>
  <c r="J600" i="3"/>
  <c r="J573" i="3"/>
  <c r="J541" i="3"/>
  <c r="J509" i="3"/>
  <c r="J477" i="3"/>
  <c r="J434" i="3"/>
  <c r="J389" i="3"/>
  <c r="J349" i="3"/>
  <c r="J301" i="3"/>
  <c r="J226" i="3"/>
  <c r="J141" i="3"/>
  <c r="J51" i="3"/>
  <c r="J1004" i="3"/>
  <c r="J908" i="3"/>
  <c r="J948" i="3"/>
  <c r="J947" i="3"/>
  <c r="J797" i="3"/>
  <c r="J704" i="3"/>
  <c r="J1001" i="3"/>
  <c r="J983" i="3"/>
  <c r="J964" i="3"/>
  <c r="J946" i="3"/>
  <c r="J925" i="3"/>
  <c r="J904" i="3"/>
  <c r="J883" i="3"/>
  <c r="J861" i="3"/>
  <c r="J840" i="3"/>
  <c r="J819" i="3"/>
  <c r="J795" i="3"/>
  <c r="J772" i="3"/>
  <c r="J749" i="3"/>
  <c r="J725" i="3"/>
  <c r="J703" i="3"/>
  <c r="J676" i="3"/>
  <c r="J651" i="3"/>
  <c r="J626" i="3"/>
  <c r="J599" i="3"/>
  <c r="J571" i="3"/>
  <c r="J539" i="3"/>
  <c r="J507" i="3"/>
  <c r="J472" i="3"/>
  <c r="J432" i="3"/>
  <c r="J387" i="3"/>
  <c r="J344" i="3"/>
  <c r="J296" i="3"/>
  <c r="J221" i="3"/>
  <c r="J131" i="3"/>
  <c r="J50" i="3"/>
  <c r="J866" i="3"/>
  <c r="J985" i="3"/>
  <c r="J965" i="3"/>
  <c r="J842" i="3"/>
  <c r="J1000" i="3"/>
  <c r="J963" i="3"/>
  <c r="J924" i="3"/>
  <c r="J882" i="3"/>
  <c r="J860" i="3"/>
  <c r="J839" i="3"/>
  <c r="J818" i="3"/>
  <c r="J794" i="3"/>
  <c r="J771" i="3"/>
  <c r="J747" i="3"/>
  <c r="J724" i="3"/>
  <c r="J701" i="3"/>
  <c r="J675" i="3"/>
  <c r="J648" i="3"/>
  <c r="J624" i="3"/>
  <c r="J597" i="3"/>
  <c r="J568" i="3"/>
  <c r="J536" i="3"/>
  <c r="J504" i="3"/>
  <c r="J469" i="3"/>
  <c r="J429" i="3"/>
  <c r="J386" i="3"/>
  <c r="J341" i="3"/>
  <c r="J291" i="3"/>
  <c r="J211" i="3"/>
  <c r="J130" i="3"/>
  <c r="J887" i="3"/>
  <c r="J967" i="3"/>
  <c r="J984" i="3"/>
  <c r="J820" i="3"/>
  <c r="J981" i="3"/>
  <c r="J945" i="3"/>
  <c r="J903" i="3"/>
  <c r="J999" i="3"/>
  <c r="J980" i="3"/>
  <c r="J962" i="3"/>
  <c r="J944" i="3"/>
  <c r="J923" i="3"/>
  <c r="J901" i="3"/>
  <c r="J880" i="3"/>
  <c r="J859" i="3"/>
  <c r="J837" i="3"/>
  <c r="J816" i="3"/>
  <c r="J792" i="3"/>
  <c r="J770" i="3"/>
  <c r="J746" i="3"/>
  <c r="J723" i="3"/>
  <c r="J699" i="3"/>
  <c r="J674" i="3"/>
  <c r="J647" i="3"/>
  <c r="J623" i="3"/>
  <c r="J596" i="3"/>
  <c r="J565" i="3"/>
  <c r="J533" i="3"/>
  <c r="J501" i="3"/>
  <c r="J467" i="3"/>
  <c r="J424" i="3"/>
  <c r="J384" i="3"/>
  <c r="J339" i="3"/>
  <c r="J290" i="3"/>
  <c r="J210" i="3"/>
  <c r="J125" i="3"/>
  <c r="J35" i="3"/>
  <c r="J968" i="3"/>
  <c r="J885" i="3"/>
  <c r="J997" i="3"/>
  <c r="J922" i="3"/>
  <c r="J879" i="3"/>
  <c r="J836" i="3"/>
  <c r="J791" i="3"/>
  <c r="J768" i="3"/>
  <c r="J744" i="3"/>
  <c r="J722" i="3"/>
  <c r="J696" i="3"/>
  <c r="J672" i="3"/>
  <c r="J645" i="3"/>
  <c r="J621" i="3"/>
  <c r="J595" i="3"/>
  <c r="J564" i="3"/>
  <c r="J532" i="3"/>
  <c r="J500" i="3"/>
  <c r="J466" i="3"/>
  <c r="J421" i="3"/>
  <c r="J381" i="3"/>
  <c r="J338" i="3"/>
  <c r="J288" i="3"/>
  <c r="J205" i="3"/>
  <c r="J115" i="3"/>
  <c r="J34" i="3"/>
  <c r="J986" i="3"/>
  <c r="J930" i="3"/>
  <c r="J928" i="3"/>
  <c r="J906" i="3"/>
  <c r="J979" i="3"/>
  <c r="J943" i="3"/>
  <c r="J900" i="3"/>
  <c r="J858" i="3"/>
  <c r="J815" i="3"/>
  <c r="J996" i="3"/>
  <c r="J978" i="3"/>
  <c r="J960" i="3"/>
  <c r="J941" i="3"/>
  <c r="J920" i="3"/>
  <c r="J899" i="3"/>
  <c r="J877" i="3"/>
  <c r="J856" i="3"/>
  <c r="J835" i="3"/>
  <c r="J813" i="3"/>
  <c r="J789" i="3"/>
  <c r="J767" i="3"/>
  <c r="J743" i="3"/>
  <c r="J720" i="3"/>
  <c r="J695" i="3"/>
  <c r="J671" i="3"/>
  <c r="J644" i="3"/>
  <c r="J619" i="3"/>
  <c r="J594" i="3"/>
  <c r="J563" i="3"/>
  <c r="J531" i="3"/>
  <c r="J499" i="3"/>
  <c r="J464" i="3"/>
  <c r="J419" i="3"/>
  <c r="J376" i="3"/>
  <c r="J336" i="3"/>
  <c r="J285" i="3"/>
  <c r="J195" i="3"/>
  <c r="J114" i="3"/>
  <c r="J29" i="3"/>
  <c r="J949" i="3"/>
  <c r="J1003" i="3"/>
  <c r="J863" i="3"/>
  <c r="J995" i="3"/>
  <c r="J959" i="3"/>
  <c r="J919" i="3"/>
  <c r="J876" i="3"/>
  <c r="J855" i="3"/>
  <c r="J834" i="3"/>
  <c r="J811" i="3"/>
  <c r="J788" i="3"/>
  <c r="J765" i="3"/>
  <c r="J741" i="3"/>
  <c r="J719" i="3"/>
  <c r="J693" i="3"/>
  <c r="J669" i="3"/>
  <c r="J643" i="3"/>
  <c r="J616" i="3"/>
  <c r="J592" i="3"/>
  <c r="J562" i="3"/>
  <c r="J530" i="3"/>
  <c r="J498" i="3"/>
  <c r="J461" i="3"/>
  <c r="J418" i="3"/>
  <c r="J373" i="3"/>
  <c r="J333" i="3"/>
  <c r="J275" i="3"/>
  <c r="J194" i="3"/>
  <c r="J109" i="3"/>
  <c r="J19" i="3"/>
  <c r="J844" i="3"/>
  <c r="J1002" i="3"/>
  <c r="J884" i="3"/>
  <c r="J961" i="3"/>
  <c r="J977" i="3"/>
  <c r="J940" i="3"/>
  <c r="J898" i="3"/>
  <c r="J994" i="3"/>
  <c r="J976" i="3"/>
  <c r="J957" i="3"/>
  <c r="J939" i="3"/>
  <c r="J917" i="3"/>
  <c r="J896" i="3"/>
  <c r="J875" i="3"/>
  <c r="J853" i="3"/>
  <c r="J832" i="3"/>
  <c r="J810" i="3"/>
  <c r="J787" i="3"/>
  <c r="J763" i="3"/>
  <c r="J740" i="3"/>
  <c r="J717" i="3"/>
  <c r="J692" i="3"/>
  <c r="J667" i="3"/>
  <c r="J642" i="3"/>
  <c r="J615" i="3"/>
  <c r="J591" i="3"/>
  <c r="J560" i="3"/>
  <c r="J528" i="3"/>
  <c r="J496" i="3"/>
  <c r="J456" i="3"/>
  <c r="J416" i="3"/>
  <c r="J371" i="3"/>
  <c r="J328" i="3"/>
  <c r="J274" i="3"/>
  <c r="J189" i="3"/>
  <c r="J99" i="3"/>
  <c r="J18" i="3"/>
  <c r="K838" i="3"/>
  <c r="K566" i="3"/>
  <c r="K50" i="3"/>
  <c r="K982" i="3"/>
  <c r="K834" i="3"/>
  <c r="K565" i="3"/>
  <c r="K981" i="3"/>
  <c r="K822" i="3"/>
  <c r="K481" i="3"/>
  <c r="K943" i="3"/>
  <c r="K818" i="3"/>
  <c r="K472" i="3"/>
  <c r="K936" i="3"/>
  <c r="K767" i="3"/>
  <c r="K470" i="3"/>
  <c r="K934" i="3"/>
  <c r="K757" i="3"/>
  <c r="K354" i="3"/>
  <c r="K933" i="3"/>
  <c r="K738" i="3"/>
  <c r="K353" i="3"/>
  <c r="K930" i="3"/>
  <c r="K737" i="3"/>
  <c r="K351" i="3"/>
  <c r="K929" i="3"/>
  <c r="K735" i="3"/>
  <c r="K344" i="3"/>
  <c r="K888" i="3"/>
  <c r="K678" i="3"/>
  <c r="K216" i="3"/>
  <c r="K886" i="3"/>
  <c r="K673" i="3"/>
  <c r="K182" i="3"/>
  <c r="K885" i="3"/>
  <c r="K655" i="3"/>
  <c r="K181" i="3"/>
  <c r="K178" i="3"/>
  <c r="K646" i="3"/>
  <c r="K562" i="3"/>
  <c r="K469" i="3"/>
  <c r="K342" i="3"/>
  <c r="K177" i="3"/>
  <c r="K817" i="3"/>
  <c r="K728" i="3"/>
  <c r="K645" i="3"/>
  <c r="K561" i="3"/>
  <c r="K438" i="3"/>
  <c r="K310" i="3"/>
  <c r="K143" i="3"/>
  <c r="K977" i="3"/>
  <c r="K927" i="3"/>
  <c r="K866" i="3"/>
  <c r="K815" i="3"/>
  <c r="K726" i="3"/>
  <c r="K642" i="3"/>
  <c r="K559" i="3"/>
  <c r="K437" i="3"/>
  <c r="K309" i="3"/>
  <c r="K136" i="3"/>
  <c r="K975" i="3"/>
  <c r="K920" i="3"/>
  <c r="K865" i="3"/>
  <c r="K808" i="3"/>
  <c r="K725" i="3"/>
  <c r="K641" i="3"/>
  <c r="K552" i="3"/>
  <c r="K434" i="3"/>
  <c r="K306" i="3"/>
  <c r="K134" i="3"/>
  <c r="K968" i="3"/>
  <c r="K918" i="3"/>
  <c r="K863" i="3"/>
  <c r="K806" i="3"/>
  <c r="K722" i="3"/>
  <c r="K639" i="3"/>
  <c r="K550" i="3"/>
  <c r="K433" i="3"/>
  <c r="K305" i="3"/>
  <c r="K133" i="3"/>
  <c r="K966" i="3"/>
  <c r="K911" i="3"/>
  <c r="K856" i="3"/>
  <c r="K801" i="3"/>
  <c r="K712" i="3"/>
  <c r="K629" i="3"/>
  <c r="K527" i="3"/>
  <c r="K431" i="3"/>
  <c r="K271" i="3"/>
  <c r="K98" i="3"/>
  <c r="K965" i="3"/>
  <c r="K904" i="3"/>
  <c r="K854" i="3"/>
  <c r="K783" i="3"/>
  <c r="K694" i="3"/>
  <c r="K610" i="3"/>
  <c r="K520" i="3"/>
  <c r="K424" i="3"/>
  <c r="K264" i="3"/>
  <c r="K97" i="3"/>
  <c r="K962" i="3"/>
  <c r="K902" i="3"/>
  <c r="K853" i="3"/>
  <c r="K776" i="3"/>
  <c r="K693" i="3"/>
  <c r="K609" i="3"/>
  <c r="K518" i="3"/>
  <c r="K399" i="3"/>
  <c r="K262" i="3"/>
  <c r="K95" i="3"/>
  <c r="K950" i="3"/>
  <c r="K901" i="3"/>
  <c r="K850" i="3"/>
  <c r="K774" i="3"/>
  <c r="K690" i="3"/>
  <c r="K607" i="3"/>
  <c r="K517" i="3"/>
  <c r="K392" i="3"/>
  <c r="K261" i="3"/>
  <c r="K88" i="3"/>
  <c r="K949" i="3"/>
  <c r="K898" i="3"/>
  <c r="K849" i="3"/>
  <c r="K773" i="3"/>
  <c r="K689" i="3"/>
  <c r="K600" i="3"/>
  <c r="K514" i="3"/>
  <c r="K390" i="3"/>
  <c r="K226" i="3"/>
  <c r="K54" i="3"/>
  <c r="K946" i="3"/>
  <c r="K897" i="3"/>
  <c r="K847" i="3"/>
  <c r="K770" i="3"/>
  <c r="K687" i="3"/>
  <c r="K598" i="3"/>
  <c r="K513" i="3"/>
  <c r="K389" i="3"/>
  <c r="K225" i="3"/>
  <c r="K53" i="3"/>
  <c r="K994" i="3"/>
  <c r="K945" i="3"/>
  <c r="K895" i="3"/>
  <c r="K840" i="3"/>
  <c r="K769" i="3"/>
  <c r="K680" i="3"/>
  <c r="K597" i="3"/>
  <c r="K482" i="3"/>
  <c r="K386" i="3"/>
  <c r="K223" i="3"/>
  <c r="K49" i="3"/>
  <c r="K21" i="3"/>
  <c r="K303" i="3"/>
  <c r="K258" i="3"/>
  <c r="K214" i="3"/>
  <c r="K175" i="3"/>
  <c r="K130" i="3"/>
  <c r="K86" i="3"/>
  <c r="K47" i="3"/>
  <c r="K385" i="3"/>
  <c r="K341" i="3"/>
  <c r="K296" i="3"/>
  <c r="K257" i="3"/>
  <c r="K213" i="3"/>
  <c r="K168" i="3"/>
  <c r="K129" i="3"/>
  <c r="K85" i="3"/>
  <c r="K40" i="3"/>
  <c r="K511" i="3"/>
  <c r="K466" i="3"/>
  <c r="K422" i="3"/>
  <c r="K383" i="3"/>
  <c r="K338" i="3"/>
  <c r="K294" i="3"/>
  <c r="K255" i="3"/>
  <c r="K210" i="3"/>
  <c r="K166" i="3"/>
  <c r="K127" i="3"/>
  <c r="K82" i="3"/>
  <c r="K38" i="3"/>
  <c r="K805" i="3"/>
  <c r="K760" i="3"/>
  <c r="K721" i="3"/>
  <c r="K677" i="3"/>
  <c r="K632" i="3"/>
  <c r="K593" i="3"/>
  <c r="K549" i="3"/>
  <c r="K504" i="3"/>
  <c r="K465" i="3"/>
  <c r="K421" i="3"/>
  <c r="K376" i="3"/>
  <c r="K337" i="3"/>
  <c r="K293" i="3"/>
  <c r="K248" i="3"/>
  <c r="K209" i="3"/>
  <c r="K165" i="3"/>
  <c r="K120" i="3"/>
  <c r="K81" i="3"/>
  <c r="K37" i="3"/>
  <c r="K802" i="3"/>
  <c r="K758" i="3"/>
  <c r="K719" i="3"/>
  <c r="K674" i="3"/>
  <c r="K630" i="3"/>
  <c r="K591" i="3"/>
  <c r="K546" i="3"/>
  <c r="K502" i="3"/>
  <c r="K463" i="3"/>
  <c r="K418" i="3"/>
  <c r="K374" i="3"/>
  <c r="K335" i="3"/>
  <c r="K290" i="3"/>
  <c r="K246" i="3"/>
  <c r="K207" i="3"/>
  <c r="K162" i="3"/>
  <c r="K118" i="3"/>
  <c r="K79" i="3"/>
  <c r="K34" i="3"/>
  <c r="K545" i="3"/>
  <c r="K501" i="3"/>
  <c r="K456" i="3"/>
  <c r="K417" i="3"/>
  <c r="K373" i="3"/>
  <c r="K328" i="3"/>
  <c r="K289" i="3"/>
  <c r="K245" i="3"/>
  <c r="K200" i="3"/>
  <c r="K161" i="3"/>
  <c r="K117" i="3"/>
  <c r="K72" i="3"/>
  <c r="K33" i="3"/>
  <c r="K799" i="3"/>
  <c r="K754" i="3"/>
  <c r="K710" i="3"/>
  <c r="K671" i="3"/>
  <c r="K626" i="3"/>
  <c r="K582" i="3"/>
  <c r="K543" i="3"/>
  <c r="K498" i="3"/>
  <c r="K454" i="3"/>
  <c r="K415" i="3"/>
  <c r="K370" i="3"/>
  <c r="K326" i="3"/>
  <c r="K287" i="3"/>
  <c r="K242" i="3"/>
  <c r="K198" i="3"/>
  <c r="K159" i="3"/>
  <c r="K114" i="3"/>
  <c r="K70" i="3"/>
  <c r="K31" i="3"/>
  <c r="K837" i="3"/>
  <c r="K792" i="3"/>
  <c r="K753" i="3"/>
  <c r="K709" i="3"/>
  <c r="K664" i="3"/>
  <c r="K625" i="3"/>
  <c r="K581" i="3"/>
  <c r="K536" i="3"/>
  <c r="K497" i="3"/>
  <c r="K453" i="3"/>
  <c r="K408" i="3"/>
  <c r="K369" i="3"/>
  <c r="K325" i="3"/>
  <c r="K280" i="3"/>
  <c r="K241" i="3"/>
  <c r="K197" i="3"/>
  <c r="K152" i="3"/>
  <c r="K113" i="3"/>
  <c r="K69" i="3"/>
  <c r="K24" i="3"/>
  <c r="K790" i="3"/>
  <c r="K751" i="3"/>
  <c r="K706" i="3"/>
  <c r="K662" i="3"/>
  <c r="K623" i="3"/>
  <c r="K578" i="3"/>
  <c r="K534" i="3"/>
  <c r="K495" i="3"/>
  <c r="K450" i="3"/>
  <c r="K406" i="3"/>
  <c r="K367" i="3"/>
  <c r="K322" i="3"/>
  <c r="K278" i="3"/>
  <c r="K239" i="3"/>
  <c r="K194" i="3"/>
  <c r="K150" i="3"/>
  <c r="K111" i="3"/>
  <c r="K66" i="3"/>
  <c r="K20" i="3"/>
  <c r="K1000" i="3"/>
  <c r="K917" i="3"/>
  <c r="K872" i="3"/>
  <c r="K833" i="3"/>
  <c r="K789" i="3"/>
  <c r="K744" i="3"/>
  <c r="K705" i="3"/>
  <c r="K661" i="3"/>
  <c r="K616" i="3"/>
  <c r="K577" i="3"/>
  <c r="K533" i="3"/>
  <c r="K488" i="3"/>
  <c r="K449" i="3"/>
  <c r="K405" i="3"/>
  <c r="K360" i="3"/>
  <c r="K321" i="3"/>
  <c r="K277" i="3"/>
  <c r="K232" i="3"/>
  <c r="K193" i="3"/>
  <c r="K149" i="3"/>
  <c r="K104" i="3"/>
  <c r="K65" i="3"/>
  <c r="K19" i="3"/>
  <c r="K998" i="3"/>
  <c r="K959" i="3"/>
  <c r="K914" i="3"/>
  <c r="K870" i="3"/>
  <c r="K831" i="3"/>
  <c r="K786" i="3"/>
  <c r="K742" i="3"/>
  <c r="K703" i="3"/>
  <c r="K658" i="3"/>
  <c r="K614" i="3"/>
  <c r="K575" i="3"/>
  <c r="K530" i="3"/>
  <c r="K486" i="3"/>
  <c r="K447" i="3"/>
  <c r="K402" i="3"/>
  <c r="K358" i="3"/>
  <c r="K319" i="3"/>
  <c r="K274" i="3"/>
  <c r="K230" i="3"/>
  <c r="K191" i="3"/>
  <c r="K146" i="3"/>
  <c r="K102" i="3"/>
  <c r="K63" i="3"/>
  <c r="K16" i="3"/>
  <c r="K997" i="3"/>
  <c r="K952" i="3"/>
  <c r="K913" i="3"/>
  <c r="K869" i="3"/>
  <c r="K824" i="3"/>
  <c r="K785" i="3"/>
  <c r="K741" i="3"/>
  <c r="K696" i="3"/>
  <c r="K657" i="3"/>
  <c r="K613" i="3"/>
  <c r="K568" i="3"/>
  <c r="K529" i="3"/>
  <c r="K485" i="3"/>
  <c r="K440" i="3"/>
  <c r="K401" i="3"/>
  <c r="K357" i="3"/>
  <c r="K312" i="3"/>
  <c r="K273" i="3"/>
  <c r="K229" i="3"/>
  <c r="K184" i="3"/>
  <c r="K145" i="3"/>
  <c r="K101" i="3"/>
  <c r="K56" i="3"/>
  <c r="K15" i="3"/>
  <c r="S16" i="3"/>
  <c r="S32" i="3"/>
  <c r="S48" i="3"/>
  <c r="S64" i="3"/>
  <c r="S80" i="3"/>
  <c r="S96" i="3"/>
  <c r="S112" i="3"/>
  <c r="S128" i="3"/>
  <c r="S144" i="3"/>
  <c r="S160" i="3"/>
  <c r="S176" i="3"/>
  <c r="S192" i="3"/>
  <c r="S208" i="3"/>
  <c r="S224" i="3"/>
  <c r="S240" i="3"/>
  <c r="S256" i="3"/>
  <c r="S272" i="3"/>
  <c r="S288" i="3"/>
  <c r="S304" i="3"/>
  <c r="S320" i="3"/>
  <c r="S336" i="3"/>
  <c r="AL6" i="3"/>
  <c r="S18" i="3"/>
  <c r="S34" i="3"/>
  <c r="S50" i="3"/>
  <c r="S66" i="3"/>
  <c r="S82" i="3"/>
  <c r="S98" i="3"/>
  <c r="S114" i="3"/>
  <c r="S130" i="3"/>
  <c r="S146" i="3"/>
  <c r="S162" i="3"/>
  <c r="S178" i="3"/>
  <c r="S194" i="3"/>
  <c r="S210" i="3"/>
  <c r="S226" i="3"/>
  <c r="S242" i="3"/>
  <c r="S258" i="3"/>
  <c r="S274" i="3"/>
  <c r="S290" i="3"/>
  <c r="S306" i="3"/>
  <c r="S322" i="3"/>
  <c r="S338" i="3"/>
  <c r="S19" i="3"/>
  <c r="S35" i="3"/>
  <c r="S51" i="3"/>
  <c r="S67" i="3"/>
  <c r="S83" i="3"/>
  <c r="S99" i="3"/>
  <c r="S115" i="3"/>
  <c r="S131" i="3"/>
  <c r="S147" i="3"/>
  <c r="S163" i="3"/>
  <c r="S179" i="3"/>
  <c r="S195" i="3"/>
  <c r="S211" i="3"/>
  <c r="S227" i="3"/>
  <c r="S243" i="3"/>
  <c r="S259" i="3"/>
  <c r="S275" i="3"/>
  <c r="S291" i="3"/>
  <c r="S307" i="3"/>
  <c r="S323" i="3"/>
  <c r="S20" i="3"/>
  <c r="S36" i="3"/>
  <c r="S52" i="3"/>
  <c r="S68" i="3"/>
  <c r="S84" i="3"/>
  <c r="S100" i="3"/>
  <c r="S116" i="3"/>
  <c r="S132" i="3"/>
  <c r="S148" i="3"/>
  <c r="S164" i="3"/>
  <c r="S180" i="3"/>
  <c r="S196" i="3"/>
  <c r="S212" i="3"/>
  <c r="S228" i="3"/>
  <c r="S244" i="3"/>
  <c r="S260" i="3"/>
  <c r="S276" i="3"/>
  <c r="S292" i="3"/>
  <c r="S308" i="3"/>
  <c r="S324" i="3"/>
  <c r="S21" i="3"/>
  <c r="S37" i="3"/>
  <c r="S53" i="3"/>
  <c r="S69" i="3"/>
  <c r="S85" i="3"/>
  <c r="S101" i="3"/>
  <c r="S117" i="3"/>
  <c r="S133" i="3"/>
  <c r="S149" i="3"/>
  <c r="S165" i="3"/>
  <c r="S181" i="3"/>
  <c r="S197" i="3"/>
  <c r="S213" i="3"/>
  <c r="S229" i="3"/>
  <c r="S245" i="3"/>
  <c r="S261" i="3"/>
  <c r="S277" i="3"/>
  <c r="S293" i="3"/>
  <c r="S309" i="3"/>
  <c r="S22" i="3"/>
  <c r="S38" i="3"/>
  <c r="S54" i="3"/>
  <c r="S70" i="3"/>
  <c r="S86" i="3"/>
  <c r="S102" i="3"/>
  <c r="S118" i="3"/>
  <c r="S134" i="3"/>
  <c r="S150" i="3"/>
  <c r="S166" i="3"/>
  <c r="S182" i="3"/>
  <c r="S198" i="3"/>
  <c r="S214" i="3"/>
  <c r="S230" i="3"/>
  <c r="S246" i="3"/>
  <c r="S262" i="3"/>
  <c r="S278" i="3"/>
  <c r="S294" i="3"/>
  <c r="S310" i="3"/>
  <c r="S326" i="3"/>
  <c r="S7" i="3"/>
  <c r="S23" i="3"/>
  <c r="S39" i="3"/>
  <c r="S55" i="3"/>
  <c r="S71" i="3"/>
  <c r="S87" i="3"/>
  <c r="S103" i="3"/>
  <c r="S119" i="3"/>
  <c r="S135" i="3"/>
  <c r="S151" i="3"/>
  <c r="S167" i="3"/>
  <c r="S183" i="3"/>
  <c r="S199" i="3"/>
  <c r="S215" i="3"/>
  <c r="S231" i="3"/>
  <c r="S247" i="3"/>
  <c r="S263" i="3"/>
  <c r="S279" i="3"/>
  <c r="S295" i="3"/>
  <c r="S311" i="3"/>
  <c r="S327" i="3"/>
  <c r="S9" i="3"/>
  <c r="S25" i="3"/>
  <c r="S41" i="3"/>
  <c r="S57" i="3"/>
  <c r="S73" i="3"/>
  <c r="S89" i="3"/>
  <c r="S105" i="3"/>
  <c r="S121" i="3"/>
  <c r="S137" i="3"/>
  <c r="S153" i="3"/>
  <c r="S169" i="3"/>
  <c r="S185" i="3"/>
  <c r="S201" i="3"/>
  <c r="S217" i="3"/>
  <c r="S233" i="3"/>
  <c r="S249" i="3"/>
  <c r="S265" i="3"/>
  <c r="S281" i="3"/>
  <c r="S297" i="3"/>
  <c r="S313" i="3"/>
  <c r="S329" i="3"/>
  <c r="S12" i="3"/>
  <c r="S28" i="3"/>
  <c r="S44" i="3"/>
  <c r="S60" i="3"/>
  <c r="S76" i="3"/>
  <c r="S92" i="3"/>
  <c r="S108" i="3"/>
  <c r="S124" i="3"/>
  <c r="S140" i="3"/>
  <c r="S156" i="3"/>
  <c r="S172" i="3"/>
  <c r="S188" i="3"/>
  <c r="S204" i="3"/>
  <c r="S220" i="3"/>
  <c r="S236" i="3"/>
  <c r="S252" i="3"/>
  <c r="S268" i="3"/>
  <c r="S284" i="3"/>
  <c r="S300" i="3"/>
  <c r="S316" i="3"/>
  <c r="S332" i="3"/>
  <c r="S13" i="3"/>
  <c r="S29" i="3"/>
  <c r="S45" i="3"/>
  <c r="S61" i="3"/>
  <c r="S77" i="3"/>
  <c r="S93" i="3"/>
  <c r="S109" i="3"/>
  <c r="S125" i="3"/>
  <c r="S141" i="3"/>
  <c r="S157" i="3"/>
  <c r="S173" i="3"/>
  <c r="S189" i="3"/>
  <c r="S205" i="3"/>
  <c r="S221" i="3"/>
  <c r="S237" i="3"/>
  <c r="S253" i="3"/>
  <c r="S269" i="3"/>
  <c r="S285" i="3"/>
  <c r="S301" i="3"/>
  <c r="S317" i="3"/>
  <c r="S333" i="3"/>
  <c r="AJ6" i="3"/>
  <c r="AK6" i="3"/>
  <c r="K996" i="3"/>
  <c r="K980" i="3"/>
  <c r="K964" i="3"/>
  <c r="K948" i="3"/>
  <c r="K932" i="3"/>
  <c r="K916" i="3"/>
  <c r="K900" i="3"/>
  <c r="K884" i="3"/>
  <c r="K868" i="3"/>
  <c r="K852" i="3"/>
  <c r="K836" i="3"/>
  <c r="K820" i="3"/>
  <c r="K804" i="3"/>
  <c r="K788" i="3"/>
  <c r="K772" i="3"/>
  <c r="K756" i="3"/>
  <c r="K740" i="3"/>
  <c r="K724" i="3"/>
  <c r="K708" i="3"/>
  <c r="K692" i="3"/>
  <c r="K676" i="3"/>
  <c r="K660" i="3"/>
  <c r="K644" i="3"/>
  <c r="K628" i="3"/>
  <c r="K612" i="3"/>
  <c r="K596" i="3"/>
  <c r="K580" i="3"/>
  <c r="K564" i="3"/>
  <c r="K548" i="3"/>
  <c r="K532" i="3"/>
  <c r="K516" i="3"/>
  <c r="K500" i="3"/>
  <c r="K484" i="3"/>
  <c r="K468" i="3"/>
  <c r="K452" i="3"/>
  <c r="K436" i="3"/>
  <c r="K420" i="3"/>
  <c r="K404" i="3"/>
  <c r="K388" i="3"/>
  <c r="K372" i="3"/>
  <c r="K356" i="3"/>
  <c r="K340" i="3"/>
  <c r="K324" i="3"/>
  <c r="K308" i="3"/>
  <c r="K292" i="3"/>
  <c r="K276" i="3"/>
  <c r="K260" i="3"/>
  <c r="K244" i="3"/>
  <c r="K228" i="3"/>
  <c r="K212" i="3"/>
  <c r="K196" i="3"/>
  <c r="K180" i="3"/>
  <c r="K164" i="3"/>
  <c r="K148" i="3"/>
  <c r="K132" i="3"/>
  <c r="K116" i="3"/>
  <c r="K100" i="3"/>
  <c r="K84" i="3"/>
  <c r="K68" i="3"/>
  <c r="K52" i="3"/>
  <c r="K36" i="3"/>
  <c r="K18" i="3"/>
  <c r="K995" i="3"/>
  <c r="K979" i="3"/>
  <c r="K963" i="3"/>
  <c r="K947" i="3"/>
  <c r="K931" i="3"/>
  <c r="K915" i="3"/>
  <c r="K899" i="3"/>
  <c r="K883" i="3"/>
  <c r="K867" i="3"/>
  <c r="K851" i="3"/>
  <c r="K835" i="3"/>
  <c r="K819" i="3"/>
  <c r="K803" i="3"/>
  <c r="K787" i="3"/>
  <c r="K771" i="3"/>
  <c r="K755" i="3"/>
  <c r="K739" i="3"/>
  <c r="K723" i="3"/>
  <c r="K707" i="3"/>
  <c r="K691" i="3"/>
  <c r="K675" i="3"/>
  <c r="K659" i="3"/>
  <c r="K643" i="3"/>
  <c r="K627" i="3"/>
  <c r="K611" i="3"/>
  <c r="K595" i="3"/>
  <c r="K579" i="3"/>
  <c r="K563" i="3"/>
  <c r="K547" i="3"/>
  <c r="K531" i="3"/>
  <c r="K515" i="3"/>
  <c r="K499" i="3"/>
  <c r="K483" i="3"/>
  <c r="K467" i="3"/>
  <c r="K451" i="3"/>
  <c r="K435" i="3"/>
  <c r="K419" i="3"/>
  <c r="K403" i="3"/>
  <c r="K387" i="3"/>
  <c r="K371" i="3"/>
  <c r="K355" i="3"/>
  <c r="K339" i="3"/>
  <c r="K323" i="3"/>
  <c r="K307" i="3"/>
  <c r="K291" i="3"/>
  <c r="K275" i="3"/>
  <c r="K259" i="3"/>
  <c r="K243" i="3"/>
  <c r="K227" i="3"/>
  <c r="K211" i="3"/>
  <c r="K195" i="3"/>
  <c r="K179" i="3"/>
  <c r="K163" i="3"/>
  <c r="K147" i="3"/>
  <c r="K131" i="3"/>
  <c r="K115" i="3"/>
  <c r="K99" i="3"/>
  <c r="K83" i="3"/>
  <c r="K67" i="3"/>
  <c r="K51" i="3"/>
  <c r="K35" i="3"/>
  <c r="K17" i="3"/>
  <c r="K992" i="3"/>
  <c r="K976" i="3"/>
  <c r="K960" i="3"/>
  <c r="K944" i="3"/>
  <c r="K928" i="3"/>
  <c r="K912" i="3"/>
  <c r="K896" i="3"/>
  <c r="K880" i="3"/>
  <c r="K864" i="3"/>
  <c r="K848" i="3"/>
  <c r="K832" i="3"/>
  <c r="K816" i="3"/>
  <c r="K800" i="3"/>
  <c r="K784" i="3"/>
  <c r="K768" i="3"/>
  <c r="K752" i="3"/>
  <c r="K736" i="3"/>
  <c r="K720" i="3"/>
  <c r="K704" i="3"/>
  <c r="K688" i="3"/>
  <c r="K672" i="3"/>
  <c r="K656" i="3"/>
  <c r="K640" i="3"/>
  <c r="K624" i="3"/>
  <c r="K608" i="3"/>
  <c r="K592" i="3"/>
  <c r="K576" i="3"/>
  <c r="K560" i="3"/>
  <c r="K544" i="3"/>
  <c r="K528" i="3"/>
  <c r="K512" i="3"/>
  <c r="K496" i="3"/>
  <c r="K480" i="3"/>
  <c r="K464" i="3"/>
  <c r="K448" i="3"/>
  <c r="K432" i="3"/>
  <c r="K416" i="3"/>
  <c r="K400" i="3"/>
  <c r="K384" i="3"/>
  <c r="K368" i="3"/>
  <c r="K352" i="3"/>
  <c r="K336" i="3"/>
  <c r="K320" i="3"/>
  <c r="K304" i="3"/>
  <c r="K288" i="3"/>
  <c r="K272" i="3"/>
  <c r="K256" i="3"/>
  <c r="K240" i="3"/>
  <c r="K224" i="3"/>
  <c r="K208" i="3"/>
  <c r="K192" i="3"/>
  <c r="K176" i="3"/>
  <c r="K160" i="3"/>
  <c r="K144" i="3"/>
  <c r="K128" i="3"/>
  <c r="K112" i="3"/>
  <c r="K96" i="3"/>
  <c r="K80" i="3"/>
  <c r="K64" i="3"/>
  <c r="K48" i="3"/>
  <c r="K32" i="3"/>
  <c r="K14" i="3"/>
  <c r="K990" i="3"/>
  <c r="K974" i="3"/>
  <c r="K958" i="3"/>
  <c r="K942" i="3"/>
  <c r="K926" i="3"/>
  <c r="K910" i="3"/>
  <c r="K894" i="3"/>
  <c r="K878" i="3"/>
  <c r="K862" i="3"/>
  <c r="K846" i="3"/>
  <c r="K830" i="3"/>
  <c r="K814" i="3"/>
  <c r="K798" i="3"/>
  <c r="K782" i="3"/>
  <c r="K766" i="3"/>
  <c r="K750" i="3"/>
  <c r="K734" i="3"/>
  <c r="K718" i="3"/>
  <c r="K702" i="3"/>
  <c r="K686" i="3"/>
  <c r="K670" i="3"/>
  <c r="K654" i="3"/>
  <c r="K638" i="3"/>
  <c r="K622" i="3"/>
  <c r="K606" i="3"/>
  <c r="K590" i="3"/>
  <c r="K574" i="3"/>
  <c r="K558" i="3"/>
  <c r="K542" i="3"/>
  <c r="K526" i="3"/>
  <c r="K510" i="3"/>
  <c r="K494" i="3"/>
  <c r="K478" i="3"/>
  <c r="K462" i="3"/>
  <c r="K446" i="3"/>
  <c r="K430" i="3"/>
  <c r="K414" i="3"/>
  <c r="K398" i="3"/>
  <c r="K382" i="3"/>
  <c r="K366" i="3"/>
  <c r="K350" i="3"/>
  <c r="K334" i="3"/>
  <c r="K318" i="3"/>
  <c r="K302" i="3"/>
  <c r="K286" i="3"/>
  <c r="K270" i="3"/>
  <c r="K254" i="3"/>
  <c r="K238" i="3"/>
  <c r="K222" i="3"/>
  <c r="K206" i="3"/>
  <c r="K190" i="3"/>
  <c r="K174" i="3"/>
  <c r="K158" i="3"/>
  <c r="K142" i="3"/>
  <c r="K126" i="3"/>
  <c r="K110" i="3"/>
  <c r="K94" i="3"/>
  <c r="K78" i="3"/>
  <c r="K62" i="3"/>
  <c r="K46" i="3"/>
  <c r="K30" i="3"/>
  <c r="K12" i="3"/>
  <c r="K1005" i="3"/>
  <c r="K989" i="3"/>
  <c r="K973" i="3"/>
  <c r="K957" i="3"/>
  <c r="K941" i="3"/>
  <c r="K925" i="3"/>
  <c r="K909" i="3"/>
  <c r="K893" i="3"/>
  <c r="K877" i="3"/>
  <c r="K861" i="3"/>
  <c r="K845" i="3"/>
  <c r="K829" i="3"/>
  <c r="K813" i="3"/>
  <c r="K797" i="3"/>
  <c r="K781" i="3"/>
  <c r="K765" i="3"/>
  <c r="K749" i="3"/>
  <c r="K733" i="3"/>
  <c r="K717" i="3"/>
  <c r="K701" i="3"/>
  <c r="K685" i="3"/>
  <c r="K669" i="3"/>
  <c r="K653" i="3"/>
  <c r="K637" i="3"/>
  <c r="K621" i="3"/>
  <c r="K605" i="3"/>
  <c r="K589" i="3"/>
  <c r="K573" i="3"/>
  <c r="K557" i="3"/>
  <c r="K541" i="3"/>
  <c r="K525" i="3"/>
  <c r="K509" i="3"/>
  <c r="K493" i="3"/>
  <c r="K477" i="3"/>
  <c r="K461" i="3"/>
  <c r="K445" i="3"/>
  <c r="K429" i="3"/>
  <c r="K413" i="3"/>
  <c r="K397" i="3"/>
  <c r="K381" i="3"/>
  <c r="K365" i="3"/>
  <c r="K349" i="3"/>
  <c r="K333" i="3"/>
  <c r="K317" i="3"/>
  <c r="K301" i="3"/>
  <c r="K285" i="3"/>
  <c r="K269" i="3"/>
  <c r="K253" i="3"/>
  <c r="K237" i="3"/>
  <c r="K221" i="3"/>
  <c r="K205" i="3"/>
  <c r="K189" i="3"/>
  <c r="K173" i="3"/>
  <c r="K157" i="3"/>
  <c r="K141" i="3"/>
  <c r="K125" i="3"/>
  <c r="K109" i="3"/>
  <c r="K93" i="3"/>
  <c r="K77" i="3"/>
  <c r="K61" i="3"/>
  <c r="K45" i="3"/>
  <c r="K29" i="3"/>
  <c r="K11" i="3"/>
  <c r="K1004" i="3"/>
  <c r="K988" i="3"/>
  <c r="K972" i="3"/>
  <c r="K956" i="3"/>
  <c r="K940" i="3"/>
  <c r="K924" i="3"/>
  <c r="K908" i="3"/>
  <c r="K892" i="3"/>
  <c r="K876" i="3"/>
  <c r="K860" i="3"/>
  <c r="K844" i="3"/>
  <c r="K828" i="3"/>
  <c r="K812" i="3"/>
  <c r="K796" i="3"/>
  <c r="K780" i="3"/>
  <c r="K764" i="3"/>
  <c r="K748" i="3"/>
  <c r="K732" i="3"/>
  <c r="K716" i="3"/>
  <c r="K700" i="3"/>
  <c r="K684" i="3"/>
  <c r="K668" i="3"/>
  <c r="K652" i="3"/>
  <c r="K636" i="3"/>
  <c r="K620" i="3"/>
  <c r="K604" i="3"/>
  <c r="K588" i="3"/>
  <c r="K572" i="3"/>
  <c r="K556" i="3"/>
  <c r="K540" i="3"/>
  <c r="K524" i="3"/>
  <c r="K508" i="3"/>
  <c r="K492" i="3"/>
  <c r="K476" i="3"/>
  <c r="K460" i="3"/>
  <c r="K444" i="3"/>
  <c r="K428" i="3"/>
  <c r="K412" i="3"/>
  <c r="K396" i="3"/>
  <c r="K380" i="3"/>
  <c r="K364" i="3"/>
  <c r="K348" i="3"/>
  <c r="K332" i="3"/>
  <c r="K316" i="3"/>
  <c r="K300" i="3"/>
  <c r="K284" i="3"/>
  <c r="K268" i="3"/>
  <c r="K252" i="3"/>
  <c r="K236" i="3"/>
  <c r="K220" i="3"/>
  <c r="K204" i="3"/>
  <c r="K188" i="3"/>
  <c r="K172" i="3"/>
  <c r="K156" i="3"/>
  <c r="K140" i="3"/>
  <c r="K124" i="3"/>
  <c r="K108" i="3"/>
  <c r="K92" i="3"/>
  <c r="K76" i="3"/>
  <c r="K60" i="3"/>
  <c r="K44" i="3"/>
  <c r="K28" i="3"/>
  <c r="K10" i="3"/>
  <c r="K1003" i="3"/>
  <c r="K987" i="3"/>
  <c r="K971" i="3"/>
  <c r="K955" i="3"/>
  <c r="K939" i="3"/>
  <c r="K923" i="3"/>
  <c r="K907" i="3"/>
  <c r="K891" i="3"/>
  <c r="K875" i="3"/>
  <c r="K859" i="3"/>
  <c r="K843" i="3"/>
  <c r="K827" i="3"/>
  <c r="K811" i="3"/>
  <c r="K795" i="3"/>
  <c r="K779" i="3"/>
  <c r="K763" i="3"/>
  <c r="K747" i="3"/>
  <c r="K731" i="3"/>
  <c r="K715" i="3"/>
  <c r="K699" i="3"/>
  <c r="K683" i="3"/>
  <c r="K667" i="3"/>
  <c r="K651" i="3"/>
  <c r="K635" i="3"/>
  <c r="K619" i="3"/>
  <c r="K603" i="3"/>
  <c r="K587" i="3"/>
  <c r="K571" i="3"/>
  <c r="K555" i="3"/>
  <c r="K539" i="3"/>
  <c r="K523" i="3"/>
  <c r="K507" i="3"/>
  <c r="K491" i="3"/>
  <c r="K475" i="3"/>
  <c r="K459" i="3"/>
  <c r="K443" i="3"/>
  <c r="K427" i="3"/>
  <c r="K411" i="3"/>
  <c r="K395" i="3"/>
  <c r="K379" i="3"/>
  <c r="K363" i="3"/>
  <c r="K347" i="3"/>
  <c r="K331" i="3"/>
  <c r="K315" i="3"/>
  <c r="K299" i="3"/>
  <c r="K283" i="3"/>
  <c r="K267" i="3"/>
  <c r="K251" i="3"/>
  <c r="K235" i="3"/>
  <c r="K219" i="3"/>
  <c r="K203" i="3"/>
  <c r="K187" i="3"/>
  <c r="K171" i="3"/>
  <c r="K155" i="3"/>
  <c r="K139" i="3"/>
  <c r="K123" i="3"/>
  <c r="K107" i="3"/>
  <c r="K91" i="3"/>
  <c r="K75" i="3"/>
  <c r="K59" i="3"/>
  <c r="K43" i="3"/>
  <c r="K27" i="3"/>
  <c r="K9" i="3"/>
  <c r="K1002" i="3"/>
  <c r="K986" i="3"/>
  <c r="K970" i="3"/>
  <c r="K954" i="3"/>
  <c r="K938" i="3"/>
  <c r="K922" i="3"/>
  <c r="K906" i="3"/>
  <c r="K890" i="3"/>
  <c r="K874" i="3"/>
  <c r="K858" i="3"/>
  <c r="K842" i="3"/>
  <c r="K826" i="3"/>
  <c r="K810" i="3"/>
  <c r="K794" i="3"/>
  <c r="K778" i="3"/>
  <c r="K762" i="3"/>
  <c r="K746" i="3"/>
  <c r="K730" i="3"/>
  <c r="K714" i="3"/>
  <c r="K698" i="3"/>
  <c r="K682" i="3"/>
  <c r="K666" i="3"/>
  <c r="K650" i="3"/>
  <c r="K634" i="3"/>
  <c r="K618" i="3"/>
  <c r="K602" i="3"/>
  <c r="K586" i="3"/>
  <c r="K570" i="3"/>
  <c r="K554" i="3"/>
  <c r="K538" i="3"/>
  <c r="K522" i="3"/>
  <c r="K506" i="3"/>
  <c r="K490" i="3"/>
  <c r="K474" i="3"/>
  <c r="K458" i="3"/>
  <c r="K442" i="3"/>
  <c r="K426" i="3"/>
  <c r="K410" i="3"/>
  <c r="K394" i="3"/>
  <c r="K378" i="3"/>
  <c r="K362" i="3"/>
  <c r="K346" i="3"/>
  <c r="K330" i="3"/>
  <c r="K314" i="3"/>
  <c r="K298" i="3"/>
  <c r="K282" i="3"/>
  <c r="K266" i="3"/>
  <c r="K250" i="3"/>
  <c r="K234" i="3"/>
  <c r="K218" i="3"/>
  <c r="K202" i="3"/>
  <c r="K186" i="3"/>
  <c r="K170" i="3"/>
  <c r="K154" i="3"/>
  <c r="K138" i="3"/>
  <c r="K122" i="3"/>
  <c r="K106" i="3"/>
  <c r="K90" i="3"/>
  <c r="K74" i="3"/>
  <c r="K58" i="3"/>
  <c r="K42" i="3"/>
  <c r="K26" i="3"/>
  <c r="K8" i="3"/>
  <c r="K1001" i="3"/>
  <c r="K985" i="3"/>
  <c r="K969" i="3"/>
  <c r="K953" i="3"/>
  <c r="K937" i="3"/>
  <c r="K921" i="3"/>
  <c r="K905" i="3"/>
  <c r="K889" i="3"/>
  <c r="K873" i="3"/>
  <c r="K857" i="3"/>
  <c r="K841" i="3"/>
  <c r="K825" i="3"/>
  <c r="K809" i="3"/>
  <c r="K793" i="3"/>
  <c r="K777" i="3"/>
  <c r="K761" i="3"/>
  <c r="K745" i="3"/>
  <c r="K729" i="3"/>
  <c r="K713" i="3"/>
  <c r="K697" i="3"/>
  <c r="K681" i="3"/>
  <c r="K665" i="3"/>
  <c r="K649" i="3"/>
  <c r="K633" i="3"/>
  <c r="K617" i="3"/>
  <c r="K601" i="3"/>
  <c r="K585" i="3"/>
  <c r="K569" i="3"/>
  <c r="K553" i="3"/>
  <c r="K537" i="3"/>
  <c r="K521" i="3"/>
  <c r="K505" i="3"/>
  <c r="K489" i="3"/>
  <c r="K473" i="3"/>
  <c r="K457" i="3"/>
  <c r="K441" i="3"/>
  <c r="K425" i="3"/>
  <c r="K409" i="3"/>
  <c r="K393" i="3"/>
  <c r="K377" i="3"/>
  <c r="K361" i="3"/>
  <c r="K345" i="3"/>
  <c r="K329" i="3"/>
  <c r="K313" i="3"/>
  <c r="K297" i="3"/>
  <c r="K281" i="3"/>
  <c r="K265" i="3"/>
  <c r="K249" i="3"/>
  <c r="K233" i="3"/>
  <c r="K217" i="3"/>
  <c r="K201" i="3"/>
  <c r="K185" i="3"/>
  <c r="K169" i="3"/>
  <c r="K153" i="3"/>
  <c r="K137" i="3"/>
  <c r="K121" i="3"/>
  <c r="K105" i="3"/>
  <c r="K89" i="3"/>
  <c r="K73" i="3"/>
  <c r="K57" i="3"/>
  <c r="K41" i="3"/>
  <c r="K25" i="3"/>
  <c r="K7" i="3"/>
  <c r="K999" i="3"/>
  <c r="K983" i="3"/>
  <c r="K967" i="3"/>
  <c r="K951" i="3"/>
  <c r="K935" i="3"/>
  <c r="K919" i="3"/>
  <c r="K903" i="3"/>
  <c r="K887" i="3"/>
  <c r="K871" i="3"/>
  <c r="K855" i="3"/>
  <c r="K839" i="3"/>
  <c r="K823" i="3"/>
  <c r="K807" i="3"/>
  <c r="K791" i="3"/>
  <c r="K775" i="3"/>
  <c r="K759" i="3"/>
  <c r="K743" i="3"/>
  <c r="K727" i="3"/>
  <c r="K711" i="3"/>
  <c r="K695" i="3"/>
  <c r="K679" i="3"/>
  <c r="K663" i="3"/>
  <c r="K647" i="3"/>
  <c r="K631" i="3"/>
  <c r="K615" i="3"/>
  <c r="K599" i="3"/>
  <c r="K583" i="3"/>
  <c r="K567" i="3"/>
  <c r="K551" i="3"/>
  <c r="K535" i="3"/>
  <c r="K519" i="3"/>
  <c r="K503" i="3"/>
  <c r="K487" i="3"/>
  <c r="K471" i="3"/>
  <c r="K455" i="3"/>
  <c r="K439" i="3"/>
  <c r="K423" i="3"/>
  <c r="K407" i="3"/>
  <c r="K391" i="3"/>
  <c r="K375" i="3"/>
  <c r="K359" i="3"/>
  <c r="K343" i="3"/>
  <c r="K327" i="3"/>
  <c r="K311" i="3"/>
  <c r="K295" i="3"/>
  <c r="K279" i="3"/>
  <c r="K263" i="3"/>
  <c r="K247" i="3"/>
  <c r="K231" i="3"/>
  <c r="K215" i="3"/>
  <c r="K199" i="3"/>
  <c r="K183" i="3"/>
  <c r="K167" i="3"/>
  <c r="K151" i="3"/>
  <c r="K135" i="3"/>
  <c r="K119" i="3"/>
  <c r="K103" i="3"/>
  <c r="K87" i="3"/>
  <c r="K71" i="3"/>
  <c r="K55" i="3"/>
  <c r="K39" i="3"/>
  <c r="K23" i="3"/>
  <c r="K22" i="3"/>
  <c r="H28" i="1"/>
  <c r="E10" i="3" s="1"/>
  <c r="V7" i="3"/>
  <c r="V8" i="3" s="1"/>
  <c r="V9" i="3" s="1"/>
  <c r="V10" i="3" s="1"/>
  <c r="V11" i="3" s="1"/>
  <c r="V12" i="3" s="1"/>
  <c r="V13" i="3" s="1"/>
  <c r="V14" i="3" s="1"/>
  <c r="V15" i="3" s="1"/>
  <c r="V16" i="3" s="1"/>
  <c r="V17" i="3" s="1"/>
  <c r="V18" i="3" s="1"/>
  <c r="V19" i="3" s="1"/>
  <c r="V20" i="3" s="1"/>
  <c r="V21" i="3" s="1"/>
  <c r="V22" i="3" s="1"/>
  <c r="V23" i="3" s="1"/>
  <c r="V24" i="3" s="1"/>
  <c r="V25" i="3" s="1"/>
  <c r="V26" i="3" s="1"/>
  <c r="V27" i="3" s="1"/>
  <c r="V28" i="3" s="1"/>
  <c r="V29" i="3" s="1"/>
  <c r="V30" i="3" s="1"/>
  <c r="V31" i="3" s="1"/>
  <c r="V32" i="3" s="1"/>
  <c r="V33" i="3" s="1"/>
  <c r="V34" i="3" s="1"/>
  <c r="V35" i="3" s="1"/>
  <c r="V36" i="3" s="1"/>
  <c r="V37" i="3" s="1"/>
  <c r="V38" i="3" s="1"/>
  <c r="V39" i="3" s="1"/>
  <c r="V40" i="3" s="1"/>
  <c r="V41" i="3" s="1"/>
  <c r="V42" i="3" s="1"/>
  <c r="V43" i="3" s="1"/>
  <c r="V44" i="3" s="1"/>
  <c r="V45" i="3" s="1"/>
  <c r="V46" i="3" s="1"/>
  <c r="V47" i="3" s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V70" i="3" s="1"/>
  <c r="V71" i="3" s="1"/>
  <c r="V72" i="3" s="1"/>
  <c r="V73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V105" i="3" s="1"/>
  <c r="V106" i="3" s="1"/>
  <c r="V107" i="3" s="1"/>
  <c r="V108" i="3" s="1"/>
  <c r="V109" i="3" s="1"/>
  <c r="V110" i="3" s="1"/>
  <c r="V111" i="3" s="1"/>
  <c r="V112" i="3" s="1"/>
  <c r="V113" i="3" s="1"/>
  <c r="V114" i="3" s="1"/>
  <c r="V115" i="3" s="1"/>
  <c r="V116" i="3" s="1"/>
  <c r="V117" i="3" s="1"/>
  <c r="V118" i="3" s="1"/>
  <c r="V119" i="3" s="1"/>
  <c r="V120" i="3" s="1"/>
  <c r="V121" i="3" s="1"/>
  <c r="V122" i="3" s="1"/>
  <c r="V123" i="3" s="1"/>
  <c r="V124" i="3" s="1"/>
  <c r="V125" i="3" s="1"/>
  <c r="V126" i="3" s="1"/>
  <c r="V127" i="3" s="1"/>
  <c r="V128" i="3" s="1"/>
  <c r="V129" i="3" s="1"/>
  <c r="V130" i="3" s="1"/>
  <c r="V131" i="3" s="1"/>
  <c r="V132" i="3" s="1"/>
  <c r="V133" i="3" s="1"/>
  <c r="V134" i="3" s="1"/>
  <c r="V135" i="3" s="1"/>
  <c r="V136" i="3" s="1"/>
  <c r="V137" i="3" s="1"/>
  <c r="V138" i="3" s="1"/>
  <c r="V139" i="3" s="1"/>
  <c r="V140" i="3" s="1"/>
  <c r="V141" i="3" s="1"/>
  <c r="V142" i="3" s="1"/>
  <c r="V143" i="3" s="1"/>
  <c r="V144" i="3" s="1"/>
  <c r="V145" i="3" s="1"/>
  <c r="V146" i="3" s="1"/>
  <c r="V147" i="3" s="1"/>
  <c r="V148" i="3" s="1"/>
  <c r="V149" i="3" s="1"/>
  <c r="V150" i="3" s="1"/>
  <c r="V151" i="3" s="1"/>
  <c r="V152" i="3" s="1"/>
  <c r="V153" i="3" s="1"/>
  <c r="V154" i="3" s="1"/>
  <c r="V155" i="3" s="1"/>
  <c r="V156" i="3" s="1"/>
  <c r="V157" i="3" s="1"/>
  <c r="V158" i="3" s="1"/>
  <c r="V159" i="3" s="1"/>
  <c r="V160" i="3" s="1"/>
  <c r="V161" i="3" s="1"/>
  <c r="V162" i="3" s="1"/>
  <c r="V163" i="3" s="1"/>
  <c r="V164" i="3" s="1"/>
  <c r="V165" i="3" s="1"/>
  <c r="V166" i="3" s="1"/>
  <c r="V167" i="3" s="1"/>
  <c r="V168" i="3" s="1"/>
  <c r="V169" i="3" s="1"/>
  <c r="V170" i="3" s="1"/>
  <c r="V171" i="3" s="1"/>
  <c r="V172" i="3" s="1"/>
  <c r="V173" i="3" s="1"/>
  <c r="V174" i="3" s="1"/>
  <c r="V175" i="3" s="1"/>
  <c r="V176" i="3" s="1"/>
  <c r="V177" i="3" s="1"/>
  <c r="V178" i="3" s="1"/>
  <c r="V179" i="3" s="1"/>
  <c r="V180" i="3" s="1"/>
  <c r="V181" i="3" s="1"/>
  <c r="V182" i="3" s="1"/>
  <c r="V183" i="3" s="1"/>
  <c r="V184" i="3" s="1"/>
  <c r="V185" i="3" s="1"/>
  <c r="V186" i="3" s="1"/>
  <c r="V187" i="3" s="1"/>
  <c r="V188" i="3" s="1"/>
  <c r="V189" i="3" s="1"/>
  <c r="V190" i="3" s="1"/>
  <c r="V191" i="3" s="1"/>
  <c r="V192" i="3" s="1"/>
  <c r="V193" i="3" s="1"/>
  <c r="V194" i="3" s="1"/>
  <c r="V195" i="3" s="1"/>
  <c r="V196" i="3" s="1"/>
  <c r="V197" i="3" s="1"/>
  <c r="V198" i="3" s="1"/>
  <c r="V199" i="3" s="1"/>
  <c r="V200" i="3" s="1"/>
  <c r="V201" i="3" s="1"/>
  <c r="V202" i="3" s="1"/>
  <c r="V203" i="3" s="1"/>
  <c r="V204" i="3" s="1"/>
  <c r="V205" i="3" s="1"/>
  <c r="V206" i="3" s="1"/>
  <c r="V207" i="3" s="1"/>
  <c r="V208" i="3" s="1"/>
  <c r="V209" i="3" s="1"/>
  <c r="V210" i="3" s="1"/>
  <c r="V211" i="3" s="1"/>
  <c r="V212" i="3" s="1"/>
  <c r="V213" i="3" s="1"/>
  <c r="V214" i="3" s="1"/>
  <c r="V215" i="3" s="1"/>
  <c r="V216" i="3" s="1"/>
  <c r="V217" i="3" s="1"/>
  <c r="V218" i="3" s="1"/>
  <c r="V219" i="3" s="1"/>
  <c r="V220" i="3" s="1"/>
  <c r="V221" i="3" s="1"/>
  <c r="V222" i="3" s="1"/>
  <c r="V223" i="3" s="1"/>
  <c r="V224" i="3" s="1"/>
  <c r="V225" i="3" s="1"/>
  <c r="V226" i="3" s="1"/>
  <c r="V227" i="3" s="1"/>
  <c r="V228" i="3" s="1"/>
  <c r="V229" i="3" s="1"/>
  <c r="V230" i="3" s="1"/>
  <c r="V231" i="3" s="1"/>
  <c r="V232" i="3" s="1"/>
  <c r="V233" i="3" s="1"/>
  <c r="V234" i="3" s="1"/>
  <c r="V235" i="3" s="1"/>
  <c r="V236" i="3" s="1"/>
  <c r="V237" i="3" s="1"/>
  <c r="V238" i="3" s="1"/>
  <c r="V239" i="3" s="1"/>
  <c r="V240" i="3" s="1"/>
  <c r="V241" i="3" s="1"/>
  <c r="V242" i="3" s="1"/>
  <c r="V243" i="3" s="1"/>
  <c r="V244" i="3" s="1"/>
  <c r="V245" i="3" s="1"/>
  <c r="V246" i="3" s="1"/>
  <c r="V247" i="3" s="1"/>
  <c r="V248" i="3" s="1"/>
  <c r="V249" i="3" s="1"/>
  <c r="V250" i="3" s="1"/>
  <c r="V251" i="3" s="1"/>
  <c r="V252" i="3" s="1"/>
  <c r="V253" i="3" s="1"/>
  <c r="V254" i="3" s="1"/>
  <c r="V255" i="3" s="1"/>
  <c r="V256" i="3" s="1"/>
  <c r="V257" i="3" s="1"/>
  <c r="V258" i="3" s="1"/>
  <c r="V259" i="3" s="1"/>
  <c r="V260" i="3" s="1"/>
  <c r="V261" i="3" s="1"/>
  <c r="V262" i="3" s="1"/>
  <c r="V263" i="3" s="1"/>
  <c r="V264" i="3" s="1"/>
  <c r="V265" i="3" s="1"/>
  <c r="V266" i="3" s="1"/>
  <c r="V267" i="3" s="1"/>
  <c r="V268" i="3" s="1"/>
  <c r="V269" i="3" s="1"/>
  <c r="V270" i="3" s="1"/>
  <c r="V271" i="3" s="1"/>
  <c r="V272" i="3" s="1"/>
  <c r="V273" i="3" s="1"/>
  <c r="V274" i="3" s="1"/>
  <c r="V275" i="3" s="1"/>
  <c r="V276" i="3" s="1"/>
  <c r="V277" i="3" s="1"/>
  <c r="V278" i="3" s="1"/>
  <c r="V279" i="3" s="1"/>
  <c r="V280" i="3" s="1"/>
  <c r="V281" i="3" s="1"/>
  <c r="V282" i="3" s="1"/>
  <c r="V283" i="3" s="1"/>
  <c r="V284" i="3" s="1"/>
  <c r="V285" i="3" s="1"/>
  <c r="V286" i="3" s="1"/>
  <c r="V287" i="3" s="1"/>
  <c r="V288" i="3" s="1"/>
  <c r="V289" i="3" s="1"/>
  <c r="V290" i="3" s="1"/>
  <c r="V291" i="3" s="1"/>
  <c r="V292" i="3" s="1"/>
  <c r="V293" i="3" s="1"/>
  <c r="V294" i="3" s="1"/>
  <c r="V295" i="3" s="1"/>
  <c r="V296" i="3" s="1"/>
  <c r="V297" i="3" s="1"/>
  <c r="V298" i="3" s="1"/>
  <c r="V299" i="3" s="1"/>
  <c r="V300" i="3" s="1"/>
  <c r="V301" i="3" s="1"/>
  <c r="V302" i="3" s="1"/>
  <c r="V303" i="3" s="1"/>
  <c r="V304" i="3" s="1"/>
  <c r="V305" i="3" s="1"/>
  <c r="V306" i="3" s="1"/>
  <c r="V307" i="3" s="1"/>
  <c r="V308" i="3" s="1"/>
  <c r="V309" i="3" s="1"/>
  <c r="V310" i="3" s="1"/>
  <c r="V311" i="3" s="1"/>
  <c r="V312" i="3" s="1"/>
  <c r="V313" i="3" s="1"/>
  <c r="V314" i="3" s="1"/>
  <c r="V315" i="3" s="1"/>
  <c r="V316" i="3" s="1"/>
  <c r="V317" i="3" s="1"/>
  <c r="V318" i="3" s="1"/>
  <c r="V319" i="3" s="1"/>
  <c r="V320" i="3" s="1"/>
  <c r="V321" i="3" s="1"/>
  <c r="V322" i="3" s="1"/>
  <c r="V323" i="3" s="1"/>
  <c r="V324" i="3" s="1"/>
  <c r="V325" i="3" s="1"/>
  <c r="V326" i="3" s="1"/>
  <c r="V327" i="3" s="1"/>
  <c r="V328" i="3" s="1"/>
  <c r="V329" i="3" s="1"/>
  <c r="V330" i="3" s="1"/>
  <c r="V331" i="3" s="1"/>
  <c r="V332" i="3" s="1"/>
  <c r="V333" i="3" s="1"/>
  <c r="V334" i="3" s="1"/>
  <c r="V335" i="3" s="1"/>
  <c r="V336" i="3" s="1"/>
  <c r="V337" i="3" s="1"/>
  <c r="V338" i="3" s="1"/>
  <c r="V339" i="3" s="1"/>
  <c r="V340" i="3" s="1"/>
  <c r="V341" i="3" s="1"/>
  <c r="V342" i="3" s="1"/>
  <c r="V343" i="3" s="1"/>
  <c r="V344" i="3" s="1"/>
  <c r="V345" i="3" s="1"/>
  <c r="V346" i="3" s="1"/>
  <c r="V347" i="3" s="1"/>
  <c r="V348" i="3" s="1"/>
  <c r="V349" i="3" s="1"/>
  <c r="V350" i="3" s="1"/>
  <c r="V351" i="3" s="1"/>
  <c r="V352" i="3" s="1"/>
  <c r="V353" i="3" s="1"/>
  <c r="V354" i="3" s="1"/>
  <c r="V355" i="3" s="1"/>
  <c r="V356" i="3" s="1"/>
  <c r="V357" i="3" s="1"/>
  <c r="V358" i="3" s="1"/>
  <c r="V359" i="3" s="1"/>
  <c r="V360" i="3" s="1"/>
  <c r="V361" i="3" s="1"/>
  <c r="V362" i="3" s="1"/>
  <c r="V363" i="3" s="1"/>
  <c r="V364" i="3" s="1"/>
  <c r="V365" i="3" s="1"/>
  <c r="V366" i="3" s="1"/>
  <c r="V367" i="3" s="1"/>
  <c r="V368" i="3" s="1"/>
  <c r="V369" i="3" s="1"/>
  <c r="V370" i="3" s="1"/>
  <c r="V371" i="3" s="1"/>
  <c r="V372" i="3" s="1"/>
  <c r="V373" i="3" s="1"/>
  <c r="V374" i="3" s="1"/>
  <c r="V375" i="3" s="1"/>
  <c r="V376" i="3" s="1"/>
  <c r="V377" i="3" s="1"/>
  <c r="V378" i="3" s="1"/>
  <c r="V379" i="3" s="1"/>
  <c r="V380" i="3" s="1"/>
  <c r="V381" i="3" s="1"/>
  <c r="V382" i="3" s="1"/>
  <c r="V383" i="3" s="1"/>
  <c r="V384" i="3" s="1"/>
  <c r="V385" i="3" s="1"/>
  <c r="V386" i="3" s="1"/>
  <c r="V387" i="3" s="1"/>
  <c r="V388" i="3" s="1"/>
  <c r="V389" i="3" s="1"/>
  <c r="V390" i="3" s="1"/>
  <c r="V391" i="3" s="1"/>
  <c r="V392" i="3" s="1"/>
  <c r="V393" i="3" s="1"/>
  <c r="V394" i="3" s="1"/>
  <c r="V395" i="3" s="1"/>
  <c r="V396" i="3" s="1"/>
  <c r="V397" i="3" s="1"/>
  <c r="V398" i="3" s="1"/>
  <c r="V399" i="3" s="1"/>
  <c r="V400" i="3" s="1"/>
  <c r="V401" i="3" s="1"/>
  <c r="V402" i="3" s="1"/>
  <c r="V403" i="3" s="1"/>
  <c r="V404" i="3" s="1"/>
  <c r="V405" i="3" s="1"/>
  <c r="V406" i="3" s="1"/>
  <c r="V407" i="3" s="1"/>
  <c r="V408" i="3" s="1"/>
  <c r="V409" i="3" s="1"/>
  <c r="V410" i="3" s="1"/>
  <c r="V411" i="3" s="1"/>
  <c r="V412" i="3" s="1"/>
  <c r="V413" i="3" s="1"/>
  <c r="V414" i="3" s="1"/>
  <c r="V415" i="3" s="1"/>
  <c r="V416" i="3" s="1"/>
  <c r="V417" i="3" s="1"/>
  <c r="V418" i="3" s="1"/>
  <c r="V419" i="3" s="1"/>
  <c r="V420" i="3" s="1"/>
  <c r="V421" i="3" s="1"/>
  <c r="V422" i="3" s="1"/>
  <c r="V423" i="3" s="1"/>
  <c r="V424" i="3" s="1"/>
  <c r="V425" i="3" s="1"/>
  <c r="V426" i="3" s="1"/>
  <c r="V427" i="3" s="1"/>
  <c r="V428" i="3" s="1"/>
  <c r="V429" i="3" s="1"/>
  <c r="V430" i="3" s="1"/>
  <c r="V431" i="3" s="1"/>
  <c r="V432" i="3" s="1"/>
  <c r="V433" i="3" s="1"/>
  <c r="V434" i="3" s="1"/>
  <c r="V435" i="3" s="1"/>
  <c r="V436" i="3" s="1"/>
  <c r="V437" i="3" s="1"/>
  <c r="V438" i="3" s="1"/>
  <c r="V439" i="3" s="1"/>
  <c r="V440" i="3" s="1"/>
  <c r="V441" i="3" s="1"/>
  <c r="V442" i="3" s="1"/>
  <c r="V443" i="3" s="1"/>
  <c r="V444" i="3" s="1"/>
  <c r="V445" i="3" s="1"/>
  <c r="V446" i="3" s="1"/>
  <c r="V447" i="3" s="1"/>
  <c r="V448" i="3" s="1"/>
  <c r="V449" i="3" s="1"/>
  <c r="V450" i="3" s="1"/>
  <c r="V451" i="3" s="1"/>
  <c r="V452" i="3" s="1"/>
  <c r="V453" i="3" s="1"/>
  <c r="V454" i="3" s="1"/>
  <c r="V455" i="3" s="1"/>
  <c r="V456" i="3" s="1"/>
  <c r="V457" i="3" s="1"/>
  <c r="V458" i="3" s="1"/>
  <c r="V459" i="3" s="1"/>
  <c r="V460" i="3" s="1"/>
  <c r="V461" i="3" s="1"/>
  <c r="V462" i="3" s="1"/>
  <c r="V463" i="3" s="1"/>
  <c r="V464" i="3" s="1"/>
  <c r="V465" i="3" s="1"/>
  <c r="V466" i="3" s="1"/>
  <c r="V467" i="3" s="1"/>
  <c r="V468" i="3" s="1"/>
  <c r="V469" i="3" s="1"/>
  <c r="V470" i="3" s="1"/>
  <c r="V471" i="3" s="1"/>
  <c r="V472" i="3" s="1"/>
  <c r="V473" i="3" s="1"/>
  <c r="V474" i="3" s="1"/>
  <c r="V475" i="3" s="1"/>
  <c r="V476" i="3" s="1"/>
  <c r="V477" i="3" s="1"/>
  <c r="V478" i="3" s="1"/>
  <c r="V479" i="3" s="1"/>
  <c r="V480" i="3" s="1"/>
  <c r="V481" i="3" s="1"/>
  <c r="V482" i="3" s="1"/>
  <c r="V483" i="3" s="1"/>
  <c r="V484" i="3" s="1"/>
  <c r="V485" i="3" s="1"/>
  <c r="V486" i="3" s="1"/>
  <c r="V487" i="3" s="1"/>
  <c r="V488" i="3" s="1"/>
  <c r="V489" i="3" s="1"/>
  <c r="V490" i="3" s="1"/>
  <c r="V491" i="3" s="1"/>
  <c r="V492" i="3" s="1"/>
  <c r="V493" i="3" s="1"/>
  <c r="V494" i="3" s="1"/>
  <c r="V495" i="3" s="1"/>
  <c r="V496" i="3" s="1"/>
  <c r="V497" i="3" s="1"/>
  <c r="V498" i="3" s="1"/>
  <c r="V499" i="3" s="1"/>
  <c r="V500" i="3" s="1"/>
  <c r="V501" i="3" s="1"/>
  <c r="V502" i="3" s="1"/>
  <c r="V503" i="3" s="1"/>
  <c r="V504" i="3" s="1"/>
  <c r="V505" i="3" s="1"/>
  <c r="V506" i="3" s="1"/>
  <c r="V507" i="3" s="1"/>
  <c r="V508" i="3" s="1"/>
  <c r="V509" i="3" s="1"/>
  <c r="V510" i="3" s="1"/>
  <c r="V511" i="3" s="1"/>
  <c r="V512" i="3" s="1"/>
  <c r="V513" i="3" s="1"/>
  <c r="V514" i="3" s="1"/>
  <c r="V515" i="3" s="1"/>
  <c r="V516" i="3" s="1"/>
  <c r="V517" i="3" s="1"/>
  <c r="V518" i="3" s="1"/>
  <c r="V519" i="3" s="1"/>
  <c r="V520" i="3" s="1"/>
  <c r="V521" i="3" s="1"/>
  <c r="V522" i="3" s="1"/>
  <c r="V523" i="3" s="1"/>
  <c r="V524" i="3" s="1"/>
  <c r="V525" i="3" s="1"/>
  <c r="V526" i="3" s="1"/>
  <c r="V527" i="3" s="1"/>
  <c r="V528" i="3" s="1"/>
  <c r="V529" i="3" s="1"/>
  <c r="V530" i="3" s="1"/>
  <c r="V531" i="3" s="1"/>
  <c r="V532" i="3" s="1"/>
  <c r="V533" i="3" s="1"/>
  <c r="V534" i="3" s="1"/>
  <c r="V535" i="3" s="1"/>
  <c r="V536" i="3" s="1"/>
  <c r="V537" i="3" s="1"/>
  <c r="V538" i="3" s="1"/>
  <c r="V539" i="3" s="1"/>
  <c r="V540" i="3" s="1"/>
  <c r="V541" i="3" s="1"/>
  <c r="V542" i="3" s="1"/>
  <c r="V543" i="3" s="1"/>
  <c r="V544" i="3" s="1"/>
  <c r="V545" i="3" s="1"/>
  <c r="V546" i="3" s="1"/>
  <c r="V547" i="3" s="1"/>
  <c r="V548" i="3" s="1"/>
  <c r="V549" i="3" s="1"/>
  <c r="V550" i="3" s="1"/>
  <c r="V551" i="3" s="1"/>
  <c r="V552" i="3" s="1"/>
  <c r="V553" i="3" s="1"/>
  <c r="V554" i="3" s="1"/>
  <c r="V555" i="3" s="1"/>
  <c r="V556" i="3" s="1"/>
  <c r="V557" i="3" s="1"/>
  <c r="V558" i="3" s="1"/>
  <c r="V559" i="3" s="1"/>
  <c r="V560" i="3" s="1"/>
  <c r="V561" i="3" s="1"/>
  <c r="V562" i="3" s="1"/>
  <c r="V563" i="3" s="1"/>
  <c r="V564" i="3" s="1"/>
  <c r="V565" i="3" s="1"/>
  <c r="V566" i="3" s="1"/>
  <c r="V567" i="3" s="1"/>
  <c r="V568" i="3" s="1"/>
  <c r="V569" i="3" s="1"/>
  <c r="V570" i="3" s="1"/>
  <c r="V571" i="3" s="1"/>
  <c r="V572" i="3" s="1"/>
  <c r="V573" i="3" s="1"/>
  <c r="V574" i="3" s="1"/>
  <c r="V575" i="3" s="1"/>
  <c r="V576" i="3" s="1"/>
  <c r="V577" i="3" s="1"/>
  <c r="V578" i="3" s="1"/>
  <c r="V579" i="3" s="1"/>
  <c r="V580" i="3" s="1"/>
  <c r="V581" i="3" s="1"/>
  <c r="V582" i="3" s="1"/>
  <c r="V583" i="3" s="1"/>
  <c r="V584" i="3" s="1"/>
  <c r="V585" i="3" s="1"/>
  <c r="V586" i="3" s="1"/>
  <c r="V587" i="3" s="1"/>
  <c r="V588" i="3" s="1"/>
  <c r="V589" i="3" s="1"/>
  <c r="V590" i="3" s="1"/>
  <c r="V591" i="3" s="1"/>
  <c r="V592" i="3" s="1"/>
  <c r="V593" i="3" s="1"/>
  <c r="V594" i="3" s="1"/>
  <c r="V595" i="3" s="1"/>
  <c r="V596" i="3" s="1"/>
  <c r="V597" i="3" s="1"/>
  <c r="V598" i="3" s="1"/>
  <c r="V599" i="3" s="1"/>
  <c r="V600" i="3" s="1"/>
  <c r="V601" i="3" s="1"/>
  <c r="V602" i="3" s="1"/>
  <c r="V603" i="3" s="1"/>
  <c r="V604" i="3" s="1"/>
  <c r="V605" i="3" s="1"/>
  <c r="V606" i="3" s="1"/>
  <c r="V607" i="3" s="1"/>
  <c r="V608" i="3" s="1"/>
  <c r="V609" i="3" s="1"/>
  <c r="V610" i="3" s="1"/>
  <c r="V611" i="3" s="1"/>
  <c r="V612" i="3" s="1"/>
  <c r="V613" i="3" s="1"/>
  <c r="V614" i="3" s="1"/>
  <c r="V615" i="3" s="1"/>
  <c r="V616" i="3" s="1"/>
  <c r="V617" i="3" s="1"/>
  <c r="V618" i="3" s="1"/>
  <c r="V619" i="3" s="1"/>
  <c r="V620" i="3" s="1"/>
  <c r="V621" i="3" s="1"/>
  <c r="V622" i="3" s="1"/>
  <c r="V623" i="3" s="1"/>
  <c r="V624" i="3" s="1"/>
  <c r="V625" i="3" s="1"/>
  <c r="V626" i="3" s="1"/>
  <c r="V627" i="3" s="1"/>
  <c r="V628" i="3" s="1"/>
  <c r="V629" i="3" s="1"/>
  <c r="V630" i="3" s="1"/>
  <c r="V631" i="3" s="1"/>
  <c r="V632" i="3" s="1"/>
  <c r="V633" i="3" s="1"/>
  <c r="V634" i="3" s="1"/>
  <c r="V635" i="3" s="1"/>
  <c r="V636" i="3" s="1"/>
  <c r="V637" i="3" s="1"/>
  <c r="V638" i="3" s="1"/>
  <c r="V639" i="3" s="1"/>
  <c r="V640" i="3" s="1"/>
  <c r="V641" i="3" s="1"/>
  <c r="V642" i="3" s="1"/>
  <c r="V643" i="3" s="1"/>
  <c r="V644" i="3" s="1"/>
  <c r="V645" i="3" s="1"/>
  <c r="V646" i="3" s="1"/>
  <c r="V647" i="3" s="1"/>
  <c r="V648" i="3" s="1"/>
  <c r="V649" i="3" s="1"/>
  <c r="V650" i="3" s="1"/>
  <c r="V651" i="3" s="1"/>
  <c r="V652" i="3" s="1"/>
  <c r="V653" i="3" s="1"/>
  <c r="V654" i="3" s="1"/>
  <c r="V655" i="3" s="1"/>
  <c r="V656" i="3" s="1"/>
  <c r="V657" i="3" s="1"/>
  <c r="V658" i="3" s="1"/>
  <c r="V659" i="3" s="1"/>
  <c r="V660" i="3" s="1"/>
  <c r="V661" i="3" s="1"/>
  <c r="V662" i="3" s="1"/>
  <c r="V663" i="3" s="1"/>
  <c r="V664" i="3" s="1"/>
  <c r="V665" i="3" s="1"/>
  <c r="V666" i="3" s="1"/>
  <c r="V667" i="3" s="1"/>
  <c r="V668" i="3" s="1"/>
  <c r="V669" i="3" s="1"/>
  <c r="V670" i="3" s="1"/>
  <c r="V671" i="3" s="1"/>
  <c r="V672" i="3" s="1"/>
  <c r="V673" i="3" s="1"/>
  <c r="V674" i="3" s="1"/>
  <c r="V675" i="3" s="1"/>
  <c r="V676" i="3" s="1"/>
  <c r="V677" i="3" s="1"/>
  <c r="V678" i="3" s="1"/>
  <c r="V679" i="3" s="1"/>
  <c r="V680" i="3" s="1"/>
  <c r="V681" i="3" s="1"/>
  <c r="V682" i="3" s="1"/>
  <c r="V683" i="3" s="1"/>
  <c r="V684" i="3" s="1"/>
  <c r="V685" i="3" s="1"/>
  <c r="V686" i="3" s="1"/>
  <c r="V687" i="3" s="1"/>
  <c r="V688" i="3" s="1"/>
  <c r="V689" i="3" s="1"/>
  <c r="V690" i="3" s="1"/>
  <c r="V691" i="3" s="1"/>
  <c r="V692" i="3" s="1"/>
  <c r="V693" i="3" s="1"/>
  <c r="V694" i="3" s="1"/>
  <c r="V695" i="3" s="1"/>
  <c r="V696" i="3" s="1"/>
  <c r="V697" i="3" s="1"/>
  <c r="V698" i="3" s="1"/>
  <c r="V699" i="3" s="1"/>
  <c r="V700" i="3" s="1"/>
  <c r="V701" i="3" s="1"/>
  <c r="V702" i="3" s="1"/>
  <c r="V703" i="3" s="1"/>
  <c r="V704" i="3" s="1"/>
  <c r="V705" i="3" s="1"/>
  <c r="V706" i="3" s="1"/>
  <c r="V707" i="3" s="1"/>
  <c r="V708" i="3" s="1"/>
  <c r="V709" i="3" s="1"/>
  <c r="V710" i="3" s="1"/>
  <c r="V711" i="3" s="1"/>
  <c r="V712" i="3" s="1"/>
  <c r="V713" i="3" s="1"/>
  <c r="V714" i="3" s="1"/>
  <c r="V715" i="3" s="1"/>
  <c r="V716" i="3" s="1"/>
  <c r="V717" i="3" s="1"/>
  <c r="V718" i="3" s="1"/>
  <c r="V719" i="3" s="1"/>
  <c r="V720" i="3" s="1"/>
  <c r="V721" i="3" s="1"/>
  <c r="V722" i="3" s="1"/>
  <c r="V723" i="3" s="1"/>
  <c r="V724" i="3" s="1"/>
  <c r="V725" i="3" s="1"/>
  <c r="V726" i="3" s="1"/>
  <c r="V727" i="3" s="1"/>
  <c r="V728" i="3" s="1"/>
  <c r="V729" i="3" s="1"/>
  <c r="V730" i="3" s="1"/>
  <c r="V731" i="3" s="1"/>
  <c r="V732" i="3" s="1"/>
  <c r="V733" i="3" s="1"/>
  <c r="V734" i="3" s="1"/>
  <c r="V735" i="3" s="1"/>
  <c r="V736" i="3" s="1"/>
  <c r="V737" i="3" s="1"/>
  <c r="V738" i="3" s="1"/>
  <c r="V739" i="3" s="1"/>
  <c r="V740" i="3" s="1"/>
  <c r="V741" i="3" s="1"/>
  <c r="V742" i="3" s="1"/>
  <c r="V743" i="3" s="1"/>
  <c r="V744" i="3" s="1"/>
  <c r="V745" i="3" s="1"/>
  <c r="V746" i="3" s="1"/>
  <c r="V747" i="3" s="1"/>
  <c r="V748" i="3" s="1"/>
  <c r="V749" i="3" s="1"/>
  <c r="V750" i="3" s="1"/>
  <c r="V751" i="3" s="1"/>
  <c r="V752" i="3" s="1"/>
  <c r="V753" i="3" s="1"/>
  <c r="V754" i="3" s="1"/>
  <c r="V755" i="3" s="1"/>
  <c r="V756" i="3" s="1"/>
  <c r="V757" i="3" s="1"/>
  <c r="V758" i="3" s="1"/>
  <c r="V759" i="3" s="1"/>
  <c r="V760" i="3" s="1"/>
  <c r="V761" i="3" s="1"/>
  <c r="V762" i="3" s="1"/>
  <c r="V763" i="3" s="1"/>
  <c r="V764" i="3" s="1"/>
  <c r="V765" i="3" s="1"/>
  <c r="V766" i="3" s="1"/>
  <c r="V767" i="3" s="1"/>
  <c r="V768" i="3" s="1"/>
  <c r="V769" i="3" s="1"/>
  <c r="V770" i="3" s="1"/>
  <c r="V771" i="3" s="1"/>
  <c r="V772" i="3" s="1"/>
  <c r="V773" i="3" s="1"/>
  <c r="V774" i="3" s="1"/>
  <c r="V775" i="3" s="1"/>
  <c r="V776" i="3" s="1"/>
  <c r="V777" i="3" s="1"/>
  <c r="V778" i="3" s="1"/>
  <c r="V779" i="3" s="1"/>
  <c r="V780" i="3" s="1"/>
  <c r="V781" i="3" s="1"/>
  <c r="V782" i="3" s="1"/>
  <c r="V783" i="3" s="1"/>
  <c r="V784" i="3" s="1"/>
  <c r="V785" i="3" s="1"/>
  <c r="V786" i="3" s="1"/>
  <c r="V787" i="3" s="1"/>
  <c r="V788" i="3" s="1"/>
  <c r="V789" i="3" s="1"/>
  <c r="V790" i="3" s="1"/>
  <c r="V791" i="3" s="1"/>
  <c r="V792" i="3" s="1"/>
  <c r="V793" i="3" s="1"/>
  <c r="V794" i="3" s="1"/>
  <c r="V795" i="3" s="1"/>
  <c r="V796" i="3" s="1"/>
  <c r="V797" i="3" s="1"/>
  <c r="V798" i="3" s="1"/>
  <c r="V799" i="3" s="1"/>
  <c r="V800" i="3" s="1"/>
  <c r="V801" i="3" s="1"/>
  <c r="V802" i="3" s="1"/>
  <c r="V803" i="3" s="1"/>
  <c r="V804" i="3" s="1"/>
  <c r="V805" i="3" s="1"/>
  <c r="V806" i="3" s="1"/>
  <c r="V807" i="3" s="1"/>
  <c r="V808" i="3" s="1"/>
  <c r="V809" i="3" s="1"/>
  <c r="V810" i="3" s="1"/>
  <c r="V811" i="3" s="1"/>
  <c r="V812" i="3" s="1"/>
  <c r="V813" i="3" s="1"/>
  <c r="V814" i="3" s="1"/>
  <c r="V815" i="3" s="1"/>
  <c r="V816" i="3" s="1"/>
  <c r="V817" i="3" s="1"/>
  <c r="V818" i="3" s="1"/>
  <c r="V819" i="3" s="1"/>
  <c r="V820" i="3" s="1"/>
  <c r="V821" i="3" s="1"/>
  <c r="V822" i="3" s="1"/>
  <c r="V823" i="3" s="1"/>
  <c r="V824" i="3" s="1"/>
  <c r="V825" i="3" s="1"/>
  <c r="V826" i="3" s="1"/>
  <c r="V827" i="3" s="1"/>
  <c r="V828" i="3" s="1"/>
  <c r="V829" i="3" s="1"/>
  <c r="V830" i="3" s="1"/>
  <c r="V831" i="3" s="1"/>
  <c r="V832" i="3" s="1"/>
  <c r="V833" i="3" s="1"/>
  <c r="V834" i="3" s="1"/>
  <c r="V835" i="3" s="1"/>
  <c r="V836" i="3" s="1"/>
  <c r="V837" i="3" s="1"/>
  <c r="V838" i="3" s="1"/>
  <c r="V839" i="3" s="1"/>
  <c r="V840" i="3" s="1"/>
  <c r="V841" i="3" s="1"/>
  <c r="V842" i="3" s="1"/>
  <c r="V843" i="3" s="1"/>
  <c r="V844" i="3" s="1"/>
  <c r="V845" i="3" s="1"/>
  <c r="V846" i="3" s="1"/>
  <c r="V847" i="3" s="1"/>
  <c r="V848" i="3" s="1"/>
  <c r="V849" i="3" s="1"/>
  <c r="V850" i="3" s="1"/>
  <c r="V851" i="3" s="1"/>
  <c r="V852" i="3" s="1"/>
  <c r="V853" i="3" s="1"/>
  <c r="V854" i="3" s="1"/>
  <c r="V855" i="3" s="1"/>
  <c r="V856" i="3" s="1"/>
  <c r="V857" i="3" s="1"/>
  <c r="V858" i="3" s="1"/>
  <c r="V859" i="3" s="1"/>
  <c r="V860" i="3" s="1"/>
  <c r="V861" i="3" s="1"/>
  <c r="V862" i="3" s="1"/>
  <c r="V863" i="3" s="1"/>
  <c r="V864" i="3" s="1"/>
  <c r="V865" i="3" s="1"/>
  <c r="V866" i="3" s="1"/>
  <c r="V867" i="3" s="1"/>
  <c r="V868" i="3" s="1"/>
  <c r="V869" i="3" s="1"/>
  <c r="V870" i="3" s="1"/>
  <c r="V871" i="3" s="1"/>
  <c r="V872" i="3" s="1"/>
  <c r="V873" i="3" s="1"/>
  <c r="V874" i="3" s="1"/>
  <c r="V875" i="3" s="1"/>
  <c r="V876" i="3" s="1"/>
  <c r="V877" i="3" s="1"/>
  <c r="V878" i="3" s="1"/>
  <c r="V879" i="3" s="1"/>
  <c r="V880" i="3" s="1"/>
  <c r="V881" i="3" s="1"/>
  <c r="V882" i="3" s="1"/>
  <c r="V883" i="3" s="1"/>
  <c r="V884" i="3" s="1"/>
  <c r="V885" i="3" s="1"/>
  <c r="V886" i="3" s="1"/>
  <c r="V887" i="3" s="1"/>
  <c r="V888" i="3" s="1"/>
  <c r="V889" i="3" s="1"/>
  <c r="V890" i="3" s="1"/>
  <c r="V891" i="3" s="1"/>
  <c r="V892" i="3" s="1"/>
  <c r="V893" i="3" s="1"/>
  <c r="V894" i="3" s="1"/>
  <c r="V895" i="3" s="1"/>
  <c r="V896" i="3" s="1"/>
  <c r="V897" i="3" s="1"/>
  <c r="V898" i="3" s="1"/>
  <c r="V899" i="3" s="1"/>
  <c r="V900" i="3" s="1"/>
  <c r="V901" i="3" s="1"/>
  <c r="V902" i="3" s="1"/>
  <c r="V903" i="3" s="1"/>
  <c r="V904" i="3" s="1"/>
  <c r="V905" i="3" s="1"/>
  <c r="V906" i="3" s="1"/>
  <c r="V907" i="3" s="1"/>
  <c r="V908" i="3" s="1"/>
  <c r="V909" i="3" s="1"/>
  <c r="V910" i="3" s="1"/>
  <c r="V911" i="3" s="1"/>
  <c r="V912" i="3" s="1"/>
  <c r="V913" i="3" s="1"/>
  <c r="V914" i="3" s="1"/>
  <c r="V915" i="3" s="1"/>
  <c r="V916" i="3" s="1"/>
  <c r="V917" i="3" s="1"/>
  <c r="V918" i="3" s="1"/>
  <c r="V919" i="3" s="1"/>
  <c r="V920" i="3" s="1"/>
  <c r="V921" i="3" s="1"/>
  <c r="V922" i="3" s="1"/>
  <c r="V923" i="3" s="1"/>
  <c r="V924" i="3" s="1"/>
  <c r="V925" i="3" s="1"/>
  <c r="V926" i="3" s="1"/>
  <c r="V927" i="3" s="1"/>
  <c r="V928" i="3" s="1"/>
  <c r="V929" i="3" s="1"/>
  <c r="V930" i="3" s="1"/>
  <c r="V931" i="3" s="1"/>
  <c r="V932" i="3" s="1"/>
  <c r="V933" i="3" s="1"/>
  <c r="V934" i="3" s="1"/>
  <c r="V935" i="3" s="1"/>
  <c r="V936" i="3" s="1"/>
  <c r="V937" i="3" s="1"/>
  <c r="V938" i="3" s="1"/>
  <c r="V939" i="3" s="1"/>
  <c r="V940" i="3" s="1"/>
  <c r="V941" i="3" s="1"/>
  <c r="V942" i="3" s="1"/>
  <c r="V943" i="3" s="1"/>
  <c r="V944" i="3" s="1"/>
  <c r="V945" i="3" s="1"/>
  <c r="V946" i="3" s="1"/>
  <c r="V947" i="3" s="1"/>
  <c r="V948" i="3" s="1"/>
  <c r="V949" i="3" s="1"/>
  <c r="V950" i="3" s="1"/>
  <c r="V951" i="3" s="1"/>
  <c r="V952" i="3" s="1"/>
  <c r="V953" i="3" s="1"/>
  <c r="V954" i="3" s="1"/>
  <c r="V955" i="3" s="1"/>
  <c r="V956" i="3" s="1"/>
  <c r="V957" i="3" s="1"/>
  <c r="V958" i="3" s="1"/>
  <c r="V959" i="3" s="1"/>
  <c r="V960" i="3" s="1"/>
  <c r="V961" i="3" s="1"/>
  <c r="V962" i="3" s="1"/>
  <c r="V963" i="3" s="1"/>
  <c r="V964" i="3" s="1"/>
  <c r="V965" i="3" s="1"/>
  <c r="V966" i="3" s="1"/>
  <c r="V967" i="3" s="1"/>
  <c r="V968" i="3" s="1"/>
  <c r="V969" i="3" s="1"/>
  <c r="V970" i="3" s="1"/>
  <c r="V971" i="3" s="1"/>
  <c r="V972" i="3" s="1"/>
  <c r="V973" i="3" s="1"/>
  <c r="V974" i="3" s="1"/>
  <c r="V975" i="3" s="1"/>
  <c r="V976" i="3" s="1"/>
  <c r="V977" i="3" s="1"/>
  <c r="V978" i="3" s="1"/>
  <c r="V979" i="3" s="1"/>
  <c r="V980" i="3" s="1"/>
  <c r="V981" i="3" s="1"/>
  <c r="V982" i="3" s="1"/>
  <c r="V983" i="3" s="1"/>
  <c r="V984" i="3" s="1"/>
  <c r="V985" i="3" s="1"/>
  <c r="V986" i="3" s="1"/>
  <c r="V987" i="3" s="1"/>
  <c r="V988" i="3" s="1"/>
  <c r="V989" i="3" s="1"/>
  <c r="V990" i="3" s="1"/>
  <c r="V991" i="3" s="1"/>
  <c r="V992" i="3" s="1"/>
  <c r="V993" i="3" s="1"/>
  <c r="V994" i="3" s="1"/>
  <c r="V995" i="3" s="1"/>
  <c r="V996" i="3" s="1"/>
  <c r="V997" i="3" s="1"/>
  <c r="V998" i="3" s="1"/>
  <c r="V999" i="3" s="1"/>
  <c r="V1000" i="3" s="1"/>
  <c r="V1001" i="3" s="1"/>
  <c r="V1002" i="3" s="1"/>
  <c r="V1003" i="3" s="1"/>
  <c r="V1004" i="3" s="1"/>
  <c r="V1005" i="3" s="1"/>
  <c r="H50" i="1"/>
  <c r="E32" i="3" s="1"/>
  <c r="H39" i="1"/>
  <c r="E21" i="3" s="1"/>
  <c r="H51" i="1" l="1"/>
  <c r="E33" i="3" s="1"/>
  <c r="H29" i="1"/>
  <c r="E11" i="3" s="1"/>
  <c r="H40" i="1"/>
  <c r="E22" i="3" s="1"/>
  <c r="I41" i="1"/>
  <c r="F23" i="3" s="1"/>
  <c r="I52" i="1"/>
  <c r="F34" i="3" s="1"/>
  <c r="I30" i="1"/>
  <c r="F12" i="3" s="1"/>
  <c r="AD6" i="3" s="1"/>
  <c r="AE6" i="3" l="1"/>
  <c r="AF6" i="3"/>
  <c r="AC6" i="3"/>
  <c r="AG6" i="3"/>
  <c r="AH6" i="3"/>
  <c r="Z7" i="3" l="1"/>
  <c r="X7" i="3"/>
  <c r="Y7" i="3" l="1"/>
  <c r="AL7" i="3" l="1"/>
  <c r="AG7" i="3" s="1"/>
  <c r="BB7" i="3"/>
  <c r="AY7" i="3" s="1"/>
  <c r="BA7" i="3"/>
  <c r="AW7" i="3" s="1"/>
  <c r="AK7" i="3"/>
  <c r="AE7" i="3" s="1"/>
  <c r="AJ7" i="3"/>
  <c r="AC7" i="3" s="1"/>
  <c r="AH7" i="3"/>
  <c r="AF7" i="3" l="1"/>
  <c r="AV7" i="3"/>
  <c r="AA7" i="3" s="1"/>
  <c r="AX7" i="3"/>
  <c r="AD7" i="3"/>
  <c r="AB7" i="3" s="1"/>
  <c r="Y8" i="3" l="1"/>
  <c r="Z8" i="3"/>
  <c r="X8" i="3"/>
  <c r="AL8" i="3" l="1"/>
  <c r="BA8" i="3"/>
  <c r="AV8" i="3" s="1"/>
  <c r="BB8" i="3"/>
  <c r="AX8" i="3" s="1"/>
  <c r="AJ8" i="3"/>
  <c r="AK8" i="3"/>
  <c r="AW8" i="3" l="1"/>
  <c r="AY8" i="3"/>
  <c r="AD8" i="3"/>
  <c r="AC8" i="3"/>
  <c r="AF8" i="3"/>
  <c r="AE8" i="3"/>
  <c r="AH8" i="3"/>
  <c r="AG8" i="3"/>
  <c r="AB8" i="3" l="1"/>
  <c r="AA8" i="3"/>
  <c r="W9" i="3" s="1"/>
  <c r="Z9" i="3" l="1"/>
  <c r="X9" i="3"/>
  <c r="Y9" i="3"/>
  <c r="BB9" i="3" l="1"/>
  <c r="AX9" i="3" s="1"/>
  <c r="BA9" i="3"/>
  <c r="AV9" i="3" s="1"/>
  <c r="AY9" i="3"/>
  <c r="AL9" i="3"/>
  <c r="AH9" i="3" s="1"/>
  <c r="AJ9" i="3"/>
  <c r="AD9" i="3" s="1"/>
  <c r="AK9" i="3"/>
  <c r="AF9" i="3" s="1"/>
  <c r="AG9" i="3" l="1"/>
  <c r="AC9" i="3"/>
  <c r="AW9" i="3"/>
  <c r="AB9" i="3" s="1"/>
  <c r="AE9" i="3"/>
  <c r="AA9" i="3" l="1"/>
  <c r="W10" i="3" s="1"/>
  <c r="Z10" i="3"/>
  <c r="X10" i="3"/>
  <c r="Y10" i="3" l="1"/>
  <c r="BB10" i="3"/>
  <c r="AY10" i="3" s="1"/>
  <c r="BA10" i="3"/>
  <c r="AW10" i="3" s="1"/>
  <c r="AL10" i="3"/>
  <c r="AJ10" i="3"/>
  <c r="AK10" i="3"/>
  <c r="AV10" i="3" l="1"/>
  <c r="AX10" i="3"/>
  <c r="AH10" i="3"/>
  <c r="AG10" i="3"/>
  <c r="AF10" i="3"/>
  <c r="AE10" i="3"/>
  <c r="AC10" i="3"/>
  <c r="AD10" i="3"/>
  <c r="AB10" i="3" s="1"/>
  <c r="AA10" i="3" l="1"/>
  <c r="W11" i="3" s="1"/>
  <c r="Z11" i="3"/>
  <c r="X11" i="3"/>
  <c r="Y11" i="3" l="1"/>
  <c r="AL11" i="3" l="1"/>
  <c r="BB11" i="3"/>
  <c r="AY11" i="3" s="1"/>
  <c r="BA11" i="3"/>
  <c r="AW11" i="3" s="1"/>
  <c r="AK11" i="3"/>
  <c r="AF11" i="3" s="1"/>
  <c r="AJ11" i="3"/>
  <c r="AD11" i="3" s="1"/>
  <c r="AV11" i="3" l="1"/>
  <c r="AX11" i="3"/>
  <c r="AG11" i="3"/>
  <c r="AH11" i="3"/>
  <c r="AB11" i="3" s="1"/>
  <c r="AC11" i="3"/>
  <c r="AE11" i="3"/>
  <c r="AA11" i="3" l="1"/>
  <c r="W12" i="3" s="1"/>
  <c r="Z12" i="3"/>
  <c r="X12" i="3"/>
  <c r="Y12" i="3" l="1"/>
  <c r="AL12" i="3" l="1"/>
  <c r="BB12" i="3"/>
  <c r="AY12" i="3" s="1"/>
  <c r="BA12" i="3"/>
  <c r="AW12" i="3" s="1"/>
  <c r="AJ12" i="3"/>
  <c r="AD12" i="3" s="1"/>
  <c r="AK12" i="3"/>
  <c r="AF12" i="3" s="1"/>
  <c r="AC12" i="3" l="1"/>
  <c r="AX12" i="3"/>
  <c r="AV12" i="3"/>
  <c r="AE12" i="3"/>
  <c r="AG12" i="3"/>
  <c r="AH12" i="3"/>
  <c r="AB12" i="3" s="1"/>
  <c r="AA12" i="3" l="1"/>
  <c r="W13" i="3" s="1"/>
  <c r="Z13" i="3"/>
  <c r="X13" i="3"/>
  <c r="Y13" i="3" l="1"/>
  <c r="AL13" i="3"/>
  <c r="BB13" i="3"/>
  <c r="AX13" i="3" s="1"/>
  <c r="BA13" i="3"/>
  <c r="AV13" i="3" s="1"/>
  <c r="AK13" i="3"/>
  <c r="AF13" i="3" s="1"/>
  <c r="AH13" i="3"/>
  <c r="AJ13" i="3"/>
  <c r="AD13" i="3" s="1"/>
  <c r="AE13" i="3"/>
  <c r="AG13" i="3"/>
  <c r="AW13" i="3" l="1"/>
  <c r="AY13" i="3"/>
  <c r="AC13" i="3"/>
  <c r="AA13" i="3" s="1"/>
  <c r="W14" i="3" s="1"/>
  <c r="AB13" i="3" l="1"/>
  <c r="X14" i="3" s="1"/>
  <c r="Z14" i="3"/>
  <c r="Y14" i="3"/>
  <c r="AL14" i="3" l="1"/>
  <c r="BB14" i="3"/>
  <c r="AY14" i="3" s="1"/>
  <c r="BA14" i="3"/>
  <c r="AW14" i="3" s="1"/>
  <c r="AJ14" i="3"/>
  <c r="AD14" i="3" s="1"/>
  <c r="AK14" i="3"/>
  <c r="AF14" i="3" s="1"/>
  <c r="AH14" i="3"/>
  <c r="AC14" i="3" l="1"/>
  <c r="AB14" i="3"/>
  <c r="AX14" i="3"/>
  <c r="AV14" i="3"/>
  <c r="AG14" i="3"/>
  <c r="AE14" i="3"/>
  <c r="AA14" i="3" l="1"/>
  <c r="W15" i="3" s="1"/>
  <c r="Y15" i="3"/>
  <c r="Z15" i="3"/>
  <c r="X15" i="3"/>
  <c r="BB15" i="3" l="1"/>
  <c r="AY15" i="3" s="1"/>
  <c r="BA15" i="3"/>
  <c r="AW15" i="3" s="1"/>
  <c r="AL15" i="3"/>
  <c r="AJ15" i="3"/>
  <c r="AD15" i="3" s="1"/>
  <c r="AK15" i="3"/>
  <c r="AF15" i="3" s="1"/>
  <c r="AH15" i="3"/>
  <c r="AB15" i="3" l="1"/>
  <c r="AX15" i="3"/>
  <c r="AV15" i="3"/>
  <c r="AC15" i="3"/>
  <c r="AE15" i="3"/>
  <c r="AG15" i="3"/>
  <c r="AA15" i="3" l="1"/>
  <c r="W16" i="3" s="1"/>
  <c r="Y16" i="3"/>
  <c r="Z16" i="3"/>
  <c r="X16" i="3"/>
  <c r="BB16" i="3" l="1"/>
  <c r="AY16" i="3" s="1"/>
  <c r="BA16" i="3"/>
  <c r="AV16" i="3" s="1"/>
  <c r="AL16" i="3"/>
  <c r="AH16" i="3" s="1"/>
  <c r="AJ16" i="3"/>
  <c r="AD16" i="3" s="1"/>
  <c r="AK16" i="3"/>
  <c r="AF16" i="3" s="1"/>
  <c r="AG16" i="3" l="1"/>
  <c r="AW16" i="3"/>
  <c r="AB16" i="3" s="1"/>
  <c r="AX16" i="3"/>
  <c r="AC16" i="3"/>
  <c r="AE16" i="3"/>
  <c r="AA16" i="3" l="1"/>
  <c r="Z17" i="3"/>
  <c r="X17" i="3"/>
  <c r="W17" i="3"/>
  <c r="Y17" i="3"/>
  <c r="AL17" i="3" l="1"/>
  <c r="BB17" i="3"/>
  <c r="AX17" i="3" s="1"/>
  <c r="BA17" i="3"/>
  <c r="AV17" i="3" s="1"/>
  <c r="AJ17" i="3"/>
  <c r="AD17" i="3" s="1"/>
  <c r="AK17" i="3"/>
  <c r="AF17" i="3" s="1"/>
  <c r="AH17" i="3"/>
  <c r="AW17" i="3" l="1"/>
  <c r="AY17" i="3"/>
  <c r="AE17" i="3"/>
  <c r="AC17" i="3"/>
  <c r="AG17" i="3"/>
  <c r="AB17" i="3" l="1"/>
  <c r="AA17" i="3"/>
  <c r="Y18" i="3"/>
  <c r="W18" i="3"/>
  <c r="Z18" i="3"/>
  <c r="X18" i="3"/>
  <c r="BB18" i="3" l="1"/>
  <c r="AY18" i="3" s="1"/>
  <c r="BA18" i="3"/>
  <c r="AW18" i="3" s="1"/>
  <c r="AL18" i="3"/>
  <c r="AH18" i="3" s="1"/>
  <c r="AK18" i="3"/>
  <c r="AE18" i="3" s="1"/>
  <c r="AJ18" i="3"/>
  <c r="AD18" i="3" s="1"/>
  <c r="AX18" i="3" l="1"/>
  <c r="AV18" i="3"/>
  <c r="AC18" i="3"/>
  <c r="AG18" i="3"/>
  <c r="AF18" i="3"/>
  <c r="AB18" i="3" s="1"/>
  <c r="AA18" i="3" l="1"/>
  <c r="Z19" i="3"/>
  <c r="X19" i="3"/>
  <c r="Y19" i="3" l="1"/>
  <c r="W19" i="3"/>
  <c r="AL19" i="3" l="1"/>
  <c r="BB19" i="3"/>
  <c r="AY19" i="3" s="1"/>
  <c r="BA19" i="3"/>
  <c r="AW19" i="3" s="1"/>
  <c r="AJ19" i="3"/>
  <c r="AH19" i="3"/>
  <c r="AK19" i="3"/>
  <c r="AF19" i="3" s="1"/>
  <c r="AG19" i="3"/>
  <c r="AX19" i="3" l="1"/>
  <c r="AV19" i="3"/>
  <c r="AE19" i="3"/>
  <c r="AC19" i="3"/>
  <c r="AA19" i="3" s="1"/>
  <c r="AD19" i="3"/>
  <c r="AB19" i="3" s="1"/>
  <c r="Y20" i="3" l="1"/>
  <c r="W20" i="3"/>
  <c r="Z20" i="3"/>
  <c r="X20" i="3"/>
  <c r="BB20" i="3" l="1"/>
  <c r="AY20" i="3" s="1"/>
  <c r="BA20" i="3"/>
  <c r="AW20" i="3" s="1"/>
  <c r="AL20" i="3"/>
  <c r="AK20" i="3"/>
  <c r="AE20" i="3" s="1"/>
  <c r="AG20" i="3"/>
  <c r="AJ20" i="3"/>
  <c r="AC20" i="3" s="1"/>
  <c r="AH20" i="3"/>
  <c r="AF20" i="3" l="1"/>
  <c r="AX20" i="3"/>
  <c r="AV20" i="3"/>
  <c r="AD20" i="3"/>
  <c r="AB20" i="3" s="1"/>
  <c r="AA20" i="3" l="1"/>
  <c r="W21" i="3"/>
  <c r="Y21" i="3"/>
  <c r="Z21" i="3"/>
  <c r="X21" i="3"/>
  <c r="AL21" i="3" l="1"/>
  <c r="BA21" i="3"/>
  <c r="AV21" i="3" s="1"/>
  <c r="BB21" i="3"/>
  <c r="AX21" i="3" s="1"/>
  <c r="AJ21" i="3"/>
  <c r="AC21" i="3" s="1"/>
  <c r="AK21" i="3"/>
  <c r="AY21" i="3" l="1"/>
  <c r="AW21" i="3"/>
  <c r="AF21" i="3"/>
  <c r="AE21" i="3"/>
  <c r="AH21" i="3"/>
  <c r="AG21" i="3"/>
  <c r="AD21" i="3"/>
  <c r="AB21" i="3" s="1"/>
  <c r="AA21" i="3" l="1"/>
  <c r="Z22" i="3"/>
  <c r="X22" i="3"/>
  <c r="W22" i="3" l="1"/>
  <c r="Y22" i="3"/>
  <c r="AL22" i="3" l="1"/>
  <c r="BB22" i="3"/>
  <c r="AY22" i="3" s="1"/>
  <c r="BA22" i="3"/>
  <c r="AW22" i="3" s="1"/>
  <c r="AK22" i="3"/>
  <c r="AJ22" i="3"/>
  <c r="AD22" i="3" s="1"/>
  <c r="AV22" i="3" l="1"/>
  <c r="AX22" i="3"/>
  <c r="AE22" i="3"/>
  <c r="AF22" i="3"/>
  <c r="AC22" i="3"/>
  <c r="AG22" i="3"/>
  <c r="AH22" i="3"/>
  <c r="AB22" i="3" l="1"/>
  <c r="AA22" i="3"/>
  <c r="Y23" i="3" l="1"/>
  <c r="W23" i="3"/>
  <c r="Z23" i="3"/>
  <c r="X23" i="3"/>
  <c r="BB23" i="3" l="1"/>
  <c r="AY23" i="3" s="1"/>
  <c r="BA23" i="3"/>
  <c r="AW23" i="3" s="1"/>
  <c r="AL23" i="3"/>
  <c r="AJ23" i="3"/>
  <c r="AC23" i="3" s="1"/>
  <c r="AK23" i="3"/>
  <c r="AF23" i="3" s="1"/>
  <c r="AG23" i="3"/>
  <c r="AH23" i="3"/>
  <c r="AD23" i="3"/>
  <c r="AB23" i="3" l="1"/>
  <c r="AV23" i="3"/>
  <c r="AX23" i="3"/>
  <c r="AE23" i="3"/>
  <c r="Z24" i="3"/>
  <c r="AA23" i="3" l="1"/>
  <c r="X24" i="3"/>
  <c r="Y24" i="3"/>
  <c r="W24" i="3"/>
  <c r="AL24" i="3" l="1"/>
  <c r="BB24" i="3"/>
  <c r="AX24" i="3" s="1"/>
  <c r="BA24" i="3"/>
  <c r="AV24" i="3" s="1"/>
  <c r="AY24" i="3"/>
  <c r="AJ24" i="3"/>
  <c r="AD24" i="3" s="1"/>
  <c r="AH24" i="3"/>
  <c r="AK24" i="3"/>
  <c r="AF24" i="3" s="1"/>
  <c r="AC24" i="3" l="1"/>
  <c r="AW24" i="3"/>
  <c r="AB24" i="3" s="1"/>
  <c r="AG24" i="3"/>
  <c r="AE24" i="3"/>
  <c r="X25" i="3" l="1"/>
  <c r="Z25" i="3"/>
  <c r="AA24" i="3"/>
  <c r="Y25" i="3" s="1"/>
  <c r="W25" i="3"/>
  <c r="AL25" i="3" l="1"/>
  <c r="BB25" i="3"/>
  <c r="AY25" i="3" s="1"/>
  <c r="BA25" i="3"/>
  <c r="AW25" i="3" s="1"/>
  <c r="AH25" i="3"/>
  <c r="AK25" i="3"/>
  <c r="AF25" i="3" s="1"/>
  <c r="AJ25" i="3"/>
  <c r="AD25" i="3" s="1"/>
  <c r="AB25" i="3" s="1"/>
  <c r="AG25" i="3"/>
  <c r="AE25" i="3"/>
  <c r="AV25" i="3" l="1"/>
  <c r="AX25" i="3"/>
  <c r="Z26" i="3"/>
  <c r="X26" i="3"/>
  <c r="AC25" i="3"/>
  <c r="AA25" i="3" s="1"/>
  <c r="Y26" i="3" l="1"/>
  <c r="W26" i="3"/>
  <c r="AL26" i="3" l="1"/>
  <c r="BB26" i="3"/>
  <c r="AY26" i="3" s="1"/>
  <c r="BA26" i="3"/>
  <c r="AW26" i="3" s="1"/>
  <c r="AJ26" i="3"/>
  <c r="AK26" i="3"/>
  <c r="AV26" i="3" l="1"/>
  <c r="AX26" i="3"/>
  <c r="AE26" i="3"/>
  <c r="AF26" i="3"/>
  <c r="AG26" i="3"/>
  <c r="AH26" i="3"/>
  <c r="AC26" i="3"/>
  <c r="AA26" i="3" s="1"/>
  <c r="AD26" i="3"/>
  <c r="AB26" i="3" s="1"/>
  <c r="W27" i="3" l="1"/>
  <c r="Y27" i="3"/>
  <c r="Z27" i="3"/>
  <c r="X27" i="3"/>
  <c r="BB27" i="3" l="1"/>
  <c r="AY27" i="3" s="1"/>
  <c r="BA27" i="3"/>
  <c r="AW27" i="3" s="1"/>
  <c r="AL27" i="3"/>
  <c r="AJ27" i="3"/>
  <c r="AC27" i="3" s="1"/>
  <c r="AK27" i="3"/>
  <c r="AE27" i="3" s="1"/>
  <c r="AG27" i="3"/>
  <c r="AV27" i="3" l="1"/>
  <c r="AX27" i="3"/>
  <c r="AD27" i="3"/>
  <c r="AF27" i="3"/>
  <c r="AH27" i="3"/>
  <c r="AB27" i="3" l="1"/>
  <c r="AA27" i="3"/>
  <c r="Y28" i="3"/>
  <c r="W28" i="3"/>
  <c r="X28" i="3" l="1"/>
  <c r="BB28" i="3" s="1"/>
  <c r="AX28" i="3" s="1"/>
  <c r="Z28" i="3"/>
  <c r="AJ28" i="3" l="1"/>
  <c r="AC28" i="3" s="1"/>
  <c r="AY28" i="3"/>
  <c r="BA28" i="3"/>
  <c r="AV28" i="3" s="1"/>
  <c r="AL28" i="3"/>
  <c r="AG28" i="3" s="1"/>
  <c r="AD28" i="3"/>
  <c r="AK28" i="3"/>
  <c r="AE28" i="3" s="1"/>
  <c r="AA28" i="3" l="1"/>
  <c r="AW28" i="3"/>
  <c r="W29" i="3"/>
  <c r="AH28" i="3"/>
  <c r="AF28" i="3"/>
  <c r="AB28" i="3" s="1"/>
  <c r="Y29" i="3" l="1"/>
  <c r="Z29" i="3"/>
  <c r="X29" i="3" l="1"/>
  <c r="AJ29" i="3"/>
  <c r="AC29" i="3" s="1"/>
  <c r="AK29" i="3"/>
  <c r="AE29" i="3" s="1"/>
  <c r="AD29" i="3"/>
  <c r="AL29" i="3" l="1"/>
  <c r="BA29" i="3"/>
  <c r="AV29" i="3" s="1"/>
  <c r="BB29" i="3"/>
  <c r="AX29" i="3" s="1"/>
  <c r="AF29" i="3"/>
  <c r="AY29" i="3" l="1"/>
  <c r="AW29" i="3"/>
  <c r="AG29" i="3"/>
  <c r="AA29" i="3" s="1"/>
  <c r="AH29" i="3"/>
  <c r="AB29" i="3" l="1"/>
  <c r="Z30" i="3"/>
  <c r="X30" i="3"/>
  <c r="Y30" i="3"/>
  <c r="W30" i="3"/>
  <c r="BA30" i="3" l="1"/>
  <c r="AV30" i="3" s="1"/>
  <c r="BB30" i="3"/>
  <c r="AX30" i="3" s="1"/>
  <c r="AL30" i="3"/>
  <c r="AG30" i="3" s="1"/>
  <c r="AK30" i="3"/>
  <c r="AJ30" i="3"/>
  <c r="AY30" i="3"/>
  <c r="AW30" i="3"/>
  <c r="AH30" i="3" l="1"/>
  <c r="AE30" i="3"/>
  <c r="AF30" i="3"/>
  <c r="AC30" i="3"/>
  <c r="AA30" i="3" s="1"/>
  <c r="AD30" i="3"/>
  <c r="AB30" i="3" s="1"/>
  <c r="W31" i="3" l="1"/>
  <c r="Y31" i="3"/>
  <c r="Z31" i="3" l="1"/>
  <c r="X31" i="3"/>
  <c r="AJ31" i="3" s="1"/>
  <c r="AC31" i="3" s="1"/>
  <c r="AL31" i="3" l="1"/>
  <c r="AG31" i="3" s="1"/>
  <c r="AH31" i="3"/>
  <c r="AD31" i="3"/>
  <c r="AK31" i="3"/>
  <c r="AE31" i="3" s="1"/>
  <c r="BA31" i="3"/>
  <c r="AV31" i="3" s="1"/>
  <c r="BB31" i="3"/>
  <c r="AX31" i="3" s="1"/>
  <c r="AA31" i="3" l="1"/>
  <c r="W32" i="3"/>
  <c r="Y32" i="3"/>
  <c r="AF31" i="3"/>
  <c r="AW31" i="3"/>
  <c r="AY31" i="3"/>
  <c r="AB31" i="3" l="1"/>
  <c r="Z32" i="3"/>
  <c r="X32" i="3"/>
  <c r="AL32" i="3"/>
  <c r="BA32" i="3"/>
  <c r="AV32" i="3" s="1"/>
  <c r="BB32" i="3"/>
  <c r="AX32" i="3" s="1"/>
  <c r="AK32" i="3"/>
  <c r="AF32" i="3" s="1"/>
  <c r="AG32" i="3"/>
  <c r="AJ32" i="3"/>
  <c r="AC32" i="3" s="1"/>
  <c r="AE32" i="3"/>
  <c r="AA32" i="3" l="1"/>
  <c r="AY32" i="3"/>
  <c r="AW32" i="3"/>
  <c r="AD32" i="3"/>
  <c r="AH32" i="3"/>
  <c r="AB32" i="3" l="1"/>
  <c r="Y33" i="3"/>
  <c r="W33" i="3"/>
  <c r="Z33" i="3" l="1"/>
  <c r="X33" i="3"/>
  <c r="AL33" i="3"/>
  <c r="AH33" i="3" s="1"/>
  <c r="BB33" i="3"/>
  <c r="AY33" i="3" s="1"/>
  <c r="BA33" i="3"/>
  <c r="AW33" i="3" s="1"/>
  <c r="AK33" i="3"/>
  <c r="AF33" i="3" s="1"/>
  <c r="AJ33" i="3"/>
  <c r="AD33" i="3" s="1"/>
  <c r="AG33" i="3"/>
  <c r="AB33" i="3" l="1"/>
  <c r="Z34" i="3"/>
  <c r="X34" i="3"/>
  <c r="AV33" i="3"/>
  <c r="AX33" i="3"/>
  <c r="AC33" i="3"/>
  <c r="AE33" i="3"/>
  <c r="AA33" i="3" l="1"/>
  <c r="Y34" i="3"/>
  <c r="W34" i="3"/>
  <c r="AL34" i="3" l="1"/>
  <c r="AH34" i="3" s="1"/>
  <c r="BB34" i="3"/>
  <c r="AY34" i="3" s="1"/>
  <c r="BA34" i="3"/>
  <c r="AW34" i="3" s="1"/>
  <c r="AK34" i="3"/>
  <c r="AG34" i="3"/>
  <c r="AJ34" i="3"/>
  <c r="AE34" i="3" l="1"/>
  <c r="AF34" i="3"/>
  <c r="AV34" i="3"/>
  <c r="AX34" i="3"/>
  <c r="AC34" i="3"/>
  <c r="AA34" i="3" s="1"/>
  <c r="AD34" i="3"/>
  <c r="AB34" i="3" s="1"/>
  <c r="W35" i="3" l="1"/>
  <c r="Y35" i="3"/>
  <c r="X35" i="3" l="1"/>
  <c r="Z35" i="3"/>
  <c r="AL35" i="3"/>
  <c r="BB35" i="3"/>
  <c r="AX35" i="3" s="1"/>
  <c r="BA35" i="3"/>
  <c r="AV35" i="3" s="1"/>
  <c r="AG35" i="3"/>
  <c r="AK35" i="3"/>
  <c r="AE35" i="3" s="1"/>
  <c r="AJ35" i="3"/>
  <c r="AC35" i="3" s="1"/>
  <c r="AA35" i="3" l="1"/>
  <c r="AY35" i="3"/>
  <c r="AW35" i="3"/>
  <c r="AH35" i="3"/>
  <c r="AD35" i="3"/>
  <c r="AF35" i="3"/>
  <c r="AB35" i="3" l="1"/>
  <c r="Y36" i="3"/>
  <c r="W36" i="3"/>
  <c r="Z36" i="3" l="1"/>
  <c r="X36" i="3"/>
  <c r="AJ36" i="3" s="1"/>
  <c r="AC36" i="3" s="1"/>
  <c r="AD36" i="3" l="1"/>
  <c r="AK36" i="3"/>
  <c r="BA36" i="3"/>
  <c r="AV36" i="3" s="1"/>
  <c r="BB36" i="3"/>
  <c r="AX36" i="3" s="1"/>
  <c r="AL36" i="3"/>
  <c r="AG36" i="3" s="1"/>
  <c r="AH36" i="3" l="1"/>
  <c r="AF36" i="3"/>
  <c r="AE36" i="3"/>
  <c r="AA36" i="3" s="1"/>
  <c r="AW36" i="3"/>
  <c r="AY36" i="3"/>
  <c r="AB36" i="3" l="1"/>
  <c r="Z37" i="3"/>
  <c r="X37" i="3"/>
  <c r="Y37" i="3"/>
  <c r="W37" i="3"/>
  <c r="BB37" i="3" l="1"/>
  <c r="AX37" i="3" s="1"/>
  <c r="BA37" i="3"/>
  <c r="AV37" i="3" s="1"/>
  <c r="AL37" i="3"/>
  <c r="AG37" i="3" s="1"/>
  <c r="AK37" i="3"/>
  <c r="AE37" i="3" s="1"/>
  <c r="AJ37" i="3"/>
  <c r="AC37" i="3" s="1"/>
  <c r="AA37" i="3" s="1"/>
  <c r="AY37" i="3"/>
  <c r="AW37" i="3"/>
  <c r="AH37" i="3"/>
  <c r="AD37" i="3" l="1"/>
  <c r="AF37" i="3"/>
  <c r="AB37" i="3" l="1"/>
  <c r="Z38" i="3"/>
  <c r="X38" i="3"/>
  <c r="Y38" i="3"/>
  <c r="W38" i="3"/>
  <c r="AL38" i="3" l="1"/>
  <c r="AH38" i="3" s="1"/>
  <c r="BB38" i="3"/>
  <c r="AY38" i="3" s="1"/>
  <c r="BA38" i="3"/>
  <c r="AW38" i="3" s="1"/>
  <c r="AK38" i="3"/>
  <c r="AJ38" i="3"/>
  <c r="AG38" i="3"/>
  <c r="AC38" i="3" l="1"/>
  <c r="AD38" i="3"/>
  <c r="AE38" i="3"/>
  <c r="AF38" i="3"/>
  <c r="AV38" i="3"/>
  <c r="AX38" i="3"/>
  <c r="AB38" i="3" l="1"/>
  <c r="AA38" i="3"/>
  <c r="Y39" i="3" l="1"/>
  <c r="W39" i="3"/>
  <c r="X39" i="3"/>
  <c r="Z39" i="3"/>
  <c r="AL39" i="3" l="1"/>
  <c r="AH39" i="3"/>
  <c r="BB39" i="3"/>
  <c r="AY39" i="3" s="1"/>
  <c r="BA39" i="3"/>
  <c r="AV39" i="3" s="1"/>
  <c r="AK39" i="3"/>
  <c r="AE39" i="3" s="1"/>
  <c r="AG39" i="3"/>
  <c r="AJ39" i="3"/>
  <c r="AC39" i="3" s="1"/>
  <c r="AW39" i="3" l="1"/>
  <c r="AX39" i="3"/>
  <c r="AA39" i="3" s="1"/>
  <c r="AF39" i="3"/>
  <c r="AD39" i="3"/>
  <c r="AB39" i="3" s="1"/>
  <c r="Y40" i="3" l="1"/>
  <c r="W40" i="3"/>
  <c r="X40" i="3"/>
  <c r="Z40" i="3"/>
  <c r="BB40" i="3"/>
  <c r="AX40" i="3" s="1"/>
  <c r="BA40" i="3"/>
  <c r="AV40" i="3" s="1"/>
  <c r="AJ40" i="3"/>
  <c r="AC40" i="3" s="1"/>
  <c r="AK40" i="3"/>
  <c r="AE40" i="3" s="1"/>
  <c r="AL40" i="3" l="1"/>
  <c r="AG40" i="3" s="1"/>
  <c r="AA40" i="3" s="1"/>
  <c r="AY40" i="3"/>
  <c r="AW40" i="3"/>
  <c r="AH40" i="3"/>
  <c r="AD40" i="3"/>
  <c r="AF40" i="3"/>
  <c r="AB40" i="3" l="1"/>
  <c r="Y41" i="3"/>
  <c r="W41" i="3"/>
  <c r="X41" i="3" l="1"/>
  <c r="Z41" i="3"/>
  <c r="AL41" i="3"/>
  <c r="BB41" i="3"/>
  <c r="AX41" i="3" s="1"/>
  <c r="BA41" i="3"/>
  <c r="AV41" i="3" s="1"/>
  <c r="AJ41" i="3"/>
  <c r="AK41" i="3"/>
  <c r="AF41" i="3" s="1"/>
  <c r="AG41" i="3"/>
  <c r="AD41" i="3" l="1"/>
  <c r="AC41" i="3"/>
  <c r="AA41" i="3" s="1"/>
  <c r="AE41" i="3"/>
  <c r="AY41" i="3"/>
  <c r="AW41" i="3"/>
  <c r="AH41" i="3"/>
  <c r="AB41" i="3" l="1"/>
  <c r="X42" i="3"/>
  <c r="Z42" i="3"/>
  <c r="Y42" i="3"/>
  <c r="W42" i="3"/>
  <c r="AL42" i="3" l="1"/>
  <c r="BB42" i="3"/>
  <c r="AX42" i="3" s="1"/>
  <c r="BA42" i="3"/>
  <c r="AV42" i="3" s="1"/>
  <c r="AG42" i="3"/>
  <c r="AJ42" i="3"/>
  <c r="AD42" i="3" s="1"/>
  <c r="AK42" i="3"/>
  <c r="AF42" i="3" s="1"/>
  <c r="AY42" i="3"/>
  <c r="AW42" i="3"/>
  <c r="AH42" i="3"/>
  <c r="AB42" i="3" l="1"/>
  <c r="Z43" i="3"/>
  <c r="X43" i="3"/>
  <c r="AC42" i="3"/>
  <c r="AE42" i="3"/>
  <c r="AA42" i="3" l="1"/>
  <c r="W43" i="3"/>
  <c r="Y43" i="3"/>
  <c r="AL43" i="3" l="1"/>
  <c r="AH43" i="3" s="1"/>
  <c r="BB43" i="3"/>
  <c r="AY43" i="3" s="1"/>
  <c r="BA43" i="3"/>
  <c r="AW43" i="3" s="1"/>
  <c r="AK43" i="3"/>
  <c r="AF43" i="3" s="1"/>
  <c r="AJ43" i="3"/>
  <c r="AD43" i="3" s="1"/>
  <c r="AB43" i="3" s="1"/>
  <c r="AG43" i="3"/>
  <c r="AC43" i="3" l="1"/>
  <c r="AE43" i="3"/>
  <c r="AX43" i="3"/>
  <c r="X44" i="3"/>
  <c r="Z44" i="3"/>
  <c r="AV43" i="3"/>
  <c r="AA43" i="3" l="1"/>
  <c r="Y44" i="3"/>
  <c r="W44" i="3"/>
  <c r="AL44" i="3" s="1"/>
  <c r="AJ44" i="3" l="1"/>
  <c r="AD44" i="3" s="1"/>
  <c r="AK44" i="3"/>
  <c r="AF44" i="3" s="1"/>
  <c r="BA44" i="3"/>
  <c r="AW44" i="3" s="1"/>
  <c r="AH44" i="3"/>
  <c r="AG44" i="3"/>
  <c r="BB44" i="3"/>
  <c r="AY44" i="3" s="1"/>
  <c r="AC44" i="3"/>
  <c r="AV44" i="3"/>
  <c r="AE44" i="3"/>
  <c r="AB44" i="3" l="1"/>
  <c r="AX44" i="3"/>
  <c r="AA44" i="3"/>
  <c r="W45" i="3"/>
  <c r="Y45" i="3"/>
  <c r="X45" i="3"/>
  <c r="Z45" i="3"/>
  <c r="BB45" i="3" l="1"/>
  <c r="AY45" i="3" s="1"/>
  <c r="BA45" i="3"/>
  <c r="AW45" i="3" s="1"/>
  <c r="AK45" i="3"/>
  <c r="AE45" i="3" s="1"/>
  <c r="AJ45" i="3"/>
  <c r="AC45" i="3" s="1"/>
  <c r="AL45" i="3"/>
  <c r="AH45" i="3" s="1"/>
  <c r="AG45" i="3" l="1"/>
  <c r="AX45" i="3"/>
  <c r="AV45" i="3"/>
  <c r="AD45" i="3"/>
  <c r="AF45" i="3"/>
  <c r="AB45" i="3" l="1"/>
  <c r="AA45" i="3"/>
  <c r="X46" i="3"/>
  <c r="Z46" i="3"/>
  <c r="W46" i="3"/>
  <c r="Y46" i="3"/>
  <c r="AL46" i="3" l="1"/>
  <c r="BB46" i="3"/>
  <c r="AX46" i="3" s="1"/>
  <c r="BA46" i="3"/>
  <c r="AV46" i="3" s="1"/>
  <c r="AG46" i="3"/>
  <c r="AJ46" i="3"/>
  <c r="AC46" i="3" s="1"/>
  <c r="AK46" i="3"/>
  <c r="AE46" i="3" s="1"/>
  <c r="AY46" i="3"/>
  <c r="AW46" i="3"/>
  <c r="AH46" i="3"/>
  <c r="AD46" i="3"/>
  <c r="AF46" i="3" l="1"/>
  <c r="AB46" i="3" s="1"/>
  <c r="AA46" i="3"/>
  <c r="Z47" i="3" l="1"/>
  <c r="X47" i="3"/>
  <c r="Y47" i="3"/>
  <c r="W47" i="3"/>
  <c r="AL47" i="3" l="1"/>
  <c r="AH47" i="3" s="1"/>
  <c r="BB47" i="3"/>
  <c r="AY47" i="3" s="1"/>
  <c r="BA47" i="3"/>
  <c r="AW47" i="3" s="1"/>
  <c r="AK47" i="3"/>
  <c r="AF47" i="3" s="1"/>
  <c r="AJ47" i="3"/>
  <c r="AD47" i="3" s="1"/>
  <c r="AB47" i="3" s="1"/>
  <c r="AG47" i="3"/>
  <c r="AE47" i="3" l="1"/>
  <c r="AC47" i="3"/>
  <c r="Z48" i="3"/>
  <c r="X48" i="3"/>
  <c r="AV47" i="3"/>
  <c r="AX47" i="3"/>
  <c r="AA47" i="3" l="1"/>
  <c r="Y48" i="3"/>
  <c r="W48" i="3"/>
  <c r="BB48" i="3" l="1"/>
  <c r="AY48" i="3" s="1"/>
  <c r="BA48" i="3"/>
  <c r="AW48" i="3" s="1"/>
  <c r="AK48" i="3"/>
  <c r="AF48" i="3" s="1"/>
  <c r="AL48" i="3"/>
  <c r="AH48" i="3" s="1"/>
  <c r="AJ48" i="3"/>
  <c r="AD48" i="3" s="1"/>
  <c r="AE48" i="3" l="1"/>
  <c r="AB48" i="3"/>
  <c r="AG48" i="3"/>
  <c r="AC48" i="3"/>
  <c r="AV48" i="3"/>
  <c r="AX48" i="3"/>
  <c r="AA48" i="3" l="1"/>
  <c r="W49" i="3" s="1"/>
  <c r="Z49" i="3"/>
  <c r="X49" i="3"/>
  <c r="Y49" i="3" l="1"/>
  <c r="AL49" i="3"/>
  <c r="BB49" i="3"/>
  <c r="AX49" i="3" s="1"/>
  <c r="BA49" i="3"/>
  <c r="AV49" i="3" s="1"/>
  <c r="AK49" i="3"/>
  <c r="AE49" i="3" s="1"/>
  <c r="AJ49" i="3"/>
  <c r="AC49" i="3" s="1"/>
  <c r="AG49" i="3"/>
  <c r="AY49" i="3"/>
  <c r="AW49" i="3"/>
  <c r="AH49" i="3"/>
  <c r="AF49" i="3"/>
  <c r="AD49" i="3" l="1"/>
  <c r="AB49" i="3"/>
  <c r="AA49" i="3"/>
  <c r="Y50" i="3"/>
  <c r="W50" i="3"/>
  <c r="Z50" i="3" l="1"/>
  <c r="X50" i="3"/>
  <c r="BB50" i="3"/>
  <c r="AX50" i="3" s="1"/>
  <c r="BA50" i="3"/>
  <c r="AV50" i="3" s="1"/>
  <c r="AL50" i="3" l="1"/>
  <c r="AY50" i="3"/>
  <c r="AW50" i="3"/>
  <c r="AK50" i="3"/>
  <c r="AJ50" i="3"/>
  <c r="AE50" i="3" l="1"/>
  <c r="AF50" i="3"/>
  <c r="AC50" i="3"/>
  <c r="AD50" i="3"/>
  <c r="AG50" i="3"/>
  <c r="AH50" i="3"/>
  <c r="AB50" i="3" l="1"/>
  <c r="AA50" i="3"/>
  <c r="X51" i="3"/>
  <c r="Z51" i="3"/>
  <c r="Y51" i="3" l="1"/>
  <c r="W51" i="3"/>
  <c r="BB51" i="3" l="1"/>
  <c r="AY51" i="3" s="1"/>
  <c r="BA51" i="3"/>
  <c r="AW51" i="3" s="1"/>
  <c r="AL51" i="3"/>
  <c r="AH51" i="3" s="1"/>
  <c r="AJ51" i="3"/>
  <c r="AK51" i="3"/>
  <c r="AG51" i="3" l="1"/>
  <c r="AE51" i="3"/>
  <c r="AF51" i="3"/>
  <c r="AV51" i="3"/>
  <c r="AC51" i="3"/>
  <c r="AD51" i="3"/>
  <c r="AB51" i="3" s="1"/>
  <c r="AX51" i="3"/>
  <c r="AA51" i="3" l="1"/>
  <c r="W52" i="3"/>
  <c r="Y52" i="3"/>
  <c r="Z52" i="3"/>
  <c r="X52" i="3"/>
  <c r="AJ52" i="3" l="1"/>
  <c r="AC52" i="3" s="1"/>
  <c r="BB52" i="3"/>
  <c r="AY52" i="3" s="1"/>
  <c r="BA52" i="3"/>
  <c r="AV52" i="3" s="1"/>
  <c r="AK52" i="3"/>
  <c r="AL52" i="3"/>
  <c r="AG52" i="3" l="1"/>
  <c r="AH52" i="3"/>
  <c r="AW52" i="3"/>
  <c r="AE52" i="3"/>
  <c r="AF52" i="3"/>
  <c r="AX52" i="3"/>
  <c r="AD52" i="3"/>
  <c r="AB52" i="3" l="1"/>
  <c r="AA52" i="3"/>
  <c r="W53" i="3"/>
  <c r="Y53" i="3"/>
  <c r="Z53" i="3" l="1"/>
  <c r="X53" i="3"/>
  <c r="BB53" i="3"/>
  <c r="AX53" i="3" s="1"/>
  <c r="BA53" i="3"/>
  <c r="AV53" i="3" s="1"/>
  <c r="AK53" i="3"/>
  <c r="AE53" i="3" s="1"/>
  <c r="AJ53" i="3"/>
  <c r="AC53" i="3" s="1"/>
  <c r="AL53" i="3" l="1"/>
  <c r="AG53" i="3" s="1"/>
  <c r="AA53" i="3" s="1"/>
  <c r="AY53" i="3"/>
  <c r="AW53" i="3"/>
  <c r="AH53" i="3"/>
  <c r="AF53" i="3"/>
  <c r="AD53" i="3"/>
  <c r="AB53" i="3" s="1"/>
  <c r="Y54" i="3" l="1"/>
  <c r="W54" i="3"/>
  <c r="Z54" i="3" l="1"/>
  <c r="X54" i="3"/>
  <c r="BB54" i="3"/>
  <c r="AX54" i="3" s="1"/>
  <c r="BA54" i="3"/>
  <c r="AV54" i="3" s="1"/>
  <c r="AK54" i="3"/>
  <c r="AE54" i="3" s="1"/>
  <c r="AJ54" i="3"/>
  <c r="AC54" i="3" s="1"/>
  <c r="AL54" i="3" l="1"/>
  <c r="AG54" i="3" s="1"/>
  <c r="AA54" i="3" s="1"/>
  <c r="AY54" i="3"/>
  <c r="AW54" i="3"/>
  <c r="AF54" i="3"/>
  <c r="AH54" i="3"/>
  <c r="AD54" i="3"/>
  <c r="AB54" i="3" s="1"/>
  <c r="Y55" i="3" l="1"/>
  <c r="W55" i="3"/>
  <c r="X55" i="3" l="1"/>
  <c r="BB55" i="3" s="1"/>
  <c r="AY55" i="3" s="1"/>
  <c r="Z55" i="3"/>
  <c r="BA55" i="3"/>
  <c r="AW55" i="3" s="1"/>
  <c r="AK55" i="3"/>
  <c r="AF55" i="3" s="1"/>
  <c r="AJ55" i="3"/>
  <c r="AD55" i="3" s="1"/>
  <c r="AL55" i="3" l="1"/>
  <c r="AC55" i="3"/>
  <c r="AV55" i="3"/>
  <c r="AE55" i="3"/>
  <c r="AX55" i="3"/>
  <c r="AH55" i="3" l="1"/>
  <c r="AB55" i="3" s="1"/>
  <c r="AG55" i="3"/>
  <c r="AA55" i="3" s="1"/>
  <c r="Z56" i="3"/>
  <c r="X56" i="3"/>
  <c r="Y56" i="3" l="1"/>
  <c r="W56" i="3"/>
  <c r="AL56" i="3"/>
  <c r="AH56" i="3" s="1"/>
  <c r="BB56" i="3"/>
  <c r="AY56" i="3" s="1"/>
  <c r="BA56" i="3"/>
  <c r="AW56" i="3" s="1"/>
  <c r="AG56" i="3"/>
  <c r="AJ56" i="3"/>
  <c r="AD56" i="3" s="1"/>
  <c r="AK56" i="3"/>
  <c r="AF56" i="3" s="1"/>
  <c r="AB56" i="3" l="1"/>
  <c r="AC56" i="3"/>
  <c r="AV56" i="3"/>
  <c r="AX56" i="3"/>
  <c r="AE56" i="3"/>
  <c r="AA56" i="3" l="1"/>
  <c r="W57" i="3" s="1"/>
  <c r="Z57" i="3"/>
  <c r="X57" i="3"/>
  <c r="Y57" i="3" l="1"/>
  <c r="AL57" i="3"/>
  <c r="AH57" i="3" s="1"/>
  <c r="BB57" i="3"/>
  <c r="AY57" i="3" s="1"/>
  <c r="BA57" i="3"/>
  <c r="AW57" i="3" s="1"/>
  <c r="AK57" i="3"/>
  <c r="AE57" i="3" s="1"/>
  <c r="AJ57" i="3"/>
  <c r="AD57" i="3" s="1"/>
  <c r="AG57" i="3"/>
  <c r="AC57" i="3" l="1"/>
  <c r="AV57" i="3"/>
  <c r="AX57" i="3"/>
  <c r="AF57" i="3"/>
  <c r="AB57" i="3" s="1"/>
  <c r="AA57" i="3" l="1"/>
  <c r="Z58" i="3"/>
  <c r="X58" i="3"/>
  <c r="Y58" i="3"/>
  <c r="W58" i="3"/>
  <c r="BB58" i="3" l="1"/>
  <c r="AX58" i="3" s="1"/>
  <c r="BA58" i="3"/>
  <c r="AV58" i="3" s="1"/>
  <c r="AJ58" i="3"/>
  <c r="AC58" i="3" s="1"/>
  <c r="AL58" i="3"/>
  <c r="AG58" i="3" s="1"/>
  <c r="AK58" i="3"/>
  <c r="AF58" i="3" s="1"/>
  <c r="AY58" i="3"/>
  <c r="AW58" i="3"/>
  <c r="AH58" i="3"/>
  <c r="AD58" i="3"/>
  <c r="AB58" i="3" l="1"/>
  <c r="AE58" i="3"/>
  <c r="AA58" i="3" s="1"/>
  <c r="Z59" i="3"/>
  <c r="X59" i="3"/>
  <c r="Y59" i="3" l="1"/>
  <c r="W59" i="3"/>
  <c r="AL59" i="3" l="1"/>
  <c r="AH59" i="3" s="1"/>
  <c r="BB59" i="3"/>
  <c r="AY59" i="3" s="1"/>
  <c r="BA59" i="3"/>
  <c r="AW59" i="3" s="1"/>
  <c r="AK59" i="3"/>
  <c r="AF59" i="3" s="1"/>
  <c r="AJ59" i="3"/>
  <c r="AD59" i="3" s="1"/>
  <c r="AB59" i="3" s="1"/>
  <c r="AG59" i="3"/>
  <c r="Z60" i="3" l="1"/>
  <c r="X60" i="3"/>
  <c r="AV59" i="3"/>
  <c r="AC59" i="3"/>
  <c r="AX59" i="3"/>
  <c r="AE59" i="3"/>
  <c r="AA59" i="3" l="1"/>
  <c r="W60" i="3"/>
  <c r="Y60" i="3"/>
  <c r="AL60" i="3" l="1"/>
  <c r="AH60" i="3" s="1"/>
  <c r="BB60" i="3"/>
  <c r="AY60" i="3" s="1"/>
  <c r="BA60" i="3"/>
  <c r="AW60" i="3" s="1"/>
  <c r="AJ60" i="3"/>
  <c r="AD60" i="3" s="1"/>
  <c r="AK60" i="3"/>
  <c r="AF60" i="3" s="1"/>
  <c r="AG60" i="3"/>
  <c r="AB60" i="3" l="1"/>
  <c r="Z61" i="3"/>
  <c r="X61" i="3"/>
  <c r="AV60" i="3"/>
  <c r="AE60" i="3"/>
  <c r="AX60" i="3"/>
  <c r="AC60" i="3"/>
  <c r="AA60" i="3" l="1"/>
  <c r="Y61" i="3"/>
  <c r="W61" i="3"/>
  <c r="AL61" i="3" l="1"/>
  <c r="AH61" i="3" s="1"/>
  <c r="BB61" i="3"/>
  <c r="AY61" i="3" s="1"/>
  <c r="BA61" i="3"/>
  <c r="AW61" i="3" s="1"/>
  <c r="AK61" i="3"/>
  <c r="AF61" i="3" s="1"/>
  <c r="AJ61" i="3"/>
  <c r="AD61" i="3" s="1"/>
  <c r="AG61" i="3"/>
  <c r="AE61" i="3" l="1"/>
  <c r="AB61" i="3"/>
  <c r="Z62" i="3" s="1"/>
  <c r="AC61" i="3"/>
  <c r="X62" i="3"/>
  <c r="AV61" i="3"/>
  <c r="AX61" i="3"/>
  <c r="AA61" i="3" l="1"/>
  <c r="Y62" i="3"/>
  <c r="W62" i="3"/>
  <c r="AL62" i="3"/>
  <c r="AG62" i="3" l="1"/>
  <c r="AH62" i="3"/>
  <c r="BA62" i="3"/>
  <c r="AW62" i="3" s="1"/>
  <c r="BB62" i="3"/>
  <c r="AY62" i="3" s="1"/>
  <c r="AJ62" i="3"/>
  <c r="AK62" i="3"/>
  <c r="AE62" i="3" l="1"/>
  <c r="AF62" i="3"/>
  <c r="AC62" i="3"/>
  <c r="AD62" i="3"/>
  <c r="AB62" i="3" s="1"/>
  <c r="AX62" i="3"/>
  <c r="AV62" i="3"/>
  <c r="AA62" i="3" l="1"/>
  <c r="W63" i="3" l="1"/>
  <c r="Y63" i="3"/>
  <c r="X63" i="3"/>
  <c r="Z63" i="3"/>
  <c r="AL63" i="3" l="1"/>
  <c r="AG63" i="3" s="1"/>
  <c r="AH63" i="3"/>
  <c r="BB63" i="3"/>
  <c r="AY63" i="3" s="1"/>
  <c r="BA63" i="3"/>
  <c r="AW63" i="3" s="1"/>
  <c r="AK63" i="3"/>
  <c r="AE63" i="3" s="1"/>
  <c r="AJ63" i="3"/>
  <c r="AC63" i="3" s="1"/>
  <c r="AV63" i="3" l="1"/>
  <c r="AX63" i="3"/>
  <c r="AD63" i="3"/>
  <c r="AF63" i="3"/>
  <c r="AB63" i="3" l="1"/>
  <c r="AA63" i="3"/>
  <c r="Y64" i="3"/>
  <c r="W64" i="3"/>
  <c r="Z64" i="3" l="1"/>
  <c r="X64" i="3"/>
  <c r="AL64" i="3" l="1"/>
  <c r="AG64" i="3" s="1"/>
  <c r="BA64" i="3"/>
  <c r="AV64" i="3" s="1"/>
  <c r="AK64" i="3"/>
  <c r="AE64" i="3" s="1"/>
  <c r="BB64" i="3"/>
  <c r="AX64" i="3" s="1"/>
  <c r="AJ64" i="3"/>
  <c r="AC64" i="3" s="1"/>
  <c r="AA64" i="3" l="1"/>
  <c r="AH64" i="3"/>
  <c r="AW64" i="3"/>
  <c r="W65" i="3"/>
  <c r="Y65" i="3"/>
  <c r="AF64" i="3"/>
  <c r="AY64" i="3"/>
  <c r="AD64" i="3"/>
  <c r="AB64" i="3" l="1"/>
  <c r="X65" i="3"/>
  <c r="Z65" i="3"/>
  <c r="BB65" i="3"/>
  <c r="AX65" i="3" s="1"/>
  <c r="BA65" i="3"/>
  <c r="AV65" i="3" s="1"/>
  <c r="AK65" i="3"/>
  <c r="AE65" i="3" s="1"/>
  <c r="AJ65" i="3"/>
  <c r="AC65" i="3" s="1"/>
  <c r="AL65" i="3" l="1"/>
  <c r="AG65" i="3" s="1"/>
  <c r="AA65" i="3" s="1"/>
  <c r="AY65" i="3"/>
  <c r="AW65" i="3"/>
  <c r="AF65" i="3"/>
  <c r="AH65" i="3"/>
  <c r="AD65" i="3"/>
  <c r="AB65" i="3" l="1"/>
  <c r="X66" i="3" s="1"/>
  <c r="Y66" i="3"/>
  <c r="W66" i="3"/>
  <c r="Z66" i="3"/>
  <c r="BB66" i="3" l="1"/>
  <c r="AY66" i="3" s="1"/>
  <c r="BA66" i="3"/>
  <c r="AW66" i="3" s="1"/>
  <c r="AJ66" i="3"/>
  <c r="AL66" i="3"/>
  <c r="AH66" i="3" s="1"/>
  <c r="AK66" i="3"/>
  <c r="AG66" i="3" l="1"/>
  <c r="AC66" i="3"/>
  <c r="AD66" i="3"/>
  <c r="AV66" i="3"/>
  <c r="AE66" i="3"/>
  <c r="AF66" i="3"/>
  <c r="AX66" i="3"/>
  <c r="AB66" i="3" l="1"/>
  <c r="AA66" i="3"/>
  <c r="Z67" i="3"/>
  <c r="X67" i="3"/>
  <c r="Y67" i="3" l="1"/>
  <c r="W67" i="3"/>
  <c r="AL67" i="3" l="1"/>
  <c r="AH67" i="3" s="1"/>
  <c r="BA67" i="3"/>
  <c r="AW67" i="3" s="1"/>
  <c r="BB67" i="3"/>
  <c r="AY67" i="3" s="1"/>
  <c r="AJ67" i="3"/>
  <c r="AG67" i="3"/>
  <c r="AK67" i="3"/>
  <c r="AC67" i="3" l="1"/>
  <c r="AD67" i="3"/>
  <c r="AV67" i="3"/>
  <c r="AX67" i="3"/>
  <c r="AE67" i="3"/>
  <c r="AF67" i="3"/>
  <c r="AB67" i="3" l="1"/>
  <c r="AA67" i="3"/>
  <c r="Z68" i="3"/>
  <c r="X68" i="3"/>
  <c r="Y68" i="3" l="1"/>
  <c r="W68" i="3"/>
  <c r="AL68" i="3" l="1"/>
  <c r="AH68" i="3" s="1"/>
  <c r="BB68" i="3"/>
  <c r="AY68" i="3" s="1"/>
  <c r="BA68" i="3"/>
  <c r="AW68" i="3" s="1"/>
  <c r="AK68" i="3"/>
  <c r="AF68" i="3" s="1"/>
  <c r="AJ68" i="3"/>
  <c r="AD68" i="3" s="1"/>
  <c r="AB68" i="3" s="1"/>
  <c r="AG68" i="3"/>
  <c r="AC68" i="3" l="1"/>
  <c r="AV68" i="3"/>
  <c r="AX68" i="3"/>
  <c r="AE68" i="3"/>
  <c r="AA68" i="3" l="1"/>
  <c r="Y69" i="3"/>
  <c r="W69" i="3"/>
  <c r="X69" i="3"/>
  <c r="Z69" i="3"/>
  <c r="AL69" i="3" l="1"/>
  <c r="AH69" i="3" s="1"/>
  <c r="BB69" i="3"/>
  <c r="AY69" i="3" s="1"/>
  <c r="BA69" i="3"/>
  <c r="AW69" i="3" s="1"/>
  <c r="AK69" i="3"/>
  <c r="AF69" i="3" s="1"/>
  <c r="AG69" i="3"/>
  <c r="AJ69" i="3"/>
  <c r="AD69" i="3" s="1"/>
  <c r="AB69" i="3" l="1"/>
  <c r="AE69" i="3"/>
  <c r="AC69" i="3"/>
  <c r="AX69" i="3"/>
  <c r="AV69" i="3"/>
  <c r="AA69" i="3" l="1"/>
  <c r="Z70" i="3"/>
  <c r="X70" i="3"/>
  <c r="Y70" i="3"/>
  <c r="W70" i="3"/>
  <c r="AL70" i="3" l="1"/>
  <c r="BB70" i="3"/>
  <c r="AX70" i="3" s="1"/>
  <c r="BA70" i="3"/>
  <c r="AV70" i="3" s="1"/>
  <c r="AK70" i="3"/>
  <c r="AF70" i="3" s="1"/>
  <c r="AJ70" i="3"/>
  <c r="AG70" i="3"/>
  <c r="AY70" i="3"/>
  <c r="AW70" i="3"/>
  <c r="AH70" i="3"/>
  <c r="AE70" i="3" l="1"/>
  <c r="AC70" i="3"/>
  <c r="AA70" i="3" s="1"/>
  <c r="AD70" i="3"/>
  <c r="AB70" i="3" s="1"/>
  <c r="Z71" i="3" l="1"/>
  <c r="X71" i="3"/>
  <c r="Y71" i="3"/>
  <c r="W71" i="3"/>
  <c r="BB71" i="3" l="1"/>
  <c r="AX71" i="3" s="1"/>
  <c r="BA71" i="3"/>
  <c r="AV71" i="3" s="1"/>
  <c r="AL71" i="3"/>
  <c r="AH71" i="3" s="1"/>
  <c r="AJ71" i="3"/>
  <c r="AK71" i="3"/>
  <c r="AY71" i="3"/>
  <c r="AW71" i="3"/>
  <c r="AG71" i="3" l="1"/>
  <c r="AC71" i="3"/>
  <c r="AD71" i="3"/>
  <c r="AF71" i="3"/>
  <c r="AE71" i="3"/>
  <c r="AB71" i="3" l="1"/>
  <c r="AA71" i="3"/>
  <c r="X72" i="3"/>
  <c r="Z72" i="3"/>
  <c r="W72" i="3"/>
  <c r="Y72" i="3"/>
  <c r="AL72" i="3" l="1"/>
  <c r="AG72" i="3" s="1"/>
  <c r="BB72" i="3"/>
  <c r="AX72" i="3" s="1"/>
  <c r="BA72" i="3"/>
  <c r="AV72" i="3" s="1"/>
  <c r="AK72" i="3"/>
  <c r="AJ72" i="3"/>
  <c r="AY72" i="3"/>
  <c r="AW72" i="3"/>
  <c r="AH72" i="3"/>
  <c r="AF72" i="3" l="1"/>
  <c r="AE72" i="3"/>
  <c r="AD72" i="3"/>
  <c r="AB72" i="3" s="1"/>
  <c r="AC72" i="3"/>
  <c r="AA72" i="3" s="1"/>
  <c r="Y73" i="3" l="1"/>
  <c r="W73" i="3"/>
  <c r="Z73" i="3"/>
  <c r="X73" i="3"/>
  <c r="BB73" i="3" l="1"/>
  <c r="AY73" i="3" s="1"/>
  <c r="BA73" i="3"/>
  <c r="AW73" i="3" s="1"/>
  <c r="AK73" i="3"/>
  <c r="AJ73" i="3"/>
  <c r="AL73" i="3"/>
  <c r="AH73" i="3" l="1"/>
  <c r="AG73" i="3"/>
  <c r="AC73" i="3"/>
  <c r="AD73" i="3"/>
  <c r="AV73" i="3"/>
  <c r="AF73" i="3"/>
  <c r="AE73" i="3"/>
  <c r="AX73" i="3"/>
  <c r="AB73" i="3" l="1"/>
  <c r="AA73" i="3"/>
  <c r="Y74" i="3"/>
  <c r="W74" i="3"/>
  <c r="X74" i="3" l="1"/>
  <c r="Z74" i="3"/>
  <c r="BB74" i="3"/>
  <c r="AX74" i="3" s="1"/>
  <c r="BA74" i="3"/>
  <c r="AV74" i="3" s="1"/>
  <c r="AL74" i="3"/>
  <c r="AG74" i="3" s="1"/>
  <c r="AJ74" i="3"/>
  <c r="AC74" i="3" s="1"/>
  <c r="AK74" i="3"/>
  <c r="AE74" i="3" s="1"/>
  <c r="AA74" i="3" l="1"/>
  <c r="AY74" i="3"/>
  <c r="AW74" i="3"/>
  <c r="AH74" i="3"/>
  <c r="AF74" i="3"/>
  <c r="AD74" i="3"/>
  <c r="AB74" i="3" l="1"/>
  <c r="Z75" i="3"/>
  <c r="X75" i="3"/>
  <c r="W75" i="3"/>
  <c r="Y75" i="3"/>
  <c r="BB75" i="3" l="1"/>
  <c r="AX75" i="3" s="1"/>
  <c r="BA75" i="3"/>
  <c r="AV75" i="3" s="1"/>
  <c r="AK75" i="3"/>
  <c r="AJ75" i="3"/>
  <c r="AL75" i="3"/>
  <c r="AY75" i="3"/>
  <c r="AW75" i="3"/>
  <c r="AF75" i="3" l="1"/>
  <c r="AE75" i="3"/>
  <c r="AG75" i="3"/>
  <c r="AH75" i="3"/>
  <c r="AC75" i="3"/>
  <c r="AA75" i="3" s="1"/>
  <c r="AD75" i="3"/>
  <c r="AB75" i="3" s="1"/>
  <c r="Z76" i="3" l="1"/>
  <c r="X76" i="3"/>
  <c r="Y76" i="3" l="1"/>
  <c r="W76" i="3"/>
  <c r="AL76" i="3" l="1"/>
  <c r="AH76" i="3" s="1"/>
  <c r="BB76" i="3"/>
  <c r="AY76" i="3" s="1"/>
  <c r="BA76" i="3"/>
  <c r="AW76" i="3" s="1"/>
  <c r="AJ76" i="3"/>
  <c r="AD76" i="3" s="1"/>
  <c r="AK76" i="3"/>
  <c r="AG76" i="3"/>
  <c r="AC76" i="3" l="1"/>
  <c r="AE76" i="3"/>
  <c r="AF76" i="3"/>
  <c r="AB76" i="3" s="1"/>
  <c r="AV76" i="3"/>
  <c r="AX76" i="3"/>
  <c r="AA76" i="3" l="1"/>
  <c r="X77" i="3"/>
  <c r="Z77" i="3"/>
  <c r="W77" i="3"/>
  <c r="Y77" i="3"/>
  <c r="BB77" i="3" l="1"/>
  <c r="AX77" i="3" s="1"/>
  <c r="BA77" i="3"/>
  <c r="AV77" i="3" s="1"/>
  <c r="AJ77" i="3"/>
  <c r="AC77" i="3" s="1"/>
  <c r="AK77" i="3"/>
  <c r="AE77" i="3" s="1"/>
  <c r="AL77" i="3"/>
  <c r="AG77" i="3" s="1"/>
  <c r="AY77" i="3"/>
  <c r="AW77" i="3"/>
  <c r="AF77" i="3"/>
  <c r="AD77" i="3"/>
  <c r="AH77" i="3" l="1"/>
  <c r="AB77" i="3"/>
  <c r="AA77" i="3"/>
  <c r="Y78" i="3" l="1"/>
  <c r="W78" i="3"/>
  <c r="X78" i="3"/>
  <c r="Z78" i="3"/>
  <c r="AL78" i="3" l="1"/>
  <c r="AH78" i="3" s="1"/>
  <c r="BB78" i="3"/>
  <c r="AY78" i="3" s="1"/>
  <c r="BA78" i="3"/>
  <c r="AV78" i="3" s="1"/>
  <c r="AJ78" i="3"/>
  <c r="AG78" i="3"/>
  <c r="AK78" i="3"/>
  <c r="AE78" i="3" l="1"/>
  <c r="AF78" i="3"/>
  <c r="AC78" i="3"/>
  <c r="AD78" i="3"/>
  <c r="AW78" i="3"/>
  <c r="AX78" i="3"/>
  <c r="AB78" i="3" l="1"/>
  <c r="AA78" i="3"/>
  <c r="X79" i="3"/>
  <c r="Z79" i="3"/>
  <c r="Y79" i="3"/>
  <c r="W79" i="3"/>
  <c r="AL79" i="3" l="1"/>
  <c r="AH79" i="3" s="1"/>
  <c r="BB79" i="3"/>
  <c r="AX79" i="3" s="1"/>
  <c r="BA79" i="3"/>
  <c r="AV79" i="3" s="1"/>
  <c r="AK79" i="3"/>
  <c r="AE79" i="3" s="1"/>
  <c r="AG79" i="3"/>
  <c r="AJ79" i="3"/>
  <c r="AY79" i="3"/>
  <c r="AW79" i="3"/>
  <c r="AF79" i="3" l="1"/>
  <c r="AC79" i="3"/>
  <c r="AA79" i="3" s="1"/>
  <c r="AD79" i="3"/>
  <c r="AB79" i="3" s="1"/>
  <c r="Z80" i="3" l="1"/>
  <c r="X80" i="3"/>
  <c r="Y80" i="3"/>
  <c r="W80" i="3"/>
  <c r="BB80" i="3" l="1"/>
  <c r="AX80" i="3" s="1"/>
  <c r="BA80" i="3"/>
  <c r="AV80" i="3" s="1"/>
  <c r="AL80" i="3"/>
  <c r="AH80" i="3" s="1"/>
  <c r="AJ80" i="3"/>
  <c r="AK80" i="3"/>
  <c r="AY80" i="3"/>
  <c r="AW80" i="3"/>
  <c r="AG80" i="3" l="1"/>
  <c r="AC80" i="3"/>
  <c r="AD80" i="3"/>
  <c r="AE80" i="3"/>
  <c r="AF80" i="3"/>
  <c r="AB80" i="3" l="1"/>
  <c r="AA80" i="3"/>
  <c r="W81" i="3" l="1"/>
  <c r="Y81" i="3"/>
  <c r="Z81" i="3"/>
  <c r="X81" i="3"/>
  <c r="BB81" i="3" l="1"/>
  <c r="AY81" i="3" s="1"/>
  <c r="BA81" i="3"/>
  <c r="AW81" i="3" s="1"/>
  <c r="AL81" i="3"/>
  <c r="AH81" i="3" s="1"/>
  <c r="AJ81" i="3"/>
  <c r="AC81" i="3" s="1"/>
  <c r="AK81" i="3"/>
  <c r="AE81" i="3" s="1"/>
  <c r="AV81" i="3" l="1"/>
  <c r="AG81" i="3"/>
  <c r="AA81" i="3" s="1"/>
  <c r="AX81" i="3"/>
  <c r="AF81" i="3"/>
  <c r="AD81" i="3"/>
  <c r="AB81" i="3" s="1"/>
  <c r="Y82" i="3" l="1"/>
  <c r="W82" i="3"/>
  <c r="Z82" i="3" l="1"/>
  <c r="X82" i="3"/>
  <c r="BB82" i="3"/>
  <c r="AX82" i="3" s="1"/>
  <c r="BA82" i="3"/>
  <c r="AV82" i="3" s="1"/>
  <c r="AK82" i="3"/>
  <c r="AE82" i="3" s="1"/>
  <c r="AJ82" i="3"/>
  <c r="AC82" i="3" s="1"/>
  <c r="AL82" i="3" l="1"/>
  <c r="AG82" i="3" s="1"/>
  <c r="AA82" i="3" s="1"/>
  <c r="AY82" i="3"/>
  <c r="AW82" i="3"/>
  <c r="AD82" i="3"/>
  <c r="AF82" i="3"/>
  <c r="AH82" i="3"/>
  <c r="AB82" i="3" l="1"/>
  <c r="W83" i="3"/>
  <c r="Y83" i="3"/>
  <c r="X83" i="3" l="1"/>
  <c r="Z83" i="3"/>
  <c r="BB83" i="3"/>
  <c r="AX83" i="3" s="1"/>
  <c r="BA83" i="3"/>
  <c r="AV83" i="3" s="1"/>
  <c r="AL83" i="3" l="1"/>
  <c r="AY83" i="3"/>
  <c r="AW83" i="3"/>
  <c r="AK83" i="3"/>
  <c r="AJ83" i="3"/>
  <c r="AE83" i="3" l="1"/>
  <c r="AF83" i="3"/>
  <c r="AC83" i="3"/>
  <c r="AD83" i="3"/>
  <c r="AG83" i="3"/>
  <c r="AH83" i="3"/>
  <c r="AB83" i="3" l="1"/>
  <c r="AA83" i="3"/>
  <c r="W84" i="3"/>
  <c r="Y84" i="3"/>
  <c r="Z84" i="3" l="1"/>
  <c r="X84" i="3"/>
  <c r="AL84" i="3" s="1"/>
  <c r="AG84" i="3" s="1"/>
  <c r="BB84" i="3"/>
  <c r="AX84" i="3" s="1"/>
  <c r="BA84" i="3"/>
  <c r="AV84" i="3" s="1"/>
  <c r="AJ84" i="3"/>
  <c r="AD84" i="3" s="1"/>
  <c r="AK84" i="3"/>
  <c r="AE84" i="3" s="1"/>
  <c r="AC84" i="3" l="1"/>
  <c r="AA84" i="3" s="1"/>
  <c r="AY84" i="3"/>
  <c r="AW84" i="3"/>
  <c r="AH84" i="3"/>
  <c r="AF84" i="3"/>
  <c r="AB84" i="3" s="1"/>
  <c r="Z85" i="3" l="1"/>
  <c r="X85" i="3"/>
  <c r="W85" i="3"/>
  <c r="Y85" i="3"/>
  <c r="AL85" i="3" l="1"/>
  <c r="AH85" i="3" s="1"/>
  <c r="BB85" i="3"/>
  <c r="AX85" i="3" s="1"/>
  <c r="BA85" i="3"/>
  <c r="AV85" i="3" s="1"/>
  <c r="AG85" i="3"/>
  <c r="AJ85" i="3"/>
  <c r="AC85" i="3" s="1"/>
  <c r="AK85" i="3"/>
  <c r="AE85" i="3" s="1"/>
  <c r="AY85" i="3"/>
  <c r="AW85" i="3"/>
  <c r="AD85" i="3"/>
  <c r="AF85" i="3" l="1"/>
  <c r="AB85" i="3"/>
  <c r="AA85" i="3"/>
  <c r="Z86" i="3" l="1"/>
  <c r="X86" i="3"/>
  <c r="Y86" i="3"/>
  <c r="W86" i="3"/>
  <c r="AL86" i="3" l="1"/>
  <c r="AH86" i="3" s="1"/>
  <c r="BB86" i="3"/>
  <c r="AX86" i="3" s="1"/>
  <c r="BA86" i="3"/>
  <c r="AV86" i="3" s="1"/>
  <c r="AJ86" i="3"/>
  <c r="AC86" i="3" s="1"/>
  <c r="AK86" i="3"/>
  <c r="AG86" i="3"/>
  <c r="AY86" i="3"/>
  <c r="AW86" i="3"/>
  <c r="AD86" i="3"/>
  <c r="AE86" i="3" l="1"/>
  <c r="AA86" i="3" s="1"/>
  <c r="AF86" i="3"/>
  <c r="AB86" i="3" s="1"/>
  <c r="Z87" i="3" l="1"/>
  <c r="X87" i="3"/>
  <c r="W87" i="3"/>
  <c r="Y87" i="3"/>
  <c r="AL87" i="3" l="1"/>
  <c r="BB87" i="3"/>
  <c r="AX87" i="3" s="1"/>
  <c r="BA87" i="3"/>
  <c r="AV87" i="3" s="1"/>
  <c r="AG87" i="3"/>
  <c r="AJ87" i="3"/>
  <c r="AC87" i="3" s="1"/>
  <c r="AK87" i="3"/>
  <c r="AE87" i="3" s="1"/>
  <c r="AY87" i="3"/>
  <c r="AW87" i="3"/>
  <c r="AH87" i="3"/>
  <c r="AD87" i="3"/>
  <c r="AA87" i="3" l="1"/>
  <c r="AF87" i="3"/>
  <c r="AB87" i="3" s="1"/>
  <c r="Z88" i="3" l="1"/>
  <c r="X88" i="3"/>
  <c r="Y88" i="3"/>
  <c r="W88" i="3"/>
  <c r="AL88" i="3" l="1"/>
  <c r="AH88" i="3" s="1"/>
  <c r="BB88" i="3"/>
  <c r="AX88" i="3" s="1"/>
  <c r="BA88" i="3"/>
  <c r="AV88" i="3" s="1"/>
  <c r="AK88" i="3"/>
  <c r="AJ88" i="3"/>
  <c r="AD88" i="3" s="1"/>
  <c r="AG88" i="3"/>
  <c r="AY88" i="3"/>
  <c r="AW88" i="3"/>
  <c r="AC88" i="3" l="1"/>
  <c r="AE88" i="3"/>
  <c r="AF88" i="3"/>
  <c r="AB88" i="3" s="1"/>
  <c r="AA88" i="3" l="1"/>
  <c r="X89" i="3"/>
  <c r="Z89" i="3"/>
  <c r="W89" i="3"/>
  <c r="Y89" i="3"/>
  <c r="AL89" i="3" l="1"/>
  <c r="BA89" i="3"/>
  <c r="AV89" i="3" s="1"/>
  <c r="BB89" i="3"/>
  <c r="AX89" i="3" s="1"/>
  <c r="AG89" i="3"/>
  <c r="AJ89" i="3"/>
  <c r="AK89" i="3"/>
  <c r="AY89" i="3"/>
  <c r="AW89" i="3"/>
  <c r="AH89" i="3"/>
  <c r="AF89" i="3" l="1"/>
  <c r="AE89" i="3"/>
  <c r="AC89" i="3"/>
  <c r="AD89" i="3"/>
  <c r="AB89" i="3" s="1"/>
  <c r="AA89" i="3" l="1"/>
  <c r="Z90" i="3"/>
  <c r="X90" i="3"/>
  <c r="W90" i="3" l="1"/>
  <c r="Y90" i="3"/>
  <c r="AL90" i="3" l="1"/>
  <c r="AH90" i="3" s="1"/>
  <c r="BB90" i="3"/>
  <c r="AY90" i="3" s="1"/>
  <c r="BA90" i="3"/>
  <c r="AW90" i="3" s="1"/>
  <c r="AJ90" i="3"/>
  <c r="AD90" i="3" s="1"/>
  <c r="AK90" i="3"/>
  <c r="AF90" i="3" s="1"/>
  <c r="AG90" i="3"/>
  <c r="AB90" i="3" l="1"/>
  <c r="AE90" i="3"/>
  <c r="AC90" i="3"/>
  <c r="Z91" i="3"/>
  <c r="X91" i="3"/>
  <c r="AV90" i="3"/>
  <c r="AX90" i="3"/>
  <c r="AA90" i="3" l="1"/>
  <c r="Y91" i="3"/>
  <c r="W91" i="3"/>
  <c r="BA91" i="3" l="1"/>
  <c r="AW91" i="3" s="1"/>
  <c r="BB91" i="3"/>
  <c r="AY91" i="3" s="1"/>
  <c r="AL91" i="3"/>
  <c r="AH91" i="3" s="1"/>
  <c r="AJ91" i="3"/>
  <c r="AK91" i="3"/>
  <c r="AG91" i="3"/>
  <c r="AE91" i="3" l="1"/>
  <c r="AF91" i="3"/>
  <c r="AC91" i="3"/>
  <c r="AD91" i="3"/>
  <c r="AB91" i="3" s="1"/>
  <c r="AV91" i="3"/>
  <c r="AX91" i="3"/>
  <c r="AA91" i="3" l="1"/>
  <c r="Z92" i="3"/>
  <c r="X92" i="3"/>
  <c r="Y92" i="3"/>
  <c r="W92" i="3"/>
  <c r="BB92" i="3" l="1"/>
  <c r="AX92" i="3" s="1"/>
  <c r="BA92" i="3"/>
  <c r="AV92" i="3" s="1"/>
  <c r="AK92" i="3"/>
  <c r="AJ92" i="3"/>
  <c r="AL92" i="3"/>
  <c r="AH92" i="3" s="1"/>
  <c r="AY92" i="3"/>
  <c r="AW92" i="3"/>
  <c r="AE92" i="3" l="1"/>
  <c r="AF92" i="3"/>
  <c r="AG92" i="3"/>
  <c r="AC92" i="3"/>
  <c r="AA92" i="3" s="1"/>
  <c r="AD92" i="3"/>
  <c r="AB92" i="3" l="1"/>
  <c r="Z93" i="3" s="1"/>
  <c r="X93" i="3"/>
  <c r="Y93" i="3"/>
  <c r="W93" i="3"/>
  <c r="AK93" i="3" s="1"/>
  <c r="AE93" i="3" s="1"/>
  <c r="AJ93" i="3" l="1"/>
  <c r="AC93" i="3" s="1"/>
  <c r="BB93" i="3"/>
  <c r="AX93" i="3" s="1"/>
  <c r="BA93" i="3"/>
  <c r="AV93" i="3" s="1"/>
  <c r="AL93" i="3"/>
  <c r="AG93" i="3" s="1"/>
  <c r="AW93" i="3"/>
  <c r="AD93" i="3"/>
  <c r="AF93" i="3"/>
  <c r="AH93" i="3"/>
  <c r="AY93" i="3" l="1"/>
  <c r="AB93" i="3" s="1"/>
  <c r="AA93" i="3"/>
  <c r="Y94" i="3" s="1"/>
  <c r="W94" i="3"/>
  <c r="Z94" i="3" l="1"/>
  <c r="X94" i="3"/>
  <c r="AL94" i="3" l="1"/>
  <c r="BA94" i="3"/>
  <c r="AV94" i="3" s="1"/>
  <c r="BB94" i="3"/>
  <c r="AX94" i="3" s="1"/>
  <c r="AJ94" i="3"/>
  <c r="AC94" i="3" s="1"/>
  <c r="AG94" i="3"/>
  <c r="AK94" i="3"/>
  <c r="AE94" i="3" s="1"/>
  <c r="AA94" i="3" l="1"/>
  <c r="AY94" i="3"/>
  <c r="AW94" i="3"/>
  <c r="AD94" i="3"/>
  <c r="AH94" i="3"/>
  <c r="AF94" i="3"/>
  <c r="AB94" i="3" l="1"/>
  <c r="X95" i="3"/>
  <c r="Z95" i="3"/>
  <c r="Y95" i="3"/>
  <c r="W95" i="3"/>
  <c r="AL95" i="3" l="1"/>
  <c r="BA95" i="3"/>
  <c r="AV95" i="3" s="1"/>
  <c r="BB95" i="3"/>
  <c r="AX95" i="3" s="1"/>
  <c r="AW95" i="3"/>
  <c r="AK95" i="3"/>
  <c r="AF95" i="3" s="1"/>
  <c r="AJ95" i="3"/>
  <c r="AC95" i="3" s="1"/>
  <c r="AH95" i="3"/>
  <c r="AD95" i="3" l="1"/>
  <c r="AY95" i="3"/>
  <c r="AE95" i="3"/>
  <c r="AG95" i="3"/>
  <c r="AB95" i="3" l="1"/>
  <c r="Z96" i="3" s="1"/>
  <c r="AA95" i="3"/>
  <c r="X96" i="3"/>
  <c r="W96" i="3"/>
  <c r="AJ96" i="3" s="1"/>
  <c r="AC96" i="3" s="1"/>
  <c r="Y96" i="3"/>
  <c r="AL96" i="3" l="1"/>
  <c r="AG96" i="3" s="1"/>
  <c r="BB96" i="3"/>
  <c r="AY96" i="3" s="1"/>
  <c r="BA96" i="3"/>
  <c r="AW96" i="3" s="1"/>
  <c r="AK96" i="3"/>
  <c r="AF96" i="3" s="1"/>
  <c r="AH96" i="3"/>
  <c r="AD96" i="3"/>
  <c r="AB96" i="3" l="1"/>
  <c r="AE96" i="3"/>
  <c r="AV96" i="3"/>
  <c r="AX96" i="3"/>
  <c r="Z97" i="3"/>
  <c r="X97" i="3"/>
  <c r="AA96" i="3" l="1"/>
  <c r="Y97" i="3"/>
  <c r="W97" i="3"/>
  <c r="BB97" i="3"/>
  <c r="AY97" i="3" s="1"/>
  <c r="BA97" i="3"/>
  <c r="AV97" i="3" s="1"/>
  <c r="AL97" i="3"/>
  <c r="AG97" i="3" s="1"/>
  <c r="AJ97" i="3"/>
  <c r="AC97" i="3" s="1"/>
  <c r="AK97" i="3"/>
  <c r="AF97" i="3" s="1"/>
  <c r="AW97" i="3" l="1"/>
  <c r="AX97" i="3"/>
  <c r="AE97" i="3"/>
  <c r="AD97" i="3"/>
  <c r="AH97" i="3"/>
  <c r="AB97" i="3" l="1"/>
  <c r="AA97" i="3"/>
  <c r="W98" i="3" s="1"/>
  <c r="Y98" i="3"/>
  <c r="Z98" i="3" l="1"/>
  <c r="X98" i="3"/>
  <c r="AL98" i="3" l="1"/>
  <c r="BA98" i="3"/>
  <c r="AV98" i="3" s="1"/>
  <c r="BB98" i="3"/>
  <c r="AX98" i="3" s="1"/>
  <c r="AK98" i="3"/>
  <c r="AE98" i="3" s="1"/>
  <c r="AG98" i="3"/>
  <c r="AJ98" i="3"/>
  <c r="AC98" i="3" s="1"/>
  <c r="AA98" i="3" s="1"/>
  <c r="AY98" i="3" l="1"/>
  <c r="AW98" i="3"/>
  <c r="W99" i="3"/>
  <c r="Y99" i="3"/>
  <c r="AD98" i="3"/>
  <c r="AF98" i="3"/>
  <c r="AH98" i="3"/>
  <c r="AB98" i="3" l="1"/>
  <c r="X99" i="3"/>
  <c r="Z99" i="3"/>
  <c r="AL99" i="3" l="1"/>
  <c r="BA99" i="3"/>
  <c r="AV99" i="3" s="1"/>
  <c r="BB99" i="3"/>
  <c r="AX99" i="3" s="1"/>
  <c r="AK99" i="3"/>
  <c r="AJ99" i="3"/>
  <c r="AC99" i="3" s="1"/>
  <c r="AG99" i="3"/>
  <c r="AY99" i="3" l="1"/>
  <c r="AW99" i="3"/>
  <c r="AF99" i="3"/>
  <c r="AE99" i="3"/>
  <c r="AA99" i="3" s="1"/>
  <c r="AH99" i="3"/>
  <c r="AD99" i="3"/>
  <c r="AB99" i="3" l="1"/>
  <c r="Y100" i="3"/>
  <c r="W100" i="3"/>
  <c r="Z100" i="3" l="1"/>
  <c r="X100" i="3"/>
  <c r="BB100" i="3" s="1"/>
  <c r="AX100" i="3" s="1"/>
  <c r="AL100" i="3" l="1"/>
  <c r="AY100" i="3"/>
  <c r="BA100" i="3"/>
  <c r="AV100" i="3" s="1"/>
  <c r="AJ100" i="3"/>
  <c r="AC100" i="3" s="1"/>
  <c r="AK100" i="3"/>
  <c r="AD100" i="3" l="1"/>
  <c r="AW100" i="3"/>
  <c r="AF100" i="3"/>
  <c r="AE100" i="3"/>
  <c r="AH100" i="3"/>
  <c r="AG100" i="3"/>
  <c r="AB100" i="3" l="1"/>
  <c r="AA100" i="3"/>
  <c r="Y101" i="3"/>
  <c r="W101" i="3"/>
  <c r="X101" i="3"/>
  <c r="Z101" i="3"/>
  <c r="BB101" i="3" l="1"/>
  <c r="AY101" i="3" s="1"/>
  <c r="BA101" i="3"/>
  <c r="AW101" i="3" s="1"/>
  <c r="AL101" i="3"/>
  <c r="AJ101" i="3"/>
  <c r="AD101" i="3" s="1"/>
  <c r="AK101" i="3"/>
  <c r="AE101" i="3" s="1"/>
  <c r="AH101" i="3"/>
  <c r="AC101" i="3"/>
  <c r="AX101" i="3" l="1"/>
  <c r="AV101" i="3"/>
  <c r="AG101" i="3"/>
  <c r="AF101" i="3"/>
  <c r="AB101" i="3" s="1"/>
  <c r="AA101" i="3" l="1"/>
  <c r="Y102" i="3"/>
  <c r="W102" i="3"/>
  <c r="Z102" i="3"/>
  <c r="X102" i="3"/>
  <c r="BB102" i="3" l="1"/>
  <c r="AY102" i="3" s="1"/>
  <c r="BA102" i="3"/>
  <c r="AW102" i="3" s="1"/>
  <c r="AL102" i="3"/>
  <c r="AJ102" i="3"/>
  <c r="AC102" i="3" s="1"/>
  <c r="AK102" i="3"/>
  <c r="AE102" i="3" s="1"/>
  <c r="AH102" i="3"/>
  <c r="AV102" i="3" l="1"/>
  <c r="AX102" i="3"/>
  <c r="AG102" i="3"/>
  <c r="AF102" i="3"/>
  <c r="AD102" i="3"/>
  <c r="AB102" i="3" s="1"/>
  <c r="AA102" i="3" l="1"/>
  <c r="Z103" i="3"/>
  <c r="X103" i="3"/>
  <c r="Y103" i="3"/>
  <c r="W103" i="3"/>
  <c r="AL103" i="3" l="1"/>
  <c r="BB103" i="3"/>
  <c r="AX103" i="3" s="1"/>
  <c r="BA103" i="3"/>
  <c r="AV103" i="3" s="1"/>
  <c r="AY103" i="3"/>
  <c r="AW103" i="3"/>
  <c r="AK103" i="3"/>
  <c r="AF103" i="3" s="1"/>
  <c r="AJ103" i="3"/>
  <c r="AD103" i="3" s="1"/>
  <c r="AH103" i="3"/>
  <c r="AB103" i="3" l="1"/>
  <c r="AE103" i="3"/>
  <c r="AG103" i="3"/>
  <c r="AC103" i="3"/>
  <c r="AA103" i="3" l="1"/>
  <c r="Y104" i="3"/>
  <c r="W104" i="3"/>
  <c r="X104" i="3"/>
  <c r="Z104" i="3"/>
  <c r="BB104" i="3" l="1"/>
  <c r="AY104" i="3" s="1"/>
  <c r="BA104" i="3"/>
  <c r="AW104" i="3" s="1"/>
  <c r="AL104" i="3"/>
  <c r="AJ104" i="3"/>
  <c r="AC104" i="3" s="1"/>
  <c r="AK104" i="3"/>
  <c r="AE104" i="3" s="1"/>
  <c r="AG104" i="3"/>
  <c r="AD104" i="3"/>
  <c r="AF104" i="3" l="1"/>
  <c r="AV104" i="3"/>
  <c r="AX104" i="3"/>
  <c r="AH104" i="3"/>
  <c r="AA104" i="3" l="1"/>
  <c r="AB104" i="3"/>
  <c r="Z105" i="3"/>
  <c r="X105" i="3"/>
  <c r="W105" i="3"/>
  <c r="Y105" i="3"/>
  <c r="AL105" i="3" l="1"/>
  <c r="BA105" i="3"/>
  <c r="AV105" i="3" s="1"/>
  <c r="BB105" i="3"/>
  <c r="AX105" i="3" s="1"/>
  <c r="AJ105" i="3"/>
  <c r="AK105" i="3"/>
  <c r="AW105" i="3" l="1"/>
  <c r="AY105" i="3"/>
  <c r="AG105" i="3"/>
  <c r="AH105" i="3"/>
  <c r="AE105" i="3"/>
  <c r="AF105" i="3"/>
  <c r="AC105" i="3"/>
  <c r="AA105" i="3" s="1"/>
  <c r="AD105" i="3"/>
  <c r="AB105" i="3" s="1"/>
  <c r="Y106" i="3" l="1"/>
  <c r="W106" i="3"/>
  <c r="Z106" i="3" l="1"/>
  <c r="X106" i="3"/>
  <c r="BB106" i="3" s="1"/>
  <c r="AX106" i="3" s="1"/>
  <c r="AJ106" i="3" l="1"/>
  <c r="AD106" i="3" s="1"/>
  <c r="BA106" i="3"/>
  <c r="AV106" i="3" s="1"/>
  <c r="AL106" i="3"/>
  <c r="AG106" i="3" s="1"/>
  <c r="AY106" i="3"/>
  <c r="AW106" i="3"/>
  <c r="AC106" i="3"/>
  <c r="AH106" i="3"/>
  <c r="AK106" i="3"/>
  <c r="AE106" i="3" s="1"/>
  <c r="AA106" i="3" l="1"/>
  <c r="Y107" i="3"/>
  <c r="W107" i="3"/>
  <c r="AF106" i="3"/>
  <c r="AB106" i="3" s="1"/>
  <c r="X107" i="3" l="1"/>
  <c r="BA107" i="3" s="1"/>
  <c r="AV107" i="3" s="1"/>
  <c r="Z107" i="3"/>
  <c r="AK107" i="3"/>
  <c r="AE107" i="3" s="1"/>
  <c r="AJ107" i="3"/>
  <c r="AC107" i="3" s="1"/>
  <c r="AL107" i="3" l="1"/>
  <c r="AG107" i="3" s="1"/>
  <c r="AW107" i="3"/>
  <c r="BB107" i="3"/>
  <c r="AX107" i="3" s="1"/>
  <c r="AF107" i="3"/>
  <c r="AH107" i="3"/>
  <c r="AD107" i="3"/>
  <c r="AA107" i="3" l="1"/>
  <c r="W108" i="3" s="1"/>
  <c r="AY107" i="3"/>
  <c r="AB107" i="3" s="1"/>
  <c r="Y108" i="3"/>
  <c r="Z108" i="3" l="1"/>
  <c r="X108" i="3"/>
  <c r="AL108" i="3" l="1"/>
  <c r="BB108" i="3"/>
  <c r="AX108" i="3" s="1"/>
  <c r="BA108" i="3"/>
  <c r="AV108" i="3" s="1"/>
  <c r="AG108" i="3"/>
  <c r="AJ108" i="3"/>
  <c r="AC108" i="3" s="1"/>
  <c r="AK108" i="3"/>
  <c r="AE108" i="3" s="1"/>
  <c r="AA108" i="3" l="1"/>
  <c r="AY108" i="3"/>
  <c r="AW108" i="3"/>
  <c r="AD108" i="3"/>
  <c r="AH108" i="3"/>
  <c r="AF108" i="3"/>
  <c r="AB108" i="3" l="1"/>
  <c r="W109" i="3"/>
  <c r="Y109" i="3"/>
  <c r="X109" i="3" l="1"/>
  <c r="Z109" i="3"/>
  <c r="AL109" i="3" l="1"/>
  <c r="BA109" i="3"/>
  <c r="AV109" i="3" s="1"/>
  <c r="BB109" i="3"/>
  <c r="AX109" i="3" s="1"/>
  <c r="AJ109" i="3"/>
  <c r="AC109" i="3" s="1"/>
  <c r="AK109" i="3"/>
  <c r="AE109" i="3" s="1"/>
  <c r="AG109" i="3"/>
  <c r="AA109" i="3" l="1"/>
  <c r="AD109" i="3"/>
  <c r="AY109" i="3"/>
  <c r="AW109" i="3"/>
  <c r="AF109" i="3"/>
  <c r="AH109" i="3"/>
  <c r="AB109" i="3" l="1"/>
  <c r="Z110" i="3"/>
  <c r="Y110" i="3"/>
  <c r="W110" i="3"/>
  <c r="X110" i="3" l="1"/>
  <c r="BA110" i="3" s="1"/>
  <c r="AV110" i="3" s="1"/>
  <c r="AK110" i="3" l="1"/>
  <c r="AE110" i="3" s="1"/>
  <c r="AL110" i="3"/>
  <c r="AG110" i="3" s="1"/>
  <c r="AW110" i="3"/>
  <c r="BB110" i="3"/>
  <c r="AX110" i="3" s="1"/>
  <c r="AJ110" i="3"/>
  <c r="AD110" i="3" s="1"/>
  <c r="AF110" i="3"/>
  <c r="AH110" i="3"/>
  <c r="AC110" i="3" l="1"/>
  <c r="AA110" i="3" s="1"/>
  <c r="AY110" i="3"/>
  <c r="AB110" i="3" s="1"/>
  <c r="W111" i="3"/>
  <c r="Y111" i="3"/>
  <c r="X111" i="3" l="1"/>
  <c r="BB111" i="3" s="1"/>
  <c r="AX111" i="3" s="1"/>
  <c r="Z111" i="3"/>
  <c r="AL111" i="3" l="1"/>
  <c r="AY111" i="3"/>
  <c r="BA111" i="3"/>
  <c r="AV111" i="3" s="1"/>
  <c r="AJ111" i="3"/>
  <c r="AC111" i="3" s="1"/>
  <c r="AK111" i="3"/>
  <c r="AE111" i="3" s="1"/>
  <c r="AG111" i="3"/>
  <c r="AA111" i="3" l="1"/>
  <c r="AW111" i="3"/>
  <c r="AH111" i="3"/>
  <c r="AF111" i="3"/>
  <c r="AD111" i="3"/>
  <c r="AB111" i="3" s="1"/>
  <c r="Y112" i="3" l="1"/>
  <c r="W112" i="3"/>
  <c r="Z112" i="3" l="1"/>
  <c r="X112" i="3"/>
  <c r="AL112" i="3" l="1"/>
  <c r="BA112" i="3"/>
  <c r="AV112" i="3" s="1"/>
  <c r="BB112" i="3"/>
  <c r="AX112" i="3" s="1"/>
  <c r="AG112" i="3"/>
  <c r="AJ112" i="3"/>
  <c r="AC112" i="3" s="1"/>
  <c r="AK112" i="3"/>
  <c r="AE112" i="3" s="1"/>
  <c r="AA112" i="3" l="1"/>
  <c r="AY112" i="3"/>
  <c r="AW112" i="3"/>
  <c r="Y113" i="3"/>
  <c r="W113" i="3"/>
  <c r="AH112" i="3"/>
  <c r="AD112" i="3"/>
  <c r="AF112" i="3"/>
  <c r="AB112" i="3" l="1"/>
  <c r="X113" i="3"/>
  <c r="Z113" i="3"/>
  <c r="AL113" i="3" l="1"/>
  <c r="BB113" i="3"/>
  <c r="AX113" i="3" s="1"/>
  <c r="BA113" i="3"/>
  <c r="AV113" i="3" s="1"/>
  <c r="AK113" i="3"/>
  <c r="AE113" i="3" s="1"/>
  <c r="AG113" i="3"/>
  <c r="AJ113" i="3"/>
  <c r="AC113" i="3" s="1"/>
  <c r="AA113" i="3" s="1"/>
  <c r="AF113" i="3" l="1"/>
  <c r="AY113" i="3"/>
  <c r="AW113" i="3"/>
  <c r="Y114" i="3"/>
  <c r="W114" i="3"/>
  <c r="AD113" i="3"/>
  <c r="AH113" i="3"/>
  <c r="AB113" i="3" l="1"/>
  <c r="Z114" i="3"/>
  <c r="X114" i="3"/>
  <c r="AL114" i="3" l="1"/>
  <c r="BB114" i="3"/>
  <c r="AX114" i="3" s="1"/>
  <c r="BA114" i="3"/>
  <c r="AV114" i="3" s="1"/>
  <c r="AJ114" i="3"/>
  <c r="AK114" i="3"/>
  <c r="AY114" i="3" l="1"/>
  <c r="AW114" i="3"/>
  <c r="AD114" i="3"/>
  <c r="AC114" i="3"/>
  <c r="AF114" i="3"/>
  <c r="AE114" i="3"/>
  <c r="AH114" i="3"/>
  <c r="AG114" i="3"/>
  <c r="AB114" i="3" l="1"/>
  <c r="AA114" i="3"/>
  <c r="Z115" i="3" l="1"/>
  <c r="X115" i="3"/>
  <c r="Y115" i="3"/>
  <c r="W115" i="3"/>
  <c r="AL115" i="3" l="1"/>
  <c r="BB115" i="3"/>
  <c r="AX115" i="3" s="1"/>
  <c r="BA115" i="3"/>
  <c r="AV115" i="3" s="1"/>
  <c r="AW115" i="3"/>
  <c r="AH115" i="3"/>
  <c r="AJ115" i="3"/>
  <c r="AD115" i="3" s="1"/>
  <c r="AK115" i="3"/>
  <c r="AF115" i="3" s="1"/>
  <c r="AG115" i="3"/>
  <c r="AC115" i="3" l="1"/>
  <c r="AY115" i="3"/>
  <c r="AB115" i="3" s="1"/>
  <c r="AE115" i="3"/>
  <c r="Z116" i="3" l="1"/>
  <c r="X116" i="3"/>
  <c r="AA115" i="3"/>
  <c r="Y116" i="3"/>
  <c r="W116" i="3"/>
  <c r="AL116" i="3" l="1"/>
  <c r="AH116" i="3" s="1"/>
  <c r="BB116" i="3"/>
  <c r="AY116" i="3" s="1"/>
  <c r="BA116" i="3"/>
  <c r="AW116" i="3" s="1"/>
  <c r="AG116" i="3"/>
  <c r="AK116" i="3"/>
  <c r="AE116" i="3" s="1"/>
  <c r="AJ116" i="3"/>
  <c r="AV116" i="3" l="1"/>
  <c r="AX116" i="3"/>
  <c r="AF116" i="3"/>
  <c r="AC116" i="3"/>
  <c r="AD116" i="3"/>
  <c r="AB116" i="3" s="1"/>
  <c r="Z117" i="3" l="1"/>
  <c r="AA116" i="3"/>
  <c r="Y117" i="3" s="1"/>
  <c r="W117" i="3"/>
  <c r="X117" i="3"/>
  <c r="AK117" i="3" l="1"/>
  <c r="AJ117" i="3"/>
  <c r="AL117" i="3"/>
  <c r="BB117" i="3"/>
  <c r="AY117" i="3" s="1"/>
  <c r="BA117" i="3"/>
  <c r="AW117" i="3" s="1"/>
  <c r="AE117" i="3"/>
  <c r="AF117" i="3"/>
  <c r="AC117" i="3"/>
  <c r="AD117" i="3"/>
  <c r="AG117" i="3"/>
  <c r="AH117" i="3"/>
  <c r="AB117" i="3" l="1"/>
  <c r="AX117" i="3"/>
  <c r="AV117" i="3"/>
  <c r="AA117" i="3" s="1"/>
  <c r="Z118" i="3"/>
  <c r="X118" i="3"/>
  <c r="W118" i="3" l="1"/>
  <c r="Y118" i="3"/>
  <c r="AL118" i="3" l="1"/>
  <c r="BB118" i="3"/>
  <c r="AY118" i="3" s="1"/>
  <c r="BA118" i="3"/>
  <c r="AW118" i="3" s="1"/>
  <c r="AK118" i="3"/>
  <c r="AF118" i="3" s="1"/>
  <c r="AH118" i="3"/>
  <c r="AJ118" i="3"/>
  <c r="AD118" i="3" s="1"/>
  <c r="AB118" i="3" s="1"/>
  <c r="AE118" i="3"/>
  <c r="AG118" i="3"/>
  <c r="AV118" i="3" l="1"/>
  <c r="AX118" i="3"/>
  <c r="AC118" i="3"/>
  <c r="X119" i="3"/>
  <c r="Z119" i="3"/>
  <c r="AA118" i="3" l="1"/>
  <c r="W119" i="3" s="1"/>
  <c r="AL119" i="3" s="1"/>
  <c r="AG119" i="3" s="1"/>
  <c r="BB119" i="3"/>
  <c r="AY119" i="3" s="1"/>
  <c r="BA119" i="3"/>
  <c r="AW119" i="3" s="1"/>
  <c r="AK119" i="3"/>
  <c r="AE119" i="3" s="1"/>
  <c r="AJ119" i="3"/>
  <c r="AC119" i="3" s="1"/>
  <c r="Y119" i="3" l="1"/>
  <c r="AD119" i="3"/>
  <c r="AV119" i="3"/>
  <c r="AF119" i="3"/>
  <c r="AX119" i="3"/>
  <c r="AH119" i="3"/>
  <c r="AB119" i="3" l="1"/>
  <c r="AA119" i="3"/>
  <c r="Z120" i="3"/>
  <c r="X120" i="3"/>
  <c r="Y120" i="3"/>
  <c r="W120" i="3"/>
  <c r="AL120" i="3" l="1"/>
  <c r="BB120" i="3"/>
  <c r="AX120" i="3" s="1"/>
  <c r="BA120" i="3"/>
  <c r="AV120" i="3" s="1"/>
  <c r="AY120" i="3"/>
  <c r="AJ120" i="3"/>
  <c r="AD120" i="3" s="1"/>
  <c r="AK120" i="3"/>
  <c r="AW120" i="3" l="1"/>
  <c r="AC120" i="3"/>
  <c r="AE120" i="3"/>
  <c r="AF120" i="3"/>
  <c r="AG120" i="3"/>
  <c r="AH120" i="3"/>
  <c r="AB120" i="3" l="1"/>
  <c r="AA120" i="3"/>
  <c r="W121" i="3" l="1"/>
  <c r="Y121" i="3"/>
  <c r="Z121" i="3"/>
  <c r="X121" i="3"/>
  <c r="BB121" i="3" l="1"/>
  <c r="AY121" i="3" s="1"/>
  <c r="BA121" i="3"/>
  <c r="AV121" i="3" s="1"/>
  <c r="AL121" i="3"/>
  <c r="AK121" i="3"/>
  <c r="AE121" i="3" s="1"/>
  <c r="AJ121" i="3"/>
  <c r="AC121" i="3" s="1"/>
  <c r="AG121" i="3"/>
  <c r="AW121" i="3" l="1"/>
  <c r="AX121" i="3"/>
  <c r="AA121" i="3" s="1"/>
  <c r="AH121" i="3"/>
  <c r="AD121" i="3"/>
  <c r="AF121" i="3"/>
  <c r="AB121" i="3" l="1"/>
  <c r="W122" i="3"/>
  <c r="Y122" i="3"/>
  <c r="Z122" i="3" l="1"/>
  <c r="X122" i="3"/>
  <c r="AL122" i="3" l="1"/>
  <c r="BB122" i="3"/>
  <c r="AX122" i="3" s="1"/>
  <c r="BA122" i="3"/>
  <c r="AV122" i="3" s="1"/>
  <c r="AK122" i="3"/>
  <c r="AE122" i="3" s="1"/>
  <c r="AJ122" i="3"/>
  <c r="AC122" i="3" s="1"/>
  <c r="AG122" i="3"/>
  <c r="AA122" i="3" l="1"/>
  <c r="AY122" i="3"/>
  <c r="AW122" i="3"/>
  <c r="AH122" i="3"/>
  <c r="AF122" i="3"/>
  <c r="AD122" i="3"/>
  <c r="AB122" i="3" l="1"/>
  <c r="Y123" i="3"/>
  <c r="W123" i="3"/>
  <c r="X123" i="3" l="1"/>
  <c r="BB123" i="3" s="1"/>
  <c r="AX123" i="3" s="1"/>
  <c r="Z123" i="3"/>
  <c r="AL123" i="3" l="1"/>
  <c r="AY123" i="3"/>
  <c r="BA123" i="3"/>
  <c r="AV123" i="3" s="1"/>
  <c r="AJ123" i="3"/>
  <c r="AK123" i="3"/>
  <c r="AE123" i="3" s="1"/>
  <c r="AG123" i="3"/>
  <c r="AW123" i="3" l="1"/>
  <c r="AD123" i="3"/>
  <c r="AC123" i="3"/>
  <c r="AA123" i="3" s="1"/>
  <c r="AF123" i="3"/>
  <c r="AH123" i="3"/>
  <c r="AB123" i="3" l="1"/>
  <c r="W124" i="3"/>
  <c r="Y124" i="3"/>
  <c r="Z124" i="3" l="1"/>
  <c r="X124" i="3"/>
  <c r="AL124" i="3" l="1"/>
  <c r="AG124" i="3" s="1"/>
  <c r="AK124" i="3"/>
  <c r="AE124" i="3" s="1"/>
  <c r="BB124" i="3"/>
  <c r="AX124" i="3" s="1"/>
  <c r="BA124" i="3"/>
  <c r="AV124" i="3" s="1"/>
  <c r="AF124" i="3"/>
  <c r="AH124" i="3"/>
  <c r="AJ124" i="3"/>
  <c r="AC124" i="3" s="1"/>
  <c r="AA124" i="3" s="1"/>
  <c r="AW124" i="3" l="1"/>
  <c r="AY124" i="3"/>
  <c r="Y125" i="3"/>
  <c r="W125" i="3"/>
  <c r="AD124" i="3"/>
  <c r="AB124" i="3" s="1"/>
  <c r="Z125" i="3" l="1"/>
  <c r="X125" i="3"/>
  <c r="AJ125" i="3"/>
  <c r="AD125" i="3" s="1"/>
  <c r="AL125" i="3" l="1"/>
  <c r="AG125" i="3" s="1"/>
  <c r="BB125" i="3"/>
  <c r="AX125" i="3" s="1"/>
  <c r="BA125" i="3"/>
  <c r="AV125" i="3" s="1"/>
  <c r="AC125" i="3"/>
  <c r="AH125" i="3"/>
  <c r="AK125" i="3"/>
  <c r="AE125" i="3" s="1"/>
  <c r="AA125" i="3" l="1"/>
  <c r="AW125" i="3"/>
  <c r="AY125" i="3"/>
  <c r="Y126" i="3"/>
  <c r="W126" i="3"/>
  <c r="AF125" i="3"/>
  <c r="AB125" i="3" s="1"/>
  <c r="X126" i="3" l="1"/>
  <c r="BA126" i="3" s="1"/>
  <c r="AV126" i="3" s="1"/>
  <c r="Z126" i="3"/>
  <c r="AK126" i="3"/>
  <c r="AF126" i="3" s="1"/>
  <c r="AL126" i="3" l="1"/>
  <c r="AH126" i="3" s="1"/>
  <c r="AW126" i="3"/>
  <c r="BB126" i="3"/>
  <c r="AX126" i="3" s="1"/>
  <c r="AJ126" i="3"/>
  <c r="AG126" i="3"/>
  <c r="AE126" i="3"/>
  <c r="AY126" i="3" l="1"/>
  <c r="AD126" i="3"/>
  <c r="AB126" i="3" s="1"/>
  <c r="AC126" i="3"/>
  <c r="AA126" i="3" s="1"/>
  <c r="W127" i="3" l="1"/>
  <c r="Y127" i="3"/>
  <c r="Z127" i="3"/>
  <c r="X127" i="3"/>
  <c r="AK127" i="3" l="1"/>
  <c r="BB127" i="3"/>
  <c r="AX127" i="3" s="1"/>
  <c r="BA127" i="3"/>
  <c r="AW127" i="3" s="1"/>
  <c r="AJ127" i="3"/>
  <c r="AD127" i="3" s="1"/>
  <c r="AF127" i="3"/>
  <c r="AE127" i="3"/>
  <c r="AC127" i="3"/>
  <c r="AL127" i="3"/>
  <c r="AV127" i="3" l="1"/>
  <c r="AY127" i="3"/>
  <c r="AH127" i="3"/>
  <c r="AG127" i="3"/>
  <c r="AB127" i="3" l="1"/>
  <c r="AA127" i="3"/>
  <c r="Y128" i="3" s="1"/>
  <c r="W128" i="3"/>
  <c r="X128" i="3"/>
  <c r="Z128" i="3"/>
  <c r="AJ128" i="3"/>
  <c r="AK128" i="3"/>
  <c r="AF128" i="3" s="1"/>
  <c r="BB128" i="3" l="1"/>
  <c r="AY128" i="3" s="1"/>
  <c r="BA128" i="3"/>
  <c r="AW128" i="3" s="1"/>
  <c r="AL128" i="3"/>
  <c r="AC128" i="3"/>
  <c r="AD128" i="3"/>
  <c r="AE128" i="3"/>
  <c r="AX128" i="3" l="1"/>
  <c r="AV128" i="3"/>
  <c r="AH128" i="3"/>
  <c r="AB128" i="3" s="1"/>
  <c r="AG128" i="3"/>
  <c r="AA128" i="3" s="1"/>
  <c r="Z129" i="3" l="1"/>
  <c r="X129" i="3"/>
  <c r="W129" i="3"/>
  <c r="Y129" i="3"/>
  <c r="AL129" i="3" l="1"/>
  <c r="BB129" i="3"/>
  <c r="AX129" i="3" s="1"/>
  <c r="BA129" i="3"/>
  <c r="AV129" i="3" s="1"/>
  <c r="AW129" i="3"/>
  <c r="AJ129" i="3"/>
  <c r="AK129" i="3"/>
  <c r="AY129" i="3" l="1"/>
  <c r="AG129" i="3"/>
  <c r="AH129" i="3"/>
  <c r="AE129" i="3"/>
  <c r="AF129" i="3"/>
  <c r="AC129" i="3"/>
  <c r="AA129" i="3" s="1"/>
  <c r="AD129" i="3"/>
  <c r="AB129" i="3" s="1"/>
  <c r="Y130" i="3" l="1"/>
  <c r="W130" i="3"/>
  <c r="Z130" i="3"/>
  <c r="X130" i="3"/>
  <c r="BB130" i="3" l="1"/>
  <c r="AY130" i="3" s="1"/>
  <c r="BA130" i="3"/>
  <c r="AW130" i="3" s="1"/>
  <c r="AL130" i="3"/>
  <c r="AG130" i="3" s="1"/>
  <c r="AJ130" i="3"/>
  <c r="AC130" i="3" s="1"/>
  <c r="AK130" i="3"/>
  <c r="AE130" i="3" s="1"/>
  <c r="AX130" i="3" l="1"/>
  <c r="AV130" i="3"/>
  <c r="AA130" i="3" s="1"/>
  <c r="AH130" i="3"/>
  <c r="AF130" i="3"/>
  <c r="AD130" i="3"/>
  <c r="AB130" i="3" s="1"/>
  <c r="Y131" i="3" l="1"/>
  <c r="W131" i="3"/>
  <c r="Z131" i="3"/>
  <c r="X131" i="3"/>
  <c r="BB131" i="3" l="1"/>
  <c r="AY131" i="3" s="1"/>
  <c r="BA131" i="3"/>
  <c r="AW131" i="3" s="1"/>
  <c r="AL131" i="3"/>
  <c r="AG131" i="3" s="1"/>
  <c r="AK131" i="3"/>
  <c r="AE131" i="3" s="1"/>
  <c r="AJ131" i="3"/>
  <c r="AC131" i="3" s="1"/>
  <c r="AX131" i="3" l="1"/>
  <c r="AV131" i="3"/>
  <c r="AA131" i="3" s="1"/>
  <c r="AH131" i="3"/>
  <c r="AF131" i="3"/>
  <c r="AD131" i="3"/>
  <c r="AB131" i="3" s="1"/>
  <c r="Z132" i="3" l="1"/>
  <c r="Y132" i="3"/>
  <c r="W132" i="3"/>
  <c r="X132" i="3" l="1"/>
  <c r="BB132" i="3" s="1"/>
  <c r="AX132" i="3" s="1"/>
  <c r="AL132" i="3" l="1"/>
  <c r="AG132" i="3" s="1"/>
  <c r="AY132" i="3"/>
  <c r="BA132" i="3"/>
  <c r="AV132" i="3" s="1"/>
  <c r="AK132" i="3"/>
  <c r="AE132" i="3" s="1"/>
  <c r="AJ132" i="3"/>
  <c r="AC132" i="3" s="1"/>
  <c r="AA132" i="3" s="1"/>
  <c r="AH132" i="3"/>
  <c r="AF132" i="3"/>
  <c r="AD132" i="3" l="1"/>
  <c r="AW132" i="3"/>
  <c r="AB132" i="3" s="1"/>
  <c r="Y133" i="3"/>
  <c r="W133" i="3"/>
  <c r="X133" i="3" l="1"/>
  <c r="BA133" i="3" s="1"/>
  <c r="AV133" i="3" s="1"/>
  <c r="Z133" i="3"/>
  <c r="AL133" i="3" l="1"/>
  <c r="AW133" i="3"/>
  <c r="BB133" i="3"/>
  <c r="AX133" i="3" s="1"/>
  <c r="AG133" i="3"/>
  <c r="AJ133" i="3"/>
  <c r="AC133" i="3" s="1"/>
  <c r="AK133" i="3"/>
  <c r="AE133" i="3" s="1"/>
  <c r="AA133" i="3" l="1"/>
  <c r="AY133" i="3"/>
  <c r="AD133" i="3"/>
  <c r="AH133" i="3"/>
  <c r="AF133" i="3"/>
  <c r="AB133" i="3" l="1"/>
  <c r="X134" i="3"/>
  <c r="Z134" i="3"/>
  <c r="Y134" i="3"/>
  <c r="W134" i="3"/>
  <c r="AL134" i="3" l="1"/>
  <c r="BB134" i="3"/>
  <c r="AX134" i="3" s="1"/>
  <c r="BA134" i="3"/>
  <c r="AV134" i="3" s="1"/>
  <c r="AK134" i="3"/>
  <c r="AG134" i="3"/>
  <c r="AJ134" i="3"/>
  <c r="AC134" i="3" s="1"/>
  <c r="AA134" i="3" s="1"/>
  <c r="AE134" i="3"/>
  <c r="AH134" i="3"/>
  <c r="AF134" i="3"/>
  <c r="AW134" i="3" l="1"/>
  <c r="AY134" i="3"/>
  <c r="AD134" i="3"/>
  <c r="AB134" i="3" l="1"/>
  <c r="Y135" i="3"/>
  <c r="W135" i="3"/>
  <c r="Z135" i="3"/>
  <c r="X135" i="3"/>
  <c r="BB135" i="3" l="1"/>
  <c r="AY135" i="3" s="1"/>
  <c r="BA135" i="3"/>
  <c r="AV135" i="3" s="1"/>
  <c r="AL135" i="3"/>
  <c r="AG135" i="3" s="1"/>
  <c r="AJ135" i="3"/>
  <c r="AC135" i="3" s="1"/>
  <c r="AK135" i="3"/>
  <c r="AE135" i="3" s="1"/>
  <c r="AH135" i="3"/>
  <c r="AD135" i="3" l="1"/>
  <c r="AW135" i="3"/>
  <c r="AX135" i="3"/>
  <c r="AA135" i="3" s="1"/>
  <c r="AF135" i="3"/>
  <c r="AB135" i="3" l="1"/>
  <c r="X136" i="3"/>
  <c r="Z136" i="3"/>
  <c r="W136" i="3"/>
  <c r="Y136" i="3"/>
  <c r="AL136" i="3" l="1"/>
  <c r="BB136" i="3"/>
  <c r="AX136" i="3" s="1"/>
  <c r="BA136" i="3"/>
  <c r="AV136" i="3" s="1"/>
  <c r="AY136" i="3"/>
  <c r="AG136" i="3"/>
  <c r="AJ136" i="3"/>
  <c r="AD136" i="3" s="1"/>
  <c r="AK136" i="3"/>
  <c r="AF136" i="3" s="1"/>
  <c r="AH136" i="3"/>
  <c r="AW136" i="3" l="1"/>
  <c r="AB136" i="3" s="1"/>
  <c r="AC136" i="3"/>
  <c r="AE136" i="3"/>
  <c r="AA136" i="3" l="1"/>
  <c r="Z137" i="3"/>
  <c r="X137" i="3"/>
  <c r="Y137" i="3"/>
  <c r="W137" i="3"/>
  <c r="AL137" i="3" l="1"/>
  <c r="BA137" i="3"/>
  <c r="AV137" i="3" s="1"/>
  <c r="BB137" i="3"/>
  <c r="AX137" i="3" s="1"/>
  <c r="AW137" i="3"/>
  <c r="AJ137" i="3"/>
  <c r="AD137" i="3" s="1"/>
  <c r="AK137" i="3"/>
  <c r="AF137" i="3" s="1"/>
  <c r="AH137" i="3"/>
  <c r="AY137" i="3" l="1"/>
  <c r="AB137" i="3" s="1"/>
  <c r="AE137" i="3"/>
  <c r="AC137" i="3"/>
  <c r="AG137" i="3"/>
  <c r="AA137" i="3" l="1"/>
  <c r="Y138" i="3"/>
  <c r="W138" i="3"/>
  <c r="Z138" i="3"/>
  <c r="X138" i="3"/>
  <c r="BB138" i="3" l="1"/>
  <c r="AY138" i="3" s="1"/>
  <c r="BA138" i="3"/>
  <c r="AW138" i="3" s="1"/>
  <c r="AL138" i="3"/>
  <c r="AG138" i="3" s="1"/>
  <c r="AK138" i="3"/>
  <c r="AE138" i="3" s="1"/>
  <c r="AJ138" i="3"/>
  <c r="AC138" i="3" s="1"/>
  <c r="AH138" i="3"/>
  <c r="AX138" i="3" l="1"/>
  <c r="AV138" i="3"/>
  <c r="AA138" i="3" s="1"/>
  <c r="W139" i="3" s="1"/>
  <c r="AF138" i="3"/>
  <c r="AD138" i="3"/>
  <c r="AB138" i="3" s="1"/>
  <c r="Y139" i="3" l="1"/>
  <c r="X139" i="3"/>
  <c r="Z139" i="3"/>
  <c r="AL139" i="3" l="1"/>
  <c r="BA139" i="3"/>
  <c r="AV139" i="3" s="1"/>
  <c r="BB139" i="3"/>
  <c r="AX139" i="3" s="1"/>
  <c r="AG139" i="3"/>
  <c r="AJ139" i="3"/>
  <c r="AC139" i="3" s="1"/>
  <c r="AK139" i="3"/>
  <c r="AE139" i="3" s="1"/>
  <c r="AA139" i="3" l="1"/>
  <c r="AY139" i="3"/>
  <c r="AW139" i="3"/>
  <c r="Y140" i="3"/>
  <c r="W140" i="3"/>
  <c r="AF139" i="3"/>
  <c r="AD139" i="3"/>
  <c r="AH139" i="3"/>
  <c r="AB139" i="3" l="1"/>
  <c r="Z140" i="3"/>
  <c r="X140" i="3"/>
  <c r="AL140" i="3" l="1"/>
  <c r="BA140" i="3"/>
  <c r="AV140" i="3" s="1"/>
  <c r="BB140" i="3"/>
  <c r="AX140" i="3" s="1"/>
  <c r="AG140" i="3"/>
  <c r="AJ140" i="3"/>
  <c r="AC140" i="3" s="1"/>
  <c r="AK140" i="3"/>
  <c r="AE140" i="3" s="1"/>
  <c r="AA140" i="3" l="1"/>
  <c r="AW140" i="3"/>
  <c r="AY140" i="3"/>
  <c r="AH140" i="3"/>
  <c r="AD140" i="3"/>
  <c r="AF140" i="3"/>
  <c r="AB140" i="3" l="1"/>
  <c r="W141" i="3"/>
  <c r="Y141" i="3"/>
  <c r="X141" i="3" l="1"/>
  <c r="BB141" i="3" s="1"/>
  <c r="AX141" i="3" s="1"/>
  <c r="Z141" i="3"/>
  <c r="AL141" i="3" l="1"/>
  <c r="AY141" i="3"/>
  <c r="BA141" i="3"/>
  <c r="AV141" i="3" s="1"/>
  <c r="AK141" i="3"/>
  <c r="AE141" i="3" s="1"/>
  <c r="AG141" i="3"/>
  <c r="AJ141" i="3"/>
  <c r="AC141" i="3" s="1"/>
  <c r="AA141" i="3" l="1"/>
  <c r="AW141" i="3"/>
  <c r="Y142" i="3"/>
  <c r="W142" i="3"/>
  <c r="AD141" i="3"/>
  <c r="AF141" i="3"/>
  <c r="AH141" i="3"/>
  <c r="AB141" i="3" l="1"/>
  <c r="X142" i="3"/>
  <c r="Z142" i="3"/>
  <c r="AL142" i="3" l="1"/>
  <c r="BA142" i="3"/>
  <c r="AV142" i="3" s="1"/>
  <c r="BB142" i="3"/>
  <c r="AX142" i="3" s="1"/>
  <c r="AK142" i="3"/>
  <c r="AE142" i="3" s="1"/>
  <c r="AJ142" i="3"/>
  <c r="AC142" i="3" s="1"/>
  <c r="AG142" i="3"/>
  <c r="AA142" i="3" l="1"/>
  <c r="AY142" i="3"/>
  <c r="AW142" i="3"/>
  <c r="AF142" i="3"/>
  <c r="AH142" i="3"/>
  <c r="AD142" i="3"/>
  <c r="AB142" i="3" l="1"/>
  <c r="W143" i="3"/>
  <c r="Y143" i="3"/>
  <c r="Z143" i="3"/>
  <c r="X143" i="3"/>
  <c r="BB143" i="3" l="1"/>
  <c r="AY143" i="3" s="1"/>
  <c r="BA143" i="3"/>
  <c r="AV143" i="3" s="1"/>
  <c r="AL143" i="3"/>
  <c r="AH143" i="3" s="1"/>
  <c r="AJ143" i="3"/>
  <c r="AC143" i="3" s="1"/>
  <c r="AK143" i="3"/>
  <c r="AE143" i="3" s="1"/>
  <c r="AW143" i="3" l="1"/>
  <c r="AX143" i="3"/>
  <c r="AG143" i="3"/>
  <c r="AF143" i="3"/>
  <c r="AD143" i="3"/>
  <c r="AB143" i="3" s="1"/>
  <c r="AA143" i="3" l="1"/>
  <c r="X144" i="3"/>
  <c r="Z144" i="3"/>
  <c r="Y144" i="3"/>
  <c r="W144" i="3"/>
  <c r="AL144" i="3" l="1"/>
  <c r="BB144" i="3"/>
  <c r="AX144" i="3" s="1"/>
  <c r="BA144" i="3"/>
  <c r="AV144" i="3" s="1"/>
  <c r="AY144" i="3"/>
  <c r="AJ144" i="3"/>
  <c r="AC144" i="3" s="1"/>
  <c r="AH144" i="3"/>
  <c r="AK144" i="3"/>
  <c r="AF144" i="3" s="1"/>
  <c r="AD144" i="3" l="1"/>
  <c r="AW144" i="3"/>
  <c r="AG144" i="3"/>
  <c r="AE144" i="3"/>
  <c r="AA144" i="3" s="1"/>
  <c r="AB144" i="3" l="1"/>
  <c r="Y145" i="3"/>
  <c r="W145" i="3"/>
  <c r="Z145" i="3" l="1"/>
  <c r="X145" i="3"/>
  <c r="AL145" i="3"/>
  <c r="BB145" i="3"/>
  <c r="AY145" i="3" s="1"/>
  <c r="BA145" i="3"/>
  <c r="AW145" i="3" s="1"/>
  <c r="AH145" i="3"/>
  <c r="AJ145" i="3"/>
  <c r="AD145" i="3" s="1"/>
  <c r="AK145" i="3"/>
  <c r="AF145" i="3" s="1"/>
  <c r="AG145" i="3"/>
  <c r="AB145" i="3" l="1"/>
  <c r="AC145" i="3"/>
  <c r="AX145" i="3"/>
  <c r="AV145" i="3"/>
  <c r="AE145" i="3"/>
  <c r="AA145" i="3" l="1"/>
  <c r="W146" i="3" s="1"/>
  <c r="Z146" i="3"/>
  <c r="X146" i="3"/>
  <c r="Y146" i="3" l="1"/>
  <c r="BB146" i="3"/>
  <c r="AY146" i="3" s="1"/>
  <c r="BA146" i="3"/>
  <c r="AV146" i="3" s="1"/>
  <c r="AL146" i="3"/>
  <c r="AG146" i="3" s="1"/>
  <c r="AK146" i="3"/>
  <c r="AE146" i="3" s="1"/>
  <c r="AJ146" i="3"/>
  <c r="AC146" i="3" s="1"/>
  <c r="AW146" i="3" l="1"/>
  <c r="AX146" i="3"/>
  <c r="AA146" i="3" s="1"/>
  <c r="AH146" i="3"/>
  <c r="AF146" i="3"/>
  <c r="AD146" i="3"/>
  <c r="AB146" i="3" l="1"/>
  <c r="Y147" i="3"/>
  <c r="W147" i="3"/>
  <c r="Z147" i="3"/>
  <c r="X147" i="3"/>
  <c r="AL147" i="3" l="1"/>
  <c r="AG147" i="3" s="1"/>
  <c r="BB147" i="3"/>
  <c r="AX147" i="3" s="1"/>
  <c r="BA147" i="3"/>
  <c r="AV147" i="3" s="1"/>
  <c r="AJ147" i="3"/>
  <c r="AC147" i="3" s="1"/>
  <c r="AH147" i="3"/>
  <c r="AK147" i="3"/>
  <c r="AE147" i="3" s="1"/>
  <c r="AD147" i="3" l="1"/>
  <c r="AA147" i="3"/>
  <c r="AW147" i="3"/>
  <c r="AY147" i="3"/>
  <c r="Y148" i="3"/>
  <c r="W148" i="3"/>
  <c r="AF147" i="3"/>
  <c r="AB147" i="3" l="1"/>
  <c r="Z148" i="3"/>
  <c r="X148" i="3"/>
  <c r="AL148" i="3" l="1"/>
  <c r="AG148" i="3" s="1"/>
  <c r="AJ148" i="3"/>
  <c r="AC148" i="3" s="1"/>
  <c r="BB148" i="3"/>
  <c r="AX148" i="3" s="1"/>
  <c r="BA148" i="3"/>
  <c r="AV148" i="3" s="1"/>
  <c r="AH148" i="3"/>
  <c r="AD148" i="3"/>
  <c r="AK148" i="3"/>
  <c r="AE148" i="3" s="1"/>
  <c r="AA148" i="3" l="1"/>
  <c r="AW148" i="3"/>
  <c r="AY148" i="3"/>
  <c r="W149" i="3"/>
  <c r="Y149" i="3"/>
  <c r="AF148" i="3"/>
  <c r="AB148" i="3" l="1"/>
  <c r="X149" i="3"/>
  <c r="BB149" i="3" s="1"/>
  <c r="AX149" i="3" s="1"/>
  <c r="Z149" i="3"/>
  <c r="AJ149" i="3"/>
  <c r="AC149" i="3" s="1"/>
  <c r="AK149" i="3"/>
  <c r="AE149" i="3" s="1"/>
  <c r="AL149" i="3" l="1"/>
  <c r="AG149" i="3" s="1"/>
  <c r="AY149" i="3"/>
  <c r="BA149" i="3"/>
  <c r="AV149" i="3" s="1"/>
  <c r="AF149" i="3"/>
  <c r="AH149" i="3"/>
  <c r="AD149" i="3"/>
  <c r="AA149" i="3" l="1"/>
  <c r="AW149" i="3"/>
  <c r="AB149" i="3" s="1"/>
  <c r="Y150" i="3"/>
  <c r="W150" i="3"/>
  <c r="Z150" i="3" l="1"/>
  <c r="X150" i="3"/>
  <c r="AL150" i="3" l="1"/>
  <c r="AJ150" i="3"/>
  <c r="AD150" i="3" s="1"/>
  <c r="BB150" i="3"/>
  <c r="AX150" i="3" s="1"/>
  <c r="BA150" i="3"/>
  <c r="AV150" i="3" s="1"/>
  <c r="AK150" i="3"/>
  <c r="AC150" i="3"/>
  <c r="AH150" i="3"/>
  <c r="AG150" i="3"/>
  <c r="AY150" i="3" l="1"/>
  <c r="AW150" i="3"/>
  <c r="AF150" i="3"/>
  <c r="AE150" i="3"/>
  <c r="AA150" i="3" s="1"/>
  <c r="AB150" i="3" l="1"/>
  <c r="X151" i="3" s="1"/>
  <c r="Y151" i="3"/>
  <c r="W151" i="3"/>
  <c r="AJ151" i="3" s="1"/>
  <c r="AC151" i="3" s="1"/>
  <c r="Z151" i="3" l="1"/>
  <c r="AL151" i="3"/>
  <c r="BB151" i="3"/>
  <c r="AY151" i="3" s="1"/>
  <c r="BA151" i="3"/>
  <c r="AW151" i="3" s="1"/>
  <c r="AK151" i="3"/>
  <c r="AD151" i="3"/>
  <c r="AV151" i="3" l="1"/>
  <c r="AX151" i="3"/>
  <c r="AG151" i="3"/>
  <c r="AH151" i="3"/>
  <c r="AF151" i="3"/>
  <c r="AB151" i="3" s="1"/>
  <c r="AE151" i="3"/>
  <c r="AA151" i="3" s="1"/>
  <c r="X152" i="3" l="1"/>
  <c r="Z152" i="3"/>
  <c r="Y152" i="3"/>
  <c r="W152" i="3"/>
  <c r="BB152" i="3" l="1"/>
  <c r="AX152" i="3" s="1"/>
  <c r="BA152" i="3"/>
  <c r="AV152" i="3" s="1"/>
  <c r="AY152" i="3"/>
  <c r="AL152" i="3"/>
  <c r="AG152" i="3" s="1"/>
  <c r="AK152" i="3"/>
  <c r="AF152" i="3" s="1"/>
  <c r="AJ152" i="3"/>
  <c r="AW152" i="3" l="1"/>
  <c r="AH152" i="3"/>
  <c r="AE152" i="3"/>
  <c r="AD152" i="3"/>
  <c r="AB152" i="3" s="1"/>
  <c r="AC152" i="3"/>
  <c r="AA152" i="3" s="1"/>
  <c r="Y153" i="3" l="1"/>
  <c r="W153" i="3"/>
  <c r="X153" i="3"/>
  <c r="Z153" i="3"/>
  <c r="BA153" i="3" l="1"/>
  <c r="AV153" i="3" s="1"/>
  <c r="BB153" i="3"/>
  <c r="AY153" i="3" s="1"/>
  <c r="AJ153" i="3"/>
  <c r="AC153" i="3" s="1"/>
  <c r="AL153" i="3"/>
  <c r="AH153" i="3" s="1"/>
  <c r="AK153" i="3"/>
  <c r="AE153" i="3" s="1"/>
  <c r="AW153" i="3" l="1"/>
  <c r="AX153" i="3"/>
  <c r="AG153" i="3"/>
  <c r="AF153" i="3"/>
  <c r="AD153" i="3"/>
  <c r="AB153" i="3" s="1"/>
  <c r="AA153" i="3" l="1"/>
  <c r="Z154" i="3"/>
  <c r="X154" i="3"/>
  <c r="Y154" i="3"/>
  <c r="W154" i="3"/>
  <c r="BB154" i="3" l="1"/>
  <c r="AX154" i="3" s="1"/>
  <c r="BA154" i="3"/>
  <c r="AV154" i="3"/>
  <c r="AY154" i="3"/>
  <c r="AW154" i="3"/>
  <c r="AK154" i="3"/>
  <c r="AE154" i="3" s="1"/>
  <c r="AJ154" i="3"/>
  <c r="AC154" i="3" s="1"/>
  <c r="AL154" i="3"/>
  <c r="AG154" i="3" s="1"/>
  <c r="AA154" i="3" l="1"/>
  <c r="AD154" i="3"/>
  <c r="AF154" i="3"/>
  <c r="AH154" i="3"/>
  <c r="Y155" i="3"/>
  <c r="W155" i="3"/>
  <c r="AB154" i="3" l="1"/>
  <c r="X155" i="3"/>
  <c r="BA155" i="3" s="1"/>
  <c r="AV155" i="3" s="1"/>
  <c r="Z155" i="3"/>
  <c r="AW155" i="3" l="1"/>
  <c r="BB155" i="3"/>
  <c r="AX155" i="3" s="1"/>
  <c r="AL155" i="3"/>
  <c r="AG155" i="3" s="1"/>
  <c r="AK155" i="3"/>
  <c r="AJ155" i="3"/>
  <c r="AY155" i="3" l="1"/>
  <c r="AC155" i="3"/>
  <c r="AD155" i="3"/>
  <c r="AE155" i="3"/>
  <c r="AF155" i="3"/>
  <c r="AH155" i="3"/>
  <c r="AB155" i="3" l="1"/>
  <c r="AA155" i="3"/>
  <c r="Y156" i="3" l="1"/>
  <c r="W156" i="3"/>
  <c r="Z156" i="3"/>
  <c r="X156" i="3"/>
  <c r="AL156" i="3" l="1"/>
  <c r="AH156" i="3" s="1"/>
  <c r="BB156" i="3"/>
  <c r="AY156" i="3" s="1"/>
  <c r="BA156" i="3"/>
  <c r="AV156" i="3" s="1"/>
  <c r="AK156" i="3"/>
  <c r="AJ156" i="3"/>
  <c r="AG156" i="3"/>
  <c r="AW156" i="3" l="1"/>
  <c r="AX156" i="3"/>
  <c r="AC156" i="3"/>
  <c r="AD156" i="3"/>
  <c r="AE156" i="3"/>
  <c r="AF156" i="3"/>
  <c r="AB156" i="3" l="1"/>
  <c r="AA156" i="3"/>
  <c r="Y157" i="3" l="1"/>
  <c r="W157" i="3"/>
  <c r="Z157" i="3"/>
  <c r="X157" i="3"/>
  <c r="AL157" i="3" l="1"/>
  <c r="BB157" i="3"/>
  <c r="AY157" i="3" s="1"/>
  <c r="BA157" i="3"/>
  <c r="AW157" i="3" s="1"/>
  <c r="AH157" i="3"/>
  <c r="AK157" i="3"/>
  <c r="AG157" i="3"/>
  <c r="AJ157" i="3"/>
  <c r="AV157" i="3" l="1"/>
  <c r="AX157" i="3"/>
  <c r="AC157" i="3"/>
  <c r="AD157" i="3"/>
  <c r="AE157" i="3"/>
  <c r="AF157" i="3"/>
  <c r="AB157" i="3" l="1"/>
  <c r="AA157" i="3"/>
  <c r="W158" i="3" l="1"/>
  <c r="Y158" i="3"/>
  <c r="X158" i="3"/>
  <c r="Z158" i="3"/>
  <c r="BB158" i="3" l="1"/>
  <c r="AY158" i="3" s="1"/>
  <c r="BA158" i="3"/>
  <c r="AV158" i="3" s="1"/>
  <c r="AJ158" i="3"/>
  <c r="AC158" i="3" s="1"/>
  <c r="AK158" i="3"/>
  <c r="AE158" i="3" s="1"/>
  <c r="AL158" i="3"/>
  <c r="AH158" i="3" s="1"/>
  <c r="AW158" i="3" l="1"/>
  <c r="AX158" i="3"/>
  <c r="AG158" i="3"/>
  <c r="AD158" i="3"/>
  <c r="AF158" i="3"/>
  <c r="AB158" i="3" l="1"/>
  <c r="AA158" i="3"/>
  <c r="Z159" i="3"/>
  <c r="X159" i="3"/>
  <c r="Y159" i="3"/>
  <c r="W159" i="3"/>
  <c r="BB159" i="3" l="1"/>
  <c r="AX159" i="3" s="1"/>
  <c r="BA159" i="3"/>
  <c r="AV159" i="3" s="1"/>
  <c r="AW159" i="3"/>
  <c r="AK159" i="3"/>
  <c r="AJ159" i="3"/>
  <c r="AL159" i="3"/>
  <c r="AH159" i="3" s="1"/>
  <c r="AY159" i="3" l="1"/>
  <c r="AC159" i="3"/>
  <c r="AD159" i="3"/>
  <c r="AG159" i="3"/>
  <c r="AE159" i="3"/>
  <c r="AF159" i="3"/>
  <c r="AB159" i="3" l="1"/>
  <c r="AA159" i="3"/>
  <c r="Y160" i="3" l="1"/>
  <c r="W160" i="3"/>
  <c r="Z160" i="3"/>
  <c r="X160" i="3"/>
  <c r="AL160" i="3" l="1"/>
  <c r="AH160" i="3" s="1"/>
  <c r="BB160" i="3"/>
  <c r="AY160" i="3" s="1"/>
  <c r="BA160" i="3"/>
  <c r="AV160" i="3" s="1"/>
  <c r="AG160" i="3"/>
  <c r="AJ160" i="3"/>
  <c r="AK160" i="3"/>
  <c r="AW160" i="3" l="1"/>
  <c r="AX160" i="3"/>
  <c r="AC160" i="3"/>
  <c r="AD160" i="3"/>
  <c r="AE160" i="3"/>
  <c r="AF160" i="3"/>
  <c r="AB160" i="3" l="1"/>
  <c r="AA160" i="3"/>
  <c r="W161" i="3" l="1"/>
  <c r="Y161" i="3"/>
  <c r="X161" i="3"/>
  <c r="Z161" i="3"/>
  <c r="BB161" i="3" l="1"/>
  <c r="AY161" i="3" s="1"/>
  <c r="BA161" i="3"/>
  <c r="AV161" i="3" s="1"/>
  <c r="AL161" i="3"/>
  <c r="AG161" i="3" s="1"/>
  <c r="AJ161" i="3"/>
  <c r="AC161" i="3" s="1"/>
  <c r="AK161" i="3"/>
  <c r="AE161" i="3" s="1"/>
  <c r="AW161" i="3" l="1"/>
  <c r="AH161" i="3"/>
  <c r="AX161" i="3"/>
  <c r="AA161" i="3" s="1"/>
  <c r="AD161" i="3"/>
  <c r="AF161" i="3"/>
  <c r="AB161" i="3" l="1"/>
  <c r="Y162" i="3"/>
  <c r="W162" i="3"/>
  <c r="Z162" i="3" l="1"/>
  <c r="X162" i="3"/>
  <c r="AJ162" i="3"/>
  <c r="AD162" i="3" s="1"/>
  <c r="AK162" i="3"/>
  <c r="AE162" i="3" s="1"/>
  <c r="BB162" i="3" l="1"/>
  <c r="AX162" i="3" s="1"/>
  <c r="BA162" i="3"/>
  <c r="AV162" i="3" s="1"/>
  <c r="AC162" i="3"/>
  <c r="AL162" i="3"/>
  <c r="AG162" i="3" s="1"/>
  <c r="AF162" i="3"/>
  <c r="AA162" i="3" l="1"/>
  <c r="AW162" i="3"/>
  <c r="AY162" i="3"/>
  <c r="Y163" i="3"/>
  <c r="W163" i="3"/>
  <c r="AH162" i="3"/>
  <c r="AB162" i="3" s="1"/>
  <c r="X163" i="3" l="1"/>
  <c r="Z163" i="3"/>
  <c r="AK163" i="3"/>
  <c r="AF163" i="3" s="1"/>
  <c r="AJ163" i="3"/>
  <c r="AD163" i="3" s="1"/>
  <c r="AL163" i="3"/>
  <c r="AE163" i="3"/>
  <c r="AG163" i="3"/>
  <c r="BA163" i="3" l="1"/>
  <c r="AV163" i="3" s="1"/>
  <c r="BB163" i="3"/>
  <c r="AX163" i="3" s="1"/>
  <c r="AC163" i="3"/>
  <c r="AH163" i="3"/>
  <c r="AA163" i="3" l="1"/>
  <c r="AW163" i="3"/>
  <c r="AY163" i="3"/>
  <c r="W164" i="3"/>
  <c r="Y164" i="3"/>
  <c r="AB163" i="3" l="1"/>
  <c r="Z164" i="3"/>
  <c r="X164" i="3"/>
  <c r="BB164" i="3"/>
  <c r="AX164" i="3" s="1"/>
  <c r="BA164" i="3"/>
  <c r="AV164" i="3" s="1"/>
  <c r="AY164" i="3"/>
  <c r="AL164" i="3"/>
  <c r="AG164" i="3" s="1"/>
  <c r="AK164" i="3"/>
  <c r="AF164" i="3" s="1"/>
  <c r="AJ164" i="3"/>
  <c r="AD164" i="3" s="1"/>
  <c r="AH164" i="3" l="1"/>
  <c r="AW164" i="3"/>
  <c r="AB164" i="3" s="1"/>
  <c r="AE164" i="3"/>
  <c r="AC164" i="3"/>
  <c r="AA164" i="3" s="1"/>
  <c r="X165" i="3" l="1"/>
  <c r="Z165" i="3"/>
  <c r="Y165" i="3"/>
  <c r="W165" i="3"/>
  <c r="BB165" i="3" l="1"/>
  <c r="AY165" i="3" s="1"/>
  <c r="BA165" i="3"/>
  <c r="AW165" i="3" s="1"/>
  <c r="AL165" i="3"/>
  <c r="AH165" i="3" s="1"/>
  <c r="AK165" i="3"/>
  <c r="AJ165" i="3"/>
  <c r="AG165" i="3"/>
  <c r="AV165" i="3" l="1"/>
  <c r="AX165" i="3"/>
  <c r="AC165" i="3"/>
  <c r="AD165" i="3"/>
  <c r="AE165" i="3"/>
  <c r="AF165" i="3"/>
  <c r="AB165" i="3" l="1"/>
  <c r="AA165" i="3"/>
  <c r="Z166" i="3"/>
  <c r="X166" i="3"/>
  <c r="Y166" i="3" l="1"/>
  <c r="W166" i="3"/>
  <c r="BB166" i="3" l="1"/>
  <c r="AY166" i="3" s="1"/>
  <c r="BA166" i="3"/>
  <c r="AW166" i="3" s="1"/>
  <c r="AK166" i="3"/>
  <c r="AJ166" i="3"/>
  <c r="AD166" i="3" s="1"/>
  <c r="AL166" i="3"/>
  <c r="AV166" i="3" l="1"/>
  <c r="AX166" i="3"/>
  <c r="AG166" i="3"/>
  <c r="AH166" i="3"/>
  <c r="AC166" i="3"/>
  <c r="AE166" i="3"/>
  <c r="AF166" i="3"/>
  <c r="AB166" i="3" s="1"/>
  <c r="AA166" i="3" l="1"/>
  <c r="X167" i="3"/>
  <c r="Z167" i="3"/>
  <c r="Y167" i="3" l="1"/>
  <c r="W167" i="3"/>
  <c r="BB167" i="3" l="1"/>
  <c r="AY167" i="3" s="1"/>
  <c r="BA167" i="3"/>
  <c r="AW167" i="3" s="1"/>
  <c r="AK167" i="3"/>
  <c r="AF167" i="3" s="1"/>
  <c r="AJ167" i="3"/>
  <c r="AD167" i="3" s="1"/>
  <c r="AE167" i="3"/>
  <c r="AL167" i="3"/>
  <c r="AH167" i="3" s="1"/>
  <c r="AB167" i="3" l="1"/>
  <c r="AC167" i="3"/>
  <c r="AV167" i="3"/>
  <c r="AX167" i="3"/>
  <c r="AG167" i="3"/>
  <c r="AA167" i="3" l="1"/>
  <c r="Y168" i="3"/>
  <c r="W168" i="3"/>
  <c r="Z168" i="3"/>
  <c r="X168" i="3"/>
  <c r="BB168" i="3" l="1"/>
  <c r="AY168" i="3" s="1"/>
  <c r="BA168" i="3"/>
  <c r="AW168" i="3" s="1"/>
  <c r="AL168" i="3"/>
  <c r="AH168" i="3" s="1"/>
  <c r="AJ168" i="3"/>
  <c r="AC168" i="3" s="1"/>
  <c r="AK168" i="3"/>
  <c r="AE168" i="3" s="1"/>
  <c r="AG168" i="3" l="1"/>
  <c r="AV168" i="3"/>
  <c r="AX168" i="3"/>
  <c r="AF168" i="3"/>
  <c r="AD168" i="3"/>
  <c r="AB168" i="3" s="1"/>
  <c r="AA168" i="3" l="1"/>
  <c r="Y169" i="3"/>
  <c r="W169" i="3"/>
  <c r="Z169" i="3" l="1"/>
  <c r="X169" i="3"/>
  <c r="BA169" i="3" l="1"/>
  <c r="AV169" i="3" s="1"/>
  <c r="BB169" i="3"/>
  <c r="AX169" i="3" s="1"/>
  <c r="AL169" i="3"/>
  <c r="AJ169" i="3"/>
  <c r="AK169" i="3"/>
  <c r="AW169" i="3" l="1"/>
  <c r="AY169" i="3"/>
  <c r="AF169" i="3"/>
  <c r="AE169" i="3"/>
  <c r="AD169" i="3"/>
  <c r="AC169" i="3"/>
  <c r="AH169" i="3"/>
  <c r="AG169" i="3"/>
  <c r="AB169" i="3" l="1"/>
  <c r="AA169" i="3"/>
  <c r="X170" i="3" l="1"/>
  <c r="Z170" i="3"/>
  <c r="Y170" i="3"/>
  <c r="W170" i="3"/>
  <c r="BB170" i="3" l="1"/>
  <c r="AX170" i="3" s="1"/>
  <c r="BA170" i="3"/>
  <c r="AV170" i="3" s="1"/>
  <c r="AY170" i="3"/>
  <c r="AW170" i="3"/>
  <c r="AL170" i="3"/>
  <c r="AJ170" i="3"/>
  <c r="AC170" i="3" s="1"/>
  <c r="AK170" i="3"/>
  <c r="AF170" i="3" s="1"/>
  <c r="AG170" i="3"/>
  <c r="AH170" i="3"/>
  <c r="AD170" i="3"/>
  <c r="AB170" i="3" l="1"/>
  <c r="AE170" i="3"/>
  <c r="AA170" i="3" s="1"/>
  <c r="Z171" i="3"/>
  <c r="X171" i="3" l="1"/>
  <c r="Y171" i="3"/>
  <c r="W171" i="3"/>
  <c r="BB171" i="3" l="1"/>
  <c r="AY171" i="3" s="1"/>
  <c r="BA171" i="3"/>
  <c r="AW171" i="3" s="1"/>
  <c r="AJ171" i="3"/>
  <c r="AD171" i="3" s="1"/>
  <c r="AK171" i="3"/>
  <c r="AF171" i="3" s="1"/>
  <c r="AL171" i="3"/>
  <c r="AH171" i="3" s="1"/>
  <c r="AC171" i="3"/>
  <c r="AB171" i="3" l="1"/>
  <c r="AV171" i="3"/>
  <c r="AX171" i="3"/>
  <c r="AE171" i="3"/>
  <c r="Z172" i="3"/>
  <c r="X172" i="3"/>
  <c r="AG171" i="3"/>
  <c r="AA171" i="3" l="1"/>
  <c r="W172" i="3"/>
  <c r="Y172" i="3"/>
  <c r="BB172" i="3" l="1"/>
  <c r="AY172" i="3" s="1"/>
  <c r="BA172" i="3"/>
  <c r="AW172" i="3" s="1"/>
  <c r="AL172" i="3"/>
  <c r="AH172" i="3" s="1"/>
  <c r="AK172" i="3"/>
  <c r="AF172" i="3" s="1"/>
  <c r="AJ172" i="3"/>
  <c r="AD172" i="3" s="1"/>
  <c r="AB172" i="3" s="1"/>
  <c r="AG172" i="3" l="1"/>
  <c r="AE172" i="3"/>
  <c r="AV172" i="3"/>
  <c r="AX172" i="3"/>
  <c r="AC172" i="3"/>
  <c r="AA172" i="3" s="1"/>
  <c r="X173" i="3" l="1"/>
  <c r="Z173" i="3"/>
  <c r="Y173" i="3"/>
  <c r="W173" i="3"/>
  <c r="BB173" i="3" l="1"/>
  <c r="AX173" i="3" s="1"/>
  <c r="BA173" i="3"/>
  <c r="AV173" i="3" s="1"/>
  <c r="AY173" i="3"/>
  <c r="AW173" i="3"/>
  <c r="AL173" i="3"/>
  <c r="AG173" i="3" s="1"/>
  <c r="AK173" i="3"/>
  <c r="AF173" i="3" s="1"/>
  <c r="AJ173" i="3"/>
  <c r="AC173" i="3" s="1"/>
  <c r="AD173" i="3" l="1"/>
  <c r="AH173" i="3"/>
  <c r="AE173" i="3"/>
  <c r="AA173" i="3" s="1"/>
  <c r="AB173" i="3" l="1"/>
  <c r="W174" i="3"/>
  <c r="Y174" i="3"/>
  <c r="Z174" i="3"/>
  <c r="X174" i="3"/>
  <c r="BA174" i="3" l="1"/>
  <c r="AV174" i="3" s="1"/>
  <c r="BB174" i="3"/>
  <c r="AX174" i="3" s="1"/>
  <c r="AL174" i="3"/>
  <c r="AG174" i="3" s="1"/>
  <c r="AK174" i="3"/>
  <c r="AJ174" i="3"/>
  <c r="AW174" i="3" l="1"/>
  <c r="AY174" i="3"/>
  <c r="AD174" i="3"/>
  <c r="AC174" i="3"/>
  <c r="AF174" i="3"/>
  <c r="AE174" i="3"/>
  <c r="AH174" i="3"/>
  <c r="AB174" i="3" l="1"/>
  <c r="AA174" i="3"/>
  <c r="Z175" i="3"/>
  <c r="X175" i="3"/>
  <c r="Y175" i="3" l="1"/>
  <c r="W175" i="3"/>
  <c r="BB175" i="3" l="1"/>
  <c r="AY175" i="3" s="1"/>
  <c r="BA175" i="3"/>
  <c r="AW175" i="3" s="1"/>
  <c r="AL175" i="3"/>
  <c r="AH175" i="3" s="1"/>
  <c r="AK175" i="3"/>
  <c r="AF175" i="3" s="1"/>
  <c r="AG175" i="3"/>
  <c r="AJ175" i="3"/>
  <c r="AE175" i="3" l="1"/>
  <c r="AV175" i="3"/>
  <c r="AX175" i="3"/>
  <c r="AC175" i="3"/>
  <c r="AD175" i="3"/>
  <c r="AB175" i="3" s="1"/>
  <c r="AA175" i="3" l="1"/>
  <c r="X176" i="3"/>
  <c r="Z176" i="3"/>
  <c r="Y176" i="3"/>
  <c r="W176" i="3"/>
  <c r="BB176" i="3" l="1"/>
  <c r="AX176" i="3" s="1"/>
  <c r="BA176" i="3"/>
  <c r="AV176" i="3" s="1"/>
  <c r="AY176" i="3"/>
  <c r="AK176" i="3"/>
  <c r="AF176" i="3" s="1"/>
  <c r="AJ176" i="3"/>
  <c r="AC176" i="3" s="1"/>
  <c r="AL176" i="3"/>
  <c r="AG176" i="3" s="1"/>
  <c r="AW176" i="3" l="1"/>
  <c r="AD176" i="3"/>
  <c r="AE176" i="3"/>
  <c r="AA176" i="3" s="1"/>
  <c r="AH176" i="3"/>
  <c r="AB176" i="3" l="1"/>
  <c r="Y177" i="3"/>
  <c r="W177" i="3"/>
  <c r="Z177" i="3"/>
  <c r="X177" i="3"/>
  <c r="BB177" i="3" l="1"/>
  <c r="AY177" i="3" s="1"/>
  <c r="BA177" i="3"/>
  <c r="AW177" i="3" s="1"/>
  <c r="AL177" i="3"/>
  <c r="AG177" i="3" s="1"/>
  <c r="AK177" i="3"/>
  <c r="AE177" i="3" s="1"/>
  <c r="AJ177" i="3"/>
  <c r="AC177" i="3" s="1"/>
  <c r="AX177" i="3" l="1"/>
  <c r="AV177" i="3"/>
  <c r="AA177" i="3" s="1"/>
  <c r="AD177" i="3"/>
  <c r="AF177" i="3"/>
  <c r="AH177" i="3"/>
  <c r="AB177" i="3" l="1"/>
  <c r="W178" i="3"/>
  <c r="Y178" i="3"/>
  <c r="Z178" i="3" l="1"/>
  <c r="X178" i="3"/>
  <c r="AJ178" i="3"/>
  <c r="AD178" i="3" s="1"/>
  <c r="BB178" i="3" l="1"/>
  <c r="AX178" i="3" s="1"/>
  <c r="AK178" i="3"/>
  <c r="AE178" i="3" s="1"/>
  <c r="BA178" i="3"/>
  <c r="AV178" i="3" s="1"/>
  <c r="AL178" i="3"/>
  <c r="AG178" i="3" s="1"/>
  <c r="AF178" i="3"/>
  <c r="AC178" i="3"/>
  <c r="AH178" i="3" l="1"/>
  <c r="AA178" i="3"/>
  <c r="AW178" i="3"/>
  <c r="AY178" i="3"/>
  <c r="Y179" i="3"/>
  <c r="W179" i="3"/>
  <c r="AB178" i="3" l="1"/>
  <c r="X179" i="3"/>
  <c r="Z179" i="3"/>
  <c r="BB179" i="3"/>
  <c r="AX179" i="3" s="1"/>
  <c r="BA179" i="3"/>
  <c r="AV179" i="3" s="1"/>
  <c r="AY179" i="3"/>
  <c r="AK179" i="3"/>
  <c r="AF179" i="3" s="1"/>
  <c r="AL179" i="3"/>
  <c r="AH179" i="3" s="1"/>
  <c r="AJ179" i="3"/>
  <c r="AD179" i="3" s="1"/>
  <c r="AE179" i="3" l="1"/>
  <c r="AW179" i="3"/>
  <c r="AB179" i="3" s="1"/>
  <c r="AC179" i="3"/>
  <c r="AG179" i="3"/>
  <c r="Z180" i="3" l="1"/>
  <c r="X180" i="3"/>
  <c r="AA179" i="3"/>
  <c r="W180" i="3"/>
  <c r="Y180" i="3"/>
  <c r="BB180" i="3" l="1"/>
  <c r="AY180" i="3" s="1"/>
  <c r="BA180" i="3"/>
  <c r="AW180" i="3" s="1"/>
  <c r="AK180" i="3"/>
  <c r="AF180" i="3" s="1"/>
  <c r="AJ180" i="3"/>
  <c r="AL180" i="3"/>
  <c r="AH180" i="3" s="1"/>
  <c r="AE180" i="3" l="1"/>
  <c r="AV180" i="3"/>
  <c r="AX180" i="3"/>
  <c r="AC180" i="3"/>
  <c r="AD180" i="3"/>
  <c r="AB180" i="3" s="1"/>
  <c r="AG180" i="3"/>
  <c r="AA180" i="3" l="1"/>
  <c r="Y181" i="3"/>
  <c r="W181" i="3"/>
  <c r="Z181" i="3"/>
  <c r="X181" i="3"/>
  <c r="BB181" i="3" l="1"/>
  <c r="AY181" i="3" s="1"/>
  <c r="BA181" i="3"/>
  <c r="AV181" i="3" s="1"/>
  <c r="AK181" i="3"/>
  <c r="AE181" i="3" s="1"/>
  <c r="AJ181" i="3"/>
  <c r="AC181" i="3" s="1"/>
  <c r="AL181" i="3"/>
  <c r="AH181" i="3" s="1"/>
  <c r="AW181" i="3" l="1"/>
  <c r="AX181" i="3"/>
  <c r="AG181" i="3"/>
  <c r="AF181" i="3"/>
  <c r="AD181" i="3"/>
  <c r="AB181" i="3" s="1"/>
  <c r="AA181" i="3" l="1"/>
  <c r="Z182" i="3"/>
  <c r="X182" i="3"/>
  <c r="Y182" i="3"/>
  <c r="W182" i="3"/>
  <c r="BB182" i="3" l="1"/>
  <c r="AX182" i="3" s="1"/>
  <c r="BA182" i="3"/>
  <c r="AV182" i="3" s="1"/>
  <c r="AK182" i="3"/>
  <c r="AE182" i="3" s="1"/>
  <c r="AJ182" i="3"/>
  <c r="AC182" i="3" s="1"/>
  <c r="AL182" i="3"/>
  <c r="AG182" i="3" s="1"/>
  <c r="AW182" i="3" l="1"/>
  <c r="AA182" i="3"/>
  <c r="AY182" i="3"/>
  <c r="AF182" i="3"/>
  <c r="AH182" i="3"/>
  <c r="AD182" i="3"/>
  <c r="AB182" i="3" l="1"/>
  <c r="X183" i="3"/>
  <c r="Z183" i="3"/>
  <c r="Y183" i="3"/>
  <c r="W183" i="3"/>
  <c r="BB183" i="3" l="1"/>
  <c r="AX183" i="3" s="1"/>
  <c r="BA183" i="3"/>
  <c r="AV183" i="3" s="1"/>
  <c r="AY183" i="3"/>
  <c r="AK183" i="3"/>
  <c r="AJ183" i="3"/>
  <c r="AL183" i="3"/>
  <c r="AW183" i="3" l="1"/>
  <c r="AG183" i="3"/>
  <c r="AH183" i="3"/>
  <c r="AC183" i="3"/>
  <c r="AD183" i="3"/>
  <c r="AE183" i="3"/>
  <c r="AF183" i="3"/>
  <c r="AB183" i="3" l="1"/>
  <c r="AA183" i="3"/>
  <c r="Z184" i="3"/>
  <c r="X184" i="3"/>
  <c r="Y184" i="3" l="1"/>
  <c r="W184" i="3"/>
  <c r="BB184" i="3" l="1"/>
  <c r="AY184" i="3" s="1"/>
  <c r="BA184" i="3"/>
  <c r="AW184" i="3" s="1"/>
  <c r="AJ184" i="3"/>
  <c r="AK184" i="3"/>
  <c r="AL184" i="3"/>
  <c r="AV184" i="3" l="1"/>
  <c r="AX184" i="3"/>
  <c r="AG184" i="3"/>
  <c r="AH184" i="3"/>
  <c r="AE184" i="3"/>
  <c r="AF184" i="3"/>
  <c r="AC184" i="3"/>
  <c r="AA184" i="3" s="1"/>
  <c r="AD184" i="3"/>
  <c r="AB184" i="3" s="1"/>
  <c r="X185" i="3" l="1"/>
  <c r="Z185" i="3"/>
  <c r="W185" i="3"/>
  <c r="Y185" i="3"/>
  <c r="BA185" i="3" l="1"/>
  <c r="AV185" i="3" s="1"/>
  <c r="BB185" i="3"/>
  <c r="AX185" i="3" s="1"/>
  <c r="AW185" i="3"/>
  <c r="AK185" i="3"/>
  <c r="AE185" i="3" s="1"/>
  <c r="AJ185" i="3"/>
  <c r="AC185" i="3" s="1"/>
  <c r="AL185" i="3"/>
  <c r="AG185" i="3" s="1"/>
  <c r="AF185" i="3"/>
  <c r="AA185" i="3" l="1"/>
  <c r="AH185" i="3"/>
  <c r="AD185" i="3"/>
  <c r="AB185" i="3" s="1"/>
  <c r="AY185" i="3"/>
  <c r="Y186" i="3" l="1"/>
  <c r="W186" i="3"/>
  <c r="Z186" i="3"/>
  <c r="X186" i="3"/>
  <c r="BB186" i="3" l="1"/>
  <c r="AY186" i="3" s="1"/>
  <c r="BA186" i="3"/>
  <c r="AW186" i="3" s="1"/>
  <c r="AL186" i="3"/>
  <c r="AH186" i="3" s="1"/>
  <c r="AJ186" i="3"/>
  <c r="AC186" i="3" s="1"/>
  <c r="AK186" i="3"/>
  <c r="AE186" i="3" s="1"/>
  <c r="AG186" i="3" l="1"/>
  <c r="AV186" i="3"/>
  <c r="AX186" i="3"/>
  <c r="AF186" i="3"/>
  <c r="AD186" i="3"/>
  <c r="AB186" i="3" s="1"/>
  <c r="AA186" i="3" l="1"/>
  <c r="X187" i="3"/>
  <c r="Z187" i="3"/>
  <c r="Y187" i="3"/>
  <c r="W187" i="3"/>
  <c r="BA187" i="3" l="1"/>
  <c r="AV187" i="3" s="1"/>
  <c r="BB187" i="3"/>
  <c r="AX187" i="3" s="1"/>
  <c r="AW187" i="3"/>
  <c r="AL187" i="3"/>
  <c r="AG187" i="3" s="1"/>
  <c r="AK187" i="3"/>
  <c r="AE187" i="3" s="1"/>
  <c r="AJ187" i="3"/>
  <c r="AC187" i="3" s="1"/>
  <c r="AH187" i="3"/>
  <c r="AY187" i="3" l="1"/>
  <c r="AA187" i="3"/>
  <c r="AD187" i="3"/>
  <c r="AF187" i="3"/>
  <c r="AB187" i="3" l="1"/>
  <c r="Z188" i="3"/>
  <c r="X188" i="3"/>
  <c r="Y188" i="3"/>
  <c r="W188" i="3"/>
  <c r="AL188" i="3" s="1"/>
  <c r="AG188" i="3" s="1"/>
  <c r="BB188" i="3" l="1"/>
  <c r="AY188" i="3" s="1"/>
  <c r="BA188" i="3"/>
  <c r="AW188" i="3" s="1"/>
  <c r="AH188" i="3"/>
  <c r="AK188" i="3"/>
  <c r="AF188" i="3" s="1"/>
  <c r="AJ188" i="3"/>
  <c r="AD188" i="3" s="1"/>
  <c r="AB188" i="3" l="1"/>
  <c r="AV188" i="3"/>
  <c r="AX188" i="3"/>
  <c r="AE188" i="3"/>
  <c r="Z189" i="3"/>
  <c r="X189" i="3"/>
  <c r="AC188" i="3"/>
  <c r="AA188" i="3" s="1"/>
  <c r="W189" i="3" l="1"/>
  <c r="Y189" i="3"/>
  <c r="BB189" i="3" l="1"/>
  <c r="AY189" i="3" s="1"/>
  <c r="BA189" i="3"/>
  <c r="AW189" i="3" s="1"/>
  <c r="AL189" i="3"/>
  <c r="AH189" i="3" s="1"/>
  <c r="AK189" i="3"/>
  <c r="AF189" i="3" s="1"/>
  <c r="AJ189" i="3"/>
  <c r="AD189" i="3" s="1"/>
  <c r="AB189" i="3" s="1"/>
  <c r="AG189" i="3"/>
  <c r="AE189" i="3"/>
  <c r="AX189" i="3" l="1"/>
  <c r="AV189" i="3"/>
  <c r="AC189" i="3"/>
  <c r="Z190" i="3"/>
  <c r="X190" i="3"/>
  <c r="AA189" i="3" l="1"/>
  <c r="Y190" i="3"/>
  <c r="W190" i="3"/>
  <c r="BB190" i="3" l="1"/>
  <c r="AY190" i="3" s="1"/>
  <c r="BA190" i="3"/>
  <c r="AW190" i="3" s="1"/>
  <c r="AL190" i="3"/>
  <c r="AH190" i="3" s="1"/>
  <c r="AK190" i="3"/>
  <c r="AF190" i="3" s="1"/>
  <c r="AJ190" i="3"/>
  <c r="AD190" i="3" s="1"/>
  <c r="AB190" i="3" s="1"/>
  <c r="AG190" i="3"/>
  <c r="AE190" i="3"/>
  <c r="AC190" i="3" l="1"/>
  <c r="AV190" i="3"/>
  <c r="AX190" i="3"/>
  <c r="Z191" i="3"/>
  <c r="X191" i="3"/>
  <c r="AA190" i="3" l="1"/>
  <c r="Y191" i="3"/>
  <c r="W191" i="3"/>
  <c r="BB191" i="3"/>
  <c r="AY191" i="3" s="1"/>
  <c r="BA191" i="3"/>
  <c r="AW191" i="3" s="1"/>
  <c r="AL191" i="3"/>
  <c r="AH191" i="3" s="1"/>
  <c r="AK191" i="3"/>
  <c r="AE191" i="3" s="1"/>
  <c r="AJ191" i="3"/>
  <c r="AC191" i="3" s="1"/>
  <c r="AX191" i="3" l="1"/>
  <c r="AV191" i="3"/>
  <c r="AF191" i="3"/>
  <c r="AG191" i="3"/>
  <c r="AA191" i="3" s="1"/>
  <c r="AD191" i="3"/>
  <c r="AB191" i="3" s="1"/>
  <c r="Y192" i="3" l="1"/>
  <c r="W192" i="3"/>
  <c r="Z192" i="3" l="1"/>
  <c r="X192" i="3"/>
  <c r="AJ192" i="3" l="1"/>
  <c r="AC192" i="3" s="1"/>
  <c r="BB192" i="3"/>
  <c r="AX192" i="3" s="1"/>
  <c r="AK192" i="3"/>
  <c r="AE192" i="3" s="1"/>
  <c r="BA192" i="3"/>
  <c r="AV192" i="3" s="1"/>
  <c r="AL192" i="3"/>
  <c r="AG192" i="3" s="1"/>
  <c r="AD192" i="3"/>
  <c r="AF192" i="3"/>
  <c r="AA192" i="3" l="1"/>
  <c r="AH192" i="3"/>
  <c r="AW192" i="3"/>
  <c r="AY192" i="3"/>
  <c r="W193" i="3"/>
  <c r="Y193" i="3"/>
  <c r="AB192" i="3" l="1"/>
  <c r="Z193" i="3"/>
  <c r="X193" i="3"/>
  <c r="AJ193" i="3"/>
  <c r="AC193" i="3" s="1"/>
  <c r="BB193" i="3" l="1"/>
  <c r="AX193" i="3" s="1"/>
  <c r="AK193" i="3"/>
  <c r="AE193" i="3" s="1"/>
  <c r="BA193" i="3"/>
  <c r="AV193" i="3" s="1"/>
  <c r="AL193" i="3"/>
  <c r="AG193" i="3" s="1"/>
  <c r="AF193" i="3"/>
  <c r="AD193" i="3"/>
  <c r="AA193" i="3" l="1"/>
  <c r="AH193" i="3"/>
  <c r="AW193" i="3"/>
  <c r="AY193" i="3"/>
  <c r="Y194" i="3"/>
  <c r="W194" i="3"/>
  <c r="AB193" i="3" l="1"/>
  <c r="X194" i="3"/>
  <c r="BB194" i="3" s="1"/>
  <c r="AX194" i="3" s="1"/>
  <c r="Z194" i="3"/>
  <c r="AJ194" i="3"/>
  <c r="AC194" i="3" s="1"/>
  <c r="AK194" i="3"/>
  <c r="AE194" i="3" s="1"/>
  <c r="AL194" i="3"/>
  <c r="AG194" i="3" s="1"/>
  <c r="AY194" i="3" l="1"/>
  <c r="BA194" i="3"/>
  <c r="AV194" i="3" s="1"/>
  <c r="AA194" i="3" s="1"/>
  <c r="AF194" i="3"/>
  <c r="AH194" i="3"/>
  <c r="AD194" i="3"/>
  <c r="AW194" i="3" l="1"/>
  <c r="AB194" i="3" s="1"/>
  <c r="Z195" i="3" s="1"/>
  <c r="W195" i="3"/>
  <c r="Y195" i="3"/>
  <c r="X195" i="3" l="1"/>
  <c r="AK195" i="3"/>
  <c r="AF195" i="3" s="1"/>
  <c r="AJ195" i="3"/>
  <c r="AD195" i="3" s="1"/>
  <c r="AE195" i="3" l="1"/>
  <c r="AL195" i="3"/>
  <c r="BA195" i="3"/>
  <c r="AV195" i="3" s="1"/>
  <c r="BB195" i="3"/>
  <c r="AX195" i="3" s="1"/>
  <c r="AC195" i="3"/>
  <c r="AH195" i="3" l="1"/>
  <c r="AG195" i="3"/>
  <c r="AA195" i="3" s="1"/>
  <c r="AY195" i="3"/>
  <c r="AW195" i="3"/>
  <c r="AB195" i="3" l="1"/>
  <c r="Y196" i="3"/>
  <c r="W196" i="3"/>
  <c r="Z196" i="3"/>
  <c r="X196" i="3"/>
  <c r="AJ196" i="3"/>
  <c r="AD196" i="3" s="1"/>
  <c r="AL196" i="3" l="1"/>
  <c r="BB196" i="3"/>
  <c r="AX196" i="3" s="1"/>
  <c r="AK196" i="3"/>
  <c r="BA196" i="3"/>
  <c r="AV196" i="3" s="1"/>
  <c r="AC196" i="3"/>
  <c r="AE196" i="3"/>
  <c r="AF196" i="3"/>
  <c r="AH196" i="3" l="1"/>
  <c r="AG196" i="3"/>
  <c r="AA196" i="3" s="1"/>
  <c r="AW196" i="3"/>
  <c r="AY196" i="3"/>
  <c r="AB196" i="3" l="1"/>
  <c r="Y197" i="3"/>
  <c r="W197" i="3"/>
  <c r="Z197" i="3"/>
  <c r="X197" i="3"/>
  <c r="AJ197" i="3" s="1"/>
  <c r="AD197" i="3" s="1"/>
  <c r="AK197" i="3" l="1"/>
  <c r="AF197" i="3" s="1"/>
  <c r="AC197" i="3"/>
  <c r="AL197" i="3"/>
  <c r="BB197" i="3"/>
  <c r="AY197" i="3" s="1"/>
  <c r="BA197" i="3"/>
  <c r="AW197" i="3" s="1"/>
  <c r="AE197" i="3"/>
  <c r="AV197" i="3" l="1"/>
  <c r="AX197" i="3"/>
  <c r="AG197" i="3"/>
  <c r="AH197" i="3"/>
  <c r="AA197" i="3" l="1"/>
  <c r="AB197" i="3"/>
  <c r="X198" i="3" s="1"/>
  <c r="W198" i="3"/>
  <c r="AL198" i="3" s="1"/>
  <c r="AG198" i="3" s="1"/>
  <c r="Y198" i="3"/>
  <c r="Z198" i="3"/>
  <c r="AK198" i="3" l="1"/>
  <c r="AE198" i="3" s="1"/>
  <c r="AH198" i="3"/>
  <c r="AF198" i="3"/>
  <c r="AJ198" i="3"/>
  <c r="AD198" i="3" s="1"/>
  <c r="BB198" i="3"/>
  <c r="AY198" i="3" s="1"/>
  <c r="BA198" i="3"/>
  <c r="AW198" i="3" s="1"/>
  <c r="AC198" i="3"/>
  <c r="AB198" i="3" l="1"/>
  <c r="AV198" i="3"/>
  <c r="AX198" i="3"/>
  <c r="X199" i="3"/>
  <c r="Z199" i="3"/>
  <c r="AA198" i="3" l="1"/>
  <c r="W199" i="3"/>
  <c r="Y199" i="3"/>
  <c r="BB199" i="3"/>
  <c r="AY199" i="3" s="1"/>
  <c r="BA199" i="3"/>
  <c r="AW199" i="3" s="1"/>
  <c r="AL199" i="3"/>
  <c r="AH199" i="3" s="1"/>
  <c r="AJ199" i="3"/>
  <c r="AC199" i="3" s="1"/>
  <c r="AK199" i="3"/>
  <c r="AE199" i="3" s="1"/>
  <c r="AX199" i="3" l="1"/>
  <c r="AV199" i="3"/>
  <c r="AG199" i="3"/>
  <c r="AD199" i="3"/>
  <c r="AF199" i="3"/>
  <c r="AB199" i="3" l="1"/>
  <c r="AA199" i="3"/>
  <c r="Y200" i="3"/>
  <c r="W200" i="3"/>
  <c r="Z200" i="3" l="1"/>
  <c r="X200" i="3"/>
  <c r="AJ200" i="3"/>
  <c r="AC200" i="3" s="1"/>
  <c r="AL200" i="3" l="1"/>
  <c r="AG200" i="3" s="1"/>
  <c r="BB200" i="3"/>
  <c r="AX200" i="3" s="1"/>
  <c r="AK200" i="3"/>
  <c r="AE200" i="3" s="1"/>
  <c r="BA200" i="3"/>
  <c r="AV200" i="3" s="1"/>
  <c r="AH200" i="3"/>
  <c r="AD200" i="3"/>
  <c r="AA200" i="3" l="1"/>
  <c r="AF200" i="3"/>
  <c r="AW200" i="3"/>
  <c r="AY200" i="3"/>
  <c r="W201" i="3"/>
  <c r="Y201" i="3"/>
  <c r="AB200" i="3" l="1"/>
  <c r="Z201" i="3"/>
  <c r="X201" i="3"/>
  <c r="BA201" i="3" s="1"/>
  <c r="AV201" i="3" s="1"/>
  <c r="AW201" i="3" l="1"/>
  <c r="BB201" i="3"/>
  <c r="AX201" i="3" s="1"/>
  <c r="AJ201" i="3"/>
  <c r="AC201" i="3" s="1"/>
  <c r="AK201" i="3"/>
  <c r="AE201" i="3" s="1"/>
  <c r="AL201" i="3"/>
  <c r="AG201" i="3" s="1"/>
  <c r="AA201" i="3" l="1"/>
  <c r="AY201" i="3"/>
  <c r="AD201" i="3"/>
  <c r="AF201" i="3"/>
  <c r="AH201" i="3"/>
  <c r="AB201" i="3" l="1"/>
  <c r="Y202" i="3"/>
  <c r="W202" i="3"/>
  <c r="X202" i="3" l="1"/>
  <c r="BA202" i="3" s="1"/>
  <c r="AV202" i="3" s="1"/>
  <c r="Z202" i="3"/>
  <c r="AL202" i="3"/>
  <c r="AK202" i="3"/>
  <c r="AF202" i="3" s="1"/>
  <c r="AJ202" i="3"/>
  <c r="AD202" i="3" s="1"/>
  <c r="AG202" i="3"/>
  <c r="AE202" i="3" l="1"/>
  <c r="AW202" i="3"/>
  <c r="BB202" i="3"/>
  <c r="AX202" i="3" s="1"/>
  <c r="AC202" i="3"/>
  <c r="AH202" i="3"/>
  <c r="AA202" i="3" l="1"/>
  <c r="AY202" i="3"/>
  <c r="AB202" i="3" s="1"/>
  <c r="W203" i="3"/>
  <c r="Y203" i="3"/>
  <c r="Z203" i="3" l="1"/>
  <c r="X203" i="3"/>
  <c r="BA203" i="3"/>
  <c r="AV203" i="3" s="1"/>
  <c r="BB203" i="3"/>
  <c r="AX203" i="3" s="1"/>
  <c r="AY203" i="3"/>
  <c r="AW203" i="3"/>
  <c r="AL203" i="3"/>
  <c r="AG203" i="3" s="1"/>
  <c r="AK203" i="3"/>
  <c r="AE203" i="3" s="1"/>
  <c r="AJ203" i="3"/>
  <c r="AD203" i="3" s="1"/>
  <c r="AH203" i="3" l="1"/>
  <c r="AF203" i="3"/>
  <c r="AC203" i="3"/>
  <c r="AA203" i="3" s="1"/>
  <c r="AB203" i="3" l="1"/>
  <c r="Y204" i="3"/>
  <c r="W204" i="3"/>
  <c r="Z204" i="3"/>
  <c r="X204" i="3"/>
  <c r="AJ204" i="3" s="1"/>
  <c r="AC204" i="3" s="1"/>
  <c r="AK204" i="3" l="1"/>
  <c r="AE204" i="3" s="1"/>
  <c r="BB204" i="3"/>
  <c r="AY204" i="3" s="1"/>
  <c r="BA204" i="3"/>
  <c r="AW204" i="3" s="1"/>
  <c r="AL204" i="3"/>
  <c r="AG204" i="3" s="1"/>
  <c r="AF204" i="3"/>
  <c r="AD204" i="3"/>
  <c r="AV204" i="3" l="1"/>
  <c r="AX204" i="3"/>
  <c r="AH204" i="3"/>
  <c r="AB204" i="3" s="1"/>
  <c r="AA204" i="3" l="1"/>
  <c r="W205" i="3"/>
  <c r="Y205" i="3"/>
  <c r="X205" i="3"/>
  <c r="BB205" i="3" s="1"/>
  <c r="AX205" i="3" s="1"/>
  <c r="Z205" i="3"/>
  <c r="AK205" i="3" l="1"/>
  <c r="AE205" i="3" s="1"/>
  <c r="AJ205" i="3"/>
  <c r="AC205" i="3" s="1"/>
  <c r="AY205" i="3"/>
  <c r="BA205" i="3"/>
  <c r="AV205" i="3" s="1"/>
  <c r="AL205" i="3"/>
  <c r="AG205" i="3" s="1"/>
  <c r="AD205" i="3"/>
  <c r="AF205" i="3"/>
  <c r="AH205" i="3"/>
  <c r="AA205" i="3" l="1"/>
  <c r="AW205" i="3"/>
  <c r="AB205" i="3" s="1"/>
  <c r="Y206" i="3"/>
  <c r="W206" i="3"/>
  <c r="Z206" i="3" l="1"/>
  <c r="X206" i="3"/>
  <c r="BB206" i="3" s="1"/>
  <c r="AX206" i="3" s="1"/>
  <c r="AY206" i="3" l="1"/>
  <c r="BA206" i="3"/>
  <c r="AV206" i="3" s="1"/>
  <c r="AK206" i="3"/>
  <c r="AJ206" i="3"/>
  <c r="AL206" i="3"/>
  <c r="AG206" i="3" s="1"/>
  <c r="AW206" i="3" l="1"/>
  <c r="AD206" i="3"/>
  <c r="AC206" i="3"/>
  <c r="AF206" i="3"/>
  <c r="AE206" i="3"/>
  <c r="AH206" i="3"/>
  <c r="AB206" i="3" l="1"/>
  <c r="AA206" i="3"/>
  <c r="Z207" i="3"/>
  <c r="X207" i="3"/>
  <c r="W207" i="3"/>
  <c r="Y207" i="3"/>
  <c r="BB207" i="3" l="1"/>
  <c r="AX207" i="3" s="1"/>
  <c r="BA207" i="3"/>
  <c r="AV207" i="3" s="1"/>
  <c r="AY207" i="3"/>
  <c r="AW207" i="3"/>
  <c r="AL207" i="3"/>
  <c r="AK207" i="3"/>
  <c r="AF207" i="3" s="1"/>
  <c r="AJ207" i="3"/>
  <c r="AD207" i="3" s="1"/>
  <c r="AB207" i="3" s="1"/>
  <c r="AG207" i="3"/>
  <c r="AH207" i="3"/>
  <c r="AE207" i="3" l="1"/>
  <c r="AC207" i="3"/>
  <c r="AA207" i="3" l="1"/>
  <c r="Y208" i="3"/>
  <c r="W208" i="3"/>
  <c r="X208" i="3"/>
  <c r="Z208" i="3"/>
  <c r="AK208" i="3"/>
  <c r="AJ208" i="3"/>
  <c r="AL208" i="3"/>
  <c r="AE208" i="3"/>
  <c r="AC208" i="3"/>
  <c r="AG208" i="3"/>
  <c r="BB208" i="3" l="1"/>
  <c r="AY208" i="3" s="1"/>
  <c r="BA208" i="3"/>
  <c r="AW208" i="3" s="1"/>
  <c r="AH208" i="3"/>
  <c r="AF208" i="3"/>
  <c r="AD208" i="3"/>
  <c r="AB208" i="3" s="1"/>
  <c r="AX208" i="3" l="1"/>
  <c r="AV208" i="3"/>
  <c r="AA208" i="3" s="1"/>
  <c r="Y209" i="3" s="1"/>
  <c r="Z209" i="3"/>
  <c r="X209" i="3"/>
  <c r="W209" i="3" l="1"/>
  <c r="BB209" i="3"/>
  <c r="AX209" i="3" s="1"/>
  <c r="BA209" i="3"/>
  <c r="AV209" i="3" s="1"/>
  <c r="AY209" i="3"/>
  <c r="AW209" i="3"/>
  <c r="AL209" i="3"/>
  <c r="AG209" i="3" s="1"/>
  <c r="AJ209" i="3"/>
  <c r="AC209" i="3" s="1"/>
  <c r="AK209" i="3"/>
  <c r="AE209" i="3" s="1"/>
  <c r="AF209" i="3" l="1"/>
  <c r="AH209" i="3"/>
  <c r="AA209" i="3"/>
  <c r="AD209" i="3"/>
  <c r="AB209" i="3" s="1"/>
  <c r="Y210" i="3"/>
  <c r="W210" i="3"/>
  <c r="Z210" i="3" l="1"/>
  <c r="X210" i="3"/>
  <c r="BB210" i="3" s="1"/>
  <c r="AX210" i="3" s="1"/>
  <c r="AY210" i="3" l="1"/>
  <c r="BA210" i="3"/>
  <c r="AV210" i="3" s="1"/>
  <c r="AL210" i="3"/>
  <c r="AG210" i="3" s="1"/>
  <c r="AJ210" i="3"/>
  <c r="AC210" i="3" s="1"/>
  <c r="AK210" i="3"/>
  <c r="AE210" i="3" s="1"/>
  <c r="AA210" i="3" l="1"/>
  <c r="AW210" i="3"/>
  <c r="AH210" i="3"/>
  <c r="AF210" i="3"/>
  <c r="AD210" i="3"/>
  <c r="AB210" i="3" s="1"/>
  <c r="X211" i="3" l="1"/>
  <c r="Z211" i="3"/>
  <c r="Y211" i="3"/>
  <c r="W211" i="3"/>
  <c r="BB211" i="3" l="1"/>
  <c r="AX211" i="3" s="1"/>
  <c r="BA211" i="3"/>
  <c r="AV211" i="3" s="1"/>
  <c r="AY211" i="3"/>
  <c r="AW211" i="3"/>
  <c r="AK211" i="3"/>
  <c r="AE211" i="3" s="1"/>
  <c r="AL211" i="3"/>
  <c r="AG211" i="3" s="1"/>
  <c r="AJ211" i="3"/>
  <c r="AC211" i="3" s="1"/>
  <c r="AA211" i="3" l="1"/>
  <c r="AF211" i="3"/>
  <c r="AH211" i="3"/>
  <c r="AD211" i="3"/>
  <c r="Y212" i="3"/>
  <c r="W212" i="3"/>
  <c r="AB211" i="3" l="1"/>
  <c r="Z212" i="3"/>
  <c r="X212" i="3"/>
  <c r="BB212" i="3" s="1"/>
  <c r="AX212" i="3" s="1"/>
  <c r="AY212" i="3" l="1"/>
  <c r="BA212" i="3"/>
  <c r="AV212" i="3" s="1"/>
  <c r="AL212" i="3"/>
  <c r="AG212" i="3" s="1"/>
  <c r="AJ212" i="3"/>
  <c r="AC212" i="3" s="1"/>
  <c r="AK212" i="3"/>
  <c r="AE212" i="3" s="1"/>
  <c r="AA212" i="3" l="1"/>
  <c r="AH212" i="3"/>
  <c r="AW212" i="3"/>
  <c r="Y213" i="3"/>
  <c r="W213" i="3"/>
  <c r="AD212" i="3"/>
  <c r="AF212" i="3"/>
  <c r="AB212" i="3" l="1"/>
  <c r="Z213" i="3"/>
  <c r="X213" i="3"/>
  <c r="BB213" i="3" s="1"/>
  <c r="AX213" i="3" s="1"/>
  <c r="AJ213" i="3"/>
  <c r="AD213" i="3" s="1"/>
  <c r="AK213" i="3" l="1"/>
  <c r="AF213" i="3" s="1"/>
  <c r="AY213" i="3"/>
  <c r="BA213" i="3"/>
  <c r="AV213" i="3" s="1"/>
  <c r="AC213" i="3"/>
  <c r="AE213" i="3"/>
  <c r="AL213" i="3"/>
  <c r="AG213" i="3" s="1"/>
  <c r="AA213" i="3" l="1"/>
  <c r="AW213" i="3"/>
  <c r="Y214" i="3"/>
  <c r="W214" i="3"/>
  <c r="AH213" i="3"/>
  <c r="AB213" i="3" s="1"/>
  <c r="Z214" i="3" l="1"/>
  <c r="X214" i="3"/>
  <c r="AK214" i="3"/>
  <c r="AF214" i="3" s="1"/>
  <c r="AL214" i="3"/>
  <c r="AG214" i="3" s="1"/>
  <c r="AE214" i="3" l="1"/>
  <c r="BA214" i="3"/>
  <c r="AV214" i="3" s="1"/>
  <c r="BB214" i="3"/>
  <c r="AX214" i="3" s="1"/>
  <c r="AH214" i="3"/>
  <c r="AJ214" i="3"/>
  <c r="AY214" i="3" l="1"/>
  <c r="AW214" i="3"/>
  <c r="AD214" i="3"/>
  <c r="AC214" i="3"/>
  <c r="AA214" i="3" s="1"/>
  <c r="AB214" i="3" l="1"/>
  <c r="Y215" i="3"/>
  <c r="W215" i="3"/>
  <c r="X215" i="3"/>
  <c r="Z215" i="3"/>
  <c r="BB215" i="3" l="1"/>
  <c r="AY215" i="3" s="1"/>
  <c r="BA215" i="3"/>
  <c r="AW215" i="3" s="1"/>
  <c r="AL215" i="3"/>
  <c r="AH215" i="3" s="1"/>
  <c r="AJ215" i="3"/>
  <c r="AC215" i="3" s="1"/>
  <c r="AK215" i="3"/>
  <c r="AF215" i="3" s="1"/>
  <c r="AG215" i="3"/>
  <c r="AV215" i="3" l="1"/>
  <c r="AE215" i="3"/>
  <c r="AX215" i="3"/>
  <c r="AD215" i="3"/>
  <c r="AB215" i="3" s="1"/>
  <c r="AA215" i="3" l="1"/>
  <c r="X216" i="3"/>
  <c r="Z216" i="3"/>
  <c r="W216" i="3"/>
  <c r="Y216" i="3"/>
  <c r="BA216" i="3" l="1"/>
  <c r="AV216" i="3" s="1"/>
  <c r="BB216" i="3"/>
  <c r="AX216" i="3" s="1"/>
  <c r="AY216" i="3"/>
  <c r="AW216" i="3"/>
  <c r="AL216" i="3"/>
  <c r="AG216" i="3" s="1"/>
  <c r="AJ216" i="3"/>
  <c r="AC216" i="3" s="1"/>
  <c r="AK216" i="3"/>
  <c r="AE216" i="3" s="1"/>
  <c r="AH216" i="3"/>
  <c r="AA216" i="3" l="1"/>
  <c r="AD216" i="3"/>
  <c r="AF216" i="3"/>
  <c r="AB216" i="3" l="1"/>
  <c r="X217" i="3"/>
  <c r="Z217" i="3"/>
  <c r="Y217" i="3"/>
  <c r="W217" i="3"/>
  <c r="BA217" i="3" l="1"/>
  <c r="AV217" i="3" s="1"/>
  <c r="BB217" i="3"/>
  <c r="AX217" i="3" s="1"/>
  <c r="AW217" i="3"/>
  <c r="AJ217" i="3"/>
  <c r="AC217" i="3" s="1"/>
  <c r="AK217" i="3"/>
  <c r="AE217" i="3" s="1"/>
  <c r="AL217" i="3"/>
  <c r="AG217" i="3" s="1"/>
  <c r="AA217" i="3" l="1"/>
  <c r="AF217" i="3"/>
  <c r="AY217" i="3"/>
  <c r="W218" i="3"/>
  <c r="AH217" i="3"/>
  <c r="AD217" i="3"/>
  <c r="AB217" i="3" s="1"/>
  <c r="Y218" i="3" l="1"/>
  <c r="X218" i="3"/>
  <c r="Z218" i="3"/>
  <c r="BA218" i="3" l="1"/>
  <c r="AV218" i="3" s="1"/>
  <c r="BB218" i="3"/>
  <c r="AX218" i="3" s="1"/>
  <c r="AJ218" i="3"/>
  <c r="AC218" i="3" s="1"/>
  <c r="AL218" i="3"/>
  <c r="AG218" i="3" s="1"/>
  <c r="AK218" i="3"/>
  <c r="AE218" i="3" s="1"/>
  <c r="AA218" i="3" l="1"/>
  <c r="AH218" i="3"/>
  <c r="AW218" i="3"/>
  <c r="AY218" i="3"/>
  <c r="Y219" i="3"/>
  <c r="W219" i="3"/>
  <c r="AF218" i="3"/>
  <c r="AD218" i="3"/>
  <c r="AB218" i="3" s="1"/>
  <c r="X219" i="3" l="1"/>
  <c r="BA219" i="3" s="1"/>
  <c r="AV219" i="3" s="1"/>
  <c r="Z219" i="3"/>
  <c r="AJ219" i="3"/>
  <c r="AC219" i="3" s="1"/>
  <c r="AK219" i="3"/>
  <c r="AE219" i="3" s="1"/>
  <c r="AW219" i="3" l="1"/>
  <c r="BB219" i="3"/>
  <c r="AX219" i="3" s="1"/>
  <c r="AL219" i="3"/>
  <c r="AG219" i="3" s="1"/>
  <c r="AA219" i="3" s="1"/>
  <c r="AD219" i="3"/>
  <c r="AF219" i="3"/>
  <c r="AY219" i="3" l="1"/>
  <c r="W220" i="3"/>
  <c r="Y220" i="3"/>
  <c r="AH219" i="3"/>
  <c r="AB219" i="3" s="1"/>
  <c r="X220" i="3" l="1"/>
  <c r="BA220" i="3" s="1"/>
  <c r="AV220" i="3" s="1"/>
  <c r="Z220" i="3"/>
  <c r="AK220" i="3"/>
  <c r="AE220" i="3" s="1"/>
  <c r="AJ220" i="3"/>
  <c r="AC220" i="3" s="1"/>
  <c r="AW220" i="3" l="1"/>
  <c r="BB220" i="3"/>
  <c r="AX220" i="3" s="1"/>
  <c r="AL220" i="3"/>
  <c r="AG220" i="3" s="1"/>
  <c r="AF220" i="3"/>
  <c r="AD220" i="3"/>
  <c r="AA220" i="3" l="1"/>
  <c r="AY220" i="3"/>
  <c r="W221" i="3"/>
  <c r="Y221" i="3"/>
  <c r="AH220" i="3"/>
  <c r="AB220" i="3" s="1"/>
  <c r="Z221" i="3" l="1"/>
  <c r="X221" i="3"/>
  <c r="AL221" i="3"/>
  <c r="AG221" i="3" s="1"/>
  <c r="AJ221" i="3"/>
  <c r="AK221" i="3"/>
  <c r="AE221" i="3" s="1"/>
  <c r="AC221" i="3"/>
  <c r="BB221" i="3" l="1"/>
  <c r="AX221" i="3" s="1"/>
  <c r="BA221" i="3"/>
  <c r="AV221" i="3" s="1"/>
  <c r="AA221" i="3" s="1"/>
  <c r="AH221" i="3"/>
  <c r="AF221" i="3"/>
  <c r="AD221" i="3"/>
  <c r="AW221" i="3" l="1"/>
  <c r="AY221" i="3"/>
  <c r="W222" i="3"/>
  <c r="Y222" i="3"/>
  <c r="AB221" i="3" l="1"/>
  <c r="X222" i="3"/>
  <c r="BB222" i="3" s="1"/>
  <c r="AX222" i="3" s="1"/>
  <c r="Z222" i="3"/>
  <c r="AJ222" i="3" l="1"/>
  <c r="AC222" i="3" s="1"/>
  <c r="AY222" i="3"/>
  <c r="BA222" i="3"/>
  <c r="AV222" i="3" s="1"/>
  <c r="AD222" i="3"/>
  <c r="AK222" i="3"/>
  <c r="AE222" i="3" s="1"/>
  <c r="AL222" i="3"/>
  <c r="AG222" i="3" s="1"/>
  <c r="AA222" i="3" l="1"/>
  <c r="AW222" i="3"/>
  <c r="W223" i="3"/>
  <c r="AH222" i="3"/>
  <c r="AF222" i="3"/>
  <c r="AB222" i="3" s="1"/>
  <c r="Y223" i="3" l="1"/>
  <c r="Z223" i="3"/>
  <c r="X223" i="3"/>
  <c r="BB223" i="3" l="1"/>
  <c r="AX223" i="3" s="1"/>
  <c r="BA223" i="3"/>
  <c r="AV223" i="3" s="1"/>
  <c r="AL223" i="3"/>
  <c r="AK223" i="3"/>
  <c r="AJ223" i="3"/>
  <c r="AW223" i="3" l="1"/>
  <c r="AY223" i="3"/>
  <c r="AE223" i="3"/>
  <c r="AF223" i="3"/>
  <c r="AC223" i="3"/>
  <c r="AD223" i="3"/>
  <c r="AG223" i="3"/>
  <c r="AH223" i="3"/>
  <c r="AB223" i="3" l="1"/>
  <c r="AA223" i="3"/>
  <c r="Z224" i="3"/>
  <c r="X224" i="3"/>
  <c r="W224" i="3" l="1"/>
  <c r="Y224" i="3"/>
  <c r="BB224" i="3" l="1"/>
  <c r="AY224" i="3" s="1"/>
  <c r="BA224" i="3"/>
  <c r="AW224" i="3" s="1"/>
  <c r="AL224" i="3"/>
  <c r="AH224" i="3" s="1"/>
  <c r="AK224" i="3"/>
  <c r="AJ224" i="3"/>
  <c r="AV224" i="3" l="1"/>
  <c r="AX224" i="3"/>
  <c r="AE224" i="3"/>
  <c r="AF224" i="3"/>
  <c r="AC224" i="3"/>
  <c r="AA224" i="3" s="1"/>
  <c r="AD224" i="3"/>
  <c r="AB224" i="3" s="1"/>
  <c r="AG224" i="3"/>
  <c r="Z225" i="3" l="1"/>
  <c r="X225" i="3"/>
  <c r="W225" i="3" l="1"/>
  <c r="Y225" i="3"/>
  <c r="BB225" i="3" l="1"/>
  <c r="AY225" i="3" s="1"/>
  <c r="BA225" i="3"/>
  <c r="AW225" i="3" s="1"/>
  <c r="AL225" i="3"/>
  <c r="AH225" i="3" s="1"/>
  <c r="AJ225" i="3"/>
  <c r="AD225" i="3" s="1"/>
  <c r="AK225" i="3"/>
  <c r="AG225" i="3"/>
  <c r="AV225" i="3" l="1"/>
  <c r="AX225" i="3"/>
  <c r="AC225" i="3"/>
  <c r="AE225" i="3"/>
  <c r="AF225" i="3"/>
  <c r="AB225" i="3" s="1"/>
  <c r="AA225" i="3" l="1"/>
  <c r="Z226" i="3"/>
  <c r="X226" i="3"/>
  <c r="Y226" i="3" l="1"/>
  <c r="W226" i="3"/>
  <c r="BB226" i="3" l="1"/>
  <c r="AY226" i="3" s="1"/>
  <c r="BA226" i="3"/>
  <c r="AW226" i="3" s="1"/>
  <c r="AL226" i="3"/>
  <c r="AH226" i="3" s="1"/>
  <c r="AJ226" i="3"/>
  <c r="AK226" i="3"/>
  <c r="AG226" i="3" l="1"/>
  <c r="AV226" i="3"/>
  <c r="AX226" i="3"/>
  <c r="AC226" i="3"/>
  <c r="AD226" i="3"/>
  <c r="AB226" i="3" s="1"/>
  <c r="AE226" i="3"/>
  <c r="AF226" i="3"/>
  <c r="AA226" i="3" l="1"/>
  <c r="Z227" i="3"/>
  <c r="X227" i="3"/>
  <c r="Y227" i="3" l="1"/>
  <c r="W227" i="3"/>
  <c r="BB227" i="3" l="1"/>
  <c r="AY227" i="3" s="1"/>
  <c r="BA227" i="3"/>
  <c r="AW227" i="3" s="1"/>
  <c r="AL227" i="3"/>
  <c r="AH227" i="3" s="1"/>
  <c r="AJ227" i="3"/>
  <c r="AD227" i="3" s="1"/>
  <c r="AK227" i="3"/>
  <c r="AF227" i="3" s="1"/>
  <c r="AG227" i="3"/>
  <c r="AC227" i="3" l="1"/>
  <c r="AB227" i="3"/>
  <c r="AV227" i="3"/>
  <c r="AX227" i="3"/>
  <c r="AE227" i="3"/>
  <c r="AA227" i="3" l="1"/>
  <c r="X228" i="3"/>
  <c r="Z228" i="3"/>
  <c r="Y228" i="3"/>
  <c r="W228" i="3"/>
  <c r="BB228" i="3" l="1"/>
  <c r="AX228" i="3" s="1"/>
  <c r="BA228" i="3"/>
  <c r="AV228" i="3" s="1"/>
  <c r="AY228" i="3"/>
  <c r="AW228" i="3"/>
  <c r="AL228" i="3"/>
  <c r="AG228" i="3" s="1"/>
  <c r="AK228" i="3"/>
  <c r="AE228" i="3" s="1"/>
  <c r="AJ228" i="3"/>
  <c r="AC228" i="3" s="1"/>
  <c r="AH228" i="3" l="1"/>
  <c r="AA228" i="3"/>
  <c r="AD228" i="3"/>
  <c r="AF228" i="3"/>
  <c r="Y229" i="3"/>
  <c r="W229" i="3"/>
  <c r="AB228" i="3" l="1"/>
  <c r="Z229" i="3"/>
  <c r="X229" i="3"/>
  <c r="BB229" i="3" s="1"/>
  <c r="BA229" i="3"/>
  <c r="AV229" i="3" s="1"/>
  <c r="AL229" i="3"/>
  <c r="AG229" i="3" s="1"/>
  <c r="AK229" i="3"/>
  <c r="AE229" i="3" s="1"/>
  <c r="AJ229" i="3"/>
  <c r="AC229" i="3" s="1"/>
  <c r="AH229" i="3"/>
  <c r="AX229" i="3" l="1"/>
  <c r="AY229" i="3"/>
  <c r="AA229" i="3"/>
  <c r="AW229" i="3"/>
  <c r="AF229" i="3"/>
  <c r="Y230" i="3"/>
  <c r="AD229" i="3"/>
  <c r="AB229" i="3" l="1"/>
  <c r="W230" i="3"/>
  <c r="Z230" i="3"/>
  <c r="X230" i="3"/>
  <c r="BA230" i="3" l="1"/>
  <c r="AV230" i="3" s="1"/>
  <c r="BB230" i="3"/>
  <c r="AX230" i="3" s="1"/>
  <c r="AJ230" i="3"/>
  <c r="AL230" i="3"/>
  <c r="AK230" i="3"/>
  <c r="AW230" i="3" l="1"/>
  <c r="AY230" i="3"/>
  <c r="AH230" i="3"/>
  <c r="AG230" i="3"/>
  <c r="AE230" i="3"/>
  <c r="AF230" i="3"/>
  <c r="AC230" i="3"/>
  <c r="AA230" i="3" s="1"/>
  <c r="AD230" i="3"/>
  <c r="AB230" i="3" s="1"/>
  <c r="Y231" i="3" l="1"/>
  <c r="W231" i="3"/>
  <c r="Z231" i="3" l="1"/>
  <c r="X231" i="3"/>
  <c r="AL231" i="3"/>
  <c r="AJ231" i="3"/>
  <c r="AC231" i="3" s="1"/>
  <c r="AK231" i="3"/>
  <c r="AE231" i="3" s="1"/>
  <c r="BA231" i="3" l="1"/>
  <c r="AV231" i="3" s="1"/>
  <c r="BB231" i="3"/>
  <c r="AX231" i="3" s="1"/>
  <c r="AH231" i="3"/>
  <c r="AG231" i="3"/>
  <c r="AF231" i="3"/>
  <c r="AD231" i="3"/>
  <c r="AA231" i="3" l="1"/>
  <c r="AW231" i="3"/>
  <c r="AY231" i="3"/>
  <c r="W232" i="3"/>
  <c r="Y232" i="3"/>
  <c r="AB231" i="3" l="1"/>
  <c r="X232" i="3"/>
  <c r="Z232" i="3"/>
  <c r="AL232" i="3"/>
  <c r="AK232" i="3"/>
  <c r="AF232" i="3" s="1"/>
  <c r="BA232" i="3"/>
  <c r="AW232" i="3" s="1"/>
  <c r="BB232" i="3"/>
  <c r="AY232" i="3" s="1"/>
  <c r="AJ232" i="3"/>
  <c r="AD232" i="3" s="1"/>
  <c r="AH232" i="3"/>
  <c r="AG232" i="3"/>
  <c r="AE232" i="3"/>
  <c r="AC232" i="3"/>
  <c r="AB232" i="3" l="1"/>
  <c r="AV232" i="3"/>
  <c r="AX232" i="3"/>
  <c r="X233" i="3"/>
  <c r="Z233" i="3"/>
  <c r="AA232" i="3" l="1"/>
  <c r="Y233" i="3"/>
  <c r="W233" i="3"/>
  <c r="AL233" i="3"/>
  <c r="AG233" i="3" s="1"/>
  <c r="BB233" i="3"/>
  <c r="AY233" i="3" s="1"/>
  <c r="BA233" i="3"/>
  <c r="AV233" i="3" s="1"/>
  <c r="AK233" i="3"/>
  <c r="AH233" i="3"/>
  <c r="AJ233" i="3"/>
  <c r="AW233" i="3" l="1"/>
  <c r="AX233" i="3"/>
  <c r="AD233" i="3"/>
  <c r="AC233" i="3"/>
  <c r="AE233" i="3"/>
  <c r="AF233" i="3"/>
  <c r="AB233" i="3" l="1"/>
  <c r="AA233" i="3"/>
  <c r="W234" i="3"/>
  <c r="Y234" i="3"/>
  <c r="Z234" i="3"/>
  <c r="X234" i="3"/>
  <c r="BB234" i="3" l="1"/>
  <c r="AY234" i="3" s="1"/>
  <c r="BA234" i="3"/>
  <c r="AW234" i="3" s="1"/>
  <c r="AL234" i="3"/>
  <c r="AH234" i="3" s="1"/>
  <c r="AJ234" i="3"/>
  <c r="AK234" i="3"/>
  <c r="AG234" i="3"/>
  <c r="AV234" i="3" l="1"/>
  <c r="AX234" i="3"/>
  <c r="AE234" i="3"/>
  <c r="AF234" i="3"/>
  <c r="AC234" i="3"/>
  <c r="AA234" i="3" s="1"/>
  <c r="AD234" i="3"/>
  <c r="AB234" i="3" s="1"/>
  <c r="Y235" i="3" l="1"/>
  <c r="W235" i="3"/>
  <c r="Z235" i="3" l="1"/>
  <c r="X235" i="3"/>
  <c r="BB235" i="3" s="1"/>
  <c r="AX235" i="3" s="1"/>
  <c r="AJ235" i="3" l="1"/>
  <c r="AC235" i="3" s="1"/>
  <c r="AY235" i="3"/>
  <c r="BA235" i="3"/>
  <c r="AV235" i="3" s="1"/>
  <c r="AD235" i="3"/>
  <c r="AK235" i="3"/>
  <c r="AL235" i="3"/>
  <c r="AW235" i="3" l="1"/>
  <c r="AG235" i="3"/>
  <c r="AH235" i="3"/>
  <c r="AE235" i="3"/>
  <c r="AA235" i="3" s="1"/>
  <c r="AF235" i="3"/>
  <c r="AB235" i="3" s="1"/>
  <c r="X236" i="3" l="1"/>
  <c r="Z236" i="3"/>
  <c r="Y236" i="3"/>
  <c r="W236" i="3"/>
  <c r="BB236" i="3" l="1"/>
  <c r="AX236" i="3" s="1"/>
  <c r="BA236" i="3"/>
  <c r="AV236" i="3" s="1"/>
  <c r="AY236" i="3"/>
  <c r="AW236" i="3"/>
  <c r="AL236" i="3"/>
  <c r="AG236" i="3" s="1"/>
  <c r="AJ236" i="3"/>
  <c r="AC236" i="3" s="1"/>
  <c r="AK236" i="3"/>
  <c r="AE236" i="3" s="1"/>
  <c r="AA236" i="3" l="1"/>
  <c r="AH236" i="3"/>
  <c r="AD236" i="3"/>
  <c r="AB236" i="3" s="1"/>
  <c r="AF236" i="3"/>
  <c r="Z237" i="3" l="1"/>
  <c r="X237" i="3"/>
  <c r="Y237" i="3"/>
  <c r="W237" i="3"/>
  <c r="BB237" i="3" l="1"/>
  <c r="AX237" i="3" s="1"/>
  <c r="BA237" i="3"/>
  <c r="AV237" i="3" s="1"/>
  <c r="AY237" i="3"/>
  <c r="AL237" i="3"/>
  <c r="AG237" i="3" s="1"/>
  <c r="AJ237" i="3"/>
  <c r="AC237" i="3" s="1"/>
  <c r="AK237" i="3"/>
  <c r="AE237" i="3" s="1"/>
  <c r="AA237" i="3" l="1"/>
  <c r="AH237" i="3"/>
  <c r="AD237" i="3"/>
  <c r="AW237" i="3"/>
  <c r="AF237" i="3"/>
  <c r="AB237" i="3" l="1"/>
  <c r="X238" i="3"/>
  <c r="Z238" i="3"/>
  <c r="Y238" i="3"/>
  <c r="W238" i="3"/>
  <c r="BB238" i="3" l="1"/>
  <c r="AX238" i="3" s="1"/>
  <c r="BA238" i="3"/>
  <c r="AV238" i="3" s="1"/>
  <c r="AY238" i="3"/>
  <c r="AK238" i="3"/>
  <c r="AJ238" i="3"/>
  <c r="AD238" i="3" s="1"/>
  <c r="AL238" i="3"/>
  <c r="AW238" i="3" l="1"/>
  <c r="AC238" i="3"/>
  <c r="AG238" i="3"/>
  <c r="AH238" i="3"/>
  <c r="AE238" i="3"/>
  <c r="AF238" i="3"/>
  <c r="AB238" i="3" l="1"/>
  <c r="AA238" i="3"/>
  <c r="X239" i="3"/>
  <c r="Z239" i="3"/>
  <c r="W239" i="3"/>
  <c r="Y239" i="3"/>
  <c r="BB239" i="3" l="1"/>
  <c r="AX239" i="3" s="1"/>
  <c r="BA239" i="3"/>
  <c r="AV239" i="3" s="1"/>
  <c r="AY239" i="3"/>
  <c r="AW239" i="3"/>
  <c r="AL239" i="3"/>
  <c r="AG239" i="3" s="1"/>
  <c r="AK239" i="3"/>
  <c r="AE239" i="3" s="1"/>
  <c r="AJ239" i="3"/>
  <c r="AC239" i="3" s="1"/>
  <c r="AH239" i="3"/>
  <c r="AA239" i="3" l="1"/>
  <c r="AF239" i="3"/>
  <c r="AD239" i="3"/>
  <c r="AB239" i="3" s="1"/>
  <c r="Y240" i="3" l="1"/>
  <c r="W240" i="3"/>
  <c r="X240" i="3"/>
  <c r="Z240" i="3"/>
  <c r="BB240" i="3" l="1"/>
  <c r="AY240" i="3" s="1"/>
  <c r="BA240" i="3"/>
  <c r="AW240" i="3" s="1"/>
  <c r="AJ240" i="3"/>
  <c r="AC240" i="3" s="1"/>
  <c r="AK240" i="3"/>
  <c r="AE240" i="3" s="1"/>
  <c r="AL240" i="3"/>
  <c r="AG240" i="3" s="1"/>
  <c r="AD240" i="3"/>
  <c r="AF240" i="3"/>
  <c r="AV240" i="3" l="1"/>
  <c r="AX240" i="3"/>
  <c r="AH240" i="3"/>
  <c r="AB240" i="3" s="1"/>
  <c r="AA240" i="3" l="1"/>
  <c r="Z241" i="3"/>
  <c r="X241" i="3"/>
  <c r="W241" i="3"/>
  <c r="Y241" i="3"/>
  <c r="BB241" i="3" l="1"/>
  <c r="AX241" i="3" s="1"/>
  <c r="BA241" i="3"/>
  <c r="AV241" i="3" s="1"/>
  <c r="AY241" i="3"/>
  <c r="AJ241" i="3"/>
  <c r="AC241" i="3" s="1"/>
  <c r="AK241" i="3"/>
  <c r="AE241" i="3" s="1"/>
  <c r="AL241" i="3"/>
  <c r="AG241" i="3" s="1"/>
  <c r="AD241" i="3"/>
  <c r="AW241" i="3" l="1"/>
  <c r="AA241" i="3"/>
  <c r="AF241" i="3"/>
  <c r="AH241" i="3"/>
  <c r="AB241" i="3" l="1"/>
  <c r="Z242" i="3"/>
  <c r="X242" i="3"/>
  <c r="Y242" i="3"/>
  <c r="W242" i="3"/>
  <c r="BB242" i="3" l="1"/>
  <c r="AX242" i="3" s="1"/>
  <c r="BA242" i="3"/>
  <c r="AV242" i="3" s="1"/>
  <c r="AY242" i="3"/>
  <c r="AW242" i="3"/>
  <c r="AJ242" i="3"/>
  <c r="AC242" i="3" s="1"/>
  <c r="AK242" i="3"/>
  <c r="AE242" i="3" s="1"/>
  <c r="AL242" i="3"/>
  <c r="AG242" i="3" s="1"/>
  <c r="AD242" i="3"/>
  <c r="AF242" i="3" l="1"/>
  <c r="AA242" i="3"/>
  <c r="AH242" i="3"/>
  <c r="AB242" i="3" s="1"/>
  <c r="X243" i="3" l="1"/>
  <c r="Z243" i="3"/>
  <c r="W243" i="3"/>
  <c r="Y243" i="3"/>
  <c r="BB243" i="3" l="1"/>
  <c r="AX243" i="3" s="1"/>
  <c r="BA243" i="3"/>
  <c r="AV243" i="3" s="1"/>
  <c r="AY243" i="3"/>
  <c r="AW243" i="3"/>
  <c r="AJ243" i="3"/>
  <c r="AD243" i="3" s="1"/>
  <c r="AK243" i="3"/>
  <c r="AF243" i="3" s="1"/>
  <c r="AL243" i="3"/>
  <c r="AG243" i="3" s="1"/>
  <c r="AH243" i="3" l="1"/>
  <c r="AB243" i="3" s="1"/>
  <c r="AE243" i="3"/>
  <c r="AC243" i="3"/>
  <c r="AA243" i="3" l="1"/>
  <c r="Z244" i="3"/>
  <c r="X244" i="3"/>
  <c r="Y244" i="3" l="1"/>
  <c r="W244" i="3"/>
  <c r="BB244" i="3" l="1"/>
  <c r="AY244" i="3" s="1"/>
  <c r="BA244" i="3"/>
  <c r="AW244" i="3" s="1"/>
  <c r="AJ244" i="3"/>
  <c r="AK244" i="3"/>
  <c r="AL244" i="3"/>
  <c r="AV244" i="3" l="1"/>
  <c r="AX244" i="3"/>
  <c r="AE244" i="3"/>
  <c r="AF244" i="3"/>
  <c r="AG244" i="3"/>
  <c r="AH244" i="3"/>
  <c r="AC244" i="3"/>
  <c r="AA244" i="3" s="1"/>
  <c r="AD244" i="3"/>
  <c r="AB244" i="3" s="1"/>
  <c r="Z245" i="3" l="1"/>
  <c r="X245" i="3"/>
  <c r="Y245" i="3"/>
  <c r="W245" i="3"/>
  <c r="BB245" i="3" l="1"/>
  <c r="AX245" i="3" s="1"/>
  <c r="BA245" i="3"/>
  <c r="AV245" i="3" s="1"/>
  <c r="AY245" i="3"/>
  <c r="AW245" i="3"/>
  <c r="AL245" i="3"/>
  <c r="AG245" i="3" s="1"/>
  <c r="AJ245" i="3"/>
  <c r="AC245" i="3" s="1"/>
  <c r="AK245" i="3"/>
  <c r="AF245" i="3" s="1"/>
  <c r="AH245" i="3" l="1"/>
  <c r="AD245" i="3"/>
  <c r="AB245" i="3" s="1"/>
  <c r="AE245" i="3"/>
  <c r="AA245" i="3" s="1"/>
  <c r="Z246" i="3" l="1"/>
  <c r="X246" i="3"/>
  <c r="Y246" i="3"/>
  <c r="W246" i="3"/>
  <c r="AL246" i="3" s="1"/>
  <c r="AJ246" i="3"/>
  <c r="AD246" i="3" s="1"/>
  <c r="AG246" i="3" l="1"/>
  <c r="AH246" i="3"/>
  <c r="AK246" i="3"/>
  <c r="BB246" i="3"/>
  <c r="AY246" i="3" s="1"/>
  <c r="BA246" i="3"/>
  <c r="AW246" i="3" s="1"/>
  <c r="AC246" i="3"/>
  <c r="AE246" i="3" l="1"/>
  <c r="AF246" i="3"/>
  <c r="AB246" i="3" s="1"/>
  <c r="AV246" i="3"/>
  <c r="AX246" i="3"/>
  <c r="Z247" i="3" l="1"/>
  <c r="X247" i="3"/>
  <c r="AA246" i="3"/>
  <c r="Y247" i="3"/>
  <c r="W247" i="3"/>
  <c r="BB247" i="3"/>
  <c r="AY247" i="3" s="1"/>
  <c r="BA247" i="3"/>
  <c r="AW247" i="3" s="1"/>
  <c r="AJ247" i="3"/>
  <c r="AD247" i="3" s="1"/>
  <c r="AL247" i="3"/>
  <c r="AH247" i="3" s="1"/>
  <c r="AK247" i="3"/>
  <c r="AF247" i="3" s="1"/>
  <c r="AC247" i="3"/>
  <c r="AB247" i="3" l="1"/>
  <c r="AV247" i="3"/>
  <c r="AX247" i="3"/>
  <c r="AE247" i="3"/>
  <c r="AG247" i="3"/>
  <c r="AA247" i="3" l="1"/>
  <c r="W248" i="3"/>
  <c r="Y248" i="3"/>
  <c r="X248" i="3"/>
  <c r="Z248" i="3"/>
  <c r="BA248" i="3" l="1"/>
  <c r="AW248" i="3" s="1"/>
  <c r="BB248" i="3"/>
  <c r="AY248" i="3" s="1"/>
  <c r="AL248" i="3"/>
  <c r="AH248" i="3" s="1"/>
  <c r="AJ248" i="3"/>
  <c r="AD248" i="3" s="1"/>
  <c r="AK248" i="3"/>
  <c r="AF248" i="3" s="1"/>
  <c r="AC248" i="3"/>
  <c r="AG248" i="3"/>
  <c r="AB248" i="3" l="1"/>
  <c r="AX248" i="3"/>
  <c r="AV248" i="3"/>
  <c r="AE248" i="3"/>
  <c r="AA248" i="3" l="1"/>
  <c r="Y249" i="3" s="1"/>
  <c r="W249" i="3"/>
  <c r="Z249" i="3"/>
  <c r="X249" i="3"/>
  <c r="BA249" i="3" l="1"/>
  <c r="AV249" i="3" s="1"/>
  <c r="BB249" i="3"/>
  <c r="AY249" i="3" s="1"/>
  <c r="AJ249" i="3"/>
  <c r="AD249" i="3" s="1"/>
  <c r="AK249" i="3"/>
  <c r="AE249" i="3" s="1"/>
  <c r="AC249" i="3"/>
  <c r="AF249" i="3"/>
  <c r="AL249" i="3"/>
  <c r="AG249" i="3" s="1"/>
  <c r="AW249" i="3" l="1"/>
  <c r="AX249" i="3"/>
  <c r="AA249" i="3" s="1"/>
  <c r="AH249" i="3"/>
  <c r="AB249" i="3" s="1"/>
  <c r="X250" i="3" l="1"/>
  <c r="Z250" i="3"/>
  <c r="Y250" i="3"/>
  <c r="W250" i="3"/>
  <c r="BB250" i="3" l="1"/>
  <c r="AX250" i="3" s="1"/>
  <c r="BA250" i="3"/>
  <c r="AV250" i="3" s="1"/>
  <c r="AY250" i="3"/>
  <c r="AW250" i="3"/>
  <c r="AL250" i="3"/>
  <c r="AG250" i="3" s="1"/>
  <c r="AK250" i="3"/>
  <c r="AF250" i="3" s="1"/>
  <c r="AJ250" i="3"/>
  <c r="AC250" i="3" s="1"/>
  <c r="AH250" i="3" l="1"/>
  <c r="AD250" i="3"/>
  <c r="AE250" i="3"/>
  <c r="AA250" i="3" s="1"/>
  <c r="AB250" i="3" l="1"/>
  <c r="Z251" i="3" s="1"/>
  <c r="X251" i="3"/>
  <c r="W251" i="3"/>
  <c r="Y251" i="3"/>
  <c r="BA251" i="3" l="1"/>
  <c r="AW251" i="3" s="1"/>
  <c r="BB251" i="3"/>
  <c r="AY251" i="3" s="1"/>
  <c r="AL251" i="3"/>
  <c r="AH251" i="3" s="1"/>
  <c r="AK251" i="3"/>
  <c r="AF251" i="3" s="1"/>
  <c r="AJ251" i="3"/>
  <c r="AD251" i="3" s="1"/>
  <c r="AB251" i="3" s="1"/>
  <c r="AE251" i="3"/>
  <c r="AV251" i="3" l="1"/>
  <c r="AX251" i="3"/>
  <c r="X252" i="3"/>
  <c r="Z252" i="3"/>
  <c r="AC251" i="3"/>
  <c r="AG251" i="3"/>
  <c r="AA251" i="3" l="1"/>
  <c r="Y252" i="3"/>
  <c r="W252" i="3"/>
  <c r="BA252" i="3" l="1"/>
  <c r="AW252" i="3" s="1"/>
  <c r="BB252" i="3"/>
  <c r="AY252" i="3" s="1"/>
  <c r="AL252" i="3"/>
  <c r="AH252" i="3" s="1"/>
  <c r="AJ252" i="3"/>
  <c r="AD252" i="3" s="1"/>
  <c r="AG252" i="3"/>
  <c r="AK252" i="3"/>
  <c r="AF252" i="3" s="1"/>
  <c r="AC252" i="3"/>
  <c r="AB252" i="3" l="1"/>
  <c r="AV252" i="3"/>
  <c r="AX252" i="3"/>
  <c r="AE252" i="3"/>
  <c r="AA252" i="3" l="1"/>
  <c r="Z253" i="3"/>
  <c r="X253" i="3"/>
  <c r="Y253" i="3"/>
  <c r="W253" i="3"/>
  <c r="BB253" i="3" l="1"/>
  <c r="AX253" i="3" s="1"/>
  <c r="BA253" i="3"/>
  <c r="AV253" i="3" s="1"/>
  <c r="AY253" i="3"/>
  <c r="AK253" i="3"/>
  <c r="AF253" i="3" s="1"/>
  <c r="AJ253" i="3"/>
  <c r="AC253" i="3" s="1"/>
  <c r="AL253" i="3"/>
  <c r="AH253" i="3" s="1"/>
  <c r="AW253" i="3" l="1"/>
  <c r="AG253" i="3"/>
  <c r="AE253" i="3"/>
  <c r="AA253" i="3" s="1"/>
  <c r="AD253" i="3"/>
  <c r="AB253" i="3" s="1"/>
  <c r="X254" i="3" l="1"/>
  <c r="Z254" i="3"/>
  <c r="Y254" i="3" l="1"/>
  <c r="W254" i="3"/>
  <c r="BB254" i="3" l="1"/>
  <c r="AY254" i="3" s="1"/>
  <c r="BA254" i="3"/>
  <c r="AW254" i="3" s="1"/>
  <c r="AL254" i="3"/>
  <c r="AH254" i="3" s="1"/>
  <c r="AJ254" i="3"/>
  <c r="AD254" i="3" s="1"/>
  <c r="AK254" i="3"/>
  <c r="AF254" i="3" s="1"/>
  <c r="AG254" i="3"/>
  <c r="AB254" i="3" l="1"/>
  <c r="AV254" i="3"/>
  <c r="AX254" i="3"/>
  <c r="AC254" i="3"/>
  <c r="AE254" i="3"/>
  <c r="AA254" i="3" l="1"/>
  <c r="W255" i="3"/>
  <c r="Y255" i="3"/>
  <c r="X255" i="3"/>
  <c r="Z255" i="3"/>
  <c r="BB255" i="3" l="1"/>
  <c r="AY255" i="3" s="1"/>
  <c r="BA255" i="3"/>
  <c r="AW255" i="3" s="1"/>
  <c r="AL255" i="3"/>
  <c r="AH255" i="3" s="1"/>
  <c r="AK255" i="3"/>
  <c r="AF255" i="3" s="1"/>
  <c r="AJ255" i="3"/>
  <c r="AD255" i="3" s="1"/>
  <c r="AB255" i="3" s="1"/>
  <c r="AG255" i="3"/>
  <c r="AV255" i="3" l="1"/>
  <c r="AX255" i="3"/>
  <c r="AE255" i="3"/>
  <c r="AC255" i="3"/>
  <c r="X256" i="3"/>
  <c r="Z256" i="3"/>
  <c r="AA255" i="3" l="1"/>
  <c r="Y256" i="3"/>
  <c r="W256" i="3"/>
  <c r="BB256" i="3" l="1"/>
  <c r="AY256" i="3" s="1"/>
  <c r="BA256" i="3"/>
  <c r="AW256" i="3" s="1"/>
  <c r="AL256" i="3"/>
  <c r="AH256" i="3" s="1"/>
  <c r="AK256" i="3"/>
  <c r="AF256" i="3" s="1"/>
  <c r="AJ256" i="3"/>
  <c r="AD256" i="3" s="1"/>
  <c r="AB256" i="3" s="1"/>
  <c r="AG256" i="3" l="1"/>
  <c r="AV256" i="3"/>
  <c r="AX256" i="3"/>
  <c r="AC256" i="3"/>
  <c r="AE256" i="3"/>
  <c r="Z257" i="3"/>
  <c r="X257" i="3"/>
  <c r="AA256" i="3" l="1"/>
  <c r="Y257" i="3"/>
  <c r="W257" i="3"/>
  <c r="BB257" i="3" l="1"/>
  <c r="AY257" i="3" s="1"/>
  <c r="BA257" i="3"/>
  <c r="AW257" i="3" s="1"/>
  <c r="AK257" i="3"/>
  <c r="AJ257" i="3"/>
  <c r="AL257" i="3"/>
  <c r="AH257" i="3" s="1"/>
  <c r="AV257" i="3" l="1"/>
  <c r="AX257" i="3"/>
  <c r="AG257" i="3"/>
  <c r="AC257" i="3"/>
  <c r="AD257" i="3"/>
  <c r="AE257" i="3"/>
  <c r="AF257" i="3"/>
  <c r="AB257" i="3" l="1"/>
  <c r="AA257" i="3"/>
  <c r="X258" i="3" l="1"/>
  <c r="Z258" i="3"/>
  <c r="W258" i="3"/>
  <c r="Y258" i="3"/>
  <c r="BB258" i="3" l="1"/>
  <c r="AX258" i="3" s="1"/>
  <c r="BA258" i="3"/>
  <c r="AV258" i="3" s="1"/>
  <c r="AY258" i="3"/>
  <c r="AW258" i="3"/>
  <c r="AK258" i="3"/>
  <c r="AE258" i="3" s="1"/>
  <c r="AJ258" i="3"/>
  <c r="AC258" i="3" s="1"/>
  <c r="AL258" i="3"/>
  <c r="AG258" i="3" s="1"/>
  <c r="AD258" i="3" l="1"/>
  <c r="AF258" i="3"/>
  <c r="AA258" i="3"/>
  <c r="AH258" i="3"/>
  <c r="AB258" i="3" l="1"/>
  <c r="Z259" i="3" s="1"/>
  <c r="X259" i="3"/>
  <c r="Y259" i="3"/>
  <c r="W259" i="3"/>
  <c r="BB259" i="3" l="1"/>
  <c r="AX259" i="3" s="1"/>
  <c r="BA259" i="3"/>
  <c r="AV259" i="3" s="1"/>
  <c r="AY259" i="3"/>
  <c r="AJ259" i="3"/>
  <c r="AK259" i="3"/>
  <c r="AL259" i="3"/>
  <c r="AH259" i="3" s="1"/>
  <c r="AW259" i="3" l="1"/>
  <c r="AE259" i="3"/>
  <c r="AF259" i="3"/>
  <c r="AC259" i="3"/>
  <c r="AD259" i="3"/>
  <c r="AB259" i="3" s="1"/>
  <c r="AG259" i="3"/>
  <c r="AA259" i="3" l="1"/>
  <c r="Z260" i="3"/>
  <c r="X260" i="3"/>
  <c r="W260" i="3" l="1"/>
  <c r="Y260" i="3"/>
  <c r="BB260" i="3" l="1"/>
  <c r="AY260" i="3" s="1"/>
  <c r="BA260" i="3"/>
  <c r="AW260" i="3" s="1"/>
  <c r="AL260" i="3"/>
  <c r="AH260" i="3" s="1"/>
  <c r="AJ260" i="3"/>
  <c r="AK260" i="3"/>
  <c r="AG260" i="3"/>
  <c r="AV260" i="3" l="1"/>
  <c r="AX260" i="3"/>
  <c r="AE260" i="3"/>
  <c r="AF260" i="3"/>
  <c r="AC260" i="3"/>
  <c r="AA260" i="3" s="1"/>
  <c r="AD260" i="3"/>
  <c r="AB260" i="3" s="1"/>
  <c r="X261" i="3" l="1"/>
  <c r="Z261" i="3"/>
  <c r="Y261" i="3"/>
  <c r="W261" i="3"/>
  <c r="BB261" i="3" l="1"/>
  <c r="AX261" i="3" s="1"/>
  <c r="BA261" i="3"/>
  <c r="AV261" i="3" s="1"/>
  <c r="AY261" i="3"/>
  <c r="AW261" i="3"/>
  <c r="AJ261" i="3"/>
  <c r="AC261" i="3" s="1"/>
  <c r="AK261" i="3"/>
  <c r="AF261" i="3" s="1"/>
  <c r="AL261" i="3"/>
  <c r="AG261" i="3" s="1"/>
  <c r="AD261" i="3" l="1"/>
  <c r="AH261" i="3"/>
  <c r="AE261" i="3"/>
  <c r="AA261" i="3" s="1"/>
  <c r="AB261" i="3" l="1"/>
  <c r="Y262" i="3"/>
  <c r="W262" i="3"/>
  <c r="Z262" i="3"/>
  <c r="X262" i="3"/>
  <c r="BB262" i="3" l="1"/>
  <c r="AY262" i="3" s="1"/>
  <c r="BA262" i="3"/>
  <c r="AW262" i="3" s="1"/>
  <c r="AL262" i="3"/>
  <c r="AH262" i="3" s="1"/>
  <c r="AK262" i="3"/>
  <c r="AE262" i="3" s="1"/>
  <c r="AJ262" i="3"/>
  <c r="AC262" i="3" s="1"/>
  <c r="AG262" i="3"/>
  <c r="AV262" i="3" l="1"/>
  <c r="AX262" i="3"/>
  <c r="AD262" i="3"/>
  <c r="AF262" i="3"/>
  <c r="AB262" i="3" l="1"/>
  <c r="AA262" i="3"/>
  <c r="W263" i="3"/>
  <c r="Y263" i="3"/>
  <c r="Z263" i="3" l="1"/>
  <c r="X263" i="3"/>
  <c r="BA263" i="3" l="1"/>
  <c r="AV263" i="3" s="1"/>
  <c r="BB263" i="3"/>
  <c r="AX263" i="3" s="1"/>
  <c r="AJ263" i="3"/>
  <c r="AC263" i="3" s="1"/>
  <c r="AK263" i="3"/>
  <c r="AE263" i="3" s="1"/>
  <c r="AL263" i="3"/>
  <c r="AG263" i="3" s="1"/>
  <c r="AA263" i="3" l="1"/>
  <c r="AW263" i="3"/>
  <c r="AY263" i="3"/>
  <c r="Y264" i="3"/>
  <c r="W264" i="3"/>
  <c r="AD263" i="3"/>
  <c r="AF263" i="3"/>
  <c r="AH263" i="3"/>
  <c r="AB263" i="3" l="1"/>
  <c r="X264" i="3"/>
  <c r="Z264" i="3"/>
  <c r="BB264" i="3" l="1"/>
  <c r="AX264" i="3" s="1"/>
  <c r="BA264" i="3"/>
  <c r="AV264" i="3" s="1"/>
  <c r="AL264" i="3"/>
  <c r="AG264" i="3" s="1"/>
  <c r="AJ264" i="3"/>
  <c r="AC264" i="3" s="1"/>
  <c r="AK264" i="3"/>
  <c r="AE264" i="3" s="1"/>
  <c r="AA264" i="3" l="1"/>
  <c r="AW264" i="3"/>
  <c r="AY264" i="3"/>
  <c r="AH264" i="3"/>
  <c r="AF264" i="3"/>
  <c r="AD264" i="3"/>
  <c r="AB264" i="3" l="1"/>
  <c r="W265" i="3"/>
  <c r="Y265" i="3"/>
  <c r="Z265" i="3" l="1"/>
  <c r="X265" i="3"/>
  <c r="BB265" i="3" s="1"/>
  <c r="AX265" i="3" s="1"/>
  <c r="BA265" i="3" l="1"/>
  <c r="AV265" i="3" s="1"/>
  <c r="AY265" i="3"/>
  <c r="AW265" i="3"/>
  <c r="AJ265" i="3"/>
  <c r="AC265" i="3" s="1"/>
  <c r="AL265" i="3"/>
  <c r="AG265" i="3" s="1"/>
  <c r="AK265" i="3"/>
  <c r="AE265" i="3" s="1"/>
  <c r="AA265" i="3" l="1"/>
  <c r="Y266" i="3"/>
  <c r="W266" i="3"/>
  <c r="AD265" i="3"/>
  <c r="AF265" i="3"/>
  <c r="AH265" i="3"/>
  <c r="AB265" i="3" l="1"/>
  <c r="X266" i="3"/>
  <c r="Z266" i="3"/>
  <c r="BB266" i="3" l="1"/>
  <c r="AX266" i="3" s="1"/>
  <c r="BA266" i="3"/>
  <c r="AV266" i="3" s="1"/>
  <c r="AL266" i="3"/>
  <c r="AG266" i="3" s="1"/>
  <c r="AJ266" i="3"/>
  <c r="AC266" i="3" s="1"/>
  <c r="AK266" i="3"/>
  <c r="AW266" i="3" l="1"/>
  <c r="AY266" i="3"/>
  <c r="AF266" i="3"/>
  <c r="AE266" i="3"/>
  <c r="AA266" i="3" s="1"/>
  <c r="AD266" i="3"/>
  <c r="AH266" i="3"/>
  <c r="AB266" i="3" l="1"/>
  <c r="Y267" i="3"/>
  <c r="W267" i="3"/>
  <c r="Z267" i="3" l="1"/>
  <c r="X267" i="3"/>
  <c r="BA267" i="3" s="1"/>
  <c r="AV267" i="3" s="1"/>
  <c r="AW267" i="3" l="1"/>
  <c r="BB267" i="3"/>
  <c r="AX267" i="3" s="1"/>
  <c r="AJ267" i="3"/>
  <c r="AK267" i="3"/>
  <c r="AE267" i="3" s="1"/>
  <c r="AL267" i="3"/>
  <c r="AG267" i="3" s="1"/>
  <c r="AY267" i="3" l="1"/>
  <c r="AD267" i="3"/>
  <c r="AC267" i="3"/>
  <c r="AA267" i="3" s="1"/>
  <c r="AF267" i="3"/>
  <c r="AH267" i="3"/>
  <c r="AB267" i="3" l="1"/>
  <c r="W268" i="3"/>
  <c r="Y268" i="3"/>
  <c r="X268" i="3" l="1"/>
  <c r="BB268" i="3" s="1"/>
  <c r="AX268" i="3" s="1"/>
  <c r="Z268" i="3"/>
  <c r="AL268" i="3"/>
  <c r="AG268" i="3" s="1"/>
  <c r="AK268" i="3"/>
  <c r="AF268" i="3" s="1"/>
  <c r="AJ268" i="3"/>
  <c r="AC268" i="3" s="1"/>
  <c r="AY268" i="3" l="1"/>
  <c r="BA268" i="3"/>
  <c r="AV268" i="3" s="1"/>
  <c r="AE268" i="3"/>
  <c r="AD268" i="3"/>
  <c r="AH268" i="3"/>
  <c r="AA268" i="3" l="1"/>
  <c r="AW268" i="3"/>
  <c r="AB268" i="3" s="1"/>
  <c r="Y269" i="3"/>
  <c r="W269" i="3"/>
  <c r="X269" i="3" l="1"/>
  <c r="BA269" i="3" s="1"/>
  <c r="AV269" i="3" s="1"/>
  <c r="Z269" i="3"/>
  <c r="AL269" i="3"/>
  <c r="AG269" i="3" s="1"/>
  <c r="AK269" i="3"/>
  <c r="AF269" i="3" s="1"/>
  <c r="AJ269" i="3"/>
  <c r="AD269" i="3" s="1"/>
  <c r="AW269" i="3" l="1"/>
  <c r="BB269" i="3"/>
  <c r="AX269" i="3" s="1"/>
  <c r="AC269" i="3"/>
  <c r="AE269" i="3"/>
  <c r="AH269" i="3"/>
  <c r="AA269" i="3" l="1"/>
  <c r="AY269" i="3"/>
  <c r="AB269" i="3" s="1"/>
  <c r="W270" i="3"/>
  <c r="Y270" i="3"/>
  <c r="Z270" i="3" l="1"/>
  <c r="X270" i="3"/>
  <c r="BA270" i="3"/>
  <c r="AV270" i="3" s="1"/>
  <c r="BB270" i="3"/>
  <c r="AX270" i="3" s="1"/>
  <c r="AY270" i="3"/>
  <c r="AW270" i="3"/>
  <c r="AJ270" i="3"/>
  <c r="AD270" i="3" s="1"/>
  <c r="AL270" i="3"/>
  <c r="AG270" i="3" s="1"/>
  <c r="AK270" i="3"/>
  <c r="AF270" i="3" s="1"/>
  <c r="AC270" i="3" l="1"/>
  <c r="AH270" i="3"/>
  <c r="AB270" i="3" s="1"/>
  <c r="AE270" i="3"/>
  <c r="AA270" i="3" s="1"/>
  <c r="Y271" i="3" l="1"/>
  <c r="W271" i="3"/>
  <c r="Z271" i="3"/>
  <c r="X271" i="3"/>
  <c r="BB271" i="3" l="1"/>
  <c r="AY271" i="3" s="1"/>
  <c r="BA271" i="3"/>
  <c r="AV271" i="3" s="1"/>
  <c r="AK271" i="3"/>
  <c r="AE271" i="3" s="1"/>
  <c r="AJ271" i="3"/>
  <c r="AC271" i="3" s="1"/>
  <c r="AL271" i="3"/>
  <c r="AG271" i="3" s="1"/>
  <c r="AF271" i="3"/>
  <c r="AD271" i="3" l="1"/>
  <c r="AW271" i="3"/>
  <c r="AX271" i="3"/>
  <c r="AA271" i="3" s="1"/>
  <c r="AH271" i="3"/>
  <c r="AB271" i="3" s="1"/>
  <c r="W272" i="3" l="1"/>
  <c r="Y272" i="3"/>
  <c r="Z272" i="3"/>
  <c r="X272" i="3"/>
  <c r="BB272" i="3" l="1"/>
  <c r="AY272" i="3" s="1"/>
  <c r="BA272" i="3"/>
  <c r="AW272" i="3" s="1"/>
  <c r="AL272" i="3"/>
  <c r="AH272" i="3" s="1"/>
  <c r="AK272" i="3"/>
  <c r="AF272" i="3" s="1"/>
  <c r="AJ272" i="3"/>
  <c r="AC272" i="3" s="1"/>
  <c r="AG272" i="3"/>
  <c r="AE272" i="3"/>
  <c r="AV272" i="3" l="1"/>
  <c r="AX272" i="3"/>
  <c r="AD272" i="3"/>
  <c r="AB272" i="3" s="1"/>
  <c r="AA272" i="3" l="1"/>
  <c r="Z273" i="3"/>
  <c r="X273" i="3"/>
  <c r="Y273" i="3"/>
  <c r="W273" i="3"/>
  <c r="BB273" i="3" l="1"/>
  <c r="AX273" i="3" s="1"/>
  <c r="BA273" i="3"/>
  <c r="AV273" i="3" s="1"/>
  <c r="AY273" i="3"/>
  <c r="AW273" i="3"/>
  <c r="AL273" i="3"/>
  <c r="AG273" i="3" s="1"/>
  <c r="AJ273" i="3"/>
  <c r="AC273" i="3" s="1"/>
  <c r="AK273" i="3"/>
  <c r="AE273" i="3" s="1"/>
  <c r="AA273" i="3" l="1"/>
  <c r="Y274" i="3"/>
  <c r="AH273" i="3"/>
  <c r="W274" i="3"/>
  <c r="AF273" i="3"/>
  <c r="AD273" i="3"/>
  <c r="AB273" i="3" s="1"/>
  <c r="X274" i="3" l="1"/>
  <c r="Z274" i="3"/>
  <c r="BA274" i="3" l="1"/>
  <c r="AV274" i="3" s="1"/>
  <c r="BB274" i="3"/>
  <c r="AX274" i="3" s="1"/>
  <c r="AL274" i="3"/>
  <c r="AG274" i="3" s="1"/>
  <c r="AJ274" i="3"/>
  <c r="AC274" i="3" s="1"/>
  <c r="AK274" i="3"/>
  <c r="AE274" i="3" s="1"/>
  <c r="AA274" i="3" l="1"/>
  <c r="AW274" i="3"/>
  <c r="AY274" i="3"/>
  <c r="AF274" i="3"/>
  <c r="Y275" i="3"/>
  <c r="W275" i="3"/>
  <c r="AH274" i="3"/>
  <c r="AD274" i="3"/>
  <c r="AB274" i="3" s="1"/>
  <c r="Z275" i="3" l="1"/>
  <c r="X275" i="3"/>
  <c r="BA275" i="3" l="1"/>
  <c r="AV275" i="3" s="1"/>
  <c r="BB275" i="3"/>
  <c r="AX275" i="3" s="1"/>
  <c r="AL275" i="3"/>
  <c r="AG275" i="3" s="1"/>
  <c r="AJ275" i="3"/>
  <c r="AC275" i="3" s="1"/>
  <c r="AK275" i="3"/>
  <c r="AE275" i="3" s="1"/>
  <c r="AA275" i="3" l="1"/>
  <c r="AW275" i="3"/>
  <c r="AY275" i="3"/>
  <c r="Y276" i="3"/>
  <c r="W276" i="3"/>
  <c r="AD275" i="3"/>
  <c r="AH275" i="3"/>
  <c r="AF275" i="3"/>
  <c r="AB275" i="3" l="1"/>
  <c r="X276" i="3"/>
  <c r="Z276" i="3"/>
  <c r="BA276" i="3" l="1"/>
  <c r="AV276" i="3" s="1"/>
  <c r="BB276" i="3"/>
  <c r="AX276" i="3" s="1"/>
  <c r="AL276" i="3"/>
  <c r="AG276" i="3" s="1"/>
  <c r="AK276" i="3"/>
  <c r="AE276" i="3" s="1"/>
  <c r="AJ276" i="3"/>
  <c r="AC276" i="3" s="1"/>
  <c r="AA276" i="3" l="1"/>
  <c r="AW276" i="3"/>
  <c r="AY276" i="3"/>
  <c r="AD276" i="3"/>
  <c r="AH276" i="3"/>
  <c r="AF276" i="3"/>
  <c r="AB276" i="3" l="1"/>
  <c r="W277" i="3"/>
  <c r="Y277" i="3"/>
  <c r="Z277" i="3" l="1"/>
  <c r="X277" i="3"/>
  <c r="BB277" i="3" s="1"/>
  <c r="AX277" i="3" s="1"/>
  <c r="AY277" i="3" l="1"/>
  <c r="BA277" i="3"/>
  <c r="AV277" i="3" s="1"/>
  <c r="AK277" i="3"/>
  <c r="AE277" i="3" s="1"/>
  <c r="AJ277" i="3"/>
  <c r="AC277" i="3" s="1"/>
  <c r="AL277" i="3"/>
  <c r="AG277" i="3" s="1"/>
  <c r="AA277" i="3" l="1"/>
  <c r="AW277" i="3"/>
  <c r="AF277" i="3"/>
  <c r="AH277" i="3"/>
  <c r="AD277" i="3"/>
  <c r="AB277" i="3" l="1"/>
  <c r="X278" i="3"/>
  <c r="Z278" i="3"/>
  <c r="Y278" i="3"/>
  <c r="W278" i="3"/>
  <c r="BB278" i="3" l="1"/>
  <c r="AX278" i="3" s="1"/>
  <c r="BA278" i="3"/>
  <c r="AV278" i="3" s="1"/>
  <c r="AY278" i="3"/>
  <c r="AL278" i="3"/>
  <c r="AK278" i="3"/>
  <c r="AE278" i="3" s="1"/>
  <c r="AJ278" i="3"/>
  <c r="AC278" i="3" s="1"/>
  <c r="AG278" i="3"/>
  <c r="AH278" i="3"/>
  <c r="AF278" i="3"/>
  <c r="AA278" i="3" l="1"/>
  <c r="AW278" i="3"/>
  <c r="AD278" i="3"/>
  <c r="AB278" i="3" s="1"/>
  <c r="W279" i="3"/>
  <c r="Y279" i="3"/>
  <c r="Z279" i="3" l="1"/>
  <c r="X279" i="3"/>
  <c r="BB279" i="3"/>
  <c r="AY279" i="3" s="1"/>
  <c r="BA279" i="3"/>
  <c r="AW279" i="3" s="1"/>
  <c r="AL279" i="3"/>
  <c r="AH279" i="3" s="1"/>
  <c r="AJ279" i="3"/>
  <c r="AD279" i="3" s="1"/>
  <c r="AK279" i="3"/>
  <c r="AF279" i="3" s="1"/>
  <c r="AG279" i="3"/>
  <c r="AB279" i="3" l="1"/>
  <c r="AX279" i="3"/>
  <c r="AV279" i="3"/>
  <c r="Z280" i="3"/>
  <c r="X280" i="3"/>
  <c r="AE279" i="3"/>
  <c r="AC279" i="3"/>
  <c r="AA279" i="3" l="1"/>
  <c r="Y280" i="3"/>
  <c r="W280" i="3"/>
  <c r="BA280" i="3" l="1"/>
  <c r="AW280" i="3" s="1"/>
  <c r="BB280" i="3"/>
  <c r="AY280" i="3" s="1"/>
  <c r="AL280" i="3"/>
  <c r="AH280" i="3" s="1"/>
  <c r="AJ280" i="3"/>
  <c r="AK280" i="3"/>
  <c r="AV280" i="3" l="1"/>
  <c r="AX280" i="3"/>
  <c r="AE280" i="3"/>
  <c r="AF280" i="3"/>
  <c r="AC280" i="3"/>
  <c r="AD280" i="3"/>
  <c r="AB280" i="3" s="1"/>
  <c r="AG280" i="3"/>
  <c r="AA280" i="3" l="1"/>
  <c r="X281" i="3"/>
  <c r="Z281" i="3"/>
  <c r="Y281" i="3"/>
  <c r="W281" i="3"/>
  <c r="BB281" i="3" l="1"/>
  <c r="AX281" i="3" s="1"/>
  <c r="BA281" i="3"/>
  <c r="AV281" i="3" s="1"/>
  <c r="AY281" i="3"/>
  <c r="AL281" i="3"/>
  <c r="AJ281" i="3"/>
  <c r="AC281" i="3" s="1"/>
  <c r="AK281" i="3"/>
  <c r="AE281" i="3" s="1"/>
  <c r="AG281" i="3"/>
  <c r="AH281" i="3"/>
  <c r="AD281" i="3"/>
  <c r="AA281" i="3" l="1"/>
  <c r="AW281" i="3"/>
  <c r="AF281" i="3"/>
  <c r="AB281" i="3" s="1"/>
  <c r="Z282" i="3" l="1"/>
  <c r="X282" i="3"/>
  <c r="Y282" i="3"/>
  <c r="W282" i="3"/>
  <c r="BA282" i="3" l="1"/>
  <c r="AV282" i="3" s="1"/>
  <c r="BB282" i="3"/>
  <c r="AX282" i="3" s="1"/>
  <c r="AY282" i="3"/>
  <c r="AW282" i="3"/>
  <c r="AL282" i="3"/>
  <c r="AH282" i="3" s="1"/>
  <c r="AJ282" i="3"/>
  <c r="AC282" i="3" s="1"/>
  <c r="AK282" i="3"/>
  <c r="AE282" i="3" s="1"/>
  <c r="AG282" i="3" l="1"/>
  <c r="AA282" i="3" s="1"/>
  <c r="AF282" i="3"/>
  <c r="AD282" i="3"/>
  <c r="AB282" i="3" s="1"/>
  <c r="Y283" i="3" l="1"/>
  <c r="W283" i="3"/>
  <c r="X283" i="3"/>
  <c r="Z283" i="3"/>
  <c r="BB283" i="3" l="1"/>
  <c r="AY283" i="3" s="1"/>
  <c r="BA283" i="3"/>
  <c r="AV283" i="3" s="1"/>
  <c r="AL283" i="3"/>
  <c r="AH283" i="3" s="1"/>
  <c r="AK283" i="3"/>
  <c r="AE283" i="3" s="1"/>
  <c r="AJ283" i="3"/>
  <c r="AC283" i="3" s="1"/>
  <c r="AG283" i="3" l="1"/>
  <c r="AW283" i="3"/>
  <c r="AX283" i="3"/>
  <c r="AD283" i="3"/>
  <c r="AF283" i="3"/>
  <c r="AB283" i="3" l="1"/>
  <c r="AA283" i="3"/>
  <c r="W284" i="3"/>
  <c r="Y284" i="3"/>
  <c r="X284" i="3" l="1"/>
  <c r="BB284" i="3" s="1"/>
  <c r="AX284" i="3" s="1"/>
  <c r="Z284" i="3"/>
  <c r="AK284" i="3"/>
  <c r="AE284" i="3" s="1"/>
  <c r="AJ284" i="3"/>
  <c r="AC284" i="3" s="1"/>
  <c r="AY284" i="3" l="1"/>
  <c r="BA284" i="3"/>
  <c r="AV284" i="3" s="1"/>
  <c r="AL284" i="3"/>
  <c r="AG284" i="3" s="1"/>
  <c r="AD284" i="3"/>
  <c r="AF284" i="3"/>
  <c r="AA284" i="3" l="1"/>
  <c r="AH284" i="3"/>
  <c r="AW284" i="3"/>
  <c r="Y285" i="3"/>
  <c r="W285" i="3"/>
  <c r="AB284" i="3" l="1"/>
  <c r="Z285" i="3"/>
  <c r="X285" i="3"/>
  <c r="BB285" i="3" s="1"/>
  <c r="AX285" i="3" s="1"/>
  <c r="AY285" i="3" l="1"/>
  <c r="BA285" i="3"/>
  <c r="AV285" i="3" s="1"/>
  <c r="AL285" i="3"/>
  <c r="AG285" i="3" s="1"/>
  <c r="AJ285" i="3"/>
  <c r="AC285" i="3" s="1"/>
  <c r="AA285" i="3" s="1"/>
  <c r="AK285" i="3"/>
  <c r="AE285" i="3" s="1"/>
  <c r="AH285" i="3" l="1"/>
  <c r="AW285" i="3"/>
  <c r="Y286" i="3"/>
  <c r="W286" i="3"/>
  <c r="AD285" i="3"/>
  <c r="AF285" i="3"/>
  <c r="AB285" i="3" l="1"/>
  <c r="X286" i="3"/>
  <c r="Z286" i="3"/>
  <c r="BA286" i="3" l="1"/>
  <c r="AV286" i="3" s="1"/>
  <c r="BB286" i="3"/>
  <c r="AX286" i="3" s="1"/>
  <c r="AL286" i="3"/>
  <c r="AG286" i="3" s="1"/>
  <c r="AJ286" i="3"/>
  <c r="AC286" i="3" s="1"/>
  <c r="AK286" i="3"/>
  <c r="AE286" i="3" s="1"/>
  <c r="AA286" i="3" l="1"/>
  <c r="AH286" i="3"/>
  <c r="AW286" i="3"/>
  <c r="AY286" i="3"/>
  <c r="AD286" i="3"/>
  <c r="AF286" i="3"/>
  <c r="AB286" i="3" l="1"/>
  <c r="W287" i="3"/>
  <c r="Y287" i="3"/>
  <c r="Z287" i="3" l="1"/>
  <c r="X287" i="3"/>
  <c r="AK287" i="3" l="1"/>
  <c r="AE287" i="3" s="1"/>
  <c r="BB287" i="3"/>
  <c r="AX287" i="3" s="1"/>
  <c r="BA287" i="3"/>
  <c r="AV287" i="3" s="1"/>
  <c r="AJ287" i="3"/>
  <c r="AC287" i="3" s="1"/>
  <c r="AL287" i="3"/>
  <c r="AG287" i="3" s="1"/>
  <c r="AF287" i="3"/>
  <c r="AD287" i="3"/>
  <c r="AA287" i="3" l="1"/>
  <c r="AW287" i="3"/>
  <c r="AY287" i="3"/>
  <c r="Y288" i="3"/>
  <c r="W288" i="3"/>
  <c r="AH287" i="3"/>
  <c r="AB287" i="3" s="1"/>
  <c r="Z288" i="3" l="1"/>
  <c r="X288" i="3"/>
  <c r="AL288" i="3" l="1"/>
  <c r="AG288" i="3" s="1"/>
  <c r="AK288" i="3"/>
  <c r="AE288" i="3" s="1"/>
  <c r="BA288" i="3"/>
  <c r="AV288" i="3" s="1"/>
  <c r="BB288" i="3"/>
  <c r="AX288" i="3" s="1"/>
  <c r="AJ288" i="3"/>
  <c r="AC288" i="3" s="1"/>
  <c r="AH288" i="3"/>
  <c r="AF288" i="3"/>
  <c r="AA288" i="3" l="1"/>
  <c r="AD288" i="3"/>
  <c r="AW288" i="3"/>
  <c r="AY288" i="3"/>
  <c r="W289" i="3"/>
  <c r="Y289" i="3"/>
  <c r="AB288" i="3" l="1"/>
  <c r="Z289" i="3" s="1"/>
  <c r="X289" i="3"/>
  <c r="AK289" i="3"/>
  <c r="AF289" i="3" s="1"/>
  <c r="AJ289" i="3" l="1"/>
  <c r="BB289" i="3"/>
  <c r="AX289" i="3" s="1"/>
  <c r="AL289" i="3"/>
  <c r="BA289" i="3"/>
  <c r="AV289" i="3" s="1"/>
  <c r="AE289" i="3"/>
  <c r="AG289" i="3" l="1"/>
  <c r="AH289" i="3"/>
  <c r="AD289" i="3"/>
  <c r="AC289" i="3"/>
  <c r="AW289" i="3"/>
  <c r="AY289" i="3"/>
  <c r="AB289" i="3" l="1"/>
  <c r="AA289" i="3"/>
  <c r="W290" i="3" s="1"/>
  <c r="Y290" i="3"/>
  <c r="X290" i="3" l="1"/>
  <c r="Z290" i="3"/>
  <c r="AL290" i="3" l="1"/>
  <c r="AK290" i="3"/>
  <c r="AJ290" i="3"/>
  <c r="BA290" i="3"/>
  <c r="AV290" i="3" s="1"/>
  <c r="BB290" i="3"/>
  <c r="AX290" i="3" s="1"/>
  <c r="AD290" i="3" l="1"/>
  <c r="AC290" i="3"/>
  <c r="AF290" i="3"/>
  <c r="AE290" i="3"/>
  <c r="AH290" i="3"/>
  <c r="AG290" i="3"/>
  <c r="AY290" i="3"/>
  <c r="AW290" i="3"/>
  <c r="AB290" i="3" l="1"/>
  <c r="AA290" i="3"/>
  <c r="X291" i="3" l="1"/>
  <c r="Z291" i="3"/>
  <c r="W291" i="3"/>
  <c r="Y291" i="3"/>
  <c r="BA291" i="3" l="1"/>
  <c r="AW291" i="3" s="1"/>
  <c r="AJ291" i="3"/>
  <c r="AC291" i="3" s="1"/>
  <c r="AL291" i="3"/>
  <c r="BB291" i="3"/>
  <c r="AY291" i="3" s="1"/>
  <c r="AG291" i="3"/>
  <c r="AK291" i="3"/>
  <c r="AF291" i="3" s="1"/>
  <c r="AV291" i="3"/>
  <c r="AX291" i="3"/>
  <c r="AD291" i="3"/>
  <c r="AH291" i="3"/>
  <c r="AB291" i="3" l="1"/>
  <c r="AE291" i="3"/>
  <c r="AA291" i="3" s="1"/>
  <c r="Y292" i="3" l="1"/>
  <c r="W292" i="3"/>
  <c r="Z292" i="3"/>
  <c r="X292" i="3"/>
  <c r="AJ292" i="3" l="1"/>
  <c r="AD292" i="3" s="1"/>
  <c r="AK292" i="3"/>
  <c r="AF292" i="3" s="1"/>
  <c r="BA292" i="3"/>
  <c r="AW292" i="3" s="1"/>
  <c r="BB292" i="3"/>
  <c r="AY292" i="3" s="1"/>
  <c r="AL292" i="3"/>
  <c r="AH292" i="3" s="1"/>
  <c r="AX292" i="3"/>
  <c r="AE292" i="3"/>
  <c r="AV292" i="3"/>
  <c r="AC292" i="3"/>
  <c r="AB292" i="3" l="1"/>
  <c r="AG292" i="3"/>
  <c r="AA292" i="3" s="1"/>
  <c r="W293" i="3" s="1"/>
  <c r="Z293" i="3" l="1"/>
  <c r="X293" i="3"/>
  <c r="Y293" i="3"/>
  <c r="AK293" i="3"/>
  <c r="AE293" i="3" s="1"/>
  <c r="AJ293" i="3"/>
  <c r="AC293" i="3" s="1"/>
  <c r="BB293" i="3"/>
  <c r="AY293" i="3" s="1"/>
  <c r="BA293" i="3"/>
  <c r="AL293" i="3"/>
  <c r="AG293" i="3" s="1"/>
  <c r="AW293" i="3" l="1"/>
  <c r="AV293" i="3"/>
  <c r="AD293" i="3"/>
  <c r="AF293" i="3"/>
  <c r="AH293" i="3"/>
  <c r="AX293" i="3"/>
  <c r="AB293" i="3" l="1"/>
  <c r="AA293" i="3"/>
  <c r="W294" i="3"/>
  <c r="Y294" i="3"/>
  <c r="Z294" i="3"/>
  <c r="X294" i="3"/>
  <c r="BB294" i="3" l="1"/>
  <c r="AX294" i="3" s="1"/>
  <c r="AY294" i="3"/>
  <c r="BA294" i="3"/>
  <c r="AV294" i="3" s="1"/>
  <c r="AK294" i="3"/>
  <c r="AJ294" i="3"/>
  <c r="AL294" i="3"/>
  <c r="AG294" i="3" l="1"/>
  <c r="AH294" i="3"/>
  <c r="AC294" i="3"/>
  <c r="AD294" i="3"/>
  <c r="AW294" i="3"/>
  <c r="AE294" i="3"/>
  <c r="AF294" i="3"/>
  <c r="AB294" i="3" l="1"/>
  <c r="AA294" i="3"/>
  <c r="Y295" i="3" l="1"/>
  <c r="W295" i="3"/>
  <c r="X295" i="3"/>
  <c r="Z295" i="3"/>
  <c r="BB295" i="3" l="1"/>
  <c r="AL295" i="3"/>
  <c r="AJ295" i="3"/>
  <c r="BA295" i="3"/>
  <c r="AK295" i="3"/>
  <c r="AE295" i="3" l="1"/>
  <c r="AF295" i="3"/>
  <c r="AG295" i="3"/>
  <c r="AH295" i="3"/>
  <c r="AV295" i="3"/>
  <c r="AW295" i="3"/>
  <c r="AC295" i="3"/>
  <c r="AD295" i="3"/>
  <c r="AX295" i="3"/>
  <c r="AY295" i="3"/>
  <c r="AB295" i="3" l="1"/>
  <c r="X296" i="3" s="1"/>
  <c r="Z296" i="3"/>
  <c r="AA295" i="3"/>
  <c r="W296" i="3" l="1"/>
  <c r="Y296" i="3"/>
  <c r="BB296" i="3" l="1"/>
  <c r="BA296" i="3"/>
  <c r="AJ296" i="3"/>
  <c r="AK296" i="3"/>
  <c r="AL296" i="3"/>
  <c r="AG296" i="3" l="1"/>
  <c r="AH296" i="3"/>
  <c r="AV296" i="3"/>
  <c r="AW296" i="3"/>
  <c r="AE296" i="3"/>
  <c r="AF296" i="3"/>
  <c r="AC296" i="3"/>
  <c r="AD296" i="3"/>
  <c r="AX296" i="3"/>
  <c r="AY296" i="3"/>
  <c r="AB296" i="3" l="1"/>
  <c r="Z297" i="3" s="1"/>
  <c r="X297" i="3"/>
  <c r="AA296" i="3"/>
  <c r="Y297" i="3" l="1"/>
  <c r="W297" i="3"/>
  <c r="BB297" i="3" l="1"/>
  <c r="AL297" i="3"/>
  <c r="AK297" i="3"/>
  <c r="BA297" i="3"/>
  <c r="AJ297" i="3"/>
  <c r="AD297" i="3" l="1"/>
  <c r="AC297" i="3"/>
  <c r="AG297" i="3"/>
  <c r="AH297" i="3"/>
  <c r="AV297" i="3"/>
  <c r="AW297" i="3"/>
  <c r="AF297" i="3"/>
  <c r="AE297" i="3"/>
  <c r="AX297" i="3"/>
  <c r="AY297" i="3"/>
  <c r="AB297" i="3" l="1"/>
  <c r="AA297" i="3"/>
  <c r="Z298" i="3" l="1"/>
  <c r="X298" i="3"/>
  <c r="W298" i="3"/>
  <c r="Y298" i="3"/>
  <c r="BA298" i="3" l="1"/>
  <c r="AV298" i="3" s="1"/>
  <c r="AL298" i="3"/>
  <c r="AJ298" i="3"/>
  <c r="BB298" i="3"/>
  <c r="AK298" i="3"/>
  <c r="AW298" i="3"/>
  <c r="AC298" i="3" l="1"/>
  <c r="AD298" i="3"/>
  <c r="AF298" i="3"/>
  <c r="AE298" i="3"/>
  <c r="AG298" i="3"/>
  <c r="AH298" i="3"/>
  <c r="AX298" i="3"/>
  <c r="AY298" i="3"/>
  <c r="AB298" i="3" l="1"/>
  <c r="X299" i="3"/>
  <c r="Z299" i="3"/>
  <c r="AA298" i="3"/>
  <c r="Y299" i="3" l="1"/>
  <c r="W299" i="3"/>
  <c r="BA299" i="3" l="1"/>
  <c r="AJ299" i="3"/>
  <c r="AD299" i="3" s="1"/>
  <c r="BB299" i="3"/>
  <c r="AK299" i="3"/>
  <c r="AF299" i="3" s="1"/>
  <c r="AL299" i="3"/>
  <c r="AH299" i="3" s="1"/>
  <c r="AC299" i="3"/>
  <c r="AE299" i="3" l="1"/>
  <c r="AG299" i="3"/>
  <c r="AX299" i="3"/>
  <c r="AY299" i="3"/>
  <c r="AV299" i="3"/>
  <c r="AW299" i="3"/>
  <c r="AB299" i="3" s="1"/>
  <c r="AA299" i="3" l="1"/>
  <c r="W300" i="3"/>
  <c r="Y300" i="3"/>
  <c r="X300" i="3"/>
  <c r="Z300" i="3"/>
  <c r="AK300" i="3" l="1"/>
  <c r="AF300" i="3" s="1"/>
  <c r="BB300" i="3"/>
  <c r="AY300" i="3" s="1"/>
  <c r="AL300" i="3"/>
  <c r="AH300" i="3" s="1"/>
  <c r="AJ300" i="3"/>
  <c r="AD300" i="3" s="1"/>
  <c r="BA300" i="3"/>
  <c r="AW300" i="3" s="1"/>
  <c r="AG300" i="3"/>
  <c r="AX300" i="3"/>
  <c r="AE300" i="3"/>
  <c r="AC300" i="3"/>
  <c r="AV300" i="3"/>
  <c r="AB300" i="3" l="1"/>
  <c r="AA300" i="3"/>
  <c r="Z301" i="3"/>
  <c r="X301" i="3"/>
  <c r="W301" i="3"/>
  <c r="Y301" i="3"/>
  <c r="BB301" i="3" l="1"/>
  <c r="AL301" i="3"/>
  <c r="AJ301" i="3"/>
  <c r="BA301" i="3"/>
  <c r="AK301" i="3"/>
  <c r="AE301" i="3" l="1"/>
  <c r="AF301" i="3"/>
  <c r="AG301" i="3"/>
  <c r="AH301" i="3"/>
  <c r="AV301" i="3"/>
  <c r="AW301" i="3"/>
  <c r="AC301" i="3"/>
  <c r="AD301" i="3"/>
  <c r="AY301" i="3"/>
  <c r="AX301" i="3"/>
  <c r="AB301" i="3" l="1"/>
  <c r="X302" i="3" s="1"/>
  <c r="AA301" i="3"/>
  <c r="W302" i="3" s="1"/>
  <c r="Y302" i="3"/>
  <c r="BB302" i="3" l="1"/>
  <c r="AX302" i="3" s="1"/>
  <c r="BA302" i="3"/>
  <c r="AV302" i="3" s="1"/>
  <c r="AK302" i="3"/>
  <c r="AL302" i="3"/>
  <c r="AG302" i="3" s="1"/>
  <c r="AJ302" i="3"/>
  <c r="AC302" i="3" s="1"/>
  <c r="Z302" i="3"/>
  <c r="AY302" i="3"/>
  <c r="AH302" i="3"/>
  <c r="AW302" i="3"/>
  <c r="AF302" i="3"/>
  <c r="AE302" i="3"/>
  <c r="AA302" i="3" s="1"/>
  <c r="AD302" i="3"/>
  <c r="AB302" i="3" l="1"/>
  <c r="W303" i="3"/>
  <c r="Y303" i="3"/>
  <c r="X303" i="3"/>
  <c r="Z303" i="3"/>
  <c r="BB303" i="3" l="1"/>
  <c r="AY303" i="3" s="1"/>
  <c r="BA303" i="3"/>
  <c r="AW303" i="3" s="1"/>
  <c r="AL303" i="3"/>
  <c r="AH303" i="3" s="1"/>
  <c r="AK303" i="3"/>
  <c r="AF303" i="3" s="1"/>
  <c r="AJ303" i="3"/>
  <c r="AD303" i="3" s="1"/>
  <c r="AB303" i="3" s="1"/>
  <c r="AG303" i="3" l="1"/>
  <c r="AX303" i="3"/>
  <c r="AV303" i="3"/>
  <c r="AC303" i="3"/>
  <c r="AE303" i="3"/>
  <c r="AA303" i="3" l="1"/>
  <c r="Y304" i="3"/>
  <c r="W304" i="3"/>
  <c r="Z304" i="3"/>
  <c r="X304" i="3"/>
  <c r="BB304" i="3" l="1"/>
  <c r="AY304" i="3" s="1"/>
  <c r="BA304" i="3"/>
  <c r="AV304" i="3" s="1"/>
  <c r="AL304" i="3"/>
  <c r="AK304" i="3"/>
  <c r="AF304" i="3" s="1"/>
  <c r="AJ304" i="3"/>
  <c r="AC304" i="3" s="1"/>
  <c r="AG304" i="3"/>
  <c r="AH304" i="3"/>
  <c r="AD304" i="3" l="1"/>
  <c r="AW304" i="3"/>
  <c r="AX304" i="3"/>
  <c r="AE304" i="3"/>
  <c r="AA304" i="3" s="1"/>
  <c r="AB304" i="3" l="1"/>
  <c r="X305" i="3"/>
  <c r="Z305" i="3"/>
  <c r="W305" i="3"/>
  <c r="Y305" i="3"/>
  <c r="BB305" i="3" l="1"/>
  <c r="AX305" i="3" s="1"/>
  <c r="BA305" i="3"/>
  <c r="AV305" i="3" s="1"/>
  <c r="AY305" i="3"/>
  <c r="AW305" i="3"/>
  <c r="AK305" i="3"/>
  <c r="AE305" i="3" s="1"/>
  <c r="AJ305" i="3"/>
  <c r="AC305" i="3" s="1"/>
  <c r="AL305" i="3"/>
  <c r="AG305" i="3" s="1"/>
  <c r="AF305" i="3" l="1"/>
  <c r="AA305" i="3"/>
  <c r="AD305" i="3"/>
  <c r="AH305" i="3"/>
  <c r="AB305" i="3" l="1"/>
  <c r="Z306" i="3"/>
  <c r="X306" i="3"/>
  <c r="Y306" i="3"/>
  <c r="W306" i="3"/>
  <c r="BB306" i="3" l="1"/>
  <c r="AX306" i="3" s="1"/>
  <c r="BA306" i="3"/>
  <c r="AV306" i="3" s="1"/>
  <c r="AY306" i="3"/>
  <c r="AJ306" i="3"/>
  <c r="AD306" i="3" s="1"/>
  <c r="AK306" i="3"/>
  <c r="AF306" i="3" s="1"/>
  <c r="AL306" i="3"/>
  <c r="AH306" i="3" s="1"/>
  <c r="AW306" i="3" l="1"/>
  <c r="AB306" i="3" s="1"/>
  <c r="AC306" i="3"/>
  <c r="AG306" i="3"/>
  <c r="AE306" i="3"/>
  <c r="AA306" i="3" l="1"/>
  <c r="Z307" i="3"/>
  <c r="X307" i="3"/>
  <c r="Y307" i="3" l="1"/>
  <c r="W307" i="3"/>
  <c r="BB307" i="3" l="1"/>
  <c r="AY307" i="3" s="1"/>
  <c r="BA307" i="3"/>
  <c r="AW307" i="3" s="1"/>
  <c r="AL307" i="3"/>
  <c r="AH307" i="3" s="1"/>
  <c r="AK307" i="3"/>
  <c r="AF307" i="3" s="1"/>
  <c r="AJ307" i="3"/>
  <c r="AD307" i="3" s="1"/>
  <c r="AB307" i="3" s="1"/>
  <c r="AG307" i="3"/>
  <c r="AV307" i="3" l="1"/>
  <c r="AX307" i="3"/>
  <c r="AE307" i="3"/>
  <c r="X308" i="3"/>
  <c r="AC307" i="3"/>
  <c r="AA307" i="3" s="1"/>
  <c r="Z308" i="3"/>
  <c r="W308" i="3" l="1"/>
  <c r="Y308" i="3"/>
  <c r="BB308" i="3" l="1"/>
  <c r="AY308" i="3" s="1"/>
  <c r="BA308" i="3"/>
  <c r="AW308" i="3" s="1"/>
  <c r="AL308" i="3"/>
  <c r="AH308" i="3" s="1"/>
  <c r="AJ308" i="3"/>
  <c r="AK308" i="3"/>
  <c r="AG308" i="3" l="1"/>
  <c r="AV308" i="3"/>
  <c r="AX308" i="3"/>
  <c r="AE308" i="3"/>
  <c r="AF308" i="3"/>
  <c r="AC308" i="3"/>
  <c r="AA308" i="3" s="1"/>
  <c r="AD308" i="3"/>
  <c r="AB308" i="3" s="1"/>
  <c r="Z309" i="3" l="1"/>
  <c r="X309" i="3"/>
  <c r="Y309" i="3"/>
  <c r="W309" i="3"/>
  <c r="BB309" i="3" l="1"/>
  <c r="AX309" i="3" s="1"/>
  <c r="BA309" i="3"/>
  <c r="AV309" i="3" s="1"/>
  <c r="AY309" i="3"/>
  <c r="AK309" i="3"/>
  <c r="AE309" i="3" s="1"/>
  <c r="AJ309" i="3"/>
  <c r="AC309" i="3" s="1"/>
  <c r="AL309" i="3"/>
  <c r="AG309" i="3" s="1"/>
  <c r="AF309" i="3" l="1"/>
  <c r="AA309" i="3"/>
  <c r="AW309" i="3"/>
  <c r="AD309" i="3"/>
  <c r="AB309" i="3" s="1"/>
  <c r="AH309" i="3"/>
  <c r="X310" i="3" l="1"/>
  <c r="Z310" i="3"/>
  <c r="Y310" i="3"/>
  <c r="W310" i="3"/>
  <c r="BB310" i="3" l="1"/>
  <c r="AX310" i="3" s="1"/>
  <c r="BA310" i="3"/>
  <c r="AV310" i="3" s="1"/>
  <c r="AY310" i="3"/>
  <c r="AW310" i="3"/>
  <c r="AJ310" i="3"/>
  <c r="AC310" i="3" s="1"/>
  <c r="AK310" i="3"/>
  <c r="AE310" i="3" s="1"/>
  <c r="AL310" i="3"/>
  <c r="AG310" i="3" s="1"/>
  <c r="AA310" i="3" l="1"/>
  <c r="AD310" i="3"/>
  <c r="AF310" i="3"/>
  <c r="AH310" i="3"/>
  <c r="AB310" i="3" l="1"/>
  <c r="Y311" i="3"/>
  <c r="W311" i="3"/>
  <c r="Z311" i="3"/>
  <c r="X311" i="3"/>
  <c r="BB311" i="3" l="1"/>
  <c r="AY311" i="3" s="1"/>
  <c r="BA311" i="3"/>
  <c r="AV311" i="3" s="1"/>
  <c r="AL311" i="3"/>
  <c r="AH311" i="3" s="1"/>
  <c r="AJ311" i="3"/>
  <c r="AC311" i="3" s="1"/>
  <c r="AK311" i="3"/>
  <c r="AF311" i="3" s="1"/>
  <c r="AG311" i="3"/>
  <c r="AW311" i="3" l="1"/>
  <c r="AX311" i="3"/>
  <c r="AE311" i="3"/>
  <c r="AD311" i="3"/>
  <c r="AB311" i="3" s="1"/>
  <c r="AA311" i="3" l="1"/>
  <c r="Z312" i="3"/>
  <c r="X312" i="3"/>
  <c r="Y312" i="3"/>
  <c r="W312" i="3"/>
  <c r="BA312" i="3" l="1"/>
  <c r="AV312" i="3" s="1"/>
  <c r="BB312" i="3"/>
  <c r="AX312" i="3" s="1"/>
  <c r="AW312" i="3"/>
  <c r="AL312" i="3"/>
  <c r="AG312" i="3" s="1"/>
  <c r="AJ312" i="3"/>
  <c r="AC312" i="3" s="1"/>
  <c r="AK312" i="3"/>
  <c r="AF312" i="3" s="1"/>
  <c r="AH312" i="3" l="1"/>
  <c r="AD312" i="3"/>
  <c r="AY312" i="3"/>
  <c r="AE312" i="3"/>
  <c r="AB312" i="3" l="1"/>
  <c r="AA312" i="3"/>
  <c r="Y313" i="3" s="1"/>
  <c r="W313" i="3"/>
  <c r="Z313" i="3" l="1"/>
  <c r="X313" i="3"/>
  <c r="AL313" i="3" s="1"/>
  <c r="AK313" i="3"/>
  <c r="BB313" i="3"/>
  <c r="AY313" i="3" s="1"/>
  <c r="BA313" i="3"/>
  <c r="AW313" i="3" s="1"/>
  <c r="AJ313" i="3" l="1"/>
  <c r="AG313" i="3"/>
  <c r="AH313" i="3"/>
  <c r="AF313" i="3"/>
  <c r="AE313" i="3"/>
  <c r="AD313" i="3"/>
  <c r="AC313" i="3"/>
  <c r="AV313" i="3"/>
  <c r="AX313" i="3"/>
  <c r="AB313" i="3" l="1"/>
  <c r="AA313" i="3"/>
  <c r="Z314" i="3" l="1"/>
  <c r="X314" i="3"/>
  <c r="W314" i="3"/>
  <c r="Y314" i="3"/>
  <c r="BB314" i="3" l="1"/>
  <c r="BA314" i="3"/>
  <c r="AL314" i="3"/>
  <c r="AH314" i="3" s="1"/>
  <c r="AK314" i="3"/>
  <c r="AJ314" i="3"/>
  <c r="AG314" i="3"/>
  <c r="AF314" i="3" l="1"/>
  <c r="AE314" i="3"/>
  <c r="AD314" i="3"/>
  <c r="AC314" i="3"/>
  <c r="AV314" i="3"/>
  <c r="AW314" i="3"/>
  <c r="AX314" i="3"/>
  <c r="AY314" i="3"/>
  <c r="AB314" i="3" l="1"/>
  <c r="AA314" i="3"/>
  <c r="X315" i="3"/>
  <c r="Z315" i="3"/>
  <c r="Y315" i="3" l="1"/>
  <c r="W315" i="3"/>
  <c r="BB315" i="3" l="1"/>
  <c r="AL315" i="3"/>
  <c r="AH315" i="3" s="1"/>
  <c r="AK315" i="3"/>
  <c r="BA315" i="3"/>
  <c r="AJ315" i="3"/>
  <c r="AG315" i="3" l="1"/>
  <c r="AD315" i="3"/>
  <c r="AC315" i="3"/>
  <c r="AW315" i="3"/>
  <c r="AV315" i="3"/>
  <c r="AF315" i="3"/>
  <c r="AE315" i="3"/>
  <c r="AY315" i="3"/>
  <c r="AX315" i="3"/>
  <c r="AB315" i="3" l="1"/>
  <c r="AA315" i="3"/>
  <c r="Z316" i="3" l="1"/>
  <c r="X316" i="3"/>
  <c r="Y316" i="3"/>
  <c r="W316" i="3"/>
  <c r="AL316" i="3" l="1"/>
  <c r="AH316" i="3" s="1"/>
  <c r="BA316" i="3"/>
  <c r="AV316" i="3" s="1"/>
  <c r="BB316" i="3"/>
  <c r="AX316" i="3" s="1"/>
  <c r="AK316" i="3"/>
  <c r="AE316" i="3" s="1"/>
  <c r="AJ316" i="3"/>
  <c r="AC316" i="3" s="1"/>
  <c r="AG316" i="3"/>
  <c r="AY316" i="3"/>
  <c r="AW316" i="3"/>
  <c r="AF316" i="3"/>
  <c r="AD316" i="3"/>
  <c r="AB316" i="3" l="1"/>
  <c r="AA316" i="3"/>
  <c r="Y317" i="3" s="1"/>
  <c r="Z317" i="3"/>
  <c r="X317" i="3"/>
  <c r="W317" i="3"/>
  <c r="AL317" i="3" l="1"/>
  <c r="BB317" i="3"/>
  <c r="AJ317" i="3"/>
  <c r="AC317" i="3" s="1"/>
  <c r="AK317" i="3"/>
  <c r="BA317" i="3"/>
  <c r="AD317" i="3"/>
  <c r="AE317" i="3" l="1"/>
  <c r="AF317" i="3"/>
  <c r="AV317" i="3"/>
  <c r="AW317" i="3"/>
  <c r="AY317" i="3"/>
  <c r="AX317" i="3"/>
  <c r="AG317" i="3"/>
  <c r="AA317" i="3" s="1"/>
  <c r="AH317" i="3"/>
  <c r="AB317" i="3" l="1"/>
  <c r="Y318" i="3"/>
  <c r="W318" i="3"/>
  <c r="X318" i="3"/>
  <c r="Z318" i="3"/>
  <c r="BA318" i="3" l="1"/>
  <c r="AV318" i="3" s="1"/>
  <c r="AJ318" i="3"/>
  <c r="AL318" i="3"/>
  <c r="AK318" i="3"/>
  <c r="AE318" i="3" s="1"/>
  <c r="BB318" i="3"/>
  <c r="AX318" i="3" s="1"/>
  <c r="AH318" i="3" l="1"/>
  <c r="AG318" i="3"/>
  <c r="AD318" i="3"/>
  <c r="AC318" i="3"/>
  <c r="AA318" i="3" s="1"/>
  <c r="Y319" i="3" s="1"/>
  <c r="AW318" i="3"/>
  <c r="AY318" i="3"/>
  <c r="AF318" i="3"/>
  <c r="W319" i="3"/>
  <c r="AB318" i="3" l="1"/>
  <c r="X319" i="3"/>
  <c r="Z319" i="3"/>
  <c r="BB319" i="3" l="1"/>
  <c r="AL319" i="3"/>
  <c r="AK319" i="3"/>
  <c r="BA319" i="3"/>
  <c r="AJ319" i="3"/>
  <c r="AW319" i="3" l="1"/>
  <c r="AV319" i="3"/>
  <c r="AC319" i="3"/>
  <c r="AD319" i="3"/>
  <c r="AH319" i="3"/>
  <c r="AG319" i="3"/>
  <c r="AE319" i="3"/>
  <c r="AF319" i="3"/>
  <c r="AY319" i="3"/>
  <c r="AX319" i="3"/>
  <c r="AB319" i="3" l="1"/>
  <c r="AA319" i="3"/>
  <c r="Y320" i="3" l="1"/>
  <c r="W320" i="3"/>
  <c r="Z320" i="3"/>
  <c r="X320" i="3"/>
  <c r="AK320" i="3" l="1"/>
  <c r="AE320" i="3" s="1"/>
  <c r="AJ320" i="3"/>
  <c r="AC320" i="3" s="1"/>
  <c r="BA320" i="3"/>
  <c r="AV320" i="3" s="1"/>
  <c r="AL320" i="3"/>
  <c r="AG320" i="3" s="1"/>
  <c r="BB320" i="3"/>
  <c r="AY320" i="3" s="1"/>
  <c r="AD320" i="3" l="1"/>
  <c r="AX320" i="3"/>
  <c r="AA320" i="3" s="1"/>
  <c r="AH320" i="3"/>
  <c r="AW320" i="3"/>
  <c r="AF320" i="3"/>
  <c r="AB320" i="3" l="1"/>
  <c r="Y321" i="3"/>
  <c r="W321" i="3"/>
  <c r="X321" i="3" l="1"/>
  <c r="Z321" i="3"/>
  <c r="AK321" i="3"/>
  <c r="AL321" i="3"/>
  <c r="AG321" i="3" s="1"/>
  <c r="AJ321" i="3"/>
  <c r="AC321" i="3" s="1"/>
  <c r="BB321" i="3"/>
  <c r="AX321" i="3" s="1"/>
  <c r="BA321" i="3"/>
  <c r="AV321" i="3" s="1"/>
  <c r="AE321" i="3"/>
  <c r="AA321" i="3" l="1"/>
  <c r="AD321" i="3"/>
  <c r="AW321" i="3"/>
  <c r="AH321" i="3"/>
  <c r="AY321" i="3"/>
  <c r="AF321" i="3"/>
  <c r="AB321" i="3" l="1"/>
  <c r="Y322" i="3"/>
  <c r="W322" i="3"/>
  <c r="X322" i="3" l="1"/>
  <c r="Z322" i="3"/>
  <c r="AJ322" i="3" l="1"/>
  <c r="AC322" i="3" s="1"/>
  <c r="AL322" i="3"/>
  <c r="AG322" i="3" s="1"/>
  <c r="BB322" i="3"/>
  <c r="AX322" i="3" s="1"/>
  <c r="AK322" i="3"/>
  <c r="BA322" i="3"/>
  <c r="AV322" i="3" s="1"/>
  <c r="AF322" i="3" l="1"/>
  <c r="AE322" i="3"/>
  <c r="AA322" i="3" s="1"/>
  <c r="AD322" i="3"/>
  <c r="AH322" i="3"/>
  <c r="AY322" i="3"/>
  <c r="AW322" i="3"/>
  <c r="AB322" i="3" l="1"/>
  <c r="W323" i="3"/>
  <c r="Y323" i="3"/>
  <c r="X323" i="3"/>
  <c r="Z323" i="3"/>
  <c r="AK323" i="3" l="1"/>
  <c r="AE323" i="3" s="1"/>
  <c r="BB323" i="3"/>
  <c r="AY323" i="3" s="1"/>
  <c r="BA323" i="3"/>
  <c r="AW323" i="3" s="1"/>
  <c r="AL323" i="3"/>
  <c r="AG323" i="3" s="1"/>
  <c r="AJ323" i="3"/>
  <c r="AD323" i="3" s="1"/>
  <c r="AV323" i="3"/>
  <c r="AX323" i="3"/>
  <c r="AC323" i="3" l="1"/>
  <c r="AA323" i="3" s="1"/>
  <c r="AH323" i="3"/>
  <c r="AF323" i="3"/>
  <c r="AB323" i="3" l="1"/>
  <c r="X324" i="3"/>
  <c r="Z324" i="3"/>
  <c r="Y324" i="3"/>
  <c r="W324" i="3"/>
  <c r="BB324" i="3" l="1"/>
  <c r="AY324" i="3" s="1"/>
  <c r="BA324" i="3"/>
  <c r="AW324" i="3" s="1"/>
  <c r="AK324" i="3"/>
  <c r="AE324" i="3" s="1"/>
  <c r="AL324" i="3"/>
  <c r="AH324" i="3" s="1"/>
  <c r="AJ324" i="3"/>
  <c r="AC324" i="3" s="1"/>
  <c r="AX324" i="3"/>
  <c r="AV324" i="3"/>
  <c r="AF324" i="3"/>
  <c r="AD324" i="3"/>
  <c r="AB324" i="3" s="1"/>
  <c r="AG324" i="3" l="1"/>
  <c r="AA324" i="3"/>
  <c r="Y325" i="3" s="1"/>
  <c r="X325" i="3"/>
  <c r="W325" i="3"/>
  <c r="Z325" i="3"/>
  <c r="BB325" i="3" l="1"/>
  <c r="AL325" i="3"/>
  <c r="AH325" i="3" s="1"/>
  <c r="AJ325" i="3"/>
  <c r="BA325" i="3"/>
  <c r="AK325" i="3"/>
  <c r="AG325" i="3"/>
  <c r="AE325" i="3" l="1"/>
  <c r="AF325" i="3"/>
  <c r="AV325" i="3"/>
  <c r="AW325" i="3"/>
  <c r="AC325" i="3"/>
  <c r="AD325" i="3"/>
  <c r="AX325" i="3"/>
  <c r="AY325" i="3"/>
  <c r="AB325" i="3" l="1"/>
  <c r="Z326" i="3"/>
  <c r="X326" i="3"/>
  <c r="AA325" i="3"/>
  <c r="Y326" i="3" l="1"/>
  <c r="W326" i="3"/>
  <c r="AJ326" i="3" l="1"/>
  <c r="AD326" i="3" s="1"/>
  <c r="BA326" i="3"/>
  <c r="AW326" i="3" s="1"/>
  <c r="AK326" i="3"/>
  <c r="AF326" i="3" s="1"/>
  <c r="AL326" i="3"/>
  <c r="AH326" i="3" s="1"/>
  <c r="BB326" i="3"/>
  <c r="AY326" i="3" s="1"/>
  <c r="AV326" i="3"/>
  <c r="AE326" i="3"/>
  <c r="AG326" i="3"/>
  <c r="AC326" i="3"/>
  <c r="AB326" i="3" l="1"/>
  <c r="AX326" i="3"/>
  <c r="AA326" i="3" s="1"/>
  <c r="Y327" i="3" l="1"/>
  <c r="W327" i="3"/>
  <c r="Z327" i="3"/>
  <c r="X327" i="3"/>
  <c r="AL327" i="3" s="1"/>
  <c r="BA327" i="3"/>
  <c r="AW327" i="3" s="1"/>
  <c r="AK327" i="3"/>
  <c r="AF327" i="3" s="1"/>
  <c r="AV327" i="3"/>
  <c r="AE327" i="3" l="1"/>
  <c r="AJ327" i="3"/>
  <c r="AH327" i="3"/>
  <c r="AG327" i="3"/>
  <c r="BB327" i="3"/>
  <c r="AD327" i="3" l="1"/>
  <c r="AC327" i="3"/>
  <c r="AY327" i="3"/>
  <c r="AX327" i="3"/>
  <c r="AA327" i="3" s="1"/>
  <c r="AB327" i="3" l="1"/>
  <c r="X328" i="3"/>
  <c r="Z328" i="3"/>
  <c r="Y328" i="3"/>
  <c r="W328" i="3"/>
  <c r="BA328" i="3" l="1"/>
  <c r="AW328" i="3" s="1"/>
  <c r="AJ328" i="3"/>
  <c r="AD328" i="3" s="1"/>
  <c r="AL328" i="3"/>
  <c r="AH328" i="3" s="1"/>
  <c r="AK328" i="3"/>
  <c r="AF328" i="3" s="1"/>
  <c r="BB328" i="3"/>
  <c r="AY328" i="3" s="1"/>
  <c r="AV328" i="3"/>
  <c r="AG328" i="3"/>
  <c r="AE328" i="3"/>
  <c r="AC328" i="3"/>
  <c r="AB328" i="3" l="1"/>
  <c r="AX328" i="3"/>
  <c r="AA328" i="3" s="1"/>
  <c r="X329" i="3" l="1"/>
  <c r="Z329" i="3"/>
  <c r="Y329" i="3"/>
  <c r="W329" i="3"/>
  <c r="BB329" i="3" l="1"/>
  <c r="AY329" i="3" s="1"/>
  <c r="AL329" i="3"/>
  <c r="AJ329" i="3"/>
  <c r="AC329" i="3" s="1"/>
  <c r="AK329" i="3"/>
  <c r="AE329" i="3" s="1"/>
  <c r="AG329" i="3"/>
  <c r="BA329" i="3"/>
  <c r="AV329" i="3" s="1"/>
  <c r="AX329" i="3"/>
  <c r="AD329" i="3"/>
  <c r="AH329" i="3"/>
  <c r="AF329" i="3"/>
  <c r="AW329" i="3" l="1"/>
  <c r="AB329" i="3" s="1"/>
  <c r="AA329" i="3"/>
  <c r="X330" i="3" l="1"/>
  <c r="Z330" i="3"/>
  <c r="W330" i="3"/>
  <c r="Y330" i="3"/>
  <c r="AJ330" i="3" l="1"/>
  <c r="BB330" i="3"/>
  <c r="AY330" i="3" s="1"/>
  <c r="BA330" i="3"/>
  <c r="AK330" i="3"/>
  <c r="AL330" i="3"/>
  <c r="AX330" i="3"/>
  <c r="AG330" i="3" l="1"/>
  <c r="AH330" i="3"/>
  <c r="AE330" i="3"/>
  <c r="AF330" i="3"/>
  <c r="AV330" i="3"/>
  <c r="AW330" i="3"/>
  <c r="AC330" i="3"/>
  <c r="AD330" i="3"/>
  <c r="AB330" i="3" s="1"/>
  <c r="AA330" i="3" l="1"/>
  <c r="X331" i="3"/>
  <c r="Z331" i="3"/>
  <c r="W331" i="3"/>
  <c r="Y331" i="3"/>
  <c r="AK331" i="3" l="1"/>
  <c r="AE331" i="3" s="1"/>
  <c r="BB331" i="3"/>
  <c r="AX331" i="3" s="1"/>
  <c r="AL331" i="3"/>
  <c r="AG331" i="3" s="1"/>
  <c r="AJ331" i="3"/>
  <c r="AC331" i="3" s="1"/>
  <c r="BA331" i="3"/>
  <c r="AV331" i="3" s="1"/>
  <c r="AY331" i="3"/>
  <c r="AD331" i="3"/>
  <c r="AF331" i="3"/>
  <c r="AW331" i="3"/>
  <c r="AH331" i="3"/>
  <c r="AB331" i="3" l="1"/>
  <c r="AA331" i="3"/>
  <c r="Y332" i="3" s="1"/>
  <c r="Z332" i="3"/>
  <c r="X332" i="3"/>
  <c r="W332" i="3"/>
  <c r="BA332" i="3" l="1"/>
  <c r="AJ332" i="3"/>
  <c r="AC332" i="3" s="1"/>
  <c r="AK332" i="3"/>
  <c r="AE332" i="3" s="1"/>
  <c r="BB332" i="3"/>
  <c r="AL332" i="3"/>
  <c r="AH332" i="3" s="1"/>
  <c r="AD332" i="3"/>
  <c r="AF332" i="3"/>
  <c r="AX332" i="3" l="1"/>
  <c r="AY332" i="3"/>
  <c r="AG332" i="3"/>
  <c r="AV332" i="3"/>
  <c r="AW332" i="3"/>
  <c r="AB332" i="3" s="1"/>
  <c r="AA332" i="3" l="1"/>
  <c r="W333" i="3"/>
  <c r="Y333" i="3"/>
  <c r="Z333" i="3"/>
  <c r="X333" i="3"/>
  <c r="BA333" i="3" l="1"/>
  <c r="AV333" i="3" s="1"/>
  <c r="AL333" i="3"/>
  <c r="AG333" i="3" s="1"/>
  <c r="AJ333" i="3"/>
  <c r="AC333" i="3" s="1"/>
  <c r="BB333" i="3"/>
  <c r="AX333" i="3" s="1"/>
  <c r="AK333" i="3"/>
  <c r="AE333" i="3" s="1"/>
  <c r="AA333" i="3" l="1"/>
  <c r="AY333" i="3"/>
  <c r="AD333" i="3"/>
  <c r="AF333" i="3"/>
  <c r="AH333" i="3"/>
  <c r="AW333" i="3"/>
  <c r="AB333" i="3" l="1"/>
  <c r="Y334" i="3"/>
  <c r="W334" i="3"/>
  <c r="X334" i="3" l="1"/>
  <c r="Z334" i="3"/>
  <c r="BB334" i="3" l="1"/>
  <c r="AX334" i="3" s="1"/>
  <c r="BA334" i="3"/>
  <c r="AV334" i="3" s="1"/>
  <c r="AJ334" i="3"/>
  <c r="AK334" i="3"/>
  <c r="AL334" i="3"/>
  <c r="AH334" i="3" l="1"/>
  <c r="AG334" i="3"/>
  <c r="AD334" i="3"/>
  <c r="AC334" i="3"/>
  <c r="AF334" i="3"/>
  <c r="AE334" i="3"/>
  <c r="AY334" i="3"/>
  <c r="AW334" i="3"/>
  <c r="AB334" i="3" l="1"/>
  <c r="AA334" i="3"/>
  <c r="W335" i="3"/>
  <c r="Y335" i="3"/>
  <c r="X335" i="3" l="1"/>
  <c r="Z335" i="3"/>
  <c r="BA335" i="3"/>
  <c r="AW335" i="3" s="1"/>
  <c r="AJ335" i="3"/>
  <c r="BB335" i="3"/>
  <c r="AY335" i="3" s="1"/>
  <c r="AL335" i="3"/>
  <c r="AH335" i="3" s="1"/>
  <c r="AK335" i="3"/>
  <c r="AF335" i="3" s="1"/>
  <c r="AV335" i="3"/>
  <c r="AC335" i="3"/>
  <c r="AX335" i="3"/>
  <c r="AE335" i="3" l="1"/>
  <c r="AG335" i="3"/>
  <c r="AA335" i="3" s="1"/>
  <c r="AD335" i="3"/>
  <c r="AB335" i="3" l="1"/>
  <c r="Z336" i="3" s="1"/>
  <c r="X336" i="3"/>
  <c r="Y336" i="3"/>
  <c r="W336" i="3"/>
  <c r="BB336" i="3" l="1"/>
  <c r="AY336" i="3" s="1"/>
  <c r="BA336" i="3"/>
  <c r="AW336" i="3" s="1"/>
  <c r="AK336" i="3"/>
  <c r="AF336" i="3" s="1"/>
  <c r="AL336" i="3"/>
  <c r="AH336" i="3" s="1"/>
  <c r="AJ336" i="3"/>
  <c r="AD336" i="3" s="1"/>
  <c r="AG336" i="3"/>
  <c r="AV336" i="3"/>
  <c r="AX336" i="3"/>
  <c r="AB336" i="3" l="1"/>
  <c r="Z337" i="3" s="1"/>
  <c r="X337" i="3"/>
  <c r="AC336" i="3"/>
  <c r="AE336" i="3"/>
  <c r="AA336" i="3" l="1"/>
  <c r="W337" i="3" s="1"/>
  <c r="Y337" i="3" l="1"/>
  <c r="BA337" i="3"/>
  <c r="AW337" i="3" s="1"/>
  <c r="AK337" i="3"/>
  <c r="AF337" i="3" s="1"/>
  <c r="BB337" i="3"/>
  <c r="AY337" i="3" s="1"/>
  <c r="AJ337" i="3"/>
  <c r="AD337" i="3" s="1"/>
  <c r="AL337" i="3"/>
  <c r="AH337" i="3" s="1"/>
  <c r="AC337" i="3"/>
  <c r="AX337" i="3"/>
  <c r="AV337" i="3"/>
  <c r="AE337" i="3"/>
  <c r="AG337" i="3"/>
  <c r="AB337" i="3" l="1"/>
  <c r="AA337" i="3"/>
  <c r="X338" i="3" l="1"/>
  <c r="Z338" i="3"/>
  <c r="W338" i="3"/>
  <c r="Y338" i="3"/>
  <c r="BA338" i="3" l="1"/>
  <c r="AV338" i="3" s="1"/>
  <c r="AL338" i="3"/>
  <c r="AH338" i="3" s="1"/>
  <c r="BB338" i="3"/>
  <c r="AY338" i="3" s="1"/>
  <c r="AJ338" i="3"/>
  <c r="AD338" i="3" s="1"/>
  <c r="AK338" i="3"/>
  <c r="AF338" i="3" s="1"/>
  <c r="AX338" i="3"/>
  <c r="AG338" i="3"/>
  <c r="AC338" i="3"/>
  <c r="AW338" i="3"/>
  <c r="AB338" i="3" l="1"/>
  <c r="AE338" i="3"/>
  <c r="AA338" i="3" s="1"/>
  <c r="W339" i="3" l="1"/>
  <c r="Y339" i="3"/>
  <c r="Z339" i="3"/>
  <c r="X339" i="3"/>
  <c r="BA339" i="3" l="1"/>
  <c r="AV339" i="3" s="1"/>
  <c r="BB339" i="3"/>
  <c r="AY339" i="3" s="1"/>
  <c r="AL339" i="3"/>
  <c r="AH339" i="3" s="1"/>
  <c r="AJ339" i="3"/>
  <c r="AC339" i="3" s="1"/>
  <c r="AK339" i="3"/>
  <c r="AE339" i="3" s="1"/>
  <c r="AX339" i="3"/>
  <c r="AG339" i="3"/>
  <c r="AA339" i="3" l="1"/>
  <c r="Y340" i="3"/>
  <c r="W340" i="3"/>
  <c r="AW339" i="3"/>
  <c r="AD339" i="3"/>
  <c r="AF339" i="3"/>
  <c r="AB339" i="3" l="1"/>
  <c r="X340" i="3"/>
  <c r="Z340" i="3"/>
  <c r="AK340" i="3" l="1"/>
  <c r="AE340" i="3" s="1"/>
  <c r="BB340" i="3"/>
  <c r="BA340" i="3"/>
  <c r="AJ340" i="3"/>
  <c r="AC340" i="3" s="1"/>
  <c r="AL340" i="3"/>
  <c r="AG340" i="3" s="1"/>
  <c r="AW340" i="3" l="1"/>
  <c r="AV340" i="3"/>
  <c r="AY340" i="3"/>
  <c r="AX340" i="3"/>
  <c r="AH340" i="3"/>
  <c r="AD340" i="3"/>
  <c r="AF340" i="3"/>
  <c r="AB340" i="3" l="1"/>
  <c r="AA340" i="3"/>
  <c r="Y341" i="3"/>
  <c r="W341" i="3"/>
  <c r="Z341" i="3" l="1"/>
  <c r="X341" i="3"/>
  <c r="AJ341" i="3"/>
  <c r="AD341" i="3" s="1"/>
  <c r="BB341" i="3"/>
  <c r="AX341" i="3" s="1"/>
  <c r="AK341" i="3"/>
  <c r="AF341" i="3" s="1"/>
  <c r="AL341" i="3"/>
  <c r="AG341" i="3" s="1"/>
  <c r="AE341" i="3"/>
  <c r="AC341" i="3"/>
  <c r="AY341" i="3" l="1"/>
  <c r="AH341" i="3"/>
  <c r="BA341" i="3"/>
  <c r="AV341" i="3" s="1"/>
  <c r="AA341" i="3" s="1"/>
  <c r="Y342" i="3" l="1"/>
  <c r="W342" i="3"/>
  <c r="AW341" i="3"/>
  <c r="AB341" i="3" s="1"/>
  <c r="X342" i="3" l="1"/>
  <c r="Z342" i="3"/>
  <c r="BB342" i="3"/>
  <c r="AY342" i="3" s="1"/>
  <c r="AL342" i="3"/>
  <c r="AH342" i="3" s="1"/>
  <c r="BA342" i="3"/>
  <c r="AK342" i="3"/>
  <c r="AF342" i="3" s="1"/>
  <c r="AG342" i="3"/>
  <c r="AJ342" i="3"/>
  <c r="AX342" i="3"/>
  <c r="AV342" i="3" l="1"/>
  <c r="AW342" i="3"/>
  <c r="AC342" i="3"/>
  <c r="AD342" i="3"/>
  <c r="AB342" i="3" s="1"/>
  <c r="AE342" i="3"/>
  <c r="Z343" i="3" l="1"/>
  <c r="X343" i="3"/>
  <c r="AA342" i="3"/>
  <c r="Y343" i="3" l="1"/>
  <c r="W343" i="3"/>
  <c r="AK343" i="3" l="1"/>
  <c r="AL343" i="3"/>
  <c r="AJ343" i="3"/>
  <c r="BA343" i="3"/>
  <c r="BB343" i="3"/>
  <c r="AX343" i="3" l="1"/>
  <c r="AY343" i="3"/>
  <c r="AG343" i="3"/>
  <c r="AH343" i="3"/>
  <c r="AV343" i="3"/>
  <c r="AW343" i="3"/>
  <c r="AC343" i="3"/>
  <c r="AD343" i="3"/>
  <c r="AE343" i="3"/>
  <c r="AF343" i="3"/>
  <c r="AB343" i="3" l="1"/>
  <c r="AA343" i="3"/>
  <c r="Y344" i="3" l="1"/>
  <c r="W344" i="3"/>
  <c r="Z344" i="3"/>
  <c r="X344" i="3"/>
  <c r="BB344" i="3" l="1"/>
  <c r="AX344" i="3" s="1"/>
  <c r="AY344" i="3"/>
  <c r="AJ344" i="3"/>
  <c r="AC344" i="3" s="1"/>
  <c r="AL344" i="3"/>
  <c r="AG344" i="3" s="1"/>
  <c r="AK344" i="3"/>
  <c r="AE344" i="3" s="1"/>
  <c r="BA344" i="3"/>
  <c r="AV344" i="3" s="1"/>
  <c r="AH344" i="3" l="1"/>
  <c r="AA344" i="3"/>
  <c r="AW344" i="3"/>
  <c r="AF344" i="3"/>
  <c r="AD344" i="3"/>
  <c r="AB344" i="3" l="1"/>
  <c r="Y345" i="3"/>
  <c r="W345" i="3"/>
  <c r="Z345" i="3" l="1"/>
  <c r="X345" i="3"/>
  <c r="BA345" i="3" s="1"/>
  <c r="AV345" i="3" s="1"/>
  <c r="AK345" i="3" l="1"/>
  <c r="AE345" i="3" s="1"/>
  <c r="BB345" i="3"/>
  <c r="AX345" i="3" s="1"/>
  <c r="AW345" i="3"/>
  <c r="AY345" i="3"/>
  <c r="AF345" i="3"/>
  <c r="AJ345" i="3"/>
  <c r="AC345" i="3" s="1"/>
  <c r="AL345" i="3"/>
  <c r="AG345" i="3" s="1"/>
  <c r="AA345" i="3" l="1"/>
  <c r="W346" i="3"/>
  <c r="Y346" i="3"/>
  <c r="AD345" i="3"/>
  <c r="AH345" i="3"/>
  <c r="AB345" i="3" l="1"/>
  <c r="X346" i="3"/>
  <c r="Z346" i="3"/>
  <c r="BB346" i="3"/>
  <c r="AY346" i="3" s="1"/>
  <c r="AL346" i="3"/>
  <c r="AH346" i="3" s="1"/>
  <c r="AK346" i="3"/>
  <c r="AE346" i="3" s="1"/>
  <c r="BA346" i="3"/>
  <c r="AV346" i="3" s="1"/>
  <c r="AG346" i="3"/>
  <c r="AJ346" i="3"/>
  <c r="AD346" i="3" s="1"/>
  <c r="AX346" i="3"/>
  <c r="AC346" i="3" l="1"/>
  <c r="AA346" i="3" s="1"/>
  <c r="AF346" i="3"/>
  <c r="AW346" i="3"/>
  <c r="AB346" i="3" l="1"/>
  <c r="X347" i="3" s="1"/>
  <c r="Y347" i="3"/>
  <c r="W347" i="3"/>
  <c r="Z347" i="3" l="1"/>
  <c r="BB347" i="3"/>
  <c r="BA347" i="3"/>
  <c r="AK347" i="3"/>
  <c r="AF347" i="3" s="1"/>
  <c r="AL347" i="3"/>
  <c r="AJ347" i="3"/>
  <c r="AE347" i="3"/>
  <c r="AG347" i="3" l="1"/>
  <c r="AH347" i="3"/>
  <c r="AC347" i="3"/>
  <c r="AD347" i="3"/>
  <c r="AV347" i="3"/>
  <c r="AW347" i="3"/>
  <c r="AX347" i="3"/>
  <c r="AY347" i="3"/>
  <c r="AB347" i="3" l="1"/>
  <c r="Z348" i="3"/>
  <c r="X348" i="3"/>
  <c r="AA347" i="3"/>
  <c r="Y348" i="3" l="1"/>
  <c r="W348" i="3"/>
  <c r="AK348" i="3" l="1"/>
  <c r="AF348" i="3" s="1"/>
  <c r="BB348" i="3"/>
  <c r="AL348" i="3"/>
  <c r="AH348" i="3" s="1"/>
  <c r="BA348" i="3"/>
  <c r="AJ348" i="3"/>
  <c r="AD348" i="3" s="1"/>
  <c r="AE348" i="3"/>
  <c r="AC348" i="3"/>
  <c r="AG348" i="3" l="1"/>
  <c r="AX348" i="3"/>
  <c r="AY348" i="3"/>
  <c r="AV348" i="3"/>
  <c r="AA348" i="3" s="1"/>
  <c r="AW348" i="3"/>
  <c r="AB348" i="3" s="1"/>
  <c r="Z349" i="3" l="1"/>
  <c r="X349" i="3"/>
  <c r="Y349" i="3"/>
  <c r="W349" i="3"/>
  <c r="BA349" i="3" l="1"/>
  <c r="AW349" i="3" s="1"/>
  <c r="AJ349" i="3"/>
  <c r="AD349" i="3" s="1"/>
  <c r="BB349" i="3"/>
  <c r="AY349" i="3" s="1"/>
  <c r="AL349" i="3"/>
  <c r="AH349" i="3" s="1"/>
  <c r="AK349" i="3"/>
  <c r="AF349" i="3" s="1"/>
  <c r="AX349" i="3"/>
  <c r="AV349" i="3"/>
  <c r="AC349" i="3"/>
  <c r="AB349" i="3" l="1"/>
  <c r="AG349" i="3"/>
  <c r="AE349" i="3"/>
  <c r="AA349" i="3" s="1"/>
  <c r="Y350" i="3" l="1"/>
  <c r="W350" i="3"/>
  <c r="Z350" i="3"/>
  <c r="X350" i="3"/>
  <c r="BA350" i="3" l="1"/>
  <c r="AV350" i="3" s="1"/>
  <c r="BB350" i="3"/>
  <c r="AY350" i="3" s="1"/>
  <c r="AL350" i="3"/>
  <c r="AH350" i="3" s="1"/>
  <c r="AJ350" i="3"/>
  <c r="AD350" i="3" s="1"/>
  <c r="AG350" i="3"/>
  <c r="AK350" i="3"/>
  <c r="AF350" i="3" s="1"/>
  <c r="AX350" i="3"/>
  <c r="AC350" i="3"/>
  <c r="AE350" i="3" l="1"/>
  <c r="AA350" i="3"/>
  <c r="Y351" i="3" s="1"/>
  <c r="AW350" i="3"/>
  <c r="AB350" i="3" s="1"/>
  <c r="W351" i="3" l="1"/>
  <c r="Z351" i="3"/>
  <c r="X351" i="3"/>
  <c r="BA351" i="3"/>
  <c r="AW351" i="3" s="1"/>
  <c r="AL351" i="3"/>
  <c r="AH351" i="3" s="1"/>
  <c r="AJ351" i="3"/>
  <c r="AD351" i="3" s="1"/>
  <c r="AK351" i="3"/>
  <c r="AF351" i="3" s="1"/>
  <c r="AV351" i="3"/>
  <c r="AC351" i="3"/>
  <c r="AE351" i="3" l="1"/>
  <c r="BB351" i="3"/>
  <c r="AG351" i="3"/>
  <c r="AY351" i="3" l="1"/>
  <c r="AB351" i="3" s="1"/>
  <c r="AX351" i="3"/>
  <c r="AA351" i="3" s="1"/>
  <c r="X352" i="3" l="1"/>
  <c r="Z352" i="3"/>
  <c r="Y352" i="3"/>
  <c r="W352" i="3"/>
  <c r="AK352" i="3" l="1"/>
  <c r="AF352" i="3" s="1"/>
  <c r="BB352" i="3"/>
  <c r="AY352" i="3" s="1"/>
  <c r="AJ352" i="3"/>
  <c r="AD352" i="3" s="1"/>
  <c r="AE352" i="3"/>
  <c r="BA352" i="3"/>
  <c r="AW352" i="3" s="1"/>
  <c r="AL352" i="3"/>
  <c r="AH352" i="3" s="1"/>
  <c r="AC352" i="3"/>
  <c r="AV352" i="3"/>
  <c r="AX352" i="3"/>
  <c r="AB352" i="3" l="1"/>
  <c r="AG352" i="3"/>
  <c r="Z353" i="3"/>
  <c r="X353" i="3"/>
  <c r="AA352" i="3"/>
  <c r="W353" i="3" l="1"/>
  <c r="Y353" i="3"/>
  <c r="AL353" i="3" l="1"/>
  <c r="AH353" i="3" s="1"/>
  <c r="AJ353" i="3"/>
  <c r="AD353" i="3" s="1"/>
  <c r="AK353" i="3"/>
  <c r="AG353" i="3"/>
  <c r="BB353" i="3"/>
  <c r="BA353" i="3"/>
  <c r="AC353" i="3"/>
  <c r="AV353" i="3" l="1"/>
  <c r="AW353" i="3"/>
  <c r="AE353" i="3"/>
  <c r="AF353" i="3"/>
  <c r="AX353" i="3"/>
  <c r="AY353" i="3"/>
  <c r="AB353" i="3" l="1"/>
  <c r="AA353" i="3"/>
  <c r="Z354" i="3"/>
  <c r="X354" i="3"/>
  <c r="Y354" i="3"/>
  <c r="W354" i="3"/>
  <c r="BA354" i="3" l="1"/>
  <c r="AV354" i="3" s="1"/>
  <c r="AJ354" i="3"/>
  <c r="AD354" i="3" s="1"/>
  <c r="BB354" i="3"/>
  <c r="AX354" i="3" s="1"/>
  <c r="AK354" i="3"/>
  <c r="AE354" i="3" s="1"/>
  <c r="AL354" i="3"/>
  <c r="AG354" i="3" s="1"/>
  <c r="AC354" i="3"/>
  <c r="AY354" i="3"/>
  <c r="AH354" i="3"/>
  <c r="AF354" i="3"/>
  <c r="AW354" i="3"/>
  <c r="AB354" i="3" l="1"/>
  <c r="AA354" i="3"/>
  <c r="X355" i="3" l="1"/>
  <c r="Z355" i="3"/>
  <c r="Y355" i="3"/>
  <c r="W355" i="3"/>
  <c r="AJ355" i="3" l="1"/>
  <c r="AC355" i="3" s="1"/>
  <c r="AL355" i="3"/>
  <c r="AH355" i="3" s="1"/>
  <c r="AK355" i="3"/>
  <c r="AE355" i="3" s="1"/>
  <c r="BA355" i="3"/>
  <c r="AW355" i="3" s="1"/>
  <c r="BB355" i="3"/>
  <c r="AY355" i="3" s="1"/>
  <c r="AV355" i="3"/>
  <c r="AD355" i="3"/>
  <c r="AF355" i="3"/>
  <c r="AB355" i="3" l="1"/>
  <c r="AX355" i="3"/>
  <c r="AG355" i="3"/>
  <c r="AA355" i="3" s="1"/>
  <c r="Y356" i="3" l="1"/>
  <c r="W356" i="3"/>
  <c r="X356" i="3"/>
  <c r="Z356" i="3"/>
  <c r="BB356" i="3" l="1"/>
  <c r="AX356" i="3" s="1"/>
  <c r="AY356" i="3"/>
  <c r="AJ356" i="3"/>
  <c r="AC356" i="3" s="1"/>
  <c r="AL356" i="3"/>
  <c r="AG356" i="3" s="1"/>
  <c r="AK356" i="3"/>
  <c r="AE356" i="3" s="1"/>
  <c r="BA356" i="3"/>
  <c r="AV356" i="3" s="1"/>
  <c r="AF356" i="3" l="1"/>
  <c r="AW356" i="3"/>
  <c r="AH356" i="3"/>
  <c r="AA356" i="3"/>
  <c r="AD356" i="3"/>
  <c r="AB356" i="3" s="1"/>
  <c r="X357" i="3" l="1"/>
  <c r="Z357" i="3"/>
  <c r="W357" i="3"/>
  <c r="Y357" i="3"/>
  <c r="AJ357" i="3" l="1"/>
  <c r="AC357" i="3" s="1"/>
  <c r="BB357" i="3"/>
  <c r="AX357" i="3" s="1"/>
  <c r="AK357" i="3"/>
  <c r="AE357" i="3" s="1"/>
  <c r="AL357" i="3"/>
  <c r="AG357" i="3" s="1"/>
  <c r="BA357" i="3"/>
  <c r="AV357" i="3" s="1"/>
  <c r="AF357" i="3"/>
  <c r="AD357" i="3"/>
  <c r="AY357" i="3"/>
  <c r="AH357" i="3" l="1"/>
  <c r="AW357" i="3"/>
  <c r="AB357" i="3" s="1"/>
  <c r="AA357" i="3"/>
  <c r="Z358" i="3" l="1"/>
  <c r="X358" i="3"/>
  <c r="W358" i="3"/>
  <c r="Y358" i="3"/>
  <c r="BB358" i="3"/>
  <c r="AX358" i="3" s="1"/>
  <c r="AY358" i="3" l="1"/>
  <c r="BA358" i="3"/>
  <c r="AJ358" i="3"/>
  <c r="AL358" i="3"/>
  <c r="AK358" i="3"/>
  <c r="AE358" i="3" l="1"/>
  <c r="AF358" i="3"/>
  <c r="AC358" i="3"/>
  <c r="AD358" i="3"/>
  <c r="AG358" i="3"/>
  <c r="AH358" i="3"/>
  <c r="AV358" i="3"/>
  <c r="AW358" i="3"/>
  <c r="AB358" i="3" l="1"/>
  <c r="Z359" i="3"/>
  <c r="X359" i="3"/>
  <c r="AA358" i="3"/>
  <c r="Y359" i="3" l="1"/>
  <c r="W359" i="3"/>
  <c r="AK359" i="3" l="1"/>
  <c r="BA359" i="3"/>
  <c r="AL359" i="3"/>
  <c r="BB359" i="3"/>
  <c r="AJ359" i="3"/>
  <c r="AC359" i="3" l="1"/>
  <c r="AD359" i="3"/>
  <c r="AV359" i="3"/>
  <c r="AW359" i="3"/>
  <c r="AX359" i="3"/>
  <c r="AY359" i="3"/>
  <c r="AG359" i="3"/>
  <c r="AH359" i="3"/>
  <c r="AE359" i="3"/>
  <c r="AF359" i="3"/>
  <c r="AB359" i="3" l="1"/>
  <c r="X360" i="3"/>
  <c r="Z360" i="3"/>
  <c r="AA359" i="3"/>
  <c r="Y360" i="3" l="1"/>
  <c r="W360" i="3"/>
  <c r="BA360" i="3" s="1"/>
  <c r="AV360" i="3" l="1"/>
  <c r="AW360" i="3"/>
  <c r="AJ360" i="3"/>
  <c r="AD360" i="3" s="1"/>
  <c r="AL360" i="3"/>
  <c r="AK360" i="3"/>
  <c r="AF360" i="3" s="1"/>
  <c r="BB360" i="3"/>
  <c r="AC360" i="3"/>
  <c r="AX360" i="3" l="1"/>
  <c r="AY360" i="3"/>
  <c r="AE360" i="3"/>
  <c r="AG360" i="3"/>
  <c r="AH360" i="3"/>
  <c r="AB360" i="3" s="1"/>
  <c r="AA360" i="3" l="1"/>
  <c r="Y361" i="3"/>
  <c r="W361" i="3"/>
  <c r="X361" i="3"/>
  <c r="Z361" i="3"/>
  <c r="BB361" i="3" l="1"/>
  <c r="AY361" i="3" s="1"/>
  <c r="BA361" i="3"/>
  <c r="AW361" i="3" s="1"/>
  <c r="AL361" i="3"/>
  <c r="AH361" i="3" s="1"/>
  <c r="AJ361" i="3"/>
  <c r="AD361" i="3" s="1"/>
  <c r="AK361" i="3"/>
  <c r="AF361" i="3" s="1"/>
  <c r="AG361" i="3"/>
  <c r="AC361" i="3"/>
  <c r="AE361" i="3"/>
  <c r="AV361" i="3"/>
  <c r="AX361" i="3"/>
  <c r="AB361" i="3" l="1"/>
  <c r="Z362" i="3"/>
  <c r="X362" i="3"/>
  <c r="AA361" i="3"/>
  <c r="Y362" i="3" l="1"/>
  <c r="W362" i="3"/>
  <c r="BB362" i="3" l="1"/>
  <c r="AY362" i="3" s="1"/>
  <c r="BA362" i="3"/>
  <c r="AW362" i="3" s="1"/>
  <c r="AJ362" i="3"/>
  <c r="AD362" i="3" s="1"/>
  <c r="AL362" i="3"/>
  <c r="AH362" i="3" s="1"/>
  <c r="AK362" i="3"/>
  <c r="AF362" i="3" s="1"/>
  <c r="AV362" i="3"/>
  <c r="AC362" i="3"/>
  <c r="AX362" i="3"/>
  <c r="AB362" i="3" l="1"/>
  <c r="AE362" i="3"/>
  <c r="AG362" i="3"/>
  <c r="AA362" i="3" s="1"/>
  <c r="Y363" i="3" l="1"/>
  <c r="W363" i="3"/>
  <c r="X363" i="3"/>
  <c r="Z363" i="3"/>
  <c r="BB363" i="3" l="1"/>
  <c r="AY363" i="3" s="1"/>
  <c r="AL363" i="3"/>
  <c r="AH363" i="3" s="1"/>
  <c r="AK363" i="3"/>
  <c r="AF363" i="3" s="1"/>
  <c r="BA363" i="3"/>
  <c r="AV363" i="3" s="1"/>
  <c r="AG363" i="3"/>
  <c r="AJ363" i="3"/>
  <c r="AD363" i="3" s="1"/>
  <c r="AX363" i="3"/>
  <c r="AW363" i="3"/>
  <c r="AB363" i="3" l="1"/>
  <c r="Z364" i="3" s="1"/>
  <c r="X364" i="3"/>
  <c r="AC363" i="3"/>
  <c r="AE363" i="3"/>
  <c r="AA363" i="3" l="1"/>
  <c r="Y364" i="3" l="1"/>
  <c r="W364" i="3"/>
  <c r="BB364" i="3" l="1"/>
  <c r="AY364" i="3" s="1"/>
  <c r="BA364" i="3"/>
  <c r="AW364" i="3" s="1"/>
  <c r="AL364" i="3"/>
  <c r="AH364" i="3" s="1"/>
  <c r="AJ364" i="3"/>
  <c r="AD364" i="3" s="1"/>
  <c r="AK364" i="3"/>
  <c r="AF364" i="3" s="1"/>
  <c r="AX364" i="3"/>
  <c r="AV364" i="3"/>
  <c r="AC364" i="3"/>
  <c r="AB364" i="3" l="1"/>
  <c r="X365" i="3"/>
  <c r="Z365" i="3"/>
  <c r="AE364" i="3"/>
  <c r="AG364" i="3"/>
  <c r="AA364" i="3" l="1"/>
  <c r="W365" i="3"/>
  <c r="Y365" i="3"/>
  <c r="BB365" i="3" l="1"/>
  <c r="AY365" i="3" s="1"/>
  <c r="AK365" i="3"/>
  <c r="AF365" i="3" s="1"/>
  <c r="AL365" i="3"/>
  <c r="AH365" i="3" s="1"/>
  <c r="BA365" i="3"/>
  <c r="AW365" i="3" s="1"/>
  <c r="AJ365" i="3"/>
  <c r="AD365" i="3" s="1"/>
  <c r="AB365" i="3" s="1"/>
  <c r="AX365" i="3"/>
  <c r="AV365" i="3"/>
  <c r="AE365" i="3"/>
  <c r="AG365" i="3"/>
  <c r="X366" i="3" l="1"/>
  <c r="Z366" i="3"/>
  <c r="AC365" i="3"/>
  <c r="AA365" i="3" s="1"/>
  <c r="Y366" i="3" l="1"/>
  <c r="W366" i="3"/>
  <c r="BA366" i="3" l="1"/>
  <c r="AL366" i="3"/>
  <c r="AH366" i="3" s="1"/>
  <c r="AK366" i="3"/>
  <c r="AF366" i="3" s="1"/>
  <c r="AJ366" i="3"/>
  <c r="AD366" i="3" s="1"/>
  <c r="BB366" i="3"/>
  <c r="AY366" i="3" s="1"/>
  <c r="AE366" i="3"/>
  <c r="AC366" i="3"/>
  <c r="AX366" i="3" l="1"/>
  <c r="AV366" i="3"/>
  <c r="AW366" i="3"/>
  <c r="AB366" i="3" s="1"/>
  <c r="AG366" i="3"/>
  <c r="AA366" i="3" s="1"/>
  <c r="W367" i="3" l="1"/>
  <c r="Y367" i="3"/>
  <c r="X367" i="3"/>
  <c r="Z367" i="3"/>
  <c r="AJ367" i="3" l="1"/>
  <c r="AD367" i="3" s="1"/>
  <c r="BA367" i="3"/>
  <c r="AW367" i="3" s="1"/>
  <c r="AK367" i="3"/>
  <c r="AF367" i="3" s="1"/>
  <c r="BB367" i="3"/>
  <c r="AY367" i="3" s="1"/>
  <c r="AL367" i="3"/>
  <c r="AH367" i="3" s="1"/>
  <c r="AV367" i="3"/>
  <c r="AX367" i="3"/>
  <c r="AE367" i="3"/>
  <c r="AC367" i="3"/>
  <c r="AB367" i="3" l="1"/>
  <c r="AG367" i="3"/>
  <c r="AA367" i="3" s="1"/>
  <c r="Y368" i="3" l="1"/>
  <c r="W368" i="3"/>
  <c r="X368" i="3"/>
  <c r="Z368" i="3"/>
  <c r="AK368" i="3" l="1"/>
  <c r="AF368" i="3" s="1"/>
  <c r="BB368" i="3"/>
  <c r="AY368" i="3" s="1"/>
  <c r="AJ368" i="3"/>
  <c r="AD368" i="3" s="1"/>
  <c r="BA368" i="3"/>
  <c r="AW368" i="3" s="1"/>
  <c r="AL368" i="3"/>
  <c r="AH368" i="3" s="1"/>
  <c r="AV368" i="3"/>
  <c r="AX368" i="3"/>
  <c r="AE368" i="3"/>
  <c r="AC368" i="3"/>
  <c r="AB368" i="3" l="1"/>
  <c r="AG368" i="3"/>
  <c r="AA368" i="3" s="1"/>
  <c r="W369" i="3" l="1"/>
  <c r="Y369" i="3"/>
  <c r="X369" i="3"/>
  <c r="Z369" i="3"/>
  <c r="BB369" i="3" l="1"/>
  <c r="AY369" i="3" s="1"/>
  <c r="AK369" i="3"/>
  <c r="AF369" i="3" s="1"/>
  <c r="AL369" i="3"/>
  <c r="AH369" i="3" s="1"/>
  <c r="BA369" i="3"/>
  <c r="AV369" i="3" s="1"/>
  <c r="AJ369" i="3"/>
  <c r="AD369" i="3" s="1"/>
  <c r="AG369" i="3"/>
  <c r="AX369" i="3"/>
  <c r="AE369" i="3"/>
  <c r="AC369" i="3" l="1"/>
  <c r="AA369" i="3" s="1"/>
  <c r="AW369" i="3"/>
  <c r="AB369" i="3" s="1"/>
  <c r="Z370" i="3" l="1"/>
  <c r="X370" i="3"/>
  <c r="Y370" i="3"/>
  <c r="W370" i="3"/>
  <c r="AL370" i="3" l="1"/>
  <c r="AH370" i="3" s="1"/>
  <c r="BB370" i="3"/>
  <c r="AY370" i="3" s="1"/>
  <c r="BA370" i="3"/>
  <c r="AW370" i="3" s="1"/>
  <c r="AJ370" i="3"/>
  <c r="AD370" i="3" s="1"/>
  <c r="AG370" i="3"/>
  <c r="AK370" i="3"/>
  <c r="AF370" i="3" s="1"/>
  <c r="AV370" i="3"/>
  <c r="AX370" i="3"/>
  <c r="AB370" i="3" l="1"/>
  <c r="AE370" i="3"/>
  <c r="AC370" i="3"/>
  <c r="AA370" i="3" s="1"/>
  <c r="Z371" i="3" l="1"/>
  <c r="X371" i="3"/>
  <c r="Y371" i="3"/>
  <c r="W371" i="3"/>
  <c r="AK371" i="3" l="1"/>
  <c r="AF371" i="3" s="1"/>
  <c r="AJ371" i="3"/>
  <c r="AC371" i="3" s="1"/>
  <c r="BB371" i="3"/>
  <c r="AY371" i="3" s="1"/>
  <c r="BA371" i="3"/>
  <c r="AW371" i="3" s="1"/>
  <c r="AL371" i="3"/>
  <c r="AH371" i="3" s="1"/>
  <c r="AE371" i="3"/>
  <c r="AX371" i="3"/>
  <c r="AV371" i="3"/>
  <c r="AG371" i="3"/>
  <c r="AD371" i="3"/>
  <c r="AB371" i="3" l="1"/>
  <c r="Z372" i="3" s="1"/>
  <c r="X372" i="3"/>
  <c r="AA371" i="3"/>
  <c r="Y372" i="3" l="1"/>
  <c r="W372" i="3"/>
  <c r="BB372" i="3" l="1"/>
  <c r="AY372" i="3" s="1"/>
  <c r="AL372" i="3"/>
  <c r="AH372" i="3" s="1"/>
  <c r="AJ372" i="3"/>
  <c r="AD372" i="3" s="1"/>
  <c r="AK372" i="3"/>
  <c r="AF372" i="3" s="1"/>
  <c r="BA372" i="3"/>
  <c r="AX372" i="3"/>
  <c r="AC372" i="3"/>
  <c r="AG372" i="3"/>
  <c r="AE372" i="3"/>
  <c r="AV372" i="3" l="1"/>
  <c r="AW372" i="3"/>
  <c r="AB372" i="3" s="1"/>
  <c r="AA372" i="3"/>
  <c r="Z373" i="3" l="1"/>
  <c r="X373" i="3"/>
  <c r="W373" i="3"/>
  <c r="Y373" i="3"/>
  <c r="BB373" i="3" l="1"/>
  <c r="AY373" i="3" s="1"/>
  <c r="AL373" i="3"/>
  <c r="AH373" i="3" s="1"/>
  <c r="AJ373" i="3"/>
  <c r="AD373" i="3" s="1"/>
  <c r="BA373" i="3"/>
  <c r="AW373" i="3" s="1"/>
  <c r="AG373" i="3"/>
  <c r="AK373" i="3"/>
  <c r="AF373" i="3" s="1"/>
  <c r="AC373" i="3"/>
  <c r="AV373" i="3"/>
  <c r="AX373" i="3"/>
  <c r="AB373" i="3" l="1"/>
  <c r="AE373" i="3"/>
  <c r="AA373" i="3" s="1"/>
  <c r="X374" i="3" l="1"/>
  <c r="Z374" i="3"/>
  <c r="Y374" i="3"/>
  <c r="W374" i="3"/>
  <c r="BB374" i="3" l="1"/>
  <c r="AY374" i="3" s="1"/>
  <c r="AJ374" i="3"/>
  <c r="AC374" i="3" s="1"/>
  <c r="BA374" i="3"/>
  <c r="AW374" i="3" s="1"/>
  <c r="AK374" i="3"/>
  <c r="AF374" i="3" s="1"/>
  <c r="AL374" i="3"/>
  <c r="AH374" i="3" s="1"/>
  <c r="AX374" i="3"/>
  <c r="AE374" i="3"/>
  <c r="AV374" i="3"/>
  <c r="AD374" i="3"/>
  <c r="AB374" i="3" l="1"/>
  <c r="Z375" i="3" s="1"/>
  <c r="X375" i="3"/>
  <c r="AG374" i="3"/>
  <c r="AA374" i="3" s="1"/>
  <c r="Y375" i="3" l="1"/>
  <c r="W375" i="3"/>
  <c r="BB375" i="3" l="1"/>
  <c r="AY375" i="3" s="1"/>
  <c r="AJ375" i="3"/>
  <c r="AD375" i="3" s="1"/>
  <c r="AK375" i="3"/>
  <c r="AF375" i="3" s="1"/>
  <c r="AL375" i="3"/>
  <c r="AH375" i="3" s="1"/>
  <c r="BA375" i="3"/>
  <c r="AE375" i="3"/>
  <c r="AX375" i="3"/>
  <c r="AC375" i="3"/>
  <c r="AV375" i="3" l="1"/>
  <c r="AW375" i="3"/>
  <c r="AB375" i="3" s="1"/>
  <c r="AG375" i="3"/>
  <c r="AA375" i="3" s="1"/>
  <c r="Y376" i="3" l="1"/>
  <c r="W376" i="3"/>
  <c r="Z376" i="3"/>
  <c r="X376" i="3"/>
  <c r="BB376" i="3" l="1"/>
  <c r="AY376" i="3" s="1"/>
  <c r="AL376" i="3"/>
  <c r="AH376" i="3" s="1"/>
  <c r="AK376" i="3"/>
  <c r="AF376" i="3" s="1"/>
  <c r="AJ376" i="3"/>
  <c r="AD376" i="3" s="1"/>
  <c r="BA376" i="3"/>
  <c r="AW376" i="3" s="1"/>
  <c r="AX376" i="3"/>
  <c r="AG376" i="3"/>
  <c r="AC376" i="3"/>
  <c r="AE376" i="3"/>
  <c r="AB376" i="3" l="1"/>
  <c r="AV376" i="3"/>
  <c r="AA376" i="3"/>
  <c r="Y377" i="3" l="1"/>
  <c r="W377" i="3"/>
  <c r="Z377" i="3"/>
  <c r="X377" i="3"/>
  <c r="BB377" i="3" l="1"/>
  <c r="AX377" i="3" s="1"/>
  <c r="AL377" i="3"/>
  <c r="AG377" i="3" s="1"/>
  <c r="BA377" i="3"/>
  <c r="AV377" i="3" s="1"/>
  <c r="AK377" i="3"/>
  <c r="AF377" i="3" s="1"/>
  <c r="AJ377" i="3"/>
  <c r="AD377" i="3" s="1"/>
  <c r="AE377" i="3" l="1"/>
  <c r="AC377" i="3"/>
  <c r="AA377" i="3" s="1"/>
  <c r="AY377" i="3"/>
  <c r="AH377" i="3"/>
  <c r="AW377" i="3"/>
  <c r="AB377" i="3" l="1"/>
  <c r="Z378" i="3"/>
  <c r="X378" i="3"/>
  <c r="Y378" i="3"/>
  <c r="W378" i="3"/>
  <c r="BB378" i="3" l="1"/>
  <c r="AX378" i="3" s="1"/>
  <c r="AJ378" i="3"/>
  <c r="AD378" i="3" s="1"/>
  <c r="BA378" i="3"/>
  <c r="AV378" i="3" s="1"/>
  <c r="AL378" i="3"/>
  <c r="AH378" i="3" s="1"/>
  <c r="AK378" i="3"/>
  <c r="AF378" i="3" s="1"/>
  <c r="AG378" i="3"/>
  <c r="AC378" i="3"/>
  <c r="AW378" i="3"/>
  <c r="AY378" i="3"/>
  <c r="AB378" i="3" l="1"/>
  <c r="AE378" i="3"/>
  <c r="AA378" i="3" s="1"/>
  <c r="Y379" i="3" s="1"/>
  <c r="W379" i="3" l="1"/>
  <c r="Z379" i="3"/>
  <c r="X379" i="3"/>
  <c r="AL379" i="3"/>
  <c r="AG379" i="3" s="1"/>
  <c r="BA379" i="3"/>
  <c r="AV379" i="3" s="1"/>
  <c r="AK379" i="3"/>
  <c r="AJ379" i="3"/>
  <c r="AC379" i="3" s="1"/>
  <c r="AE379" i="3"/>
  <c r="AF379" i="3" l="1"/>
  <c r="AD379" i="3"/>
  <c r="AH379" i="3"/>
  <c r="AW379" i="3"/>
  <c r="BB379" i="3"/>
  <c r="AY379" i="3" l="1"/>
  <c r="AB379" i="3" s="1"/>
  <c r="AX379" i="3"/>
  <c r="AA379" i="3" s="1"/>
  <c r="X380" i="3" l="1"/>
  <c r="Z380" i="3"/>
  <c r="Y380" i="3"/>
  <c r="W380" i="3"/>
  <c r="AK380" i="3" l="1"/>
  <c r="AF380" i="3" s="1"/>
  <c r="AJ380" i="3"/>
  <c r="AL380" i="3"/>
  <c r="BB380" i="3"/>
  <c r="BA380" i="3"/>
  <c r="AE380" i="3"/>
  <c r="AG380" i="3" l="1"/>
  <c r="AH380" i="3"/>
  <c r="AV380" i="3"/>
  <c r="AW380" i="3"/>
  <c r="AC380" i="3"/>
  <c r="AD380" i="3"/>
  <c r="AX380" i="3"/>
  <c r="AY380" i="3"/>
  <c r="AB380" i="3" l="1"/>
  <c r="X381" i="3"/>
  <c r="Z381" i="3"/>
  <c r="AA380" i="3"/>
  <c r="Y381" i="3" l="1"/>
  <c r="W381" i="3"/>
  <c r="AL381" i="3" l="1"/>
  <c r="AJ381" i="3"/>
  <c r="AK381" i="3"/>
  <c r="BA381" i="3"/>
  <c r="BB381" i="3"/>
  <c r="AV381" i="3" l="1"/>
  <c r="AW381" i="3"/>
  <c r="AX381" i="3"/>
  <c r="AY381" i="3"/>
  <c r="AC381" i="3"/>
  <c r="AD381" i="3"/>
  <c r="AE381" i="3"/>
  <c r="AF381" i="3"/>
  <c r="AG381" i="3"/>
  <c r="AH381" i="3"/>
  <c r="AB381" i="3" l="1"/>
  <c r="AA381" i="3"/>
  <c r="W382" i="3" l="1"/>
  <c r="Y382" i="3"/>
  <c r="Z382" i="3"/>
  <c r="X382" i="3"/>
  <c r="BB382" i="3" l="1"/>
  <c r="AX382" i="3" s="1"/>
  <c r="AK382" i="3"/>
  <c r="AF382" i="3" s="1"/>
  <c r="AL382" i="3"/>
  <c r="AH382" i="3" s="1"/>
  <c r="BA382" i="3"/>
  <c r="AV382" i="3" s="1"/>
  <c r="AJ382" i="3"/>
  <c r="AD382" i="3" s="1"/>
  <c r="AE382" i="3"/>
  <c r="AG382" i="3"/>
  <c r="AW382" i="3" l="1"/>
  <c r="AC382" i="3"/>
  <c r="AA382" i="3" s="1"/>
  <c r="AY382" i="3"/>
  <c r="AB382" i="3" l="1"/>
  <c r="Z383" i="3"/>
  <c r="X383" i="3"/>
  <c r="W383" i="3"/>
  <c r="Y383" i="3"/>
  <c r="BA383" i="3" l="1"/>
  <c r="AW383" i="3" s="1"/>
  <c r="BB383" i="3"/>
  <c r="AY383" i="3" s="1"/>
  <c r="AL383" i="3"/>
  <c r="AH383" i="3" s="1"/>
  <c r="AJ383" i="3"/>
  <c r="AD383" i="3" s="1"/>
  <c r="AK383" i="3"/>
  <c r="AF383" i="3" s="1"/>
  <c r="AV383" i="3"/>
  <c r="AC383" i="3"/>
  <c r="AX383" i="3"/>
  <c r="AB383" i="3" l="1"/>
  <c r="AG383" i="3"/>
  <c r="AE383" i="3"/>
  <c r="AA383" i="3" s="1"/>
  <c r="Y384" i="3" l="1"/>
  <c r="W384" i="3"/>
  <c r="X384" i="3"/>
  <c r="Z384" i="3"/>
  <c r="AL384" i="3" l="1"/>
  <c r="AH384" i="3" s="1"/>
  <c r="AK384" i="3"/>
  <c r="AF384" i="3" s="1"/>
  <c r="AG384" i="3"/>
  <c r="AJ384" i="3"/>
  <c r="AD384" i="3" s="1"/>
  <c r="BA384" i="3"/>
  <c r="AV384" i="3" s="1"/>
  <c r="BB384" i="3"/>
  <c r="AX384" i="3" s="1"/>
  <c r="AE384" i="3"/>
  <c r="AY384" i="3" l="1"/>
  <c r="AW384" i="3"/>
  <c r="AB384" i="3" s="1"/>
  <c r="AC384" i="3"/>
  <c r="AA384" i="3" s="1"/>
  <c r="X385" i="3" l="1"/>
  <c r="Z385" i="3"/>
  <c r="W385" i="3"/>
  <c r="Y385" i="3"/>
  <c r="AL385" i="3" l="1"/>
  <c r="AH385" i="3" s="1"/>
  <c r="BB385" i="3"/>
  <c r="BA385" i="3"/>
  <c r="AK385" i="3"/>
  <c r="AF385" i="3" s="1"/>
  <c r="AG385" i="3"/>
  <c r="AJ385" i="3"/>
  <c r="AC385" i="3" l="1"/>
  <c r="AD385" i="3"/>
  <c r="AE385" i="3"/>
  <c r="AX385" i="3"/>
  <c r="AY385" i="3"/>
  <c r="AV385" i="3"/>
  <c r="AW385" i="3"/>
  <c r="AB385" i="3" l="1"/>
  <c r="X386" i="3"/>
  <c r="Z386" i="3"/>
  <c r="AA385" i="3"/>
  <c r="Y386" i="3" l="1"/>
  <c r="W386" i="3"/>
  <c r="AK386" i="3" l="1"/>
  <c r="AF386" i="3" s="1"/>
  <c r="BB386" i="3"/>
  <c r="AY386" i="3" s="1"/>
  <c r="AL386" i="3"/>
  <c r="AH386" i="3" s="1"/>
  <c r="AJ386" i="3"/>
  <c r="AD386" i="3" s="1"/>
  <c r="BA386" i="3"/>
  <c r="AW386" i="3" s="1"/>
  <c r="AG386" i="3"/>
  <c r="AC386" i="3"/>
  <c r="AX386" i="3"/>
  <c r="AE386" i="3"/>
  <c r="AB386" i="3" l="1"/>
  <c r="AV386" i="3"/>
  <c r="AA386" i="3" s="1"/>
  <c r="Z387" i="3"/>
  <c r="X387" i="3"/>
  <c r="W387" i="3" l="1"/>
  <c r="Y387" i="3"/>
  <c r="BA387" i="3" l="1"/>
  <c r="AL387" i="3"/>
  <c r="AH387" i="3" s="1"/>
  <c r="AK387" i="3"/>
  <c r="BB387" i="3"/>
  <c r="AJ387" i="3"/>
  <c r="AG387" i="3" l="1"/>
  <c r="AX387" i="3"/>
  <c r="AY387" i="3"/>
  <c r="AC387" i="3"/>
  <c r="AD387" i="3"/>
  <c r="AE387" i="3"/>
  <c r="AF387" i="3"/>
  <c r="AV387" i="3"/>
  <c r="AW387" i="3"/>
  <c r="AB387" i="3" l="1"/>
  <c r="X388" i="3"/>
  <c r="Z388" i="3"/>
  <c r="AA387" i="3"/>
  <c r="W388" i="3" l="1"/>
  <c r="Y388" i="3"/>
  <c r="AJ388" i="3" l="1"/>
  <c r="BB388" i="3"/>
  <c r="AK388" i="3"/>
  <c r="AF388" i="3" s="1"/>
  <c r="BA388" i="3"/>
  <c r="AL388" i="3"/>
  <c r="AE388" i="3" l="1"/>
  <c r="AV388" i="3"/>
  <c r="AW388" i="3"/>
  <c r="AG388" i="3"/>
  <c r="AH388" i="3"/>
  <c r="AC388" i="3"/>
  <c r="AD388" i="3"/>
  <c r="AX388" i="3"/>
  <c r="AY388" i="3"/>
  <c r="AB388" i="3" l="1"/>
  <c r="AA388" i="3"/>
  <c r="Z389" i="3"/>
  <c r="X389" i="3"/>
  <c r="Y389" i="3" l="1"/>
  <c r="W389" i="3"/>
  <c r="BB389" i="3" l="1"/>
  <c r="AJ389" i="3"/>
  <c r="BA389" i="3"/>
  <c r="AL389" i="3"/>
  <c r="AK389" i="3"/>
  <c r="AE389" i="3" l="1"/>
  <c r="AF389" i="3"/>
  <c r="AC389" i="3"/>
  <c r="AD389" i="3"/>
  <c r="AG389" i="3"/>
  <c r="AH389" i="3"/>
  <c r="AV389" i="3"/>
  <c r="AW389" i="3"/>
  <c r="AX389" i="3"/>
  <c r="AY389" i="3"/>
  <c r="AB389" i="3" l="1"/>
  <c r="X390" i="3"/>
  <c r="Z390" i="3"/>
  <c r="AA389" i="3"/>
  <c r="Y390" i="3" l="1"/>
  <c r="W390" i="3"/>
  <c r="AL390" i="3" l="1"/>
  <c r="BA390" i="3"/>
  <c r="AJ390" i="3"/>
  <c r="AK390" i="3"/>
  <c r="BB390" i="3"/>
  <c r="AX390" i="3" l="1"/>
  <c r="AY390" i="3"/>
  <c r="AV390" i="3"/>
  <c r="AW390" i="3"/>
  <c r="AE390" i="3"/>
  <c r="AF390" i="3"/>
  <c r="AC390" i="3"/>
  <c r="AD390" i="3"/>
  <c r="AG390" i="3"/>
  <c r="AH390" i="3"/>
  <c r="AB390" i="3" l="1"/>
  <c r="Z391" i="3"/>
  <c r="X391" i="3"/>
  <c r="AA390" i="3"/>
  <c r="Y391" i="3" l="1"/>
  <c r="W391" i="3"/>
  <c r="AK391" i="3" l="1"/>
  <c r="AJ391" i="3"/>
  <c r="BA391" i="3"/>
  <c r="AL391" i="3"/>
  <c r="BB391" i="3"/>
  <c r="AX391" i="3" l="1"/>
  <c r="AY391" i="3"/>
  <c r="AC391" i="3"/>
  <c r="AD391" i="3"/>
  <c r="AG391" i="3"/>
  <c r="AH391" i="3"/>
  <c r="AV391" i="3"/>
  <c r="AW391" i="3"/>
  <c r="AE391" i="3"/>
  <c r="AF391" i="3"/>
  <c r="AB391" i="3" l="1"/>
  <c r="AA391" i="3"/>
  <c r="Y392" i="3" l="1"/>
  <c r="W392" i="3"/>
  <c r="Z392" i="3"/>
  <c r="X392" i="3"/>
  <c r="AK392" i="3" l="1"/>
  <c r="AF392" i="3" s="1"/>
  <c r="BB392" i="3"/>
  <c r="AX392" i="3" s="1"/>
  <c r="AJ392" i="3"/>
  <c r="AL392" i="3"/>
  <c r="AG392" i="3" s="1"/>
  <c r="BA392" i="3"/>
  <c r="AV392" i="3" s="1"/>
  <c r="AE392" i="3"/>
  <c r="AC392" i="3"/>
  <c r="AD392" i="3"/>
  <c r="AW392" i="3"/>
  <c r="AY392" i="3"/>
  <c r="AH392" i="3"/>
  <c r="AB392" i="3" l="1"/>
  <c r="X393" i="3" s="1"/>
  <c r="Z393" i="3"/>
  <c r="AA392" i="3"/>
  <c r="Y393" i="3" l="1"/>
  <c r="W393" i="3"/>
  <c r="AL393" i="3" l="1"/>
  <c r="BB393" i="3"/>
  <c r="AY393" i="3" s="1"/>
  <c r="AJ393" i="3"/>
  <c r="AD393" i="3" s="1"/>
  <c r="AK393" i="3"/>
  <c r="AF393" i="3" s="1"/>
  <c r="BA393" i="3"/>
  <c r="AC393" i="3"/>
  <c r="AX393" i="3"/>
  <c r="AE393" i="3" l="1"/>
  <c r="AV393" i="3"/>
  <c r="AW393" i="3"/>
  <c r="AG393" i="3"/>
  <c r="AA393" i="3" s="1"/>
  <c r="AH393" i="3"/>
  <c r="AB393" i="3" s="1"/>
  <c r="Y394" i="3" l="1"/>
  <c r="W394" i="3"/>
  <c r="X394" i="3"/>
  <c r="Z394" i="3"/>
  <c r="AK394" i="3" l="1"/>
  <c r="AF394" i="3" s="1"/>
  <c r="BA394" i="3"/>
  <c r="AV394" i="3" s="1"/>
  <c r="AJ394" i="3"/>
  <c r="AD394" i="3" s="1"/>
  <c r="AL394" i="3"/>
  <c r="AG394" i="3" s="1"/>
  <c r="BB394" i="3"/>
  <c r="AY394" i="3" s="1"/>
  <c r="AC394" i="3"/>
  <c r="AE394" i="3"/>
  <c r="AX394" i="3" l="1"/>
  <c r="AA394" i="3"/>
  <c r="AW394" i="3"/>
  <c r="AH394" i="3"/>
  <c r="AB394" i="3" l="1"/>
  <c r="Z395" i="3"/>
  <c r="X395" i="3"/>
  <c r="W395" i="3"/>
  <c r="Y395" i="3"/>
  <c r="BB395" i="3" l="1"/>
  <c r="AX395" i="3" s="1"/>
  <c r="AJ395" i="3"/>
  <c r="AD395" i="3" s="1"/>
  <c r="AK395" i="3"/>
  <c r="AF395" i="3" s="1"/>
  <c r="BA395" i="3"/>
  <c r="AV395" i="3" s="1"/>
  <c r="AL395" i="3"/>
  <c r="AG395" i="3" s="1"/>
  <c r="AE395" i="3"/>
  <c r="AC395" i="3"/>
  <c r="AY395" i="3"/>
  <c r="AH395" i="3"/>
  <c r="AW395" i="3" l="1"/>
  <c r="AB395" i="3" s="1"/>
  <c r="AA395" i="3"/>
  <c r="Y396" i="3" s="1"/>
  <c r="W396" i="3" l="1"/>
  <c r="X396" i="3"/>
  <c r="Z396" i="3"/>
  <c r="BA396" i="3"/>
  <c r="AV396" i="3" s="1"/>
  <c r="AJ396" i="3"/>
  <c r="AC396" i="3" s="1"/>
  <c r="AK396" i="3"/>
  <c r="AE396" i="3" s="1"/>
  <c r="BB396" i="3"/>
  <c r="AX396" i="3" s="1"/>
  <c r="AL396" i="3"/>
  <c r="AH396" i="3" s="1"/>
  <c r="AG396" i="3" l="1"/>
  <c r="AA396" i="3"/>
  <c r="AY396" i="3"/>
  <c r="AF396" i="3"/>
  <c r="AD396" i="3"/>
  <c r="AW396" i="3"/>
  <c r="AB396" i="3" l="1"/>
  <c r="Z397" i="3" s="1"/>
  <c r="X397" i="3"/>
  <c r="Y397" i="3"/>
  <c r="W397" i="3"/>
  <c r="BB397" i="3" l="1"/>
  <c r="AX397" i="3" s="1"/>
  <c r="AL397" i="3"/>
  <c r="AG397" i="3" s="1"/>
  <c r="BA397" i="3"/>
  <c r="AV397" i="3" s="1"/>
  <c r="AJ397" i="3"/>
  <c r="AC397" i="3" s="1"/>
  <c r="AK397" i="3"/>
  <c r="AE397" i="3" s="1"/>
  <c r="AY397" i="3"/>
  <c r="AH397" i="3"/>
  <c r="AW397" i="3"/>
  <c r="AD397" i="3"/>
  <c r="AF397" i="3" l="1"/>
  <c r="AB397" i="3" s="1"/>
  <c r="AA397" i="3"/>
  <c r="Z398" i="3" l="1"/>
  <c r="X398" i="3"/>
  <c r="Y398" i="3"/>
  <c r="W398" i="3"/>
  <c r="BA398" i="3" l="1"/>
  <c r="AW398" i="3" s="1"/>
  <c r="BB398" i="3"/>
  <c r="AY398" i="3" s="1"/>
  <c r="AJ398" i="3"/>
  <c r="AL398" i="3"/>
  <c r="AK398" i="3"/>
  <c r="AX398" i="3"/>
  <c r="AV398" i="3"/>
  <c r="AC398" i="3" l="1"/>
  <c r="AD398" i="3"/>
  <c r="AE398" i="3"/>
  <c r="AF398" i="3"/>
  <c r="AG398" i="3"/>
  <c r="AH398" i="3"/>
  <c r="AB398" i="3" l="1"/>
  <c r="AA398" i="3"/>
  <c r="W399" i="3" l="1"/>
  <c r="Y399" i="3"/>
  <c r="Z399" i="3"/>
  <c r="X399" i="3"/>
  <c r="BA399" i="3" l="1"/>
  <c r="AV399" i="3" s="1"/>
  <c r="AL399" i="3"/>
  <c r="AG399" i="3" s="1"/>
  <c r="AJ399" i="3"/>
  <c r="AC399" i="3" s="1"/>
  <c r="AK399" i="3"/>
  <c r="AE399" i="3" s="1"/>
  <c r="BB399" i="3"/>
  <c r="AX399" i="3" s="1"/>
  <c r="AA399" i="3" l="1"/>
  <c r="AD399" i="3"/>
  <c r="AF399" i="3"/>
  <c r="AH399" i="3"/>
  <c r="AY399" i="3"/>
  <c r="AW399" i="3"/>
  <c r="AB399" i="3" l="1"/>
  <c r="Y400" i="3"/>
  <c r="W400" i="3"/>
  <c r="Z400" i="3" l="1"/>
  <c r="X400" i="3"/>
  <c r="BA400" i="3" l="1"/>
  <c r="AV400" i="3" s="1"/>
  <c r="AK400" i="3"/>
  <c r="AE400" i="3" s="1"/>
  <c r="AL400" i="3"/>
  <c r="AG400" i="3" s="1"/>
  <c r="BB400" i="3"/>
  <c r="AX400" i="3" s="1"/>
  <c r="AJ400" i="3"/>
  <c r="AC400" i="3" s="1"/>
  <c r="AA400" i="3" s="1"/>
  <c r="W401" i="3" l="1"/>
  <c r="Y401" i="3"/>
  <c r="AY400" i="3"/>
  <c r="AH400" i="3"/>
  <c r="AF400" i="3"/>
  <c r="AD400" i="3"/>
  <c r="AW400" i="3"/>
  <c r="AB400" i="3" l="1"/>
  <c r="Z401" i="3"/>
  <c r="X401" i="3"/>
  <c r="BB401" i="3" l="1"/>
  <c r="AX401" i="3" s="1"/>
  <c r="AK401" i="3"/>
  <c r="AE401" i="3" s="1"/>
  <c r="AL401" i="3"/>
  <c r="AG401" i="3" s="1"/>
  <c r="AJ401" i="3"/>
  <c r="AC401" i="3" s="1"/>
  <c r="BA401" i="3"/>
  <c r="AV401" i="3" s="1"/>
  <c r="AA401" i="3" l="1"/>
  <c r="AW401" i="3"/>
  <c r="AF401" i="3"/>
  <c r="AY401" i="3"/>
  <c r="AH401" i="3"/>
  <c r="AD401" i="3"/>
  <c r="AB401" i="3" s="1"/>
  <c r="X402" i="3" l="1"/>
  <c r="Z402" i="3"/>
  <c r="Y402" i="3"/>
  <c r="W402" i="3"/>
  <c r="AK402" i="3" l="1"/>
  <c r="AE402" i="3" s="1"/>
  <c r="AJ402" i="3"/>
  <c r="AC402" i="3" s="1"/>
  <c r="AL402" i="3"/>
  <c r="AG402" i="3" s="1"/>
  <c r="BA402" i="3"/>
  <c r="AV402" i="3" s="1"/>
  <c r="BB402" i="3"/>
  <c r="AX402" i="3" s="1"/>
  <c r="AW402" i="3"/>
  <c r="AD402" i="3"/>
  <c r="AH402" i="3"/>
  <c r="AF402" i="3"/>
  <c r="AY402" i="3" l="1"/>
  <c r="AB402" i="3" s="1"/>
  <c r="AA402" i="3"/>
  <c r="Y403" i="3" l="1"/>
  <c r="W403" i="3"/>
  <c r="Z403" i="3"/>
  <c r="X403" i="3"/>
  <c r="BB403" i="3" l="1"/>
  <c r="AX403" i="3" s="1"/>
  <c r="BA403" i="3"/>
  <c r="AV403" i="3" s="1"/>
  <c r="AL403" i="3"/>
  <c r="AG403" i="3" s="1"/>
  <c r="AK403" i="3"/>
  <c r="AE403" i="3" s="1"/>
  <c r="AJ403" i="3"/>
  <c r="AC403" i="3" s="1"/>
  <c r="AA403" i="3" s="1"/>
  <c r="Y404" i="3" s="1"/>
  <c r="W404" i="3" l="1"/>
  <c r="AH403" i="3"/>
  <c r="AD403" i="3"/>
  <c r="AY403" i="3"/>
  <c r="AF403" i="3"/>
  <c r="AW403" i="3"/>
  <c r="AB403" i="3" l="1"/>
  <c r="Z404" i="3"/>
  <c r="X404" i="3"/>
  <c r="AK404" i="3" l="1"/>
  <c r="AE404" i="3" s="1"/>
  <c r="BA404" i="3"/>
  <c r="BB404" i="3"/>
  <c r="AJ404" i="3"/>
  <c r="AL404" i="3"/>
  <c r="AH404" i="3" l="1"/>
  <c r="AG404" i="3"/>
  <c r="AY404" i="3"/>
  <c r="AX404" i="3"/>
  <c r="AW404" i="3"/>
  <c r="AV404" i="3"/>
  <c r="AD404" i="3"/>
  <c r="AC404" i="3"/>
  <c r="AA404" i="3" s="1"/>
  <c r="AF404" i="3"/>
  <c r="AB404" i="3" l="1"/>
  <c r="X405" i="3"/>
  <c r="Z405" i="3"/>
  <c r="Y405" i="3"/>
  <c r="W405" i="3"/>
  <c r="AL405" i="3" l="1"/>
  <c r="AG405" i="3" s="1"/>
  <c r="AK405" i="3"/>
  <c r="AF405" i="3" s="1"/>
  <c r="AJ405" i="3"/>
  <c r="AD405" i="3" s="1"/>
  <c r="BA405" i="3"/>
  <c r="AV405" i="3" s="1"/>
  <c r="BB405" i="3"/>
  <c r="AX405" i="3" s="1"/>
  <c r="AE405" i="3"/>
  <c r="AC405" i="3"/>
  <c r="AH405" i="3"/>
  <c r="AW405" i="3"/>
  <c r="AY405" i="3"/>
  <c r="AB405" i="3" l="1"/>
  <c r="AA405" i="3"/>
  <c r="Y406" i="3" s="1"/>
  <c r="W406" i="3"/>
  <c r="Z406" i="3" l="1"/>
  <c r="X406" i="3"/>
  <c r="AL406" i="3"/>
  <c r="BB406" i="3"/>
  <c r="AX406" i="3" s="1"/>
  <c r="AK406" i="3"/>
  <c r="AF406" i="3" s="1"/>
  <c r="AJ406" i="3"/>
  <c r="AD406" i="3" s="1"/>
  <c r="AG406" i="3"/>
  <c r="BA406" i="3"/>
  <c r="AV406" i="3" s="1"/>
  <c r="AE406" i="3"/>
  <c r="AC406" i="3"/>
  <c r="AA406" i="3" l="1"/>
  <c r="Y407" i="3" s="1"/>
  <c r="W407" i="3"/>
  <c r="AY406" i="3"/>
  <c r="AH406" i="3"/>
  <c r="AW406" i="3"/>
  <c r="AB406" i="3" l="1"/>
  <c r="Z407" i="3"/>
  <c r="X407" i="3"/>
  <c r="AJ407" i="3"/>
  <c r="AD407" i="3" s="1"/>
  <c r="BB407" i="3"/>
  <c r="AY407" i="3" s="1"/>
  <c r="AC407" i="3"/>
  <c r="BA407" i="3"/>
  <c r="AW407" i="3" s="1"/>
  <c r="AK407" i="3"/>
  <c r="AF407" i="3" s="1"/>
  <c r="AX407" i="3"/>
  <c r="AV407" i="3" l="1"/>
  <c r="AE407" i="3"/>
  <c r="AL407" i="3"/>
  <c r="AH407" i="3" l="1"/>
  <c r="AB407" i="3" s="1"/>
  <c r="AG407" i="3"/>
  <c r="AA407" i="3" s="1"/>
  <c r="Y408" i="3" l="1"/>
  <c r="W408" i="3"/>
  <c r="X408" i="3"/>
  <c r="Z408" i="3"/>
  <c r="BB408" i="3" l="1"/>
  <c r="AY408" i="3" s="1"/>
  <c r="BA408" i="3"/>
  <c r="AW408" i="3" s="1"/>
  <c r="AL408" i="3"/>
  <c r="AH408" i="3" s="1"/>
  <c r="AJ408" i="3"/>
  <c r="AD408" i="3" s="1"/>
  <c r="AK408" i="3"/>
  <c r="AF408" i="3" s="1"/>
  <c r="AG408" i="3"/>
  <c r="AX408" i="3"/>
  <c r="AV408" i="3"/>
  <c r="AC408" i="3"/>
  <c r="AE408" i="3"/>
  <c r="AB408" i="3" l="1"/>
  <c r="AA408" i="3"/>
  <c r="X409" i="3" l="1"/>
  <c r="Z409" i="3"/>
  <c r="W409" i="3"/>
  <c r="Y409" i="3"/>
  <c r="BB409" i="3" l="1"/>
  <c r="AY409" i="3" s="1"/>
  <c r="AL409" i="3"/>
  <c r="AG409" i="3"/>
  <c r="BA409" i="3"/>
  <c r="AV409" i="3" s="1"/>
  <c r="AJ409" i="3"/>
  <c r="AD409" i="3" s="1"/>
  <c r="AK409" i="3"/>
  <c r="AF409" i="3" s="1"/>
  <c r="AC409" i="3"/>
  <c r="AX409" i="3"/>
  <c r="AH409" i="3"/>
  <c r="AW409" i="3"/>
  <c r="AB409" i="3" l="1"/>
  <c r="AE409" i="3"/>
  <c r="AA409" i="3" s="1"/>
  <c r="Y410" i="3" l="1"/>
  <c r="W410" i="3"/>
  <c r="Z410" i="3"/>
  <c r="X410" i="3"/>
  <c r="AJ410" i="3" l="1"/>
  <c r="BA410" i="3"/>
  <c r="AW410" i="3" s="1"/>
  <c r="BB410" i="3"/>
  <c r="AY410" i="3" s="1"/>
  <c r="AL410" i="3"/>
  <c r="AH410" i="3" s="1"/>
  <c r="AK410" i="3"/>
  <c r="AE410" i="3" s="1"/>
  <c r="AX410" i="3"/>
  <c r="AG410" i="3"/>
  <c r="AC410" i="3"/>
  <c r="AV410" i="3"/>
  <c r="AF410" i="3"/>
  <c r="AD410" i="3"/>
  <c r="AB410" i="3" l="1"/>
  <c r="X411" i="3" s="1"/>
  <c r="Z411" i="3"/>
  <c r="AA410" i="3"/>
  <c r="Y411" i="3" l="1"/>
  <c r="W411" i="3"/>
  <c r="BB411" i="3" l="1"/>
  <c r="BA411" i="3"/>
  <c r="AK411" i="3"/>
  <c r="AF411" i="3" s="1"/>
  <c r="AL411" i="3"/>
  <c r="AJ411" i="3"/>
  <c r="AE411" i="3"/>
  <c r="AG411" i="3" l="1"/>
  <c r="AH411" i="3"/>
  <c r="AC411" i="3"/>
  <c r="AD411" i="3"/>
  <c r="AV411" i="3"/>
  <c r="AW411" i="3"/>
  <c r="AX411" i="3"/>
  <c r="AY411" i="3"/>
  <c r="AB411" i="3" l="1"/>
  <c r="X412" i="3"/>
  <c r="Z412" i="3"/>
  <c r="AA411" i="3"/>
  <c r="Y412" i="3" l="1"/>
  <c r="W412" i="3"/>
  <c r="AJ412" i="3" l="1"/>
  <c r="AL412" i="3"/>
  <c r="AK412" i="3"/>
  <c r="BA412" i="3"/>
  <c r="BB412" i="3"/>
  <c r="AV412" i="3" l="1"/>
  <c r="AW412" i="3"/>
  <c r="AX412" i="3"/>
  <c r="AY412" i="3"/>
  <c r="AG412" i="3"/>
  <c r="AH412" i="3"/>
  <c r="AE412" i="3"/>
  <c r="AF412" i="3"/>
  <c r="AC412" i="3"/>
  <c r="AD412" i="3"/>
  <c r="AB412" i="3" s="1"/>
  <c r="AA412" i="3" l="1"/>
  <c r="W413" i="3"/>
  <c r="Y413" i="3"/>
  <c r="Z413" i="3"/>
  <c r="X413" i="3"/>
  <c r="BB413" i="3" l="1"/>
  <c r="AX413" i="3" s="1"/>
  <c r="AJ413" i="3"/>
  <c r="AC413" i="3" s="1"/>
  <c r="BA413" i="3"/>
  <c r="AV413" i="3" s="1"/>
  <c r="AK413" i="3"/>
  <c r="AE413" i="3" s="1"/>
  <c r="AL413" i="3"/>
  <c r="AG413" i="3" s="1"/>
  <c r="AY413" i="3" l="1"/>
  <c r="AF413" i="3"/>
  <c r="AA413" i="3"/>
  <c r="AH413" i="3"/>
  <c r="AD413" i="3"/>
  <c r="AW413" i="3"/>
  <c r="AB413" i="3" l="1"/>
  <c r="Z414" i="3"/>
  <c r="X414" i="3"/>
  <c r="W414" i="3"/>
  <c r="Y414" i="3"/>
  <c r="BA414" i="3" l="1"/>
  <c r="AV414" i="3" s="1"/>
  <c r="AK414" i="3"/>
  <c r="AE414" i="3" s="1"/>
  <c r="BB414" i="3"/>
  <c r="AX414" i="3" s="1"/>
  <c r="AL414" i="3"/>
  <c r="AG414" i="3" s="1"/>
  <c r="AJ414" i="3"/>
  <c r="AC414" i="3" s="1"/>
  <c r="AA414" i="3" s="1"/>
  <c r="Y415" i="3" s="1"/>
  <c r="AF414" i="3"/>
  <c r="AW414" i="3"/>
  <c r="AH414" i="3"/>
  <c r="AY414" i="3"/>
  <c r="AD414" i="3"/>
  <c r="AB414" i="3" l="1"/>
  <c r="X415" i="3" s="1"/>
  <c r="Z415" i="3"/>
  <c r="W415" i="3"/>
  <c r="AJ415" i="3" l="1"/>
  <c r="BA415" i="3"/>
  <c r="AL415" i="3"/>
  <c r="AK415" i="3"/>
  <c r="BB415" i="3"/>
  <c r="AE415" i="3" l="1"/>
  <c r="AF415" i="3"/>
  <c r="AV415" i="3"/>
  <c r="AW415" i="3"/>
  <c r="AX415" i="3"/>
  <c r="AY415" i="3"/>
  <c r="AG415" i="3"/>
  <c r="AH415" i="3"/>
  <c r="AC415" i="3"/>
  <c r="AA415" i="3" s="1"/>
  <c r="AD415" i="3"/>
  <c r="AB415" i="3" s="1"/>
  <c r="Y416" i="3" l="1"/>
  <c r="W416" i="3"/>
  <c r="Z416" i="3"/>
  <c r="X416" i="3"/>
  <c r="AK416" i="3" l="1"/>
  <c r="AE416" i="3" s="1"/>
  <c r="AJ416" i="3"/>
  <c r="AC416" i="3" s="1"/>
  <c r="AL416" i="3"/>
  <c r="AG416" i="3" s="1"/>
  <c r="BA416" i="3"/>
  <c r="AV416" i="3" s="1"/>
  <c r="BB416" i="3"/>
  <c r="AX416" i="3" s="1"/>
  <c r="AF416" i="3" l="1"/>
  <c r="AA416" i="3"/>
  <c r="AW416" i="3"/>
  <c r="AH416" i="3"/>
  <c r="AD416" i="3"/>
  <c r="AY416" i="3"/>
  <c r="AB416" i="3" l="1"/>
  <c r="W417" i="3"/>
  <c r="Y417" i="3"/>
  <c r="Z417" i="3"/>
  <c r="X417" i="3"/>
  <c r="BA417" i="3" l="1"/>
  <c r="AV417" i="3" s="1"/>
  <c r="AL417" i="3"/>
  <c r="AG417" i="3" s="1"/>
  <c r="AJ417" i="3"/>
  <c r="AC417" i="3" s="1"/>
  <c r="AK417" i="3"/>
  <c r="AE417" i="3" s="1"/>
  <c r="BB417" i="3"/>
  <c r="AX417" i="3" s="1"/>
  <c r="AA417" i="3" l="1"/>
  <c r="AY417" i="3"/>
  <c r="AD417" i="3"/>
  <c r="AH417" i="3"/>
  <c r="AF417" i="3"/>
  <c r="AW417" i="3"/>
  <c r="AB417" i="3" l="1"/>
  <c r="Y418" i="3"/>
  <c r="W418" i="3"/>
  <c r="Z418" i="3" l="1"/>
  <c r="X418" i="3"/>
  <c r="BA418" i="3" l="1"/>
  <c r="AV418" i="3" s="1"/>
  <c r="AJ418" i="3"/>
  <c r="AC418" i="3" s="1"/>
  <c r="AL418" i="3"/>
  <c r="AG418" i="3" s="1"/>
  <c r="AK418" i="3"/>
  <c r="AE418" i="3" s="1"/>
  <c r="BB418" i="3"/>
  <c r="AX418" i="3" s="1"/>
  <c r="AA418" i="3" l="1"/>
  <c r="AY418" i="3"/>
  <c r="AD418" i="3"/>
  <c r="AF418" i="3"/>
  <c r="AW418" i="3"/>
  <c r="AH418" i="3"/>
  <c r="AB418" i="3" l="1"/>
  <c r="W419" i="3"/>
  <c r="Y419" i="3"/>
  <c r="Z419" i="3" l="1"/>
  <c r="X419" i="3"/>
  <c r="BB419" i="3" s="1"/>
  <c r="AY419" i="3" l="1"/>
  <c r="AX419" i="3"/>
  <c r="AK419" i="3"/>
  <c r="AE419" i="3" s="1"/>
  <c r="BA419" i="3"/>
  <c r="AV419" i="3" s="1"/>
  <c r="AJ419" i="3"/>
  <c r="AC419" i="3" s="1"/>
  <c r="AL419" i="3"/>
  <c r="AH419" i="3" l="1"/>
  <c r="AG419" i="3"/>
  <c r="AA419" i="3" s="1"/>
  <c r="AF419" i="3"/>
  <c r="AW419" i="3"/>
  <c r="AD419" i="3"/>
  <c r="AB419" i="3" l="1"/>
  <c r="Y420" i="3"/>
  <c r="W420" i="3"/>
  <c r="X420" i="3"/>
  <c r="Z420" i="3"/>
  <c r="BB420" i="3" l="1"/>
  <c r="AX420" i="3" s="1"/>
  <c r="AK420" i="3"/>
  <c r="AE420" i="3" s="1"/>
  <c r="AL420" i="3"/>
  <c r="AG420" i="3" s="1"/>
  <c r="AJ420" i="3"/>
  <c r="AC420" i="3" s="1"/>
  <c r="BA420" i="3"/>
  <c r="AV420" i="3" s="1"/>
  <c r="AA420" i="3" l="1"/>
  <c r="Y421" i="3" s="1"/>
  <c r="W421" i="3"/>
  <c r="AF420" i="3"/>
  <c r="AH420" i="3"/>
  <c r="AW420" i="3"/>
  <c r="AY420" i="3"/>
  <c r="AD420" i="3"/>
  <c r="AB420" i="3" l="1"/>
  <c r="Z421" i="3"/>
  <c r="X421" i="3"/>
  <c r="AL421" i="3"/>
  <c r="AG421" i="3" s="1"/>
  <c r="AJ421" i="3"/>
  <c r="AC421" i="3" s="1"/>
  <c r="AK421" i="3"/>
  <c r="AE421" i="3" s="1"/>
  <c r="BA421" i="3"/>
  <c r="AV421" i="3" s="1"/>
  <c r="BB421" i="3" l="1"/>
  <c r="AX421" i="3" s="1"/>
  <c r="AA421" i="3" s="1"/>
  <c r="AH421" i="3"/>
  <c r="AF421" i="3"/>
  <c r="AW421" i="3"/>
  <c r="AD421" i="3"/>
  <c r="AY421" i="3" l="1"/>
  <c r="AB421" i="3"/>
  <c r="Z422" i="3" s="1"/>
  <c r="Y422" i="3"/>
  <c r="W422" i="3"/>
  <c r="X422" i="3"/>
  <c r="AJ422" i="3" l="1"/>
  <c r="AC422" i="3" s="1"/>
  <c r="AL422" i="3"/>
  <c r="AG422" i="3" s="1"/>
  <c r="AK422" i="3"/>
  <c r="AE422" i="3" s="1"/>
  <c r="BA422" i="3"/>
  <c r="AV422" i="3" s="1"/>
  <c r="BB422" i="3"/>
  <c r="AX422" i="3" s="1"/>
  <c r="AD422" i="3"/>
  <c r="AH422" i="3"/>
  <c r="AF422" i="3"/>
  <c r="AW422" i="3"/>
  <c r="AY422" i="3" l="1"/>
  <c r="AB422" i="3" s="1"/>
  <c r="AA422" i="3"/>
  <c r="W423" i="3" l="1"/>
  <c r="Y423" i="3"/>
  <c r="Z423" i="3"/>
  <c r="X423" i="3"/>
  <c r="BA423" i="3" l="1"/>
  <c r="AV423" i="3" s="1"/>
  <c r="AL423" i="3"/>
  <c r="AG423" i="3" s="1"/>
  <c r="BB423" i="3"/>
  <c r="AX423" i="3" s="1"/>
  <c r="AJ423" i="3"/>
  <c r="AC423" i="3" s="1"/>
  <c r="AK423" i="3"/>
  <c r="AE423" i="3" s="1"/>
  <c r="AF423" i="3" l="1"/>
  <c r="AA423" i="3"/>
  <c r="AD423" i="3"/>
  <c r="AH423" i="3"/>
  <c r="AY423" i="3"/>
  <c r="AW423" i="3"/>
  <c r="AB423" i="3" l="1"/>
  <c r="Y424" i="3"/>
  <c r="W424" i="3"/>
  <c r="Z424" i="3" l="1"/>
  <c r="X424" i="3"/>
  <c r="AJ424" i="3"/>
  <c r="AC424" i="3" s="1"/>
  <c r="AK424" i="3"/>
  <c r="AE424" i="3" s="1"/>
  <c r="BA424" i="3"/>
  <c r="AV424" i="3" s="1"/>
  <c r="AL424" i="3"/>
  <c r="AG424" i="3" s="1"/>
  <c r="BB424" i="3" l="1"/>
  <c r="AX424" i="3" s="1"/>
  <c r="AA424" i="3" s="1"/>
  <c r="AY424" i="3"/>
  <c r="AD424" i="3"/>
  <c r="AF424" i="3"/>
  <c r="AW424" i="3"/>
  <c r="AH424" i="3"/>
  <c r="AB424" i="3" l="1"/>
  <c r="Z425" i="3"/>
  <c r="W425" i="3"/>
  <c r="Y425" i="3"/>
  <c r="X425" i="3"/>
  <c r="BA425" i="3" l="1"/>
  <c r="AV425" i="3" s="1"/>
  <c r="AW425" i="3"/>
  <c r="AK425" i="3"/>
  <c r="AE425" i="3" s="1"/>
  <c r="BB425" i="3"/>
  <c r="AX425" i="3" s="1"/>
  <c r="AJ425" i="3"/>
  <c r="AD425" i="3" s="1"/>
  <c r="AL425" i="3"/>
  <c r="AG425" i="3" s="1"/>
  <c r="AC425" i="3" l="1"/>
  <c r="AA425" i="3" s="1"/>
  <c r="AF425" i="3"/>
  <c r="AY425" i="3"/>
  <c r="AH425" i="3"/>
  <c r="AB425" i="3" l="1"/>
  <c r="Z426" i="3"/>
  <c r="X426" i="3"/>
  <c r="Y426" i="3"/>
  <c r="W426" i="3"/>
  <c r="AL426" i="3" l="1"/>
  <c r="AG426" i="3" s="1"/>
  <c r="AK426" i="3"/>
  <c r="AE426" i="3" s="1"/>
  <c r="AJ426" i="3"/>
  <c r="AC426" i="3" s="1"/>
  <c r="BA426" i="3"/>
  <c r="AV426" i="3" s="1"/>
  <c r="BB426" i="3"/>
  <c r="AX426" i="3" s="1"/>
  <c r="AF426" i="3"/>
  <c r="AD426" i="3"/>
  <c r="AH426" i="3"/>
  <c r="AW426" i="3"/>
  <c r="AA426" i="3" l="1"/>
  <c r="AY426" i="3"/>
  <c r="AB426" i="3" s="1"/>
  <c r="X427" i="3" l="1"/>
  <c r="Z427" i="3"/>
  <c r="Y427" i="3"/>
  <c r="W427" i="3"/>
  <c r="AL427" i="3" l="1"/>
  <c r="AH427" i="3" s="1"/>
  <c r="BA427" i="3"/>
  <c r="AK427" i="3"/>
  <c r="AF427" i="3" s="1"/>
  <c r="BB427" i="3"/>
  <c r="AG427" i="3"/>
  <c r="AJ427" i="3"/>
  <c r="AE427" i="3" l="1"/>
  <c r="AV427" i="3"/>
  <c r="AW427" i="3"/>
  <c r="AC427" i="3"/>
  <c r="AD427" i="3"/>
  <c r="AB427" i="3" s="1"/>
  <c r="AX427" i="3"/>
  <c r="AY427" i="3"/>
  <c r="AA427" i="3" l="1"/>
  <c r="X428" i="3"/>
  <c r="Z428" i="3"/>
  <c r="Y428" i="3"/>
  <c r="W428" i="3"/>
  <c r="AJ428" i="3" l="1"/>
  <c r="AL428" i="3"/>
  <c r="AH428" i="3" s="1"/>
  <c r="AK428" i="3"/>
  <c r="AF428" i="3" s="1"/>
  <c r="AG428" i="3"/>
  <c r="BB428" i="3"/>
  <c r="AY428" i="3" s="1"/>
  <c r="BA428" i="3"/>
  <c r="AW428" i="3" s="1"/>
  <c r="AE428" i="3"/>
  <c r="AC428" i="3"/>
  <c r="AX428" i="3"/>
  <c r="AD428" i="3"/>
  <c r="AB428" i="3" l="1"/>
  <c r="Z429" i="3" s="1"/>
  <c r="X429" i="3"/>
  <c r="AV428" i="3"/>
  <c r="AA428" i="3" s="1"/>
  <c r="Y429" i="3" l="1"/>
  <c r="W429" i="3"/>
  <c r="BB429" i="3" l="1"/>
  <c r="AY429" i="3" s="1"/>
  <c r="AK429" i="3"/>
  <c r="AF429" i="3" s="1"/>
  <c r="AJ429" i="3"/>
  <c r="AD429" i="3" s="1"/>
  <c r="BA429" i="3"/>
  <c r="AW429" i="3" s="1"/>
  <c r="AL429" i="3"/>
  <c r="AH429" i="3" s="1"/>
  <c r="AV429" i="3"/>
  <c r="AE429" i="3"/>
  <c r="AX429" i="3"/>
  <c r="AC429" i="3"/>
  <c r="AB429" i="3" l="1"/>
  <c r="AG429" i="3"/>
  <c r="AA429" i="3" s="1"/>
  <c r="W430" i="3" l="1"/>
  <c r="Y430" i="3"/>
  <c r="Z430" i="3"/>
  <c r="X430" i="3"/>
  <c r="BB430" i="3" l="1"/>
  <c r="AY430" i="3" s="1"/>
  <c r="AL430" i="3"/>
  <c r="AG430" i="3" s="1"/>
  <c r="AK430" i="3"/>
  <c r="AE430" i="3" s="1"/>
  <c r="AJ430" i="3"/>
  <c r="AC430" i="3" s="1"/>
  <c r="BA430" i="3"/>
  <c r="AW430" i="3" s="1"/>
  <c r="AX430" i="3"/>
  <c r="AF430" i="3" l="1"/>
  <c r="AH430" i="3"/>
  <c r="AD430" i="3"/>
  <c r="AV430" i="3"/>
  <c r="AA430" i="3" s="1"/>
  <c r="AB430" i="3" l="1"/>
  <c r="Y431" i="3"/>
  <c r="W431" i="3"/>
  <c r="Z431" i="3"/>
  <c r="X431" i="3"/>
  <c r="AK431" i="3" l="1"/>
  <c r="AF431" i="3" s="1"/>
  <c r="AL431" i="3"/>
  <c r="AH431" i="3" s="1"/>
  <c r="AJ431" i="3"/>
  <c r="AC431" i="3" s="1"/>
  <c r="BA431" i="3"/>
  <c r="AV431" i="3" s="1"/>
  <c r="BB431" i="3"/>
  <c r="AX431" i="3" s="1"/>
  <c r="AG431" i="3" l="1"/>
  <c r="AE431" i="3"/>
  <c r="AA431" i="3" s="1"/>
  <c r="AW431" i="3"/>
  <c r="AY431" i="3"/>
  <c r="AD431" i="3"/>
  <c r="AB431" i="3" s="1"/>
  <c r="Y432" i="3" l="1"/>
  <c r="W432" i="3"/>
  <c r="Z432" i="3"/>
  <c r="X432" i="3"/>
  <c r="AJ432" i="3" l="1"/>
  <c r="AD432" i="3" s="1"/>
  <c r="BB432" i="3"/>
  <c r="AX432" i="3" s="1"/>
  <c r="BA432" i="3"/>
  <c r="AV432" i="3" s="1"/>
  <c r="AC432" i="3"/>
  <c r="AL432" i="3"/>
  <c r="AG432" i="3" s="1"/>
  <c r="AK432" i="3"/>
  <c r="AF432" i="3" s="1"/>
  <c r="AY432" i="3" l="1"/>
  <c r="AE432" i="3"/>
  <c r="AA432" i="3" s="1"/>
  <c r="AW432" i="3"/>
  <c r="AH432" i="3"/>
  <c r="AB432" i="3" s="1"/>
  <c r="Z433" i="3" l="1"/>
  <c r="X433" i="3"/>
  <c r="Y433" i="3"/>
  <c r="W433" i="3"/>
  <c r="AK433" i="3" l="1"/>
  <c r="AF433" i="3" s="1"/>
  <c r="AL433" i="3"/>
  <c r="BB433" i="3"/>
  <c r="AY433" i="3" s="1"/>
  <c r="BA433" i="3"/>
  <c r="AW433" i="3" s="1"/>
  <c r="AG433" i="3"/>
  <c r="AE433" i="3"/>
  <c r="AX433" i="3"/>
  <c r="AV433" i="3"/>
  <c r="AJ433" i="3"/>
  <c r="AD433" i="3" s="1"/>
  <c r="AB433" i="3" s="1"/>
  <c r="AH433" i="3"/>
  <c r="AC433" i="3" l="1"/>
  <c r="AA433" i="3" s="1"/>
  <c r="Y434" i="3" l="1"/>
  <c r="W434" i="3"/>
  <c r="X434" i="3"/>
  <c r="Z434" i="3"/>
  <c r="BA434" i="3" l="1"/>
  <c r="AV434" i="3" s="1"/>
  <c r="AL434" i="3"/>
  <c r="AH434" i="3" s="1"/>
  <c r="AJ434" i="3"/>
  <c r="AC434" i="3" s="1"/>
  <c r="AK434" i="3"/>
  <c r="AE434" i="3" s="1"/>
  <c r="AG434" i="3"/>
  <c r="BB434" i="3"/>
  <c r="AX434" i="3" s="1"/>
  <c r="AD434" i="3" l="1"/>
  <c r="AA434" i="3"/>
  <c r="AF434" i="3"/>
  <c r="AW434" i="3"/>
  <c r="AY434" i="3"/>
  <c r="AB434" i="3" l="1"/>
  <c r="W435" i="3"/>
  <c r="Y435" i="3"/>
  <c r="Z435" i="3" l="1"/>
  <c r="X435" i="3"/>
  <c r="AL435" i="3"/>
  <c r="AK435" i="3"/>
  <c r="AF435" i="3" s="1"/>
  <c r="AG435" i="3"/>
  <c r="AJ435" i="3"/>
  <c r="AC435" i="3" s="1"/>
  <c r="BA435" i="3"/>
  <c r="AW435" i="3" s="1"/>
  <c r="AE435" i="3"/>
  <c r="BB435" i="3"/>
  <c r="AY435" i="3" s="1"/>
  <c r="AV435" i="3"/>
  <c r="AX435" i="3" l="1"/>
  <c r="AH435" i="3"/>
  <c r="AD435" i="3"/>
  <c r="AA435" i="3"/>
  <c r="AB435" i="3" l="1"/>
  <c r="Y436" i="3"/>
  <c r="W436" i="3"/>
  <c r="X436" i="3" l="1"/>
  <c r="BA436" i="3" s="1"/>
  <c r="AV436" i="3" s="1"/>
  <c r="Z436" i="3"/>
  <c r="AW436" i="3" l="1"/>
  <c r="BB436" i="3"/>
  <c r="AX436" i="3" s="1"/>
  <c r="AK436" i="3"/>
  <c r="AL436" i="3"/>
  <c r="AG436" i="3" s="1"/>
  <c r="AJ436" i="3"/>
  <c r="AC436" i="3" s="1"/>
  <c r="AH436" i="3" l="1"/>
  <c r="AF436" i="3"/>
  <c r="AE436" i="3"/>
  <c r="AA436" i="3" s="1"/>
  <c r="AY436" i="3"/>
  <c r="AD436" i="3"/>
  <c r="AB436" i="3" l="1"/>
  <c r="W437" i="3"/>
  <c r="Y437" i="3"/>
  <c r="Z437" i="3"/>
  <c r="X437" i="3"/>
  <c r="BB437" i="3" l="1"/>
  <c r="AX437" i="3" s="1"/>
  <c r="BA437" i="3"/>
  <c r="AV437" i="3" s="1"/>
  <c r="AL437" i="3"/>
  <c r="AH437" i="3" s="1"/>
  <c r="AJ437" i="3"/>
  <c r="AD437" i="3" s="1"/>
  <c r="AK437" i="3"/>
  <c r="AF437" i="3" s="1"/>
  <c r="AG437" i="3"/>
  <c r="AC437" i="3"/>
  <c r="AE437" i="3" l="1"/>
  <c r="AA437" i="3" s="1"/>
  <c r="AW437" i="3"/>
  <c r="AY437" i="3"/>
  <c r="AB437" i="3" l="1"/>
  <c r="Y438" i="3"/>
  <c r="W438" i="3"/>
  <c r="Z438" i="3"/>
  <c r="X438" i="3"/>
  <c r="BB438" i="3" l="1"/>
  <c r="AX438" i="3" s="1"/>
  <c r="BA438" i="3"/>
  <c r="AV438" i="3" s="1"/>
  <c r="AJ438" i="3"/>
  <c r="AD438" i="3" s="1"/>
  <c r="AK438" i="3"/>
  <c r="AF438" i="3" s="1"/>
  <c r="AL438" i="3"/>
  <c r="AH438" i="3" s="1"/>
  <c r="AC438" i="3"/>
  <c r="AG438" i="3" l="1"/>
  <c r="AE438" i="3"/>
  <c r="AA438" i="3" s="1"/>
  <c r="AW438" i="3"/>
  <c r="AY438" i="3"/>
  <c r="AB438" i="3" l="1"/>
  <c r="W439" i="3"/>
  <c r="Y439" i="3"/>
  <c r="Z439" i="3"/>
  <c r="X439" i="3"/>
  <c r="BB439" i="3" l="1"/>
  <c r="AY439" i="3" s="1"/>
  <c r="AK439" i="3"/>
  <c r="AF439" i="3" s="1"/>
  <c r="BA439" i="3"/>
  <c r="AW439" i="3" s="1"/>
  <c r="AL439" i="3"/>
  <c r="AH439" i="3" s="1"/>
  <c r="AJ439" i="3"/>
  <c r="AD439" i="3" s="1"/>
  <c r="AX439" i="3"/>
  <c r="AV439" i="3"/>
  <c r="AE439" i="3"/>
  <c r="AC439" i="3"/>
  <c r="AB439" i="3" l="1"/>
  <c r="Z440" i="3" s="1"/>
  <c r="AG439" i="3"/>
  <c r="AA439" i="3" s="1"/>
  <c r="X440" i="3"/>
  <c r="Y440" i="3" l="1"/>
  <c r="W440" i="3"/>
  <c r="BA440" i="3" l="1"/>
  <c r="AL440" i="3"/>
  <c r="AH440" i="3" s="1"/>
  <c r="BB440" i="3"/>
  <c r="AJ440" i="3"/>
  <c r="AD440" i="3" s="1"/>
  <c r="AK440" i="3"/>
  <c r="AF440" i="3" s="1"/>
  <c r="AC440" i="3" l="1"/>
  <c r="AE440" i="3"/>
  <c r="AX440" i="3"/>
  <c r="AY440" i="3"/>
  <c r="AV440" i="3"/>
  <c r="AW440" i="3"/>
  <c r="AB440" i="3" s="1"/>
  <c r="AG440" i="3"/>
  <c r="AA440" i="3" l="1"/>
  <c r="W441" i="3"/>
  <c r="Y441" i="3"/>
  <c r="Z441" i="3"/>
  <c r="X441" i="3"/>
  <c r="BA441" i="3" l="1"/>
  <c r="AW441" i="3" s="1"/>
  <c r="BB441" i="3"/>
  <c r="AY441" i="3" s="1"/>
  <c r="AL441" i="3"/>
  <c r="AH441" i="3" s="1"/>
  <c r="AK441" i="3"/>
  <c r="AF441" i="3" s="1"/>
  <c r="AJ441" i="3"/>
  <c r="AC441" i="3" s="1"/>
  <c r="AX441" i="3"/>
  <c r="AV441" i="3"/>
  <c r="AG441" i="3" l="1"/>
  <c r="AE441" i="3"/>
  <c r="AA441" i="3" s="1"/>
  <c r="AD441" i="3"/>
  <c r="AB441" i="3" s="1"/>
  <c r="Y442" i="3" l="1"/>
  <c r="W442" i="3"/>
  <c r="Z442" i="3"/>
  <c r="X442" i="3"/>
  <c r="BB442" i="3" l="1"/>
  <c r="AX442" i="3" s="1"/>
  <c r="AL442" i="3"/>
  <c r="AG442" i="3" s="1"/>
  <c r="AK442" i="3"/>
  <c r="AF442" i="3" s="1"/>
  <c r="AJ442" i="3"/>
  <c r="AD442" i="3" s="1"/>
  <c r="BA442" i="3"/>
  <c r="AV442" i="3" s="1"/>
  <c r="AE442" i="3"/>
  <c r="AC442" i="3" l="1"/>
  <c r="AA442" i="3"/>
  <c r="AH442" i="3"/>
  <c r="AW442" i="3"/>
  <c r="AY442" i="3"/>
  <c r="AB442" i="3" l="1"/>
  <c r="Z443" i="3"/>
  <c r="X443" i="3"/>
  <c r="W443" i="3"/>
  <c r="Y443" i="3"/>
  <c r="AK443" i="3" l="1"/>
  <c r="AE443" i="3" s="1"/>
  <c r="BB443" i="3"/>
  <c r="AX443" i="3" s="1"/>
  <c r="AL443" i="3"/>
  <c r="AH443" i="3" s="1"/>
  <c r="AJ443" i="3"/>
  <c r="AC443" i="3" s="1"/>
  <c r="AG443" i="3"/>
  <c r="BA443" i="3"/>
  <c r="AV443" i="3" s="1"/>
  <c r="AY443" i="3"/>
  <c r="AF443" i="3"/>
  <c r="AD443" i="3"/>
  <c r="AW443" i="3" l="1"/>
  <c r="AB443" i="3" s="1"/>
  <c r="AA443" i="3"/>
  <c r="X444" i="3" l="1"/>
  <c r="Z444" i="3"/>
  <c r="Y444" i="3"/>
  <c r="W444" i="3"/>
  <c r="BB444" i="3" l="1"/>
  <c r="AY444" i="3" s="1"/>
  <c r="AL444" i="3"/>
  <c r="AH444" i="3" s="1"/>
  <c r="AJ444" i="3"/>
  <c r="AD444" i="3" s="1"/>
  <c r="AK444" i="3"/>
  <c r="AF444" i="3" s="1"/>
  <c r="AG444" i="3"/>
  <c r="BA444" i="3"/>
  <c r="AX444" i="3"/>
  <c r="AC444" i="3"/>
  <c r="AE444" i="3"/>
  <c r="AV444" i="3" l="1"/>
  <c r="AA444" i="3" s="1"/>
  <c r="AW444" i="3"/>
  <c r="AB444" i="3" s="1"/>
  <c r="X445" i="3" l="1"/>
  <c r="Z445" i="3"/>
  <c r="W445" i="3"/>
  <c r="Y445" i="3"/>
  <c r="BA445" i="3" l="1"/>
  <c r="AL445" i="3"/>
  <c r="AH445" i="3" s="1"/>
  <c r="AK445" i="3"/>
  <c r="AF445" i="3" s="1"/>
  <c r="BB445" i="3"/>
  <c r="AJ445" i="3"/>
  <c r="AD445" i="3" s="1"/>
  <c r="AG445" i="3"/>
  <c r="AE445" i="3"/>
  <c r="AX445" i="3" l="1"/>
  <c r="AY445" i="3"/>
  <c r="AC445" i="3"/>
  <c r="AV445" i="3"/>
  <c r="AW445" i="3"/>
  <c r="AB445" i="3" s="1"/>
  <c r="X446" i="3" l="1"/>
  <c r="Z446" i="3"/>
  <c r="AA445" i="3"/>
  <c r="Y446" i="3" l="1"/>
  <c r="W446" i="3"/>
  <c r="AL446" i="3" l="1"/>
  <c r="BB446" i="3"/>
  <c r="AY446" i="3" s="1"/>
  <c r="BA446" i="3"/>
  <c r="AJ446" i="3"/>
  <c r="AD446" i="3" s="1"/>
  <c r="AK446" i="3"/>
  <c r="AF446" i="3" s="1"/>
  <c r="AX446" i="3"/>
  <c r="AE446" i="3"/>
  <c r="AC446" i="3"/>
  <c r="AV446" i="3" l="1"/>
  <c r="AW446" i="3"/>
  <c r="AG446" i="3"/>
  <c r="AA446" i="3" s="1"/>
  <c r="AH446" i="3"/>
  <c r="AB446" i="3" s="1"/>
  <c r="X447" i="3" l="1"/>
  <c r="Z447" i="3"/>
  <c r="W447" i="3"/>
  <c r="Y447" i="3"/>
  <c r="AK447" i="3" l="1"/>
  <c r="AF447" i="3" s="1"/>
  <c r="BA447" i="3"/>
  <c r="AW447" i="3" s="1"/>
  <c r="AJ447" i="3"/>
  <c r="AL447" i="3"/>
  <c r="BB447" i="3"/>
  <c r="AY447" i="3" s="1"/>
  <c r="AE447" i="3"/>
  <c r="AC447" i="3"/>
  <c r="AG447" i="3"/>
  <c r="AV447" i="3"/>
  <c r="AH447" i="3"/>
  <c r="AD447" i="3"/>
  <c r="AB447" i="3" l="1"/>
  <c r="X448" i="3" s="1"/>
  <c r="AX447" i="3"/>
  <c r="AA447" i="3" s="1"/>
  <c r="Z448" i="3"/>
  <c r="Y448" i="3" l="1"/>
  <c r="W448" i="3"/>
  <c r="BA448" i="3" l="1"/>
  <c r="BB448" i="3"/>
  <c r="AL448" i="3"/>
  <c r="AH448" i="3" s="1"/>
  <c r="AJ448" i="3"/>
  <c r="AD448" i="3" s="1"/>
  <c r="AK448" i="3"/>
  <c r="AF448" i="3" s="1"/>
  <c r="AG448" i="3"/>
  <c r="AE448" i="3" l="1"/>
  <c r="AX448" i="3"/>
  <c r="AY448" i="3"/>
  <c r="AC448" i="3"/>
  <c r="AV448" i="3"/>
  <c r="AW448" i="3"/>
  <c r="AB448" i="3" s="1"/>
  <c r="Z449" i="3" l="1"/>
  <c r="X449" i="3"/>
  <c r="AA448" i="3"/>
  <c r="W449" i="3" l="1"/>
  <c r="Y449" i="3"/>
  <c r="BB449" i="3" l="1"/>
  <c r="BA449" i="3"/>
  <c r="AJ449" i="3"/>
  <c r="AD449" i="3" s="1"/>
  <c r="AL449" i="3"/>
  <c r="AH449" i="3" s="1"/>
  <c r="AK449" i="3"/>
  <c r="AF449" i="3" s="1"/>
  <c r="AC449" i="3"/>
  <c r="AG449" i="3" l="1"/>
  <c r="AE449" i="3"/>
  <c r="AX449" i="3"/>
  <c r="AY449" i="3"/>
  <c r="AV449" i="3"/>
  <c r="AA449" i="3" s="1"/>
  <c r="AW449" i="3"/>
  <c r="AB449" i="3" s="1"/>
  <c r="Y450" i="3" l="1"/>
  <c r="W450" i="3"/>
  <c r="Z450" i="3"/>
  <c r="X450" i="3"/>
  <c r="BB450" i="3" l="1"/>
  <c r="AY450" i="3" s="1"/>
  <c r="BA450" i="3"/>
  <c r="AW450" i="3" s="1"/>
  <c r="AL450" i="3"/>
  <c r="AH450" i="3" s="1"/>
  <c r="AK450" i="3"/>
  <c r="AF450" i="3" s="1"/>
  <c r="AG450" i="3"/>
  <c r="AJ450" i="3"/>
  <c r="AD450" i="3" s="1"/>
  <c r="AV450" i="3"/>
  <c r="AX450" i="3"/>
  <c r="AE450" i="3" l="1"/>
  <c r="AB450" i="3"/>
  <c r="Z451" i="3" s="1"/>
  <c r="AC450" i="3"/>
  <c r="AA450" i="3" s="1"/>
  <c r="X451" i="3"/>
  <c r="W451" i="3" l="1"/>
  <c r="Y451" i="3"/>
  <c r="BA451" i="3" l="1"/>
  <c r="AL451" i="3"/>
  <c r="AH451" i="3" s="1"/>
  <c r="AJ451" i="3"/>
  <c r="AD451" i="3" s="1"/>
  <c r="BB451" i="3"/>
  <c r="AK451" i="3"/>
  <c r="AF451" i="3" s="1"/>
  <c r="AC451" i="3"/>
  <c r="AG451" i="3"/>
  <c r="AX451" i="3" l="1"/>
  <c r="AY451" i="3"/>
  <c r="AE451" i="3"/>
  <c r="AV451" i="3"/>
  <c r="AW451" i="3"/>
  <c r="AB451" i="3" s="1"/>
  <c r="AA451" i="3" l="1"/>
  <c r="Y452" i="3"/>
  <c r="W452" i="3"/>
  <c r="Z452" i="3"/>
  <c r="X452" i="3"/>
  <c r="AJ452" i="3" l="1"/>
  <c r="AD452" i="3" s="1"/>
  <c r="AL452" i="3"/>
  <c r="AG452" i="3" s="1"/>
  <c r="BA452" i="3"/>
  <c r="AV452" i="3" s="1"/>
  <c r="AK452" i="3"/>
  <c r="AF452" i="3" s="1"/>
  <c r="BB452" i="3"/>
  <c r="AX452" i="3" s="1"/>
  <c r="AE452" i="3"/>
  <c r="AC452" i="3" l="1"/>
  <c r="AA452" i="3" s="1"/>
  <c r="AH452" i="3"/>
  <c r="AY452" i="3"/>
  <c r="AW452" i="3"/>
  <c r="AB452" i="3" l="1"/>
  <c r="Z453" i="3"/>
  <c r="X453" i="3"/>
  <c r="Y453" i="3"/>
  <c r="W453" i="3"/>
  <c r="BB453" i="3" l="1"/>
  <c r="AX453" i="3" s="1"/>
  <c r="AL453" i="3"/>
  <c r="AG453" i="3" s="1"/>
  <c r="AJ453" i="3"/>
  <c r="AC453" i="3" s="1"/>
  <c r="BA453" i="3"/>
  <c r="AV453" i="3" s="1"/>
  <c r="AK453" i="3"/>
  <c r="AE453" i="3" s="1"/>
  <c r="AD453" i="3"/>
  <c r="AH453" i="3"/>
  <c r="AY453" i="3"/>
  <c r="AW453" i="3"/>
  <c r="AF453" i="3" l="1"/>
  <c r="AB453" i="3"/>
  <c r="AA453" i="3"/>
  <c r="Y454" i="3" s="1"/>
  <c r="W454" i="3" l="1"/>
  <c r="X454" i="3"/>
  <c r="BA454" i="3" s="1"/>
  <c r="Z454" i="3"/>
  <c r="AW454" i="3" l="1"/>
  <c r="AV454" i="3"/>
  <c r="AK454" i="3"/>
  <c r="AE454" i="3" s="1"/>
  <c r="AL454" i="3"/>
  <c r="AG454" i="3" s="1"/>
  <c r="AJ454" i="3"/>
  <c r="AC454" i="3" s="1"/>
  <c r="BB454" i="3"/>
  <c r="AF454" i="3" l="1"/>
  <c r="AD454" i="3"/>
  <c r="AH454" i="3"/>
  <c r="AY454" i="3"/>
  <c r="AX454" i="3"/>
  <c r="AA454" i="3" s="1"/>
  <c r="AB454" i="3" l="1"/>
  <c r="Y455" i="3"/>
  <c r="W455" i="3"/>
  <c r="Z455" i="3" l="1"/>
  <c r="X455" i="3"/>
  <c r="AL455" i="3" s="1"/>
  <c r="AG455" i="3" s="1"/>
  <c r="AJ455" i="3"/>
  <c r="BA455" i="3"/>
  <c r="AV455" i="3" s="1"/>
  <c r="BB455" i="3"/>
  <c r="AX455" i="3" s="1"/>
  <c r="AK455" i="3"/>
  <c r="AE455" i="3" s="1"/>
  <c r="AC455" i="3"/>
  <c r="AA455" i="3" l="1"/>
  <c r="AW455" i="3"/>
  <c r="AY455" i="3"/>
  <c r="AD455" i="3"/>
  <c r="AH455" i="3"/>
  <c r="AF455" i="3"/>
  <c r="AB455" i="3" l="1"/>
  <c r="W456" i="3"/>
  <c r="Y456" i="3"/>
  <c r="X456" i="3" l="1"/>
  <c r="BA456" i="3" s="1"/>
  <c r="AV456" i="3" s="1"/>
  <c r="Z456" i="3"/>
  <c r="AW456" i="3" l="1"/>
  <c r="BB456" i="3"/>
  <c r="AX456" i="3" s="1"/>
  <c r="AL456" i="3"/>
  <c r="AJ456" i="3"/>
  <c r="AC456" i="3" s="1"/>
  <c r="AK456" i="3"/>
  <c r="AE456" i="3" s="1"/>
  <c r="AY456" i="3" l="1"/>
  <c r="AH456" i="3"/>
  <c r="AG456" i="3"/>
  <c r="AA456" i="3" s="1"/>
  <c r="AF456" i="3"/>
  <c r="AD456" i="3"/>
  <c r="AB456" i="3" l="1"/>
  <c r="Y457" i="3"/>
  <c r="W457" i="3"/>
  <c r="Z457" i="3" l="1"/>
  <c r="X457" i="3"/>
  <c r="BB457" i="3" s="1"/>
  <c r="AX457" i="3" s="1"/>
  <c r="AK457" i="3"/>
  <c r="AE457" i="3" s="1"/>
  <c r="AJ457" i="3"/>
  <c r="AC457" i="3" s="1"/>
  <c r="BA457" i="3"/>
  <c r="AV457" i="3" s="1"/>
  <c r="AL457" i="3"/>
  <c r="AG457" i="3" s="1"/>
  <c r="AA457" i="3" l="1"/>
  <c r="AF457" i="3"/>
  <c r="AD457" i="3"/>
  <c r="AY457" i="3"/>
  <c r="AW457" i="3"/>
  <c r="AH457" i="3"/>
  <c r="AB457" i="3" l="1"/>
  <c r="W458" i="3"/>
  <c r="Y458" i="3"/>
  <c r="X458" i="3" l="1"/>
  <c r="Z458" i="3"/>
  <c r="AL458" i="3" l="1"/>
  <c r="BB458" i="3"/>
  <c r="AK458" i="3"/>
  <c r="AE458" i="3" s="1"/>
  <c r="AJ458" i="3"/>
  <c r="BA458" i="3"/>
  <c r="AD458" i="3" l="1"/>
  <c r="AC458" i="3"/>
  <c r="AW458" i="3"/>
  <c r="AV458" i="3"/>
  <c r="AY458" i="3"/>
  <c r="AX458" i="3"/>
  <c r="AH458" i="3"/>
  <c r="AG458" i="3"/>
  <c r="AF458" i="3"/>
  <c r="AB458" i="3" l="1"/>
  <c r="X459" i="3"/>
  <c r="Z459" i="3"/>
  <c r="AA458" i="3"/>
  <c r="Y459" i="3" l="1"/>
  <c r="W459" i="3"/>
  <c r="AL459" i="3" l="1"/>
  <c r="AH459" i="3" s="1"/>
  <c r="BB459" i="3"/>
  <c r="BA459" i="3"/>
  <c r="AK459" i="3"/>
  <c r="AF459" i="3" s="1"/>
  <c r="AJ459" i="3"/>
  <c r="AD459" i="3" s="1"/>
  <c r="AE459" i="3"/>
  <c r="AG459" i="3"/>
  <c r="AC459" i="3"/>
  <c r="AV459" i="3" l="1"/>
  <c r="AW459" i="3"/>
  <c r="AX459" i="3"/>
  <c r="AY459" i="3"/>
  <c r="AB459" i="3" l="1"/>
  <c r="AA459" i="3"/>
  <c r="Y460" i="3"/>
  <c r="W460" i="3"/>
  <c r="X460" i="3"/>
  <c r="Z460" i="3"/>
  <c r="AL460" i="3" l="1"/>
  <c r="AH460" i="3" s="1"/>
  <c r="AJ460" i="3"/>
  <c r="BA460" i="3"/>
  <c r="AK460" i="3"/>
  <c r="AF460" i="3" s="1"/>
  <c r="BB460" i="3"/>
  <c r="AG460" i="3"/>
  <c r="AX460" i="3"/>
  <c r="AE460" i="3"/>
  <c r="AC460" i="3"/>
  <c r="AV460" i="3"/>
  <c r="AW460" i="3"/>
  <c r="AD460" i="3"/>
  <c r="AY460" i="3"/>
  <c r="AB460" i="3" l="1"/>
  <c r="Z461" i="3" s="1"/>
  <c r="AA460" i="3"/>
  <c r="Y461" i="3" s="1"/>
  <c r="X461" i="3"/>
  <c r="W461" i="3" l="1"/>
  <c r="BB461" i="3"/>
  <c r="AY461" i="3" s="1"/>
  <c r="AL461" i="3"/>
  <c r="AH461" i="3" s="1"/>
  <c r="AJ461" i="3"/>
  <c r="AD461" i="3" s="1"/>
  <c r="BA461" i="3"/>
  <c r="AW461" i="3" s="1"/>
  <c r="AK461" i="3"/>
  <c r="AF461" i="3" s="1"/>
  <c r="AG461" i="3"/>
  <c r="AX461" i="3"/>
  <c r="AC461" i="3"/>
  <c r="AV461" i="3"/>
  <c r="AB461" i="3" l="1"/>
  <c r="AE461" i="3"/>
  <c r="Z462" i="3"/>
  <c r="X462" i="3"/>
  <c r="AA461" i="3"/>
  <c r="Y462" i="3" l="1"/>
  <c r="W462" i="3"/>
  <c r="BA462" i="3" l="1"/>
  <c r="AL462" i="3"/>
  <c r="AH462" i="3" s="1"/>
  <c r="AK462" i="3"/>
  <c r="AF462" i="3" s="1"/>
  <c r="AJ462" i="3"/>
  <c r="BB462" i="3"/>
  <c r="AY462" i="3" s="1"/>
  <c r="AG462" i="3"/>
  <c r="AC462" i="3" l="1"/>
  <c r="AD462" i="3"/>
  <c r="AE462" i="3"/>
  <c r="AX462" i="3"/>
  <c r="AV462" i="3"/>
  <c r="AW462" i="3"/>
  <c r="AB462" i="3" l="1"/>
  <c r="X463" i="3"/>
  <c r="Z463" i="3"/>
  <c r="AA462" i="3"/>
  <c r="Y463" i="3" l="1"/>
  <c r="W463" i="3"/>
  <c r="AJ463" i="3" l="1"/>
  <c r="AD463" i="3" s="1"/>
  <c r="AL463" i="3"/>
  <c r="AH463" i="3" s="1"/>
  <c r="AK463" i="3"/>
  <c r="AF463" i="3" s="1"/>
  <c r="BA463" i="3"/>
  <c r="BB463" i="3"/>
  <c r="AY463" i="3" s="1"/>
  <c r="AG463" i="3"/>
  <c r="AC463" i="3"/>
  <c r="AX463" i="3" l="1"/>
  <c r="AV463" i="3"/>
  <c r="AW463" i="3"/>
  <c r="AB463" i="3" s="1"/>
  <c r="AE463" i="3"/>
  <c r="AA463" i="3" s="1"/>
  <c r="W464" i="3" l="1"/>
  <c r="Y464" i="3"/>
  <c r="Z464" i="3"/>
  <c r="X464" i="3"/>
  <c r="AK464" i="3" l="1"/>
  <c r="AE464" i="3" s="1"/>
  <c r="AJ464" i="3"/>
  <c r="AC464" i="3" s="1"/>
  <c r="AL464" i="3"/>
  <c r="AH464" i="3" s="1"/>
  <c r="BA464" i="3"/>
  <c r="AW464" i="3" s="1"/>
  <c r="BB464" i="3"/>
  <c r="AY464" i="3" s="1"/>
  <c r="AX464" i="3" l="1"/>
  <c r="AG464" i="3"/>
  <c r="AV464" i="3"/>
  <c r="AF464" i="3"/>
  <c r="AD464" i="3"/>
  <c r="AB464" i="3" s="1"/>
  <c r="AA464" i="3" l="1"/>
  <c r="Y465" i="3"/>
  <c r="W465" i="3"/>
  <c r="X465" i="3"/>
  <c r="Z465" i="3"/>
  <c r="BB465" i="3" l="1"/>
  <c r="AX465" i="3" s="1"/>
  <c r="AK465" i="3"/>
  <c r="AF465" i="3" s="1"/>
  <c r="AL465" i="3"/>
  <c r="AG465" i="3" s="1"/>
  <c r="BA465" i="3"/>
  <c r="AV465" i="3" s="1"/>
  <c r="AJ465" i="3"/>
  <c r="AC465" i="3" s="1"/>
  <c r="AE465" i="3"/>
  <c r="AA465" i="3" l="1"/>
  <c r="AW465" i="3"/>
  <c r="AD465" i="3"/>
  <c r="AH465" i="3"/>
  <c r="AY465" i="3"/>
  <c r="AB465" i="3" l="1"/>
  <c r="Y466" i="3"/>
  <c r="W466" i="3"/>
  <c r="Z466" i="3" l="1"/>
  <c r="X466" i="3"/>
  <c r="AJ466" i="3" s="1"/>
  <c r="AC466" i="3" s="1"/>
  <c r="AL466" i="3" l="1"/>
  <c r="AG466" i="3" s="1"/>
  <c r="BB466" i="3"/>
  <c r="AX466" i="3" s="1"/>
  <c r="AY466" i="3"/>
  <c r="AH466" i="3"/>
  <c r="AD466" i="3"/>
  <c r="BA466" i="3"/>
  <c r="AV466" i="3" s="1"/>
  <c r="AK466" i="3"/>
  <c r="AE466" i="3" s="1"/>
  <c r="AA466" i="3" l="1"/>
  <c r="Y467" i="3"/>
  <c r="W467" i="3"/>
  <c r="AF466" i="3"/>
  <c r="AW466" i="3"/>
  <c r="AB466" i="3" l="1"/>
  <c r="Z467" i="3"/>
  <c r="X467" i="3"/>
  <c r="AK467" i="3"/>
  <c r="AE467" i="3" s="1"/>
  <c r="BB467" i="3"/>
  <c r="AX467" i="3" s="1"/>
  <c r="AL467" i="3"/>
  <c r="AG467" i="3" s="1"/>
  <c r="AJ467" i="3"/>
  <c r="AC467" i="3" s="1"/>
  <c r="AH467" i="3" l="1"/>
  <c r="AF467" i="3"/>
  <c r="AD467" i="3"/>
  <c r="AY467" i="3"/>
  <c r="BA467" i="3"/>
  <c r="AV467" i="3" s="1"/>
  <c r="AA467" i="3" s="1"/>
  <c r="W468" i="3" l="1"/>
  <c r="Y468" i="3"/>
  <c r="AW467" i="3"/>
  <c r="AB467" i="3" s="1"/>
  <c r="X468" i="3" l="1"/>
  <c r="Z468" i="3"/>
  <c r="AK468" i="3"/>
  <c r="BA468" i="3"/>
  <c r="AL468" i="3"/>
  <c r="BB468" i="3"/>
  <c r="AJ468" i="3"/>
  <c r="AX468" i="3" l="1"/>
  <c r="AY468" i="3"/>
  <c r="AV468" i="3"/>
  <c r="AW468" i="3"/>
  <c r="AC468" i="3"/>
  <c r="AD468" i="3"/>
  <c r="AG468" i="3"/>
  <c r="AH468" i="3"/>
  <c r="AE468" i="3"/>
  <c r="AF468" i="3"/>
  <c r="AB468" i="3" l="1"/>
  <c r="AA468" i="3"/>
  <c r="Y469" i="3" l="1"/>
  <c r="W469" i="3"/>
  <c r="Z469" i="3"/>
  <c r="X469" i="3"/>
  <c r="AK469" i="3" l="1"/>
  <c r="AF469" i="3" s="1"/>
  <c r="AJ469" i="3"/>
  <c r="AD469" i="3" s="1"/>
  <c r="BB469" i="3"/>
  <c r="AX469" i="3" s="1"/>
  <c r="AL469" i="3"/>
  <c r="AH469" i="3" s="1"/>
  <c r="BA469" i="3"/>
  <c r="AV469" i="3" s="1"/>
  <c r="AC469" i="3"/>
  <c r="AE469" i="3" l="1"/>
  <c r="AG469" i="3"/>
  <c r="AW469" i="3"/>
  <c r="AY469" i="3"/>
  <c r="AB469" i="3" l="1"/>
  <c r="AA469" i="3"/>
  <c r="W470" i="3"/>
  <c r="Y470" i="3"/>
  <c r="Z470" i="3"/>
  <c r="X470" i="3"/>
  <c r="BB470" i="3" l="1"/>
  <c r="AY470" i="3" s="1"/>
  <c r="BA470" i="3"/>
  <c r="AV470" i="3" s="1"/>
  <c r="AL470" i="3"/>
  <c r="AH470" i="3" s="1"/>
  <c r="AK470" i="3"/>
  <c r="AF470" i="3" s="1"/>
  <c r="AX470" i="3"/>
  <c r="AJ470" i="3"/>
  <c r="AD470" i="3" s="1"/>
  <c r="AG470" i="3"/>
  <c r="AE470" i="3"/>
  <c r="AC470" i="3" l="1"/>
  <c r="AA470" i="3" s="1"/>
  <c r="AW470" i="3"/>
  <c r="AB470" i="3" s="1"/>
  <c r="Z471" i="3" l="1"/>
  <c r="X471" i="3"/>
  <c r="Y471" i="3"/>
  <c r="W471" i="3"/>
  <c r="AL471" i="3" l="1"/>
  <c r="AH471" i="3" s="1"/>
  <c r="AK471" i="3"/>
  <c r="AF471" i="3" s="1"/>
  <c r="AJ471" i="3"/>
  <c r="AD471" i="3" s="1"/>
  <c r="BA471" i="3"/>
  <c r="AG471" i="3"/>
  <c r="BB471" i="3"/>
  <c r="AC471" i="3"/>
  <c r="AE471" i="3" l="1"/>
  <c r="AX471" i="3"/>
  <c r="AY471" i="3"/>
  <c r="AV471" i="3"/>
  <c r="AA471" i="3" s="1"/>
  <c r="AW471" i="3"/>
  <c r="AB471" i="3" s="1"/>
  <c r="Z472" i="3" l="1"/>
  <c r="X472" i="3"/>
  <c r="W472" i="3"/>
  <c r="Y472" i="3"/>
  <c r="AK472" i="3" l="1"/>
  <c r="AL472" i="3"/>
  <c r="AH472" i="3" s="1"/>
  <c r="AJ472" i="3"/>
  <c r="BA472" i="3"/>
  <c r="AW472" i="3" s="1"/>
  <c r="BB472" i="3"/>
  <c r="AY472" i="3" s="1"/>
  <c r="AG472" i="3"/>
  <c r="AX472" i="3"/>
  <c r="AC472" i="3" l="1"/>
  <c r="AD472" i="3"/>
  <c r="AV472" i="3"/>
  <c r="AE472" i="3"/>
  <c r="AF472" i="3"/>
  <c r="AB472" i="3" l="1"/>
  <c r="AA472" i="3"/>
  <c r="Y473" i="3" l="1"/>
  <c r="W473" i="3"/>
  <c r="X473" i="3"/>
  <c r="Z473" i="3"/>
  <c r="AL473" i="3" l="1"/>
  <c r="BB473" i="3"/>
  <c r="AX473" i="3" s="1"/>
  <c r="AK473" i="3"/>
  <c r="AJ473" i="3"/>
  <c r="AC473" i="3" s="1"/>
  <c r="BA473" i="3"/>
  <c r="AV473" i="3" s="1"/>
  <c r="AE473" i="3"/>
  <c r="AG473" i="3"/>
  <c r="AW473" i="3"/>
  <c r="AY473" i="3"/>
  <c r="AD473" i="3"/>
  <c r="AF473" i="3"/>
  <c r="AH473" i="3"/>
  <c r="AB473" i="3" l="1"/>
  <c r="AA473" i="3"/>
  <c r="X474" i="3" l="1"/>
  <c r="Z474" i="3"/>
  <c r="Y474" i="3"/>
  <c r="W474" i="3"/>
  <c r="BA474" i="3" l="1"/>
  <c r="AV474" i="3" s="1"/>
  <c r="AK474" i="3"/>
  <c r="AJ474" i="3"/>
  <c r="AC474" i="3" s="1"/>
  <c r="AL474" i="3"/>
  <c r="BB474" i="3"/>
  <c r="AX474" i="3" s="1"/>
  <c r="AG474" i="3"/>
  <c r="AE474" i="3"/>
  <c r="AF474" i="3"/>
  <c r="AH474" i="3"/>
  <c r="AD474" i="3"/>
  <c r="AW474" i="3"/>
  <c r="AY474" i="3"/>
  <c r="AB474" i="3" l="1"/>
  <c r="X475" i="3"/>
  <c r="Z475" i="3"/>
  <c r="AA474" i="3"/>
  <c r="Y475" i="3" l="1"/>
  <c r="W475" i="3"/>
  <c r="AL475" i="3" l="1"/>
  <c r="AH475" i="3" s="1"/>
  <c r="AK475" i="3"/>
  <c r="AF475" i="3" s="1"/>
  <c r="BA475" i="3"/>
  <c r="AW475" i="3" s="1"/>
  <c r="AJ475" i="3"/>
  <c r="AD475" i="3" s="1"/>
  <c r="BB475" i="3"/>
  <c r="AY475" i="3" s="1"/>
  <c r="AG475" i="3"/>
  <c r="AV475" i="3"/>
  <c r="AE475" i="3"/>
  <c r="AC475" i="3"/>
  <c r="AX475" i="3" l="1"/>
  <c r="AB475" i="3"/>
  <c r="AA475" i="3"/>
  <c r="W476" i="3" s="1"/>
  <c r="Y476" i="3"/>
  <c r="X476" i="3"/>
  <c r="AJ476" i="3" s="1"/>
  <c r="AC476" i="3" s="1"/>
  <c r="Z476" i="3"/>
  <c r="BB476" i="3" l="1"/>
  <c r="AD476" i="3"/>
  <c r="AL476" i="3"/>
  <c r="BA476" i="3"/>
  <c r="AK476" i="3"/>
  <c r="AH476" i="3" l="1"/>
  <c r="AG476" i="3"/>
  <c r="AF476" i="3"/>
  <c r="AE476" i="3"/>
  <c r="AY476" i="3"/>
  <c r="AX476" i="3"/>
  <c r="AW476" i="3"/>
  <c r="AV476" i="3"/>
  <c r="AB476" i="3" l="1"/>
  <c r="Z477" i="3"/>
  <c r="X477" i="3"/>
  <c r="AA476" i="3"/>
  <c r="W477" i="3" l="1"/>
  <c r="Y477" i="3"/>
  <c r="BB477" i="3" l="1"/>
  <c r="AY477" i="3" s="1"/>
  <c r="AL477" i="3"/>
  <c r="AH477" i="3" s="1"/>
  <c r="AJ477" i="3"/>
  <c r="BA477" i="3"/>
  <c r="AK477" i="3"/>
  <c r="AF477" i="3" s="1"/>
  <c r="AX477" i="3"/>
  <c r="AC477" i="3" l="1"/>
  <c r="AD477" i="3"/>
  <c r="AG477" i="3"/>
  <c r="AE477" i="3"/>
  <c r="AV477" i="3"/>
  <c r="AW477" i="3"/>
  <c r="AB477" i="3" l="1"/>
  <c r="X478" i="3"/>
  <c r="Z478" i="3"/>
  <c r="AA477" i="3"/>
  <c r="Y478" i="3" l="1"/>
  <c r="W478" i="3"/>
  <c r="AJ478" i="3" l="1"/>
  <c r="AK478" i="3"/>
  <c r="BB478" i="3"/>
  <c r="AL478" i="3"/>
  <c r="AH478" i="3" s="1"/>
  <c r="BA478" i="3"/>
  <c r="AV478" i="3" l="1"/>
  <c r="AW478" i="3"/>
  <c r="AG478" i="3"/>
  <c r="AE478" i="3"/>
  <c r="AF478" i="3"/>
  <c r="AX478" i="3"/>
  <c r="AY478" i="3"/>
  <c r="AC478" i="3"/>
  <c r="AA478" i="3" s="1"/>
  <c r="AD478" i="3"/>
  <c r="AB478" i="3" s="1"/>
  <c r="Z479" i="3" l="1"/>
  <c r="X479" i="3"/>
  <c r="W479" i="3"/>
  <c r="Y479" i="3"/>
  <c r="AJ479" i="3" l="1"/>
  <c r="BA479" i="3"/>
  <c r="AV479" i="3" s="1"/>
  <c r="BB479" i="3"/>
  <c r="AK479" i="3"/>
  <c r="AE479" i="3" s="1"/>
  <c r="AL479" i="3"/>
  <c r="AG479" i="3" s="1"/>
  <c r="AC479" i="3"/>
  <c r="AX479" i="3"/>
  <c r="AD479" i="3"/>
  <c r="AF479" i="3"/>
  <c r="AW479" i="3"/>
  <c r="AY479" i="3"/>
  <c r="AH479" i="3"/>
  <c r="AB479" i="3" l="1"/>
  <c r="AA479" i="3"/>
  <c r="Y480" i="3" s="1"/>
  <c r="W480" i="3"/>
  <c r="X480" i="3" l="1"/>
  <c r="Z480" i="3"/>
  <c r="AL480" i="3"/>
  <c r="AG480" i="3" s="1"/>
  <c r="AK480" i="3"/>
  <c r="AF480" i="3" s="1"/>
  <c r="AJ480" i="3"/>
  <c r="AC480" i="3" s="1"/>
  <c r="BA480" i="3"/>
  <c r="AV480" i="3" s="1"/>
  <c r="BB480" i="3"/>
  <c r="AX480" i="3" s="1"/>
  <c r="AE480" i="3"/>
  <c r="AA480" i="3" l="1"/>
  <c r="AH480" i="3"/>
  <c r="AW480" i="3"/>
  <c r="AY480" i="3"/>
  <c r="AD480" i="3"/>
  <c r="AB480" i="3" l="1"/>
  <c r="X481" i="3" s="1"/>
  <c r="Z481" i="3"/>
  <c r="Y481" i="3"/>
  <c r="W481" i="3"/>
  <c r="BB481" i="3" l="1"/>
  <c r="AY481" i="3" s="1"/>
  <c r="AJ481" i="3"/>
  <c r="AD481" i="3" s="1"/>
  <c r="AL481" i="3"/>
  <c r="AH481" i="3" s="1"/>
  <c r="AC481" i="3"/>
  <c r="AX481" i="3"/>
  <c r="AK481" i="3"/>
  <c r="AF481" i="3" s="1"/>
  <c r="AG481" i="3"/>
  <c r="BA481" i="3"/>
  <c r="AW481" i="3" s="1"/>
  <c r="AB481" i="3" l="1"/>
  <c r="AE481" i="3"/>
  <c r="AV481" i="3"/>
  <c r="AA481" i="3" s="1"/>
  <c r="W482" i="3" l="1"/>
  <c r="Y482" i="3"/>
  <c r="Z482" i="3"/>
  <c r="X482" i="3"/>
  <c r="AK482" i="3" l="1"/>
  <c r="AF482" i="3" s="1"/>
  <c r="BA482" i="3"/>
  <c r="AV482" i="3" s="1"/>
  <c r="AJ482" i="3"/>
  <c r="AD482" i="3" s="1"/>
  <c r="BB482" i="3"/>
  <c r="AY482" i="3" s="1"/>
  <c r="AL482" i="3"/>
  <c r="AH482" i="3" s="1"/>
  <c r="AC482" i="3"/>
  <c r="AX482" i="3" l="1"/>
  <c r="AW482" i="3"/>
  <c r="AB482" i="3" s="1"/>
  <c r="AE482" i="3"/>
  <c r="AG482" i="3"/>
  <c r="AA482" i="3" l="1"/>
  <c r="Y483" i="3"/>
  <c r="W483" i="3"/>
  <c r="X483" i="3"/>
  <c r="Z483" i="3"/>
  <c r="BB483" i="3" l="1"/>
  <c r="AY483" i="3" s="1"/>
  <c r="AL483" i="3"/>
  <c r="AH483" i="3" s="1"/>
  <c r="BA483" i="3"/>
  <c r="AW483" i="3" s="1"/>
  <c r="AJ483" i="3"/>
  <c r="AD483" i="3" s="1"/>
  <c r="AK483" i="3"/>
  <c r="AF483" i="3" s="1"/>
  <c r="AV483" i="3"/>
  <c r="AG483" i="3"/>
  <c r="AC483" i="3"/>
  <c r="AX483" i="3"/>
  <c r="AB483" i="3" l="1"/>
  <c r="AE483" i="3"/>
  <c r="AA483" i="3" s="1"/>
  <c r="W484" i="3" l="1"/>
  <c r="Y484" i="3"/>
  <c r="Z484" i="3"/>
  <c r="X484" i="3"/>
  <c r="AJ484" i="3" l="1"/>
  <c r="AD484" i="3" s="1"/>
  <c r="AL484" i="3"/>
  <c r="AH484" i="3" s="1"/>
  <c r="BB484" i="3"/>
  <c r="AY484" i="3" s="1"/>
  <c r="BA484" i="3"/>
  <c r="AW484" i="3" s="1"/>
  <c r="AK484" i="3"/>
  <c r="AF484" i="3" s="1"/>
  <c r="AG484" i="3"/>
  <c r="AV484" i="3"/>
  <c r="AX484" i="3"/>
  <c r="AE484" i="3"/>
  <c r="AC484" i="3"/>
  <c r="AB484" i="3" l="1"/>
  <c r="AA484" i="3"/>
  <c r="Y485" i="3" s="1"/>
  <c r="W485" i="3"/>
  <c r="Z485" i="3" l="1"/>
  <c r="X485" i="3"/>
  <c r="AK485" i="3"/>
  <c r="AF485" i="3" s="1"/>
  <c r="BA485" i="3"/>
  <c r="AL485" i="3"/>
  <c r="AH485" i="3" s="1"/>
  <c r="BB485" i="3"/>
  <c r="AJ485" i="3"/>
  <c r="AD485" i="3" s="1"/>
  <c r="AE485" i="3"/>
  <c r="AG485" i="3"/>
  <c r="AX485" i="3"/>
  <c r="AV485" i="3"/>
  <c r="AC485" i="3" l="1"/>
  <c r="AA485" i="3" s="1"/>
  <c r="AW485" i="3"/>
  <c r="AB485" i="3" s="1"/>
  <c r="AY485" i="3"/>
  <c r="X486" i="3" l="1"/>
  <c r="Z486" i="3"/>
  <c r="Y486" i="3"/>
  <c r="W486" i="3"/>
  <c r="AL486" i="3" l="1"/>
  <c r="AH486" i="3" s="1"/>
  <c r="AJ486" i="3"/>
  <c r="AD486" i="3" s="1"/>
  <c r="AK486" i="3"/>
  <c r="AF486" i="3" s="1"/>
  <c r="BB486" i="3"/>
  <c r="AY486" i="3" s="1"/>
  <c r="AC486" i="3"/>
  <c r="BA486" i="3"/>
  <c r="AW486" i="3" s="1"/>
  <c r="AG486" i="3"/>
  <c r="AE486" i="3"/>
  <c r="AX486" i="3"/>
  <c r="AV486" i="3"/>
  <c r="AB486" i="3" l="1"/>
  <c r="AA486" i="3"/>
  <c r="X487" i="3" l="1"/>
  <c r="Z487" i="3"/>
  <c r="Y487" i="3"/>
  <c r="W487" i="3"/>
  <c r="AK487" i="3" l="1"/>
  <c r="BB487" i="3"/>
  <c r="AX487" i="3" s="1"/>
  <c r="AJ487" i="3"/>
  <c r="AL487" i="3"/>
  <c r="AH487" i="3" s="1"/>
  <c r="BA487" i="3"/>
  <c r="AV487" i="3" s="1"/>
  <c r="AE487" i="3"/>
  <c r="AG487" i="3"/>
  <c r="AC487" i="3"/>
  <c r="AY487" i="3"/>
  <c r="AF487" i="3"/>
  <c r="AD487" i="3"/>
  <c r="AA487" i="3" l="1"/>
  <c r="AW487" i="3"/>
  <c r="AB487" i="3" s="1"/>
  <c r="Y488" i="3"/>
  <c r="W488" i="3"/>
  <c r="Z488" i="3" l="1"/>
  <c r="X488" i="3"/>
  <c r="AL488" i="3"/>
  <c r="BA488" i="3"/>
  <c r="AV488" i="3" s="1"/>
  <c r="AK488" i="3"/>
  <c r="AF488" i="3" s="1"/>
  <c r="AJ488" i="3"/>
  <c r="AD488" i="3" s="1"/>
  <c r="BB488" i="3"/>
  <c r="AX488" i="3" s="1"/>
  <c r="AC488" i="3" l="1"/>
  <c r="AW488" i="3"/>
  <c r="AH488" i="3"/>
  <c r="AG488" i="3"/>
  <c r="AE488" i="3"/>
  <c r="AY488" i="3"/>
  <c r="AB488" i="3" l="1"/>
  <c r="X489" i="3"/>
  <c r="Z489" i="3"/>
  <c r="AA488" i="3"/>
  <c r="W489" i="3" l="1"/>
  <c r="Y489" i="3"/>
  <c r="BA489" i="3" l="1"/>
  <c r="AW489" i="3" s="1"/>
  <c r="BB489" i="3"/>
  <c r="AY489" i="3" s="1"/>
  <c r="AJ489" i="3"/>
  <c r="AL489" i="3"/>
  <c r="AH489" i="3" s="1"/>
  <c r="AK489" i="3"/>
  <c r="AF489" i="3" s="1"/>
  <c r="AX489" i="3"/>
  <c r="AV489" i="3"/>
  <c r="AG489" i="3"/>
  <c r="AE489" i="3" l="1"/>
  <c r="AC489" i="3"/>
  <c r="AA489" i="3" s="1"/>
  <c r="AD489" i="3"/>
  <c r="AB489" i="3" s="1"/>
  <c r="Y490" i="3" l="1"/>
  <c r="W490" i="3"/>
  <c r="Z490" i="3"/>
  <c r="X490" i="3"/>
  <c r="BB490" i="3" l="1"/>
  <c r="AY490" i="3" s="1"/>
  <c r="AK490" i="3"/>
  <c r="AF490" i="3" s="1"/>
  <c r="AL490" i="3"/>
  <c r="AG490" i="3" s="1"/>
  <c r="BA490" i="3"/>
  <c r="AV490" i="3" s="1"/>
  <c r="AE490" i="3"/>
  <c r="AJ490" i="3"/>
  <c r="AD490" i="3" s="1"/>
  <c r="AX490" i="3"/>
  <c r="AC490" i="3" l="1"/>
  <c r="AA490" i="3" s="1"/>
  <c r="AH490" i="3"/>
  <c r="AB490" i="3" s="1"/>
  <c r="AW490" i="3"/>
  <c r="Z491" i="3" l="1"/>
  <c r="X491" i="3"/>
  <c r="Y491" i="3"/>
  <c r="W491" i="3"/>
  <c r="BB491" i="3" l="1"/>
  <c r="AY491" i="3" s="1"/>
  <c r="BA491" i="3"/>
  <c r="AV491" i="3" s="1"/>
  <c r="AK491" i="3"/>
  <c r="AF491" i="3" s="1"/>
  <c r="AL491" i="3"/>
  <c r="AH491" i="3" s="1"/>
  <c r="AJ491" i="3"/>
  <c r="AD491" i="3" s="1"/>
  <c r="AE491" i="3"/>
  <c r="AX491" i="3"/>
  <c r="AW491" i="3"/>
  <c r="AB491" i="3" l="1"/>
  <c r="X492" i="3" s="1"/>
  <c r="Z492" i="3"/>
  <c r="AC491" i="3"/>
  <c r="AG491" i="3"/>
  <c r="AA491" i="3" l="1"/>
  <c r="Y492" i="3" l="1"/>
  <c r="W492" i="3"/>
  <c r="BB492" i="3" l="1"/>
  <c r="AY492" i="3" s="1"/>
  <c r="BA492" i="3"/>
  <c r="AW492" i="3" s="1"/>
  <c r="AK492" i="3"/>
  <c r="AF492" i="3" s="1"/>
  <c r="AJ492" i="3"/>
  <c r="AD492" i="3" s="1"/>
  <c r="AL492" i="3"/>
  <c r="AH492" i="3" s="1"/>
  <c r="AC492" i="3"/>
  <c r="AE492" i="3"/>
  <c r="AV492" i="3"/>
  <c r="AX492" i="3" l="1"/>
  <c r="AB492" i="3"/>
  <c r="AG492" i="3"/>
  <c r="AA492" i="3" s="1"/>
  <c r="Y493" i="3" l="1"/>
  <c r="W493" i="3"/>
  <c r="Z493" i="3"/>
  <c r="X493" i="3"/>
  <c r="BB493" i="3" l="1"/>
  <c r="AY493" i="3" s="1"/>
  <c r="BA493" i="3"/>
  <c r="AW493" i="3" s="1"/>
  <c r="AJ493" i="3"/>
  <c r="AD493" i="3" s="1"/>
  <c r="AK493" i="3"/>
  <c r="AF493" i="3" s="1"/>
  <c r="AL493" i="3"/>
  <c r="AH493" i="3" s="1"/>
  <c r="AC493" i="3"/>
  <c r="AV493" i="3"/>
  <c r="AX493" i="3"/>
  <c r="AE493" i="3"/>
  <c r="AG493" i="3" l="1"/>
  <c r="AB493" i="3"/>
  <c r="Z494" i="3" s="1"/>
  <c r="AA493" i="3"/>
  <c r="X494" i="3" l="1"/>
  <c r="W494" i="3"/>
  <c r="Y494" i="3"/>
  <c r="BB494" i="3" l="1"/>
  <c r="BA494" i="3"/>
  <c r="AK494" i="3"/>
  <c r="AF494" i="3" s="1"/>
  <c r="AE494" i="3"/>
  <c r="AJ494" i="3"/>
  <c r="AL494" i="3"/>
  <c r="AH494" i="3" s="1"/>
  <c r="AG494" i="3" l="1"/>
  <c r="AC494" i="3"/>
  <c r="AD494" i="3"/>
  <c r="AV494" i="3"/>
  <c r="AW494" i="3"/>
  <c r="AX494" i="3"/>
  <c r="AY494" i="3"/>
  <c r="AB494" i="3" l="1"/>
  <c r="X495" i="3"/>
  <c r="Z495" i="3"/>
  <c r="AA494" i="3"/>
  <c r="Y495" i="3" l="1"/>
  <c r="W495" i="3"/>
  <c r="BA495" i="3" l="1"/>
  <c r="AK495" i="3"/>
  <c r="AF495" i="3" s="1"/>
  <c r="AJ495" i="3"/>
  <c r="AD495" i="3" s="1"/>
  <c r="AL495" i="3"/>
  <c r="AH495" i="3" s="1"/>
  <c r="BB495" i="3"/>
  <c r="AE495" i="3"/>
  <c r="AC495" i="3"/>
  <c r="AG495" i="3" l="1"/>
  <c r="AX495" i="3"/>
  <c r="AY495" i="3"/>
  <c r="AV495" i="3"/>
  <c r="AA495" i="3" s="1"/>
  <c r="AW495" i="3"/>
  <c r="AB495" i="3" s="1"/>
  <c r="Y496" i="3" l="1"/>
  <c r="W496" i="3"/>
  <c r="Z496" i="3"/>
  <c r="X496" i="3"/>
  <c r="BB496" i="3" l="1"/>
  <c r="AY496" i="3" s="1"/>
  <c r="BA496" i="3"/>
  <c r="AW496" i="3" s="1"/>
  <c r="AJ496" i="3"/>
  <c r="AC496" i="3" s="1"/>
  <c r="AK496" i="3"/>
  <c r="AE496" i="3" s="1"/>
  <c r="AL496" i="3"/>
  <c r="AG496" i="3" s="1"/>
  <c r="AX496" i="3"/>
  <c r="AV496" i="3"/>
  <c r="AF496" i="3" l="1"/>
  <c r="AA496" i="3"/>
  <c r="AH496" i="3"/>
  <c r="AD496" i="3"/>
  <c r="AB496" i="3" l="1"/>
  <c r="Z497" i="3"/>
  <c r="X497" i="3"/>
  <c r="W497" i="3"/>
  <c r="Y497" i="3"/>
  <c r="AJ497" i="3" l="1"/>
  <c r="BB497" i="3"/>
  <c r="AX497" i="3" s="1"/>
  <c r="AK497" i="3"/>
  <c r="AL497" i="3"/>
  <c r="BA497" i="3"/>
  <c r="AV497" i="3" s="1"/>
  <c r="AE497" i="3"/>
  <c r="AG497" i="3"/>
  <c r="AC497" i="3"/>
  <c r="AH497" i="3"/>
  <c r="AF497" i="3"/>
  <c r="AW497" i="3"/>
  <c r="AY497" i="3"/>
  <c r="AD497" i="3"/>
  <c r="AA497" i="3" l="1"/>
  <c r="W498" i="3" s="1"/>
  <c r="AB497" i="3"/>
  <c r="Z498" i="3" s="1"/>
  <c r="Y498" i="3"/>
  <c r="X498" i="3" l="1"/>
  <c r="AJ498" i="3" s="1"/>
  <c r="AD498" i="3"/>
  <c r="AC498" i="3"/>
  <c r="BB498" i="3"/>
  <c r="AX498" i="3" s="1"/>
  <c r="BA498" i="3"/>
  <c r="AV498" i="3" s="1"/>
  <c r="AL498" i="3"/>
  <c r="AK498" i="3"/>
  <c r="AY498" i="3" l="1"/>
  <c r="AF498" i="3"/>
  <c r="AE498" i="3"/>
  <c r="AH498" i="3"/>
  <c r="AG498" i="3"/>
  <c r="AA498" i="3" s="1"/>
  <c r="AW498" i="3"/>
  <c r="AB498" i="3" l="1"/>
  <c r="W499" i="3"/>
  <c r="Y499" i="3"/>
  <c r="Z499" i="3"/>
  <c r="X499" i="3"/>
  <c r="BB499" i="3" l="1"/>
  <c r="AY499" i="3" s="1"/>
  <c r="BA499" i="3"/>
  <c r="AV499" i="3" s="1"/>
  <c r="AK499" i="3"/>
  <c r="AF499" i="3" s="1"/>
  <c r="AL499" i="3"/>
  <c r="AG499" i="3" s="1"/>
  <c r="AJ499" i="3"/>
  <c r="AD499" i="3" s="1"/>
  <c r="AE499" i="3"/>
  <c r="AX499" i="3"/>
  <c r="AH499" i="3" l="1"/>
  <c r="AC499" i="3"/>
  <c r="AA499" i="3" s="1"/>
  <c r="AW499" i="3"/>
  <c r="AB499" i="3" l="1"/>
  <c r="Y500" i="3"/>
  <c r="W500" i="3"/>
  <c r="Z500" i="3"/>
  <c r="X500" i="3"/>
  <c r="BB500" i="3" l="1"/>
  <c r="AY500" i="3" s="1"/>
  <c r="AK500" i="3"/>
  <c r="AF500" i="3" s="1"/>
  <c r="AJ500" i="3"/>
  <c r="AD500" i="3" s="1"/>
  <c r="BA500" i="3"/>
  <c r="AW500" i="3" s="1"/>
  <c r="AL500" i="3"/>
  <c r="AH500" i="3" s="1"/>
  <c r="AE500" i="3"/>
  <c r="AX500" i="3"/>
  <c r="AC500" i="3"/>
  <c r="AB500" i="3" l="1"/>
  <c r="AV500" i="3"/>
  <c r="Z501" i="3"/>
  <c r="X501" i="3"/>
  <c r="AG500" i="3"/>
  <c r="AA500" i="3" s="1"/>
  <c r="Y501" i="3" l="1"/>
  <c r="W501" i="3"/>
  <c r="AJ501" i="3" l="1"/>
  <c r="AK501" i="3"/>
  <c r="AF501" i="3" s="1"/>
  <c r="BA501" i="3"/>
  <c r="AW501" i="3" s="1"/>
  <c r="BB501" i="3"/>
  <c r="AL501" i="3"/>
  <c r="AE501" i="3"/>
  <c r="AV501" i="3"/>
  <c r="AX501" i="3" l="1"/>
  <c r="AY501" i="3"/>
  <c r="AG501" i="3"/>
  <c r="AH501" i="3"/>
  <c r="AC501" i="3"/>
  <c r="AA501" i="3" s="1"/>
  <c r="W502" i="3" s="1"/>
  <c r="AD501" i="3"/>
  <c r="AB501" i="3" s="1"/>
  <c r="Z502" i="3" l="1"/>
  <c r="X502" i="3"/>
  <c r="BA502" i="3" s="1"/>
  <c r="Y502" i="3"/>
  <c r="AV502" i="3" l="1"/>
  <c r="AW502" i="3"/>
  <c r="AL502" i="3"/>
  <c r="AJ502" i="3"/>
  <c r="BB502" i="3"/>
  <c r="AK502" i="3"/>
  <c r="AE502" i="3" s="1"/>
  <c r="AF502" i="3" l="1"/>
  <c r="AD502" i="3"/>
  <c r="AC502" i="3"/>
  <c r="AX502" i="3"/>
  <c r="AY502" i="3"/>
  <c r="AG502" i="3"/>
  <c r="AH502" i="3"/>
  <c r="AB502" i="3" l="1"/>
  <c r="X503" i="3"/>
  <c r="Z503" i="3"/>
  <c r="AA502" i="3"/>
  <c r="W503" i="3" l="1"/>
  <c r="Y503" i="3"/>
  <c r="BB503" i="3" l="1"/>
  <c r="AL503" i="3"/>
  <c r="BA503" i="3"/>
  <c r="AK503" i="3"/>
  <c r="AF503" i="3" s="1"/>
  <c r="AJ503" i="3"/>
  <c r="AD503" i="3" l="1"/>
  <c r="AC503" i="3"/>
  <c r="AE503" i="3"/>
  <c r="AW503" i="3"/>
  <c r="AV503" i="3"/>
  <c r="AG503" i="3"/>
  <c r="AH503" i="3"/>
  <c r="AY503" i="3"/>
  <c r="AX503" i="3"/>
  <c r="AB503" i="3" l="1"/>
  <c r="Z504" i="3"/>
  <c r="X504" i="3"/>
  <c r="AA503" i="3"/>
  <c r="Y504" i="3" l="1"/>
  <c r="W504" i="3"/>
  <c r="BA504" i="3" l="1"/>
  <c r="BB504" i="3"/>
  <c r="AK504" i="3"/>
  <c r="AF504" i="3" s="1"/>
  <c r="AL504" i="3"/>
  <c r="AJ504" i="3"/>
  <c r="AD504" i="3" s="1"/>
  <c r="AE504" i="3"/>
  <c r="AG504" i="3" l="1"/>
  <c r="AH504" i="3"/>
  <c r="AC504" i="3"/>
  <c r="AX504" i="3"/>
  <c r="AY504" i="3"/>
  <c r="AV504" i="3"/>
  <c r="AW504" i="3"/>
  <c r="AB504" i="3" l="1"/>
  <c r="Z505" i="3"/>
  <c r="X505" i="3"/>
  <c r="AA504" i="3"/>
  <c r="Y505" i="3" l="1"/>
  <c r="W505" i="3"/>
  <c r="AL505" i="3" l="1"/>
  <c r="AH505" i="3" s="1"/>
  <c r="BA505" i="3"/>
  <c r="AW505" i="3" s="1"/>
  <c r="AJ505" i="3"/>
  <c r="AD505" i="3" s="1"/>
  <c r="BB505" i="3"/>
  <c r="AY505" i="3" s="1"/>
  <c r="AK505" i="3"/>
  <c r="AF505" i="3" s="1"/>
  <c r="AG505" i="3"/>
  <c r="AV505" i="3"/>
  <c r="AC505" i="3"/>
  <c r="AX505" i="3"/>
  <c r="AB505" i="3" l="1"/>
  <c r="AE505" i="3"/>
  <c r="AA505" i="3" s="1"/>
  <c r="Y506" i="3" l="1"/>
  <c r="W506" i="3"/>
  <c r="X506" i="3"/>
  <c r="Z506" i="3"/>
  <c r="BB506" i="3" l="1"/>
  <c r="AX506" i="3" s="1"/>
  <c r="AJ506" i="3"/>
  <c r="AL506" i="3"/>
  <c r="AG506" i="3" s="1"/>
  <c r="AK506" i="3"/>
  <c r="BA506" i="3"/>
  <c r="AW506" i="3" l="1"/>
  <c r="AV506" i="3"/>
  <c r="AF506" i="3"/>
  <c r="AE506" i="3"/>
  <c r="AD506" i="3"/>
  <c r="AC506" i="3"/>
  <c r="AA506" i="3" s="1"/>
  <c r="AY506" i="3"/>
  <c r="AH506" i="3"/>
  <c r="AB506" i="3" l="1"/>
  <c r="Z507" i="3"/>
  <c r="X507" i="3"/>
  <c r="Y507" i="3"/>
  <c r="W507" i="3"/>
  <c r="BB507" i="3" l="1"/>
  <c r="AX507" i="3" s="1"/>
  <c r="AK507" i="3"/>
  <c r="AE507" i="3" s="1"/>
  <c r="AJ507" i="3"/>
  <c r="AC507" i="3" s="1"/>
  <c r="AL507" i="3"/>
  <c r="AG507" i="3" s="1"/>
  <c r="BA507" i="3"/>
  <c r="AV507" i="3" s="1"/>
  <c r="AF507" i="3"/>
  <c r="AH507" i="3"/>
  <c r="AY507" i="3"/>
  <c r="AD507" i="3"/>
  <c r="AW507" i="3" l="1"/>
  <c r="AB507" i="3" s="1"/>
  <c r="AA507" i="3"/>
  <c r="Z508" i="3" l="1"/>
  <c r="X508" i="3"/>
  <c r="Y508" i="3"/>
  <c r="W508" i="3"/>
  <c r="BB508" i="3" l="1"/>
  <c r="AK508" i="3"/>
  <c r="AF508" i="3" s="1"/>
  <c r="AJ508" i="3"/>
  <c r="BA508" i="3"/>
  <c r="AE508" i="3"/>
  <c r="AL508" i="3"/>
  <c r="AG508" i="3" l="1"/>
  <c r="AH508" i="3"/>
  <c r="AV508" i="3"/>
  <c r="AW508" i="3"/>
  <c r="AC508" i="3"/>
  <c r="AD508" i="3"/>
  <c r="AX508" i="3"/>
  <c r="AY508" i="3"/>
  <c r="AB508" i="3" l="1"/>
  <c r="AA508" i="3"/>
  <c r="W509" i="3"/>
  <c r="Y509" i="3"/>
  <c r="Z509" i="3"/>
  <c r="X509" i="3"/>
  <c r="BA509" i="3" l="1"/>
  <c r="AV509" i="3" s="1"/>
  <c r="AJ509" i="3"/>
  <c r="AD509" i="3" s="1"/>
  <c r="AK509" i="3"/>
  <c r="AF509" i="3" s="1"/>
  <c r="BB509" i="3"/>
  <c r="AX509" i="3" s="1"/>
  <c r="AL509" i="3"/>
  <c r="AH509" i="3" s="1"/>
  <c r="AC509" i="3"/>
  <c r="AE509" i="3"/>
  <c r="AG509" i="3" l="1"/>
  <c r="AA509" i="3" s="1"/>
  <c r="AY509" i="3"/>
  <c r="AW509" i="3"/>
  <c r="AB509" i="3" l="1"/>
  <c r="Y510" i="3"/>
  <c r="W510" i="3"/>
  <c r="Z510" i="3"/>
  <c r="X510" i="3"/>
  <c r="AL510" i="3" l="1"/>
  <c r="AG510" i="3" s="1"/>
  <c r="AJ510" i="3"/>
  <c r="AC510" i="3" s="1"/>
  <c r="AK510" i="3"/>
  <c r="AE510" i="3" s="1"/>
  <c r="BB510" i="3"/>
  <c r="BA510" i="3"/>
  <c r="AY510" i="3" l="1"/>
  <c r="AX510" i="3"/>
  <c r="AW510" i="3"/>
  <c r="AV510" i="3"/>
  <c r="AA510" i="3" s="1"/>
  <c r="AH510" i="3"/>
  <c r="AD510" i="3"/>
  <c r="AF510" i="3"/>
  <c r="AB510" i="3" l="1"/>
  <c r="Y511" i="3"/>
  <c r="W511" i="3"/>
  <c r="X511" i="3" l="1"/>
  <c r="Z511" i="3"/>
  <c r="AJ511" i="3"/>
  <c r="AC511" i="3" s="1"/>
  <c r="BB511" i="3"/>
  <c r="AX511" i="3" s="1"/>
  <c r="AL511" i="3"/>
  <c r="AG511" i="3" s="1"/>
  <c r="AK511" i="3"/>
  <c r="AE511" i="3" s="1"/>
  <c r="BA511" i="3"/>
  <c r="AV511" i="3" s="1"/>
  <c r="AA511" i="3" l="1"/>
  <c r="AH511" i="3"/>
  <c r="AW511" i="3"/>
  <c r="AF511" i="3"/>
  <c r="AY511" i="3"/>
  <c r="AD511" i="3"/>
  <c r="AB511" i="3" l="1"/>
  <c r="Z512" i="3" s="1"/>
  <c r="X512" i="3"/>
  <c r="W512" i="3"/>
  <c r="Y512" i="3"/>
  <c r="BB512" i="3" l="1"/>
  <c r="AX512" i="3" s="1"/>
  <c r="BA512" i="3"/>
  <c r="AV512" i="3" s="1"/>
  <c r="AL512" i="3"/>
  <c r="AG512" i="3" s="1"/>
  <c r="AJ512" i="3"/>
  <c r="AK512" i="3"/>
  <c r="AE512" i="3" s="1"/>
  <c r="AC512" i="3"/>
  <c r="AW512" i="3"/>
  <c r="AY512" i="3"/>
  <c r="AH512" i="3"/>
  <c r="AD512" i="3"/>
  <c r="AF512" i="3"/>
  <c r="AB512" i="3" l="1"/>
  <c r="AA512" i="3"/>
  <c r="Y513" i="3" l="1"/>
  <c r="W513" i="3"/>
  <c r="Z513" i="3"/>
  <c r="X513" i="3"/>
  <c r="BA513" i="3" l="1"/>
  <c r="AW513" i="3" s="1"/>
  <c r="AK513" i="3"/>
  <c r="BB513" i="3"/>
  <c r="AY513" i="3" s="1"/>
  <c r="AJ513" i="3"/>
  <c r="AD513" i="3" s="1"/>
  <c r="AL513" i="3"/>
  <c r="AH513" i="3" s="1"/>
  <c r="AE513" i="3"/>
  <c r="AX513" i="3"/>
  <c r="AV513" i="3"/>
  <c r="AG513" i="3"/>
  <c r="AF513" i="3"/>
  <c r="AB513" i="3" l="1"/>
  <c r="X514" i="3" s="1"/>
  <c r="AC513" i="3"/>
  <c r="AA513" i="3" s="1"/>
  <c r="Z514" i="3"/>
  <c r="Y514" i="3" l="1"/>
  <c r="W514" i="3"/>
  <c r="BB514" i="3" l="1"/>
  <c r="AY514" i="3" s="1"/>
  <c r="BA514" i="3"/>
  <c r="AW514" i="3" s="1"/>
  <c r="AL514" i="3"/>
  <c r="AH514" i="3" s="1"/>
  <c r="AJ514" i="3"/>
  <c r="AD514" i="3" s="1"/>
  <c r="AK514" i="3"/>
  <c r="AF514" i="3" s="1"/>
  <c r="AG514" i="3"/>
  <c r="AV514" i="3"/>
  <c r="AX514" i="3"/>
  <c r="AE514" i="3"/>
  <c r="AC514" i="3"/>
  <c r="AA514" i="3" l="1"/>
  <c r="W515" i="3" s="1"/>
  <c r="AB514" i="3"/>
  <c r="Z515" i="3"/>
  <c r="X515" i="3"/>
  <c r="Y515" i="3"/>
  <c r="AL515" i="3" l="1"/>
  <c r="AG515" i="3" s="1"/>
  <c r="BB515" i="3"/>
  <c r="AK515" i="3"/>
  <c r="AE515" i="3" s="1"/>
  <c r="AJ515" i="3"/>
  <c r="AC515" i="3" s="1"/>
  <c r="BA515" i="3"/>
  <c r="AY515" i="3" l="1"/>
  <c r="AX515" i="3"/>
  <c r="AH515" i="3"/>
  <c r="AW515" i="3"/>
  <c r="AV515" i="3"/>
  <c r="AA515" i="3" s="1"/>
  <c r="AF515" i="3"/>
  <c r="AD515" i="3"/>
  <c r="AB515" i="3" l="1"/>
  <c r="W516" i="3"/>
  <c r="Y516" i="3"/>
  <c r="Z516" i="3"/>
  <c r="X516" i="3"/>
  <c r="BA516" i="3" l="1"/>
  <c r="AJ516" i="3"/>
  <c r="AK516" i="3"/>
  <c r="AL516" i="3"/>
  <c r="BB516" i="3"/>
  <c r="AY516" i="3" l="1"/>
  <c r="AX516" i="3"/>
  <c r="AC516" i="3"/>
  <c r="AD516" i="3"/>
  <c r="AG516" i="3"/>
  <c r="AH516" i="3"/>
  <c r="AE516" i="3"/>
  <c r="AF516" i="3"/>
  <c r="AW516" i="3"/>
  <c r="AV516" i="3"/>
  <c r="AB516" i="3" l="1"/>
  <c r="AA516" i="3"/>
  <c r="W517" i="3" l="1"/>
  <c r="Y517" i="3"/>
  <c r="X517" i="3"/>
  <c r="Z517" i="3"/>
  <c r="AL517" i="3" l="1"/>
  <c r="AG517" i="3" s="1"/>
  <c r="BB517" i="3"/>
  <c r="BA517" i="3"/>
  <c r="AK517" i="3"/>
  <c r="AJ517" i="3"/>
  <c r="AF517" i="3" l="1"/>
  <c r="AE517" i="3"/>
  <c r="AC517" i="3"/>
  <c r="AD517" i="3"/>
  <c r="AW517" i="3"/>
  <c r="AV517" i="3"/>
  <c r="AY517" i="3"/>
  <c r="AX517" i="3"/>
  <c r="AH517" i="3"/>
  <c r="AB517" i="3" l="1"/>
  <c r="AA517" i="3"/>
  <c r="W518" i="3" s="1"/>
  <c r="Y518" i="3" l="1"/>
  <c r="Z518" i="3"/>
  <c r="X518" i="3"/>
  <c r="AJ518" i="3" l="1"/>
  <c r="AC518" i="3" s="1"/>
  <c r="AK518" i="3"/>
  <c r="AE518" i="3" s="1"/>
  <c r="BA518" i="3"/>
  <c r="AV518" i="3" s="1"/>
  <c r="AL518" i="3"/>
  <c r="AG518" i="3" s="1"/>
  <c r="BB518" i="3"/>
  <c r="AX518" i="3" s="1"/>
  <c r="AA518" i="3" l="1"/>
  <c r="AY518" i="3"/>
  <c r="AF518" i="3"/>
  <c r="AD518" i="3"/>
  <c r="AH518" i="3"/>
  <c r="AW518" i="3"/>
  <c r="AB518" i="3" l="1"/>
  <c r="Y519" i="3"/>
  <c r="W519" i="3"/>
  <c r="Z519" i="3" l="1"/>
  <c r="X519" i="3"/>
  <c r="AJ519" i="3" l="1"/>
  <c r="AC519" i="3" s="1"/>
  <c r="AL519" i="3"/>
  <c r="AG519" i="3" s="1"/>
  <c r="AK519" i="3"/>
  <c r="BA519" i="3"/>
  <c r="AV519" i="3" s="1"/>
  <c r="BB519" i="3"/>
  <c r="AX519" i="3" s="1"/>
  <c r="AF519" i="3" l="1"/>
  <c r="AE519" i="3"/>
  <c r="AH519" i="3"/>
  <c r="AY519" i="3"/>
  <c r="AA519" i="3"/>
  <c r="AD519" i="3"/>
  <c r="AW519" i="3"/>
  <c r="AB519" i="3" l="1"/>
  <c r="Z520" i="3"/>
  <c r="X520" i="3"/>
  <c r="Y520" i="3"/>
  <c r="W520" i="3"/>
  <c r="BB520" i="3" l="1"/>
  <c r="AY520" i="3" s="1"/>
  <c r="BA520" i="3"/>
  <c r="AV520" i="3" s="1"/>
  <c r="AJ520" i="3"/>
  <c r="AD520" i="3" s="1"/>
  <c r="AK520" i="3"/>
  <c r="AL520" i="3"/>
  <c r="AH520" i="3" s="1"/>
  <c r="AC520" i="3"/>
  <c r="AE520" i="3"/>
  <c r="AG520" i="3"/>
  <c r="AX520" i="3"/>
  <c r="AW520" i="3"/>
  <c r="AF520" i="3"/>
  <c r="AB520" i="3" l="1"/>
  <c r="Z521" i="3" s="1"/>
  <c r="X521" i="3"/>
  <c r="AA520" i="3"/>
  <c r="Y521" i="3" l="1"/>
  <c r="W521" i="3"/>
  <c r="AJ521" i="3" l="1"/>
  <c r="AD521" i="3" s="1"/>
  <c r="AK521" i="3"/>
  <c r="AF521" i="3" s="1"/>
  <c r="BA521" i="3"/>
  <c r="BB521" i="3"/>
  <c r="AL521" i="3"/>
  <c r="AH521" i="3" s="1"/>
  <c r="AE521" i="3"/>
  <c r="AC521" i="3"/>
  <c r="AV521" i="3" l="1"/>
  <c r="AW521" i="3"/>
  <c r="AX521" i="3"/>
  <c r="AY521" i="3"/>
  <c r="AG521" i="3"/>
  <c r="AA521" i="3" s="1"/>
  <c r="AB521" i="3" l="1"/>
  <c r="W522" i="3"/>
  <c r="Y522" i="3"/>
  <c r="Z522" i="3"/>
  <c r="X522" i="3"/>
  <c r="BA522" i="3" l="1"/>
  <c r="AV522" i="3" s="1"/>
  <c r="AK522" i="3"/>
  <c r="AE522" i="3" s="1"/>
  <c r="BB522" i="3"/>
  <c r="AX522" i="3" s="1"/>
  <c r="AL522" i="3"/>
  <c r="AH522" i="3" s="1"/>
  <c r="AJ522" i="3"/>
  <c r="AC522" i="3" s="1"/>
  <c r="AA522" i="3" s="1"/>
  <c r="W523" i="3" s="1"/>
  <c r="AG522" i="3"/>
  <c r="Y523" i="3" l="1"/>
  <c r="AW522" i="3"/>
  <c r="AD522" i="3"/>
  <c r="AF522" i="3"/>
  <c r="AY522" i="3"/>
  <c r="AB522" i="3" l="1"/>
  <c r="X523" i="3"/>
  <c r="Z523" i="3"/>
  <c r="BB523" i="3" l="1"/>
  <c r="AX523" i="3" s="1"/>
  <c r="AK523" i="3"/>
  <c r="AJ523" i="3"/>
  <c r="AC523" i="3" s="1"/>
  <c r="AL523" i="3"/>
  <c r="AG523" i="3" s="1"/>
  <c r="BA523" i="3"/>
  <c r="AV523" i="3" s="1"/>
  <c r="AF523" i="3" l="1"/>
  <c r="AE523" i="3"/>
  <c r="AA523" i="3" s="1"/>
  <c r="AW523" i="3"/>
  <c r="AH523" i="3"/>
  <c r="AD523" i="3"/>
  <c r="AB523" i="3" s="1"/>
  <c r="AY523" i="3"/>
  <c r="Y524" i="3" l="1"/>
  <c r="W524" i="3"/>
  <c r="Z524" i="3" l="1"/>
  <c r="X524" i="3"/>
  <c r="BA524" i="3"/>
  <c r="AW524" i="3" s="1"/>
  <c r="AK524" i="3"/>
  <c r="AF524" i="3" s="1"/>
  <c r="AL524" i="3"/>
  <c r="AJ524" i="3"/>
  <c r="AC524" i="3" s="1"/>
  <c r="AV524" i="3"/>
  <c r="AE524" i="3"/>
  <c r="AG524" i="3"/>
  <c r="AH524" i="3" l="1"/>
  <c r="AD524" i="3"/>
  <c r="BB524" i="3"/>
  <c r="AY524" i="3" l="1"/>
  <c r="AB524" i="3" s="1"/>
  <c r="AX524" i="3"/>
  <c r="AA524" i="3" s="1"/>
  <c r="X525" i="3" l="1"/>
  <c r="Z525" i="3"/>
  <c r="W525" i="3"/>
  <c r="Y525" i="3"/>
  <c r="BA525" i="3" l="1"/>
  <c r="AL525" i="3"/>
  <c r="AH525" i="3" s="1"/>
  <c r="AJ525" i="3"/>
  <c r="BB525" i="3"/>
  <c r="AK525" i="3"/>
  <c r="AG525" i="3"/>
  <c r="AX525" i="3" l="1"/>
  <c r="AY525" i="3"/>
  <c r="AE525" i="3"/>
  <c r="AF525" i="3"/>
  <c r="AC525" i="3"/>
  <c r="AD525" i="3"/>
  <c r="AV525" i="3"/>
  <c r="AW525" i="3"/>
  <c r="AB525" i="3" l="1"/>
  <c r="AA525" i="3"/>
  <c r="Z526" i="3"/>
  <c r="X526" i="3"/>
  <c r="Y526" i="3"/>
  <c r="W526" i="3"/>
  <c r="BB526" i="3" l="1"/>
  <c r="AY526" i="3" s="1"/>
  <c r="AL526" i="3"/>
  <c r="AH526" i="3" s="1"/>
  <c r="AK526" i="3"/>
  <c r="AF526" i="3" s="1"/>
  <c r="AG526" i="3"/>
  <c r="AJ526" i="3"/>
  <c r="AD526" i="3" s="1"/>
  <c r="BA526" i="3"/>
  <c r="AW526" i="3" s="1"/>
  <c r="AE526" i="3"/>
  <c r="AX526" i="3"/>
  <c r="AV526" i="3" l="1"/>
  <c r="AB526" i="3"/>
  <c r="AC526" i="3"/>
  <c r="AA526" i="3" s="1"/>
  <c r="X527" i="3" l="1"/>
  <c r="Z527" i="3"/>
  <c r="Y527" i="3"/>
  <c r="W527" i="3"/>
  <c r="AL527" i="3" l="1"/>
  <c r="AH527" i="3" s="1"/>
  <c r="BB527" i="3"/>
  <c r="AY527" i="3" s="1"/>
  <c r="AG527" i="3"/>
  <c r="BA527" i="3"/>
  <c r="AW527" i="3" s="1"/>
  <c r="AK527" i="3"/>
  <c r="AF527" i="3" s="1"/>
  <c r="AJ527" i="3"/>
  <c r="AD527" i="3" s="1"/>
  <c r="AV527" i="3"/>
  <c r="AX527" i="3"/>
  <c r="AB527" i="3" l="1"/>
  <c r="Z528" i="3" s="1"/>
  <c r="AE527" i="3"/>
  <c r="X528" i="3"/>
  <c r="AC527" i="3"/>
  <c r="AA527" i="3" s="1"/>
  <c r="W528" i="3" l="1"/>
  <c r="Y528" i="3"/>
  <c r="AL528" i="3" l="1"/>
  <c r="AH528" i="3" s="1"/>
  <c r="BA528" i="3"/>
  <c r="AW528" i="3" s="1"/>
  <c r="AK528" i="3"/>
  <c r="AF528" i="3" s="1"/>
  <c r="BB528" i="3"/>
  <c r="AY528" i="3" s="1"/>
  <c r="AG528" i="3"/>
  <c r="AJ528" i="3"/>
  <c r="AD528" i="3" s="1"/>
  <c r="AB528" i="3" s="1"/>
  <c r="AV528" i="3"/>
  <c r="AX528" i="3"/>
  <c r="AE528" i="3"/>
  <c r="Z529" i="3" l="1"/>
  <c r="X529" i="3"/>
  <c r="AC528" i="3"/>
  <c r="AA528" i="3" s="1"/>
  <c r="Y529" i="3" l="1"/>
  <c r="W529" i="3"/>
  <c r="AK529" i="3" l="1"/>
  <c r="AF529" i="3" s="1"/>
  <c r="AJ529" i="3"/>
  <c r="AD529" i="3" s="1"/>
  <c r="BA529" i="3"/>
  <c r="AL529" i="3"/>
  <c r="AH529" i="3" s="1"/>
  <c r="AC529" i="3"/>
  <c r="AE529" i="3"/>
  <c r="BB529" i="3"/>
  <c r="AY529" i="3" s="1"/>
  <c r="AG529" i="3"/>
  <c r="AX529" i="3" l="1"/>
  <c r="AV529" i="3"/>
  <c r="AA529" i="3" s="1"/>
  <c r="AW529" i="3"/>
  <c r="AB529" i="3" s="1"/>
  <c r="Y530" i="3" l="1"/>
  <c r="W530" i="3"/>
  <c r="X530" i="3"/>
  <c r="Z530" i="3"/>
  <c r="AL530" i="3" l="1"/>
  <c r="AH530" i="3" s="1"/>
  <c r="AJ530" i="3"/>
  <c r="AC530" i="3" s="1"/>
  <c r="BB530" i="3"/>
  <c r="AY530" i="3" s="1"/>
  <c r="AK530" i="3"/>
  <c r="AE530" i="3" s="1"/>
  <c r="BA530" i="3"/>
  <c r="AV530" i="3" s="1"/>
  <c r="AX530" i="3"/>
  <c r="AG530" i="3"/>
  <c r="AW530" i="3" l="1"/>
  <c r="AA530" i="3"/>
  <c r="AF530" i="3"/>
  <c r="AD530" i="3"/>
  <c r="AB530" i="3" l="1"/>
  <c r="X531" i="3"/>
  <c r="Z531" i="3"/>
  <c r="W531" i="3"/>
  <c r="Y531" i="3"/>
  <c r="AK531" i="3" l="1"/>
  <c r="AE531" i="3" s="1"/>
  <c r="AL531" i="3"/>
  <c r="AH531" i="3" s="1"/>
  <c r="AJ531" i="3"/>
  <c r="AC531" i="3" s="1"/>
  <c r="BA531" i="3"/>
  <c r="AV531" i="3" s="1"/>
  <c r="BB531" i="3"/>
  <c r="AX531" i="3" s="1"/>
  <c r="AD531" i="3"/>
  <c r="AF531" i="3"/>
  <c r="AW531" i="3" l="1"/>
  <c r="AY531" i="3"/>
  <c r="AB531" i="3" s="1"/>
  <c r="AG531" i="3"/>
  <c r="AA531" i="3" s="1"/>
  <c r="Y532" i="3" l="1"/>
  <c r="W532" i="3"/>
  <c r="Z532" i="3"/>
  <c r="X532" i="3"/>
  <c r="BA532" i="3" l="1"/>
  <c r="AV532" i="3" s="1"/>
  <c r="AW532" i="3"/>
  <c r="BB532" i="3"/>
  <c r="AX532" i="3" s="1"/>
  <c r="AJ532" i="3"/>
  <c r="AC532" i="3" s="1"/>
  <c r="AK532" i="3"/>
  <c r="AE532" i="3" s="1"/>
  <c r="AL532" i="3"/>
  <c r="AH532" i="3" s="1"/>
  <c r="AG532" i="3" l="1"/>
  <c r="AD532" i="3"/>
  <c r="AY532" i="3"/>
  <c r="AA532" i="3"/>
  <c r="AF532" i="3"/>
  <c r="AB532" i="3" l="1"/>
  <c r="Y533" i="3"/>
  <c r="W533" i="3"/>
  <c r="Z533" i="3" l="1"/>
  <c r="X533" i="3"/>
  <c r="AJ533" i="3" s="1"/>
  <c r="AD533" i="3" l="1"/>
  <c r="AC533" i="3"/>
  <c r="BA533" i="3"/>
  <c r="AK533" i="3"/>
  <c r="AL533" i="3"/>
  <c r="BB533" i="3"/>
  <c r="AY533" i="3" l="1"/>
  <c r="AX533" i="3"/>
  <c r="AF533" i="3"/>
  <c r="AE533" i="3"/>
  <c r="AH533" i="3"/>
  <c r="AG533" i="3"/>
  <c r="AW533" i="3"/>
  <c r="AV533" i="3"/>
  <c r="AB533" i="3" l="1"/>
  <c r="AA533" i="3"/>
  <c r="Y534" i="3"/>
  <c r="W534" i="3"/>
  <c r="Z534" i="3"/>
  <c r="X534" i="3"/>
  <c r="BB534" i="3" l="1"/>
  <c r="AY534" i="3" s="1"/>
  <c r="BA534" i="3"/>
  <c r="AW534" i="3" s="1"/>
  <c r="AK534" i="3"/>
  <c r="AE534" i="3" s="1"/>
  <c r="AL534" i="3"/>
  <c r="AG534" i="3" s="1"/>
  <c r="AJ534" i="3"/>
  <c r="AC534" i="3" s="1"/>
  <c r="AV534" i="3"/>
  <c r="AX534" i="3"/>
  <c r="AA534" i="3" l="1"/>
  <c r="Y535" i="3" s="1"/>
  <c r="AD534" i="3"/>
  <c r="AF534" i="3"/>
  <c r="AH534" i="3"/>
  <c r="AB534" i="3" l="1"/>
  <c r="W535" i="3"/>
  <c r="Z535" i="3" l="1"/>
  <c r="X535" i="3"/>
  <c r="AK535" i="3" s="1"/>
  <c r="AE535" i="3" s="1"/>
  <c r="AL535" i="3" l="1"/>
  <c r="AG535" i="3" s="1"/>
  <c r="AF535" i="3"/>
  <c r="AH535" i="3"/>
  <c r="BB535" i="3"/>
  <c r="AX535" i="3" s="1"/>
  <c r="AJ535" i="3"/>
  <c r="AC535" i="3" s="1"/>
  <c r="BA535" i="3"/>
  <c r="AV535" i="3" s="1"/>
  <c r="AA535" i="3" l="1"/>
  <c r="Y536" i="3"/>
  <c r="W536" i="3"/>
  <c r="AY535" i="3"/>
  <c r="AD535" i="3"/>
  <c r="AW535" i="3"/>
  <c r="AB535" i="3" l="1"/>
  <c r="Z536" i="3"/>
  <c r="X536" i="3"/>
  <c r="AJ536" i="3" s="1"/>
  <c r="AC536" i="3" s="1"/>
  <c r="BB536" i="3"/>
  <c r="AX536" i="3" s="1"/>
  <c r="AK536" i="3"/>
  <c r="AE536" i="3" s="1"/>
  <c r="AL536" i="3"/>
  <c r="AH536" i="3" s="1"/>
  <c r="BA536" i="3"/>
  <c r="AV536" i="3" s="1"/>
  <c r="AG536" i="3" l="1"/>
  <c r="AA536" i="3"/>
  <c r="AY536" i="3"/>
  <c r="AW536" i="3"/>
  <c r="AF536" i="3"/>
  <c r="AD536" i="3"/>
  <c r="AB536" i="3" l="1"/>
  <c r="Z537" i="3" s="1"/>
  <c r="X537" i="3"/>
  <c r="Y537" i="3"/>
  <c r="W537" i="3"/>
  <c r="AJ537" i="3" l="1"/>
  <c r="AC537" i="3" s="1"/>
  <c r="AK537" i="3"/>
  <c r="AE537" i="3" s="1"/>
  <c r="AL537" i="3"/>
  <c r="AG537" i="3" s="1"/>
  <c r="BA537" i="3"/>
  <c r="AV537" i="3" s="1"/>
  <c r="BB537" i="3"/>
  <c r="AX537" i="3" s="1"/>
  <c r="AF537" i="3"/>
  <c r="AD537" i="3"/>
  <c r="AH537" i="3"/>
  <c r="AW537" i="3" l="1"/>
  <c r="AY537" i="3"/>
  <c r="AA537" i="3"/>
  <c r="AB537" i="3" l="1"/>
  <c r="Z538" i="3"/>
  <c r="X538" i="3"/>
  <c r="W538" i="3"/>
  <c r="Y538" i="3"/>
  <c r="AK538" i="3" l="1"/>
  <c r="AF538" i="3" s="1"/>
  <c r="BA538" i="3"/>
  <c r="AW538" i="3" s="1"/>
  <c r="AJ538" i="3"/>
  <c r="AD538" i="3" s="1"/>
  <c r="AL538" i="3"/>
  <c r="AH538" i="3" s="1"/>
  <c r="BB538" i="3"/>
  <c r="AY538" i="3" s="1"/>
  <c r="AE538" i="3"/>
  <c r="AV538" i="3"/>
  <c r="AX538" i="3" l="1"/>
  <c r="AB538" i="3"/>
  <c r="AC538" i="3"/>
  <c r="AG538" i="3"/>
  <c r="Z539" i="3" l="1"/>
  <c r="X539" i="3"/>
  <c r="AA538" i="3"/>
  <c r="Y539" i="3" l="1"/>
  <c r="W539" i="3"/>
  <c r="AJ539" i="3" l="1"/>
  <c r="BA539" i="3"/>
  <c r="AW539" i="3" s="1"/>
  <c r="AK539" i="3"/>
  <c r="AF539" i="3" s="1"/>
  <c r="BB539" i="3"/>
  <c r="AY539" i="3" s="1"/>
  <c r="AL539" i="3"/>
  <c r="AH539" i="3" s="1"/>
  <c r="AE539" i="3"/>
  <c r="AV539" i="3"/>
  <c r="AX539" i="3" l="1"/>
  <c r="AG539" i="3"/>
  <c r="AC539" i="3"/>
  <c r="AD539" i="3"/>
  <c r="AB539" i="3" s="1"/>
  <c r="AA539" i="3" l="1"/>
  <c r="X540" i="3"/>
  <c r="Z540" i="3"/>
  <c r="Y540" i="3"/>
  <c r="W540" i="3"/>
  <c r="AL540" i="3" l="1"/>
  <c r="AH540" i="3" s="1"/>
  <c r="AJ540" i="3"/>
  <c r="AC540" i="3" s="1"/>
  <c r="AK540" i="3"/>
  <c r="AF540" i="3" s="1"/>
  <c r="AG540" i="3"/>
  <c r="BB540" i="3"/>
  <c r="AY540" i="3" s="1"/>
  <c r="BA540" i="3"/>
  <c r="AW540" i="3" s="1"/>
  <c r="AE540" i="3"/>
  <c r="AD540" i="3"/>
  <c r="AB540" i="3" l="1"/>
  <c r="Z541" i="3" s="1"/>
  <c r="AV540" i="3"/>
  <c r="AX540" i="3"/>
  <c r="AA540" i="3" s="1"/>
  <c r="X541" i="3"/>
  <c r="Y541" i="3" l="1"/>
  <c r="W541" i="3"/>
  <c r="AJ541" i="3" l="1"/>
  <c r="BA541" i="3"/>
  <c r="AW541" i="3" s="1"/>
  <c r="AK541" i="3"/>
  <c r="AF541" i="3" s="1"/>
  <c r="AL541" i="3"/>
  <c r="BB541" i="3"/>
  <c r="AV541" i="3"/>
  <c r="AX541" i="3" l="1"/>
  <c r="AY541" i="3"/>
  <c r="AG541" i="3"/>
  <c r="AH541" i="3"/>
  <c r="AE541" i="3"/>
  <c r="AC541" i="3"/>
  <c r="AD541" i="3"/>
  <c r="AB541" i="3" s="1"/>
  <c r="AA541" i="3" l="1"/>
  <c r="Y542" i="3" s="1"/>
  <c r="Z542" i="3"/>
  <c r="X542" i="3"/>
  <c r="W542" i="3" l="1"/>
  <c r="AL542" i="3" l="1"/>
  <c r="AJ542" i="3"/>
  <c r="BA542" i="3"/>
  <c r="BB542" i="3"/>
  <c r="AK542" i="3"/>
  <c r="AE542" i="3" l="1"/>
  <c r="AF542" i="3"/>
  <c r="AC542" i="3"/>
  <c r="AD542" i="3"/>
  <c r="AX542" i="3"/>
  <c r="AY542" i="3"/>
  <c r="AV542" i="3"/>
  <c r="AW542" i="3"/>
  <c r="AG542" i="3"/>
  <c r="AH542" i="3"/>
  <c r="AB542" i="3" l="1"/>
  <c r="Z543" i="3"/>
  <c r="X543" i="3"/>
  <c r="AA542" i="3"/>
  <c r="Y543" i="3" l="1"/>
  <c r="W543" i="3"/>
  <c r="AK543" i="3" l="1"/>
  <c r="AF543" i="3" s="1"/>
  <c r="AL543" i="3"/>
  <c r="AH543" i="3" s="1"/>
  <c r="BB543" i="3"/>
  <c r="AY543" i="3" s="1"/>
  <c r="AJ543" i="3"/>
  <c r="BA543" i="3"/>
  <c r="AW543" i="3" s="1"/>
  <c r="AG543" i="3"/>
  <c r="AX543" i="3"/>
  <c r="AE543" i="3"/>
  <c r="AV543" i="3" l="1"/>
  <c r="AC543" i="3"/>
  <c r="AA543" i="3" s="1"/>
  <c r="AD543" i="3"/>
  <c r="AB543" i="3" s="1"/>
  <c r="X544" i="3" l="1"/>
  <c r="Z544" i="3"/>
  <c r="W544" i="3"/>
  <c r="Y544" i="3"/>
  <c r="BA544" i="3" l="1"/>
  <c r="AW544" i="3" s="1"/>
  <c r="BB544" i="3"/>
  <c r="AY544" i="3" s="1"/>
  <c r="AJ544" i="3"/>
  <c r="AD544" i="3" s="1"/>
  <c r="AL544" i="3"/>
  <c r="AH544" i="3" s="1"/>
  <c r="AK544" i="3"/>
  <c r="AF544" i="3" s="1"/>
  <c r="AG544" i="3"/>
  <c r="AV544" i="3"/>
  <c r="AX544" i="3"/>
  <c r="AB544" i="3" l="1"/>
  <c r="AE544" i="3"/>
  <c r="AC544" i="3"/>
  <c r="AA544" i="3" s="1"/>
  <c r="Y545" i="3" l="1"/>
  <c r="W545" i="3"/>
  <c r="Z545" i="3"/>
  <c r="X545" i="3"/>
  <c r="BB545" i="3" l="1"/>
  <c r="AY545" i="3" s="1"/>
  <c r="AK545" i="3"/>
  <c r="AF545" i="3" s="1"/>
  <c r="BA545" i="3"/>
  <c r="AW545" i="3" s="1"/>
  <c r="AL545" i="3"/>
  <c r="AH545" i="3" s="1"/>
  <c r="AJ545" i="3"/>
  <c r="AC545" i="3" s="1"/>
  <c r="AX545" i="3"/>
  <c r="AV545" i="3"/>
  <c r="AG545" i="3"/>
  <c r="AD545" i="3" l="1"/>
  <c r="AB545" i="3"/>
  <c r="X546" i="3" s="1"/>
  <c r="AE545" i="3"/>
  <c r="AA545" i="3" s="1"/>
  <c r="Z546" i="3"/>
  <c r="W546" i="3" l="1"/>
  <c r="Y546" i="3"/>
  <c r="BB546" i="3" l="1"/>
  <c r="AY546" i="3" s="1"/>
  <c r="BA546" i="3"/>
  <c r="AW546" i="3" s="1"/>
  <c r="AL546" i="3"/>
  <c r="AH546" i="3" s="1"/>
  <c r="AK546" i="3"/>
  <c r="AF546" i="3" s="1"/>
  <c r="AJ546" i="3"/>
  <c r="AD546" i="3" s="1"/>
  <c r="AB546" i="3" s="1"/>
  <c r="AV546" i="3"/>
  <c r="AX546" i="3"/>
  <c r="AE546" i="3" l="1"/>
  <c r="X547" i="3"/>
  <c r="Z547" i="3"/>
  <c r="AG546" i="3"/>
  <c r="AC546" i="3"/>
  <c r="AA546" i="3" s="1"/>
  <c r="Y547" i="3" l="1"/>
  <c r="W547" i="3"/>
  <c r="BB547" i="3" l="1"/>
  <c r="AY547" i="3" s="1"/>
  <c r="BA547" i="3"/>
  <c r="AW547" i="3" s="1"/>
  <c r="AJ547" i="3"/>
  <c r="AD547" i="3" s="1"/>
  <c r="AK547" i="3"/>
  <c r="AF547" i="3" s="1"/>
  <c r="AL547" i="3"/>
  <c r="AH547" i="3" s="1"/>
  <c r="AX547" i="3"/>
  <c r="AV547" i="3"/>
  <c r="AE547" i="3"/>
  <c r="AB547" i="3" l="1"/>
  <c r="AG547" i="3"/>
  <c r="AC547" i="3"/>
  <c r="AA547" i="3" s="1"/>
  <c r="Y548" i="3" l="1"/>
  <c r="W548" i="3"/>
  <c r="Z548" i="3"/>
  <c r="X548" i="3"/>
  <c r="AL548" i="3" l="1"/>
  <c r="AG548" i="3" s="1"/>
  <c r="BB548" i="3"/>
  <c r="AY548" i="3" s="1"/>
  <c r="BA548" i="3"/>
  <c r="AW548" i="3" s="1"/>
  <c r="AJ548" i="3"/>
  <c r="AC548" i="3" s="1"/>
  <c r="AK548" i="3"/>
  <c r="AE548" i="3" s="1"/>
  <c r="AX548" i="3"/>
  <c r="AV548" i="3"/>
  <c r="AA548" i="3" l="1"/>
  <c r="Y549" i="3" s="1"/>
  <c r="W549" i="3"/>
  <c r="AH548" i="3"/>
  <c r="AD548" i="3"/>
  <c r="AF548" i="3"/>
  <c r="AB548" i="3" l="1"/>
  <c r="Z549" i="3"/>
  <c r="X549" i="3"/>
  <c r="AK549" i="3"/>
  <c r="AE549" i="3" s="1"/>
  <c r="BB549" i="3"/>
  <c r="AX549" i="3" s="1"/>
  <c r="AL549" i="3"/>
  <c r="AG549" i="3" s="1"/>
  <c r="AJ549" i="3"/>
  <c r="AC549" i="3" s="1"/>
  <c r="AD549" i="3" l="1"/>
  <c r="AY549" i="3"/>
  <c r="AF549" i="3"/>
  <c r="AH549" i="3"/>
  <c r="BA549" i="3"/>
  <c r="AV549" i="3" s="1"/>
  <c r="AA549" i="3" s="1"/>
  <c r="W550" i="3" l="1"/>
  <c r="Y550" i="3"/>
  <c r="AW549" i="3"/>
  <c r="AB549" i="3" s="1"/>
  <c r="X550" i="3" l="1"/>
  <c r="Z550" i="3"/>
  <c r="AL550" i="3"/>
  <c r="AG550" i="3" s="1"/>
  <c r="AK550" i="3"/>
  <c r="AE550" i="3" s="1"/>
  <c r="AJ550" i="3"/>
  <c r="AC550" i="3" s="1"/>
  <c r="BB550" i="3"/>
  <c r="AX550" i="3" s="1"/>
  <c r="BA550" i="3"/>
  <c r="AV550" i="3" s="1"/>
  <c r="AA550" i="3" l="1"/>
  <c r="AW550" i="3"/>
  <c r="AD550" i="3"/>
  <c r="AH550" i="3"/>
  <c r="AY550" i="3"/>
  <c r="AF550" i="3"/>
  <c r="AB550" i="3" l="1"/>
  <c r="Y551" i="3"/>
  <c r="W551" i="3"/>
  <c r="X551" i="3" l="1"/>
  <c r="AK551" i="3" s="1"/>
  <c r="AE551" i="3" s="1"/>
  <c r="Z551" i="3"/>
  <c r="AF551" i="3" l="1"/>
  <c r="AJ551" i="3"/>
  <c r="AC551" i="3" s="1"/>
  <c r="AL551" i="3"/>
  <c r="AG551" i="3" s="1"/>
  <c r="BB551" i="3"/>
  <c r="AX551" i="3" s="1"/>
  <c r="BA551" i="3"/>
  <c r="AV551" i="3" s="1"/>
  <c r="AA551" i="3" l="1"/>
  <c r="AW551" i="3"/>
  <c r="AH551" i="3"/>
  <c r="AY551" i="3"/>
  <c r="AD551" i="3"/>
  <c r="AB551" i="3" s="1"/>
  <c r="Z552" i="3" l="1"/>
  <c r="X552" i="3"/>
  <c r="W552" i="3"/>
  <c r="Y552" i="3"/>
  <c r="AJ552" i="3" l="1"/>
  <c r="AC552" i="3" s="1"/>
  <c r="AL552" i="3"/>
  <c r="AG552" i="3" s="1"/>
  <c r="AK552" i="3"/>
  <c r="AE552" i="3" s="1"/>
  <c r="BB552" i="3"/>
  <c r="AX552" i="3" s="1"/>
  <c r="BA552" i="3"/>
  <c r="AV552" i="3" s="1"/>
  <c r="AH552" i="3"/>
  <c r="AF552" i="3"/>
  <c r="AY552" i="3"/>
  <c r="AD552" i="3"/>
  <c r="AW552" i="3" l="1"/>
  <c r="AB552" i="3" s="1"/>
  <c r="AA552" i="3"/>
  <c r="Z553" i="3" l="1"/>
  <c r="X553" i="3"/>
  <c r="W553" i="3"/>
  <c r="Y553" i="3"/>
  <c r="AK553" i="3" l="1"/>
  <c r="AF553" i="3" s="1"/>
  <c r="BA553" i="3"/>
  <c r="AJ553" i="3"/>
  <c r="AD553" i="3" s="1"/>
  <c r="BB553" i="3"/>
  <c r="AL553" i="3"/>
  <c r="AH553" i="3" s="1"/>
  <c r="AE553" i="3"/>
  <c r="AC553" i="3"/>
  <c r="AG553" i="3"/>
  <c r="AV553" i="3" l="1"/>
  <c r="AW553" i="3"/>
  <c r="AX553" i="3"/>
  <c r="AA553" i="3" s="1"/>
  <c r="AY553" i="3"/>
  <c r="AB553" i="3" l="1"/>
  <c r="Z554" i="3"/>
  <c r="X554" i="3"/>
  <c r="Y554" i="3"/>
  <c r="W554" i="3"/>
  <c r="AK554" i="3" l="1"/>
  <c r="AF554" i="3" s="1"/>
  <c r="BB554" i="3"/>
  <c r="BA554" i="3"/>
  <c r="AJ554" i="3"/>
  <c r="AD554" i="3" s="1"/>
  <c r="AL554" i="3"/>
  <c r="AH554" i="3" s="1"/>
  <c r="AE554" i="3"/>
  <c r="AG554" i="3"/>
  <c r="AX554" i="3" l="1"/>
  <c r="AY554" i="3"/>
  <c r="AV554" i="3"/>
  <c r="AW554" i="3"/>
  <c r="AB554" i="3" s="1"/>
  <c r="AC554" i="3"/>
  <c r="AA554" i="3" s="1"/>
  <c r="W555" i="3" l="1"/>
  <c r="Y555" i="3"/>
  <c r="X555" i="3"/>
  <c r="Z555" i="3"/>
  <c r="AL555" i="3" l="1"/>
  <c r="AG555" i="3" s="1"/>
  <c r="BB555" i="3"/>
  <c r="AY555" i="3" s="1"/>
  <c r="AK555" i="3"/>
  <c r="AF555" i="3" s="1"/>
  <c r="BA555" i="3"/>
  <c r="AW555" i="3" s="1"/>
  <c r="AE555" i="3"/>
  <c r="AJ555" i="3"/>
  <c r="AD555" i="3" s="1"/>
  <c r="AX555" i="3"/>
  <c r="AC555" i="3" l="1"/>
  <c r="AV555" i="3"/>
  <c r="AH555" i="3"/>
  <c r="AB555" i="3" s="1"/>
  <c r="AA555" i="3" l="1"/>
  <c r="Z556" i="3"/>
  <c r="X556" i="3"/>
  <c r="Y556" i="3" l="1"/>
  <c r="W556" i="3"/>
  <c r="BA556" i="3"/>
  <c r="AV556" i="3" s="1"/>
  <c r="AK556" i="3"/>
  <c r="AJ556" i="3"/>
  <c r="BB556" i="3"/>
  <c r="AX556" i="3" s="1"/>
  <c r="AL556" i="3"/>
  <c r="AG556" i="3" s="1"/>
  <c r="AD556" i="3" l="1"/>
  <c r="AC556" i="3"/>
  <c r="AF556" i="3"/>
  <c r="AE556" i="3"/>
  <c r="AW556" i="3"/>
  <c r="AH556" i="3"/>
  <c r="AY556" i="3"/>
  <c r="AB556" i="3" l="1"/>
  <c r="AA556" i="3"/>
  <c r="X557" i="3" l="1"/>
  <c r="Z557" i="3"/>
  <c r="Y557" i="3"/>
  <c r="W557" i="3"/>
  <c r="BA557" i="3" l="1"/>
  <c r="AV557" i="3" s="1"/>
  <c r="AJ557" i="3"/>
  <c r="AD557" i="3" s="1"/>
  <c r="BB557" i="3"/>
  <c r="AX557" i="3" s="1"/>
  <c r="AK557" i="3"/>
  <c r="AF557" i="3" s="1"/>
  <c r="AL557" i="3"/>
  <c r="AH557" i="3" s="1"/>
  <c r="AY557" i="3"/>
  <c r="AW557" i="3"/>
  <c r="AC557" i="3" l="1"/>
  <c r="AB557" i="3"/>
  <c r="AG557" i="3"/>
  <c r="AE557" i="3"/>
  <c r="AA557" i="3" l="1"/>
  <c r="Y558" i="3"/>
  <c r="W558" i="3"/>
  <c r="Z558" i="3"/>
  <c r="X558" i="3"/>
  <c r="AL558" i="3" l="1"/>
  <c r="AH558" i="3" s="1"/>
  <c r="AJ558" i="3"/>
  <c r="AD558" i="3" s="1"/>
  <c r="AK558" i="3"/>
  <c r="AF558" i="3" s="1"/>
  <c r="BB558" i="3"/>
  <c r="AY558" i="3" s="1"/>
  <c r="AG558" i="3"/>
  <c r="BA558" i="3"/>
  <c r="AW558" i="3" s="1"/>
  <c r="AX558" i="3"/>
  <c r="AE558" i="3"/>
  <c r="AB558" i="3" l="1"/>
  <c r="AV558" i="3"/>
  <c r="AC558" i="3"/>
  <c r="AA558" i="3" s="1"/>
  <c r="Z559" i="3" l="1"/>
  <c r="X559" i="3"/>
  <c r="W559" i="3"/>
  <c r="Y559" i="3"/>
  <c r="AK559" i="3" l="1"/>
  <c r="AF559" i="3" s="1"/>
  <c r="AJ559" i="3"/>
  <c r="AC559" i="3" s="1"/>
  <c r="BA559" i="3"/>
  <c r="AV559" i="3" s="1"/>
  <c r="AL559" i="3"/>
  <c r="AG559" i="3" s="1"/>
  <c r="BB559" i="3"/>
  <c r="AX559" i="3" s="1"/>
  <c r="AE559" i="3"/>
  <c r="AA559" i="3" l="1"/>
  <c r="AD559" i="3"/>
  <c r="AW559" i="3"/>
  <c r="AY559" i="3"/>
  <c r="AH559" i="3"/>
  <c r="AB559" i="3" l="1"/>
  <c r="W560" i="3"/>
  <c r="Y560" i="3"/>
  <c r="X560" i="3" l="1"/>
  <c r="BA560" i="3" s="1"/>
  <c r="AV560" i="3" s="1"/>
  <c r="Z560" i="3"/>
  <c r="AJ560" i="3" l="1"/>
  <c r="AC560" i="3" s="1"/>
  <c r="AW560" i="3"/>
  <c r="AD560" i="3"/>
  <c r="AK560" i="3"/>
  <c r="AE560" i="3" s="1"/>
  <c r="AL560" i="3"/>
  <c r="AG560" i="3" s="1"/>
  <c r="BB560" i="3"/>
  <c r="AX560" i="3" s="1"/>
  <c r="AY560" i="3" l="1"/>
  <c r="AH560" i="3"/>
  <c r="AF560" i="3"/>
  <c r="AA560" i="3"/>
  <c r="AB560" i="3" l="1"/>
  <c r="Y561" i="3"/>
  <c r="W561" i="3"/>
  <c r="Z561" i="3"/>
  <c r="X561" i="3"/>
  <c r="AK561" i="3" l="1"/>
  <c r="AE561" i="3" s="1"/>
  <c r="BB561" i="3"/>
  <c r="AX561" i="3" s="1"/>
  <c r="AL561" i="3"/>
  <c r="AG561" i="3" s="1"/>
  <c r="AJ561" i="3"/>
  <c r="AC561" i="3" s="1"/>
  <c r="BA561" i="3"/>
  <c r="AV561" i="3" s="1"/>
  <c r="AA561" i="3" l="1"/>
  <c r="AH561" i="3"/>
  <c r="AY561" i="3"/>
  <c r="AW561" i="3"/>
  <c r="AD561" i="3"/>
  <c r="AF561" i="3"/>
  <c r="AB561" i="3" l="1"/>
  <c r="Z562" i="3"/>
  <c r="X562" i="3"/>
  <c r="Y562" i="3"/>
  <c r="W562" i="3"/>
  <c r="AL562" i="3" l="1"/>
  <c r="AG562" i="3" s="1"/>
  <c r="AH562" i="3"/>
  <c r="AJ562" i="3"/>
  <c r="AD562" i="3" s="1"/>
  <c r="AK562" i="3"/>
  <c r="AE562" i="3" s="1"/>
  <c r="BB562" i="3"/>
  <c r="AX562" i="3" s="1"/>
  <c r="BA562" i="3"/>
  <c r="AV562" i="3" s="1"/>
  <c r="AC562" i="3"/>
  <c r="AA562" i="3" l="1"/>
  <c r="AY562" i="3"/>
  <c r="AF562" i="3"/>
  <c r="AB562" i="3" s="1"/>
  <c r="AW562" i="3"/>
  <c r="X563" i="3" l="1"/>
  <c r="Z563" i="3"/>
  <c r="Y563" i="3"/>
  <c r="W563" i="3"/>
  <c r="BB563" i="3" l="1"/>
  <c r="AX563" i="3" s="1"/>
  <c r="BA563" i="3"/>
  <c r="AV563" i="3" s="1"/>
  <c r="AL563" i="3"/>
  <c r="AG563" i="3" s="1"/>
  <c r="AK563" i="3"/>
  <c r="AE563" i="3" s="1"/>
  <c r="AJ563" i="3"/>
  <c r="AC563" i="3" s="1"/>
  <c r="AY563" i="3"/>
  <c r="AH563" i="3"/>
  <c r="AW563" i="3"/>
  <c r="AF563" i="3"/>
  <c r="AD563" i="3"/>
  <c r="AA563" i="3" l="1"/>
  <c r="Y564" i="3" s="1"/>
  <c r="AB563" i="3"/>
  <c r="X564" i="3"/>
  <c r="Z564" i="3"/>
  <c r="W564" i="3"/>
  <c r="BA564" i="3" l="1"/>
  <c r="AL564" i="3"/>
  <c r="AH564" i="3" s="1"/>
  <c r="AJ564" i="3"/>
  <c r="AD564" i="3" s="1"/>
  <c r="AK564" i="3"/>
  <c r="AF564" i="3" s="1"/>
  <c r="AC564" i="3"/>
  <c r="BB564" i="3"/>
  <c r="AX564" i="3" l="1"/>
  <c r="AY564" i="3"/>
  <c r="AE564" i="3"/>
  <c r="AV564" i="3"/>
  <c r="AW564" i="3"/>
  <c r="AB564" i="3" s="1"/>
  <c r="AG564" i="3"/>
  <c r="AA564" i="3" l="1"/>
  <c r="Y565" i="3"/>
  <c r="W565" i="3"/>
  <c r="Z565" i="3"/>
  <c r="X565" i="3"/>
  <c r="AK565" i="3" l="1"/>
  <c r="AF565" i="3" s="1"/>
  <c r="BA565" i="3"/>
  <c r="AW565" i="3" s="1"/>
  <c r="AL565" i="3"/>
  <c r="AH565" i="3" s="1"/>
  <c r="BB565" i="3"/>
  <c r="AY565" i="3" s="1"/>
  <c r="AJ565" i="3"/>
  <c r="AD565" i="3" s="1"/>
  <c r="AB565" i="3" s="1"/>
  <c r="AE565" i="3"/>
  <c r="AG565" i="3"/>
  <c r="AX565" i="3"/>
  <c r="AV565" i="3"/>
  <c r="Z566" i="3" l="1"/>
  <c r="X566" i="3"/>
  <c r="AC565" i="3"/>
  <c r="AA565" i="3" s="1"/>
  <c r="Y566" i="3" l="1"/>
  <c r="W566" i="3"/>
  <c r="BB566" i="3" l="1"/>
  <c r="BA566" i="3"/>
  <c r="AK566" i="3"/>
  <c r="AF566" i="3" s="1"/>
  <c r="AL566" i="3"/>
  <c r="AJ566" i="3"/>
  <c r="AD566" i="3" s="1"/>
  <c r="AE566" i="3" l="1"/>
  <c r="AG566" i="3"/>
  <c r="AH566" i="3"/>
  <c r="AC566" i="3"/>
  <c r="AV566" i="3"/>
  <c r="AW566" i="3"/>
  <c r="AX566" i="3"/>
  <c r="AY566" i="3"/>
  <c r="AB566" i="3" l="1"/>
  <c r="X567" i="3"/>
  <c r="Z567" i="3"/>
  <c r="AA566" i="3"/>
  <c r="Y567" i="3" s="1"/>
  <c r="W567" i="3" l="1"/>
  <c r="AL567" i="3" l="1"/>
  <c r="AJ567" i="3"/>
  <c r="AD567" i="3" s="1"/>
  <c r="BA567" i="3"/>
  <c r="AW567" i="3" s="1"/>
  <c r="BB567" i="3"/>
  <c r="AY567" i="3" s="1"/>
  <c r="AK567" i="3"/>
  <c r="AF567" i="3" s="1"/>
  <c r="AV567" i="3"/>
  <c r="AX567" i="3"/>
  <c r="AE567" i="3" l="1"/>
  <c r="AC567" i="3"/>
  <c r="AG567" i="3"/>
  <c r="AH567" i="3"/>
  <c r="AB567" i="3" s="1"/>
  <c r="AA567" i="3" l="1"/>
  <c r="Y568" i="3"/>
  <c r="W568" i="3"/>
  <c r="Z568" i="3"/>
  <c r="X568" i="3"/>
  <c r="BA568" i="3" l="1"/>
  <c r="AV568" i="3" s="1"/>
  <c r="AJ568" i="3"/>
  <c r="AD568" i="3" s="1"/>
  <c r="AK568" i="3"/>
  <c r="AE568" i="3" s="1"/>
  <c r="AL568" i="3"/>
  <c r="AG568" i="3" s="1"/>
  <c r="AC568" i="3"/>
  <c r="BB568" i="3"/>
  <c r="AX568" i="3" s="1"/>
  <c r="AH568" i="3" l="1"/>
  <c r="AA568" i="3"/>
  <c r="AF568" i="3"/>
  <c r="AW568" i="3"/>
  <c r="AY568" i="3"/>
  <c r="AB568" i="3" l="1"/>
  <c r="Z569" i="3"/>
  <c r="X569" i="3"/>
  <c r="W569" i="3"/>
  <c r="Y569" i="3"/>
  <c r="BA569" i="3" l="1"/>
  <c r="AV569" i="3" s="1"/>
  <c r="AK569" i="3"/>
  <c r="AF569" i="3" s="1"/>
  <c r="BB569" i="3"/>
  <c r="AX569" i="3" s="1"/>
  <c r="AJ569" i="3"/>
  <c r="AD569" i="3" s="1"/>
  <c r="AL569" i="3"/>
  <c r="AG569" i="3" s="1"/>
  <c r="AE569" i="3"/>
  <c r="AC569" i="3" l="1"/>
  <c r="AA569" i="3"/>
  <c r="AW569" i="3"/>
  <c r="AY569" i="3"/>
  <c r="AH569" i="3"/>
  <c r="AB569" i="3" l="1"/>
  <c r="X570" i="3"/>
  <c r="Z570" i="3"/>
  <c r="W570" i="3"/>
  <c r="Y570" i="3"/>
  <c r="AL570" i="3" l="1"/>
  <c r="AH570" i="3" s="1"/>
  <c r="BB570" i="3"/>
  <c r="AX570" i="3" s="1"/>
  <c r="BA570" i="3"/>
  <c r="AV570" i="3" s="1"/>
  <c r="AK570" i="3"/>
  <c r="AF570" i="3" s="1"/>
  <c r="AJ570" i="3"/>
  <c r="AD570" i="3" s="1"/>
  <c r="AG570" i="3"/>
  <c r="AW570" i="3"/>
  <c r="AY570" i="3"/>
  <c r="AB570" i="3" l="1"/>
  <c r="AC570" i="3"/>
  <c r="AE570" i="3"/>
  <c r="AA570" i="3" s="1"/>
  <c r="X571" i="3" l="1"/>
  <c r="Z571" i="3"/>
  <c r="Y571" i="3"/>
  <c r="W571" i="3"/>
  <c r="BB571" i="3" l="1"/>
  <c r="AY571" i="3" s="1"/>
  <c r="BA571" i="3"/>
  <c r="AW571" i="3" s="1"/>
  <c r="AJ571" i="3"/>
  <c r="AD571" i="3" s="1"/>
  <c r="AL571" i="3"/>
  <c r="AH571" i="3" s="1"/>
  <c r="AK571" i="3"/>
  <c r="AF571" i="3" s="1"/>
  <c r="AC571" i="3"/>
  <c r="AV571" i="3"/>
  <c r="AX571" i="3"/>
  <c r="AB571" i="3" l="1"/>
  <c r="AG571" i="3"/>
  <c r="AE571" i="3"/>
  <c r="AA571" i="3" s="1"/>
  <c r="W572" i="3" l="1"/>
  <c r="Y572" i="3"/>
  <c r="X572" i="3"/>
  <c r="Z572" i="3"/>
  <c r="AL572" i="3" l="1"/>
  <c r="AG572" i="3" s="1"/>
  <c r="AH572" i="3"/>
  <c r="BB572" i="3"/>
  <c r="AX572" i="3" s="1"/>
  <c r="AJ572" i="3"/>
  <c r="AD572" i="3" s="1"/>
  <c r="BA572" i="3"/>
  <c r="AV572" i="3" s="1"/>
  <c r="AK572" i="3"/>
  <c r="AF572" i="3" s="1"/>
  <c r="AC572" i="3"/>
  <c r="AW572" i="3" l="1"/>
  <c r="AY572" i="3"/>
  <c r="AE572" i="3"/>
  <c r="AA572" i="3" s="1"/>
  <c r="AB572" i="3" l="1"/>
  <c r="Y573" i="3"/>
  <c r="W573" i="3"/>
  <c r="X573" i="3"/>
  <c r="Z573" i="3"/>
  <c r="BB573" i="3" l="1"/>
  <c r="AX573" i="3" s="1"/>
  <c r="AL573" i="3"/>
  <c r="AJ573" i="3"/>
  <c r="AD573" i="3" s="1"/>
  <c r="AK573" i="3"/>
  <c r="AF573" i="3" s="1"/>
  <c r="BA573" i="3"/>
  <c r="AV573" i="3" s="1"/>
  <c r="AG573" i="3"/>
  <c r="AC573" i="3"/>
  <c r="AE573" i="3"/>
  <c r="AH573" i="3"/>
  <c r="AY573" i="3"/>
  <c r="AW573" i="3"/>
  <c r="AB573" i="3" l="1"/>
  <c r="AA573" i="3"/>
  <c r="W574" i="3" l="1"/>
  <c r="Y574" i="3"/>
  <c r="Z574" i="3"/>
  <c r="X574" i="3"/>
  <c r="BB574" i="3" l="1"/>
  <c r="AX574" i="3" s="1"/>
  <c r="AL574" i="3"/>
  <c r="AH574" i="3" s="1"/>
  <c r="AK574" i="3"/>
  <c r="AF574" i="3" s="1"/>
  <c r="AG574" i="3"/>
  <c r="BA574" i="3"/>
  <c r="AV574" i="3" s="1"/>
  <c r="AJ574" i="3"/>
  <c r="AD574" i="3" s="1"/>
  <c r="AE574" i="3"/>
  <c r="AC574" i="3" l="1"/>
  <c r="AA574" i="3" s="1"/>
  <c r="AW574" i="3"/>
  <c r="AY574" i="3"/>
  <c r="AB574" i="3" l="1"/>
  <c r="Y575" i="3"/>
  <c r="W575" i="3"/>
  <c r="Z575" i="3"/>
  <c r="X575" i="3"/>
  <c r="BB575" i="3" l="1"/>
  <c r="AY575" i="3" s="1"/>
  <c r="BA575" i="3"/>
  <c r="AW575" i="3" s="1"/>
  <c r="AL575" i="3"/>
  <c r="AH575" i="3" s="1"/>
  <c r="AJ575" i="3"/>
  <c r="AD575" i="3" s="1"/>
  <c r="AK575" i="3"/>
  <c r="AF575" i="3" s="1"/>
  <c r="AV575" i="3"/>
  <c r="AX575" i="3"/>
  <c r="AG575" i="3"/>
  <c r="AC575" i="3"/>
  <c r="AB575" i="3" l="1"/>
  <c r="AE575" i="3"/>
  <c r="AA575" i="3" s="1"/>
  <c r="W576" i="3" l="1"/>
  <c r="Y576" i="3"/>
  <c r="Z576" i="3"/>
  <c r="X576" i="3"/>
  <c r="BA576" i="3" l="1"/>
  <c r="AV576" i="3" s="1"/>
  <c r="AL576" i="3"/>
  <c r="AG576" i="3" s="1"/>
  <c r="BB576" i="3"/>
  <c r="AX576" i="3" s="1"/>
  <c r="AK576" i="3"/>
  <c r="AE576" i="3" s="1"/>
  <c r="AJ576" i="3"/>
  <c r="AC576" i="3" s="1"/>
  <c r="AA576" i="3" s="1"/>
  <c r="Y577" i="3" s="1"/>
  <c r="W577" i="3" l="1"/>
  <c r="AY576" i="3"/>
  <c r="AD576" i="3"/>
  <c r="AF576" i="3"/>
  <c r="AH576" i="3"/>
  <c r="AW576" i="3"/>
  <c r="AB576" i="3" l="1"/>
  <c r="Z577" i="3"/>
  <c r="X577" i="3"/>
  <c r="AJ577" i="3" l="1"/>
  <c r="AL577" i="3"/>
  <c r="AG577" i="3" s="1"/>
  <c r="AK577" i="3"/>
  <c r="AE577" i="3" s="1"/>
  <c r="BB577" i="3"/>
  <c r="AX577" i="3" s="1"/>
  <c r="BA577" i="3"/>
  <c r="AV577" i="3" s="1"/>
  <c r="AD577" i="3" l="1"/>
  <c r="AC577" i="3"/>
  <c r="AA577" i="3" s="1"/>
  <c r="AF577" i="3"/>
  <c r="AH577" i="3"/>
  <c r="AW577" i="3"/>
  <c r="AY577" i="3"/>
  <c r="AB577" i="3" l="1"/>
  <c r="Y578" i="3"/>
  <c r="W578" i="3"/>
  <c r="X578" i="3"/>
  <c r="Z578" i="3"/>
  <c r="BA578" i="3" l="1"/>
  <c r="AW578" i="3" s="1"/>
  <c r="BB578" i="3"/>
  <c r="AY578" i="3" s="1"/>
  <c r="AK578" i="3"/>
  <c r="AF578" i="3" s="1"/>
  <c r="AJ578" i="3"/>
  <c r="AD578" i="3" s="1"/>
  <c r="AL578" i="3"/>
  <c r="AH578" i="3" s="1"/>
  <c r="AV578" i="3"/>
  <c r="AE578" i="3"/>
  <c r="AX578" i="3"/>
  <c r="AC578" i="3"/>
  <c r="AG578" i="3"/>
  <c r="AA578" i="3" l="1"/>
  <c r="Y579" i="3" s="1"/>
  <c r="AB578" i="3"/>
  <c r="X579" i="3"/>
  <c r="Z579" i="3"/>
  <c r="W579" i="3"/>
  <c r="BB579" i="3" l="1"/>
  <c r="AX579" i="3" s="1"/>
  <c r="AK579" i="3"/>
  <c r="AF579" i="3" s="1"/>
  <c r="BA579" i="3"/>
  <c r="AV579" i="3" s="1"/>
  <c r="AJ579" i="3"/>
  <c r="AD579" i="3" s="1"/>
  <c r="AE579" i="3"/>
  <c r="AL579" i="3"/>
  <c r="AG579" i="3" s="1"/>
  <c r="AC579" i="3"/>
  <c r="AY579" i="3"/>
  <c r="AW579" i="3"/>
  <c r="AH579" i="3"/>
  <c r="AB579" i="3" l="1"/>
  <c r="AA579" i="3"/>
  <c r="Z580" i="3" l="1"/>
  <c r="X580" i="3"/>
  <c r="Y580" i="3"/>
  <c r="W580" i="3"/>
  <c r="BA580" i="3" l="1"/>
  <c r="AV580" i="3" s="1"/>
  <c r="AL580" i="3"/>
  <c r="AG580" i="3" s="1"/>
  <c r="AJ580" i="3"/>
  <c r="BB580" i="3"/>
  <c r="AX580" i="3" s="1"/>
  <c r="AK580" i="3"/>
  <c r="AE580" i="3" s="1"/>
  <c r="AC580" i="3"/>
  <c r="AH580" i="3"/>
  <c r="AD580" i="3"/>
  <c r="AY580" i="3"/>
  <c r="AW580" i="3"/>
  <c r="AF580" i="3"/>
  <c r="AB580" i="3" l="1"/>
  <c r="AA580" i="3"/>
  <c r="Y581" i="3" l="1"/>
  <c r="W581" i="3"/>
  <c r="X581" i="3"/>
  <c r="Z581" i="3"/>
  <c r="AL581" i="3" l="1"/>
  <c r="AG581" i="3" s="1"/>
  <c r="BA581" i="3"/>
  <c r="AV581" i="3" s="1"/>
  <c r="AJ581" i="3"/>
  <c r="AD581" i="3" s="1"/>
  <c r="BB581" i="3"/>
  <c r="AX581" i="3" s="1"/>
  <c r="AK581" i="3"/>
  <c r="AF581" i="3" s="1"/>
  <c r="AC581" i="3" l="1"/>
  <c r="AE581" i="3"/>
  <c r="AA581" i="3" s="1"/>
  <c r="AW581" i="3"/>
  <c r="AY581" i="3"/>
  <c r="AH581" i="3"/>
  <c r="AB581" i="3" s="1"/>
  <c r="X582" i="3" l="1"/>
  <c r="Z582" i="3"/>
  <c r="Y582" i="3"/>
  <c r="W582" i="3"/>
  <c r="AL582" i="3" l="1"/>
  <c r="AH582" i="3" s="1"/>
  <c r="AJ582" i="3"/>
  <c r="BA582" i="3"/>
  <c r="AW582" i="3" s="1"/>
  <c r="AK582" i="3"/>
  <c r="AG582" i="3"/>
  <c r="BB582" i="3"/>
  <c r="AY582" i="3" s="1"/>
  <c r="AC582" i="3"/>
  <c r="AV582" i="3"/>
  <c r="AE582" i="3"/>
  <c r="AX582" i="3"/>
  <c r="AF582" i="3"/>
  <c r="AD582" i="3"/>
  <c r="AB582" i="3" l="1"/>
  <c r="Z583" i="3" s="1"/>
  <c r="X583" i="3"/>
  <c r="AA582" i="3"/>
  <c r="Y583" i="3" l="1"/>
  <c r="W583" i="3"/>
  <c r="AL583" i="3" l="1"/>
  <c r="AH583" i="3" s="1"/>
  <c r="BA583" i="3"/>
  <c r="AG583" i="3"/>
  <c r="BB583" i="3"/>
  <c r="AK583" i="3"/>
  <c r="AF583" i="3" s="1"/>
  <c r="AJ583" i="3"/>
  <c r="AD583" i="3" s="1"/>
  <c r="AE583" i="3" l="1"/>
  <c r="AC583" i="3"/>
  <c r="AV583" i="3"/>
  <c r="AW583" i="3"/>
  <c r="AX583" i="3"/>
  <c r="AY583" i="3"/>
  <c r="AB583" i="3" l="1"/>
  <c r="X584" i="3" s="1"/>
  <c r="Z584" i="3"/>
  <c r="AA583" i="3"/>
  <c r="Y584" i="3" l="1"/>
  <c r="W584" i="3"/>
  <c r="BA584" i="3" l="1"/>
  <c r="BB584" i="3"/>
  <c r="AK584" i="3"/>
  <c r="AF584" i="3" s="1"/>
  <c r="AL584" i="3"/>
  <c r="AJ584" i="3"/>
  <c r="AD584" i="3" s="1"/>
  <c r="AE584" i="3" l="1"/>
  <c r="AG584" i="3"/>
  <c r="AH584" i="3"/>
  <c r="AX584" i="3"/>
  <c r="AY584" i="3"/>
  <c r="AC584" i="3"/>
  <c r="AV584" i="3"/>
  <c r="AW584" i="3"/>
  <c r="AB584" i="3" l="1"/>
  <c r="X585" i="3"/>
  <c r="Z585" i="3"/>
  <c r="AA584" i="3"/>
  <c r="Y585" i="3" l="1"/>
  <c r="W585" i="3"/>
  <c r="BA585" i="3" l="1"/>
  <c r="AJ585" i="3"/>
  <c r="AD585" i="3" s="1"/>
  <c r="BB585" i="3"/>
  <c r="AL585" i="3"/>
  <c r="AH585" i="3" s="1"/>
  <c r="AK585" i="3"/>
  <c r="AG585" i="3"/>
  <c r="AC585" i="3"/>
  <c r="AX585" i="3" l="1"/>
  <c r="AY585" i="3"/>
  <c r="AE585" i="3"/>
  <c r="AF585" i="3"/>
  <c r="AV585" i="3"/>
  <c r="AW585" i="3"/>
  <c r="AB585" i="3" l="1"/>
  <c r="AA585" i="3"/>
  <c r="W586" i="3"/>
  <c r="Y586" i="3"/>
  <c r="Z586" i="3"/>
  <c r="X586" i="3"/>
  <c r="AL586" i="3" l="1"/>
  <c r="AH586" i="3" s="1"/>
  <c r="AJ586" i="3"/>
  <c r="AD586" i="3" s="1"/>
  <c r="AK586" i="3"/>
  <c r="AF586" i="3" s="1"/>
  <c r="BA586" i="3"/>
  <c r="AW586" i="3" s="1"/>
  <c r="BB586" i="3"/>
  <c r="AY586" i="3" s="1"/>
  <c r="AG586" i="3"/>
  <c r="AC586" i="3"/>
  <c r="AV586" i="3"/>
  <c r="AE586" i="3"/>
  <c r="AB586" i="3" l="1"/>
  <c r="Z587" i="3"/>
  <c r="X587" i="3"/>
  <c r="AX586" i="3"/>
  <c r="AA586" i="3" s="1"/>
  <c r="W587" i="3" l="1"/>
  <c r="Y587" i="3"/>
  <c r="BB587" i="3" l="1"/>
  <c r="AY587" i="3" s="1"/>
  <c r="BA587" i="3"/>
  <c r="AW587" i="3" s="1"/>
  <c r="AK587" i="3"/>
  <c r="AF587" i="3" s="1"/>
  <c r="AJ587" i="3"/>
  <c r="AD587" i="3" s="1"/>
  <c r="AL587" i="3"/>
  <c r="AE587" i="3"/>
  <c r="AV587" i="3"/>
  <c r="AX587" i="3"/>
  <c r="AC587" i="3"/>
  <c r="AG587" i="3" l="1"/>
  <c r="AA587" i="3" s="1"/>
  <c r="AH587" i="3"/>
  <c r="AB587" i="3" s="1"/>
  <c r="X588" i="3" l="1"/>
  <c r="Z588" i="3"/>
  <c r="Y588" i="3"/>
  <c r="W588" i="3"/>
  <c r="AJ588" i="3" l="1"/>
  <c r="AD588" i="3" s="1"/>
  <c r="BA588" i="3"/>
  <c r="AV588" i="3" s="1"/>
  <c r="AK588" i="3"/>
  <c r="AF588" i="3" s="1"/>
  <c r="AL588" i="3"/>
  <c r="AC588" i="3"/>
  <c r="BB588" i="3"/>
  <c r="AX588" i="3" s="1"/>
  <c r="AG588" i="3"/>
  <c r="AW588" i="3"/>
  <c r="AH588" i="3"/>
  <c r="AY588" i="3" l="1"/>
  <c r="AB588" i="3" s="1"/>
  <c r="AE588" i="3"/>
  <c r="AA588" i="3" s="1"/>
  <c r="Z589" i="3" l="1"/>
  <c r="X589" i="3"/>
  <c r="Y589" i="3"/>
  <c r="W589" i="3"/>
  <c r="BA589" i="3" l="1"/>
  <c r="BB589" i="3"/>
  <c r="AK589" i="3"/>
  <c r="AF589" i="3" s="1"/>
  <c r="AL589" i="3"/>
  <c r="AH589" i="3" s="1"/>
  <c r="AE589" i="3"/>
  <c r="AJ589" i="3"/>
  <c r="AD589" i="3" s="1"/>
  <c r="AC589" i="3"/>
  <c r="AX589" i="3" l="1"/>
  <c r="AY589" i="3"/>
  <c r="AG589" i="3"/>
  <c r="AV589" i="3"/>
  <c r="AW589" i="3"/>
  <c r="AB589" i="3" s="1"/>
  <c r="AA589" i="3" l="1"/>
  <c r="W590" i="3"/>
  <c r="Y590" i="3"/>
  <c r="Z590" i="3"/>
  <c r="X590" i="3"/>
  <c r="BB590" i="3" l="1"/>
  <c r="AY590" i="3" s="1"/>
  <c r="AL590" i="3"/>
  <c r="AG590" i="3" s="1"/>
  <c r="BA590" i="3"/>
  <c r="AV590" i="3" s="1"/>
  <c r="AJ590" i="3"/>
  <c r="AD590" i="3" s="1"/>
  <c r="AK590" i="3"/>
  <c r="AF590" i="3" s="1"/>
  <c r="AX590" i="3"/>
  <c r="AC590" i="3"/>
  <c r="AE590" i="3" l="1"/>
  <c r="AA590" i="3" s="1"/>
  <c r="Y591" i="3" s="1"/>
  <c r="AH590" i="3"/>
  <c r="AW590" i="3"/>
  <c r="AB590" i="3" l="1"/>
  <c r="Z591" i="3"/>
  <c r="X591" i="3"/>
  <c r="W591" i="3"/>
  <c r="BB591" i="3" l="1"/>
  <c r="AX591" i="3" s="1"/>
  <c r="AK591" i="3"/>
  <c r="BA591" i="3"/>
  <c r="AV591" i="3" s="1"/>
  <c r="AJ591" i="3"/>
  <c r="AC591" i="3" s="1"/>
  <c r="AL591" i="3"/>
  <c r="AG591" i="3" s="1"/>
  <c r="AE591" i="3"/>
  <c r="AF591" i="3"/>
  <c r="AW591" i="3"/>
  <c r="AD591" i="3"/>
  <c r="AH591" i="3"/>
  <c r="AY591" i="3"/>
  <c r="AB591" i="3" l="1"/>
  <c r="Z592" i="3"/>
  <c r="AA591" i="3"/>
  <c r="Y592" i="3"/>
  <c r="W592" i="3"/>
  <c r="X592" i="3"/>
  <c r="AJ592" i="3" l="1"/>
  <c r="AD592" i="3" s="1"/>
  <c r="BB592" i="3"/>
  <c r="AX592" i="3" s="1"/>
  <c r="BA592" i="3"/>
  <c r="AV592" i="3" s="1"/>
  <c r="AL592" i="3"/>
  <c r="AH592" i="3" s="1"/>
  <c r="AK592" i="3"/>
  <c r="AF592" i="3" s="1"/>
  <c r="AC592" i="3"/>
  <c r="AE592" i="3" l="1"/>
  <c r="AY592" i="3"/>
  <c r="AG592" i="3"/>
  <c r="AA592" i="3" s="1"/>
  <c r="AW592" i="3"/>
  <c r="AB592" i="3" s="1"/>
  <c r="Y593" i="3" l="1"/>
  <c r="W593" i="3"/>
  <c r="Z593" i="3"/>
  <c r="X593" i="3"/>
  <c r="AL593" i="3" l="1"/>
  <c r="AH593" i="3" s="1"/>
  <c r="BA593" i="3"/>
  <c r="AW593" i="3" s="1"/>
  <c r="AK593" i="3"/>
  <c r="AF593" i="3" s="1"/>
  <c r="AG593" i="3"/>
  <c r="BB593" i="3"/>
  <c r="AY593" i="3" s="1"/>
  <c r="AJ593" i="3"/>
  <c r="AD593" i="3" s="1"/>
  <c r="AE593" i="3"/>
  <c r="AV593" i="3"/>
  <c r="AB593" i="3" l="1"/>
  <c r="Z594" i="3" s="1"/>
  <c r="AX593" i="3"/>
  <c r="AC593" i="3"/>
  <c r="X594" i="3"/>
  <c r="AA593" i="3" l="1"/>
  <c r="W594" i="3"/>
  <c r="Y594" i="3"/>
  <c r="AL594" i="3" l="1"/>
  <c r="AH594" i="3" s="1"/>
  <c r="BB594" i="3"/>
  <c r="AY594" i="3" s="1"/>
  <c r="AJ594" i="3"/>
  <c r="AD594" i="3" s="1"/>
  <c r="AG594" i="3"/>
  <c r="BA594" i="3"/>
  <c r="AW594" i="3" s="1"/>
  <c r="AC594" i="3"/>
  <c r="AK594" i="3"/>
  <c r="AF594" i="3" s="1"/>
  <c r="AX594" i="3"/>
  <c r="AV594" i="3"/>
  <c r="AB594" i="3" l="1"/>
  <c r="AE594" i="3"/>
  <c r="AA594" i="3" s="1"/>
  <c r="Y595" i="3" l="1"/>
  <c r="W595" i="3"/>
  <c r="Z595" i="3"/>
  <c r="X595" i="3"/>
  <c r="AJ595" i="3" l="1"/>
  <c r="AD595" i="3" s="1"/>
  <c r="BB595" i="3"/>
  <c r="AX595" i="3" s="1"/>
  <c r="AC595" i="3"/>
  <c r="BA595" i="3"/>
  <c r="AV595" i="3" s="1"/>
  <c r="AL595" i="3"/>
  <c r="AG595" i="3" s="1"/>
  <c r="AK595" i="3"/>
  <c r="AF595" i="3" s="1"/>
  <c r="AE595" i="3" l="1"/>
  <c r="AA595" i="3"/>
  <c r="AH595" i="3"/>
  <c r="AY595" i="3"/>
  <c r="AW595" i="3"/>
  <c r="AB595" i="3" l="1"/>
  <c r="Z596" i="3"/>
  <c r="X596" i="3"/>
  <c r="W596" i="3"/>
  <c r="Y596" i="3"/>
  <c r="BB596" i="3" l="1"/>
  <c r="AY596" i="3" s="1"/>
  <c r="BA596" i="3"/>
  <c r="AV596" i="3" s="1"/>
  <c r="AL596" i="3"/>
  <c r="AH596" i="3" s="1"/>
  <c r="AJ596" i="3"/>
  <c r="AD596" i="3" s="1"/>
  <c r="AK596" i="3"/>
  <c r="AE596" i="3" s="1"/>
  <c r="AX596" i="3"/>
  <c r="AC596" i="3"/>
  <c r="AW596" i="3"/>
  <c r="AF596" i="3"/>
  <c r="AB596" i="3" l="1"/>
  <c r="X597" i="3" s="1"/>
  <c r="AG596" i="3"/>
  <c r="AA596" i="3" s="1"/>
  <c r="Z597" i="3"/>
  <c r="W597" i="3" l="1"/>
  <c r="Y597" i="3"/>
  <c r="BB597" i="3" l="1"/>
  <c r="AK597" i="3"/>
  <c r="AF597" i="3" s="1"/>
  <c r="AJ597" i="3"/>
  <c r="AL597" i="3"/>
  <c r="AH597" i="3" s="1"/>
  <c r="BA597" i="3"/>
  <c r="AE597" i="3"/>
  <c r="AG597" i="3" l="1"/>
  <c r="AD597" i="3"/>
  <c r="AC597" i="3"/>
  <c r="AV597" i="3"/>
  <c r="AW597" i="3"/>
  <c r="AX597" i="3"/>
  <c r="AY597" i="3"/>
  <c r="AB597" i="3" l="1"/>
  <c r="AA597" i="3"/>
  <c r="Z598" i="3"/>
  <c r="X598" i="3"/>
  <c r="W598" i="3" l="1"/>
  <c r="Y598" i="3"/>
  <c r="AL598" i="3" l="1"/>
  <c r="AK598" i="3"/>
  <c r="BB598" i="3"/>
  <c r="BA598" i="3"/>
  <c r="AJ598" i="3"/>
  <c r="AD598" i="3" s="1"/>
  <c r="AV598" i="3" l="1"/>
  <c r="AW598" i="3"/>
  <c r="AE598" i="3"/>
  <c r="AF598" i="3"/>
  <c r="AX598" i="3"/>
  <c r="AY598" i="3"/>
  <c r="AG598" i="3"/>
  <c r="AH598" i="3"/>
  <c r="AC598" i="3"/>
  <c r="AA598" i="3" s="1"/>
  <c r="AB598" i="3" l="1"/>
  <c r="Y599" i="3"/>
  <c r="W599" i="3"/>
  <c r="X599" i="3" l="1"/>
  <c r="Z599" i="3"/>
  <c r="AJ599" i="3"/>
  <c r="AD599" i="3" s="1"/>
  <c r="BA599" i="3"/>
  <c r="AV599" i="3" s="1"/>
  <c r="AK599" i="3"/>
  <c r="AF599" i="3" s="1"/>
  <c r="BB599" i="3"/>
  <c r="AX599" i="3" s="1"/>
  <c r="AC599" i="3"/>
  <c r="AL599" i="3"/>
  <c r="AG599" i="3" s="1"/>
  <c r="AE599" i="3" l="1"/>
  <c r="AA599" i="3" s="1"/>
  <c r="AY599" i="3"/>
  <c r="AW599" i="3"/>
  <c r="AH599" i="3"/>
  <c r="AB599" i="3" s="1"/>
  <c r="Z600" i="3" l="1"/>
  <c r="X600" i="3"/>
  <c r="Y600" i="3"/>
  <c r="W600" i="3"/>
  <c r="AL600" i="3" l="1"/>
  <c r="AK600" i="3"/>
  <c r="AF600" i="3" s="1"/>
  <c r="AJ600" i="3"/>
  <c r="AC600" i="3" s="1"/>
  <c r="BA600" i="3"/>
  <c r="AV600" i="3" s="1"/>
  <c r="BB600" i="3"/>
  <c r="AX600" i="3" s="1"/>
  <c r="AG600" i="3"/>
  <c r="AE600" i="3"/>
  <c r="AH600" i="3"/>
  <c r="AY600" i="3"/>
  <c r="AD600" i="3"/>
  <c r="AW600" i="3"/>
  <c r="AB600" i="3" l="1"/>
  <c r="X601" i="3" s="1"/>
  <c r="Z601" i="3"/>
  <c r="AA600" i="3"/>
  <c r="Y601" i="3" l="1"/>
  <c r="W601" i="3"/>
  <c r="AL601" i="3" l="1"/>
  <c r="AH601" i="3" s="1"/>
  <c r="BA601" i="3"/>
  <c r="AW601" i="3" s="1"/>
  <c r="AK601" i="3"/>
  <c r="AF601" i="3" s="1"/>
  <c r="AV601" i="3"/>
  <c r="BB601" i="3"/>
  <c r="AY601" i="3" s="1"/>
  <c r="AE601" i="3"/>
  <c r="AJ601" i="3"/>
  <c r="AD601" i="3" s="1"/>
  <c r="AB601" i="3" s="1"/>
  <c r="AG601" i="3"/>
  <c r="AC601" i="3" l="1"/>
  <c r="AX601" i="3"/>
  <c r="AA601" i="3" l="1"/>
  <c r="W602" i="3"/>
  <c r="Y602" i="3"/>
  <c r="Z602" i="3"/>
  <c r="X602" i="3"/>
  <c r="AK602" i="3" l="1"/>
  <c r="AF602" i="3" s="1"/>
  <c r="BB602" i="3"/>
  <c r="AY602" i="3" s="1"/>
  <c r="BA602" i="3"/>
  <c r="AV602" i="3" s="1"/>
  <c r="AE602" i="3"/>
  <c r="AL602" i="3"/>
  <c r="AH602" i="3" s="1"/>
  <c r="AJ602" i="3"/>
  <c r="AD602" i="3" s="1"/>
  <c r="AX602" i="3"/>
  <c r="AG602" i="3" l="1"/>
  <c r="AC602" i="3"/>
  <c r="AA602" i="3" s="1"/>
  <c r="AW602" i="3"/>
  <c r="AB602" i="3" s="1"/>
  <c r="X603" i="3" l="1"/>
  <c r="Z603" i="3"/>
  <c r="Y603" i="3"/>
  <c r="W603" i="3"/>
  <c r="BB603" i="3" l="1"/>
  <c r="AY603" i="3" s="1"/>
  <c r="AL603" i="3"/>
  <c r="AH603" i="3" s="1"/>
  <c r="AJ603" i="3"/>
  <c r="AD603" i="3" s="1"/>
  <c r="BA603" i="3"/>
  <c r="AW603" i="3" s="1"/>
  <c r="AK603" i="3"/>
  <c r="AF603" i="3" s="1"/>
  <c r="AC603" i="3"/>
  <c r="AV603" i="3"/>
  <c r="AG603" i="3"/>
  <c r="AX603" i="3"/>
  <c r="AB603" i="3" l="1"/>
  <c r="AE603" i="3"/>
  <c r="AA603" i="3" s="1"/>
  <c r="Y604" i="3" l="1"/>
  <c r="W604" i="3"/>
  <c r="X604" i="3"/>
  <c r="Z604" i="3"/>
  <c r="AK604" i="3" l="1"/>
  <c r="AF604" i="3" s="1"/>
  <c r="AJ604" i="3"/>
  <c r="AD604" i="3" s="1"/>
  <c r="AL604" i="3"/>
  <c r="AH604" i="3" s="1"/>
  <c r="BB604" i="3"/>
  <c r="AY604" i="3" s="1"/>
  <c r="BA604" i="3"/>
  <c r="AW604" i="3" s="1"/>
  <c r="AB604" i="3" l="1"/>
  <c r="AC604" i="3"/>
  <c r="AG604" i="3"/>
  <c r="AX604" i="3"/>
  <c r="AE604" i="3"/>
  <c r="AA604" i="3" s="1"/>
  <c r="AV604" i="3"/>
  <c r="W605" i="3" l="1"/>
  <c r="Y605" i="3"/>
  <c r="Z605" i="3"/>
  <c r="X605" i="3"/>
  <c r="AK605" i="3" l="1"/>
  <c r="AF605" i="3" s="1"/>
  <c r="BB605" i="3"/>
  <c r="AY605" i="3" s="1"/>
  <c r="BA605" i="3"/>
  <c r="AW605" i="3" s="1"/>
  <c r="AJ605" i="3"/>
  <c r="AD605" i="3" s="1"/>
  <c r="AL605" i="3"/>
  <c r="AH605" i="3" s="1"/>
  <c r="AX605" i="3"/>
  <c r="AV605" i="3"/>
  <c r="AE605" i="3"/>
  <c r="AG605" i="3"/>
  <c r="AC605" i="3"/>
  <c r="AB605" i="3" l="1"/>
  <c r="AA605" i="3"/>
  <c r="Y606" i="3" s="1"/>
  <c r="W606" i="3"/>
  <c r="X606" i="3" l="1"/>
  <c r="Z606" i="3"/>
  <c r="AL606" i="3" l="1"/>
  <c r="AJ606" i="3"/>
  <c r="BB606" i="3"/>
  <c r="AK606" i="3"/>
  <c r="BA606" i="3"/>
  <c r="AV606" i="3" l="1"/>
  <c r="AW606" i="3"/>
  <c r="AC606" i="3"/>
  <c r="AD606" i="3"/>
  <c r="AE606" i="3"/>
  <c r="AF606" i="3"/>
  <c r="AY606" i="3"/>
  <c r="AX606" i="3"/>
  <c r="AG606" i="3"/>
  <c r="AH606" i="3"/>
  <c r="AB606" i="3" l="1"/>
  <c r="AA606" i="3"/>
  <c r="W607" i="3" l="1"/>
  <c r="Y607" i="3"/>
  <c r="Z607" i="3"/>
  <c r="X607" i="3"/>
  <c r="BB607" i="3" l="1"/>
  <c r="AX607" i="3" s="1"/>
  <c r="AK607" i="3"/>
  <c r="AE607" i="3" s="1"/>
  <c r="AL607" i="3"/>
  <c r="AG607" i="3" s="1"/>
  <c r="AJ607" i="3"/>
  <c r="AD607" i="3" s="1"/>
  <c r="BA607" i="3"/>
  <c r="AV607" i="3" s="1"/>
  <c r="AC607" i="3"/>
  <c r="AA607" i="3" l="1"/>
  <c r="AF607" i="3"/>
  <c r="AW607" i="3"/>
  <c r="AH607" i="3"/>
  <c r="AY607" i="3"/>
  <c r="AB607" i="3" l="1"/>
  <c r="Z608" i="3"/>
  <c r="X608" i="3"/>
  <c r="Y608" i="3"/>
  <c r="W608" i="3"/>
  <c r="AJ608" i="3" l="1"/>
  <c r="AD608" i="3" s="1"/>
  <c r="AC608" i="3"/>
  <c r="BA608" i="3"/>
  <c r="BB608" i="3"/>
  <c r="AL608" i="3"/>
  <c r="AH608" i="3" s="1"/>
  <c r="AK608" i="3"/>
  <c r="AG608" i="3" l="1"/>
  <c r="AE608" i="3"/>
  <c r="AF608" i="3"/>
  <c r="AV608" i="3"/>
  <c r="AW608" i="3"/>
  <c r="AY608" i="3"/>
  <c r="AX608" i="3"/>
  <c r="AB608" i="3" l="1"/>
  <c r="Z609" i="3"/>
  <c r="X609" i="3"/>
  <c r="AA608" i="3"/>
  <c r="W609" i="3" l="1"/>
  <c r="Y609" i="3"/>
  <c r="AK609" i="3" l="1"/>
  <c r="AF609" i="3" s="1"/>
  <c r="AL609" i="3"/>
  <c r="AH609" i="3" s="1"/>
  <c r="BA609" i="3"/>
  <c r="AW609" i="3" s="1"/>
  <c r="BB609" i="3"/>
  <c r="AY609" i="3" s="1"/>
  <c r="AJ609" i="3"/>
  <c r="AD609" i="3" s="1"/>
  <c r="AB609" i="3" s="1"/>
  <c r="X610" i="3" s="1"/>
  <c r="AX609" i="3"/>
  <c r="AV609" i="3"/>
  <c r="AC609" i="3"/>
  <c r="AG609" i="3"/>
  <c r="AE609" i="3"/>
  <c r="Z610" i="3" l="1"/>
  <c r="AA609" i="3"/>
  <c r="Y610" i="3" l="1"/>
  <c r="W610" i="3"/>
  <c r="BA610" i="3" l="1"/>
  <c r="AK610" i="3"/>
  <c r="BB610" i="3"/>
  <c r="AL610" i="3"/>
  <c r="AJ610" i="3"/>
  <c r="AD610" i="3" s="1"/>
  <c r="AH610" i="3" l="1"/>
  <c r="AG610" i="3"/>
  <c r="AF610" i="3"/>
  <c r="AE610" i="3"/>
  <c r="AC610" i="3"/>
  <c r="AX610" i="3"/>
  <c r="AY610" i="3"/>
  <c r="AV610" i="3"/>
  <c r="AW610" i="3"/>
  <c r="AB610" i="3" l="1"/>
  <c r="AA610" i="3"/>
  <c r="X611" i="3"/>
  <c r="Z611" i="3"/>
  <c r="Y611" i="3" l="1"/>
  <c r="W611" i="3"/>
  <c r="AJ611" i="3" l="1"/>
  <c r="BA611" i="3"/>
  <c r="BB611" i="3"/>
  <c r="AK611" i="3"/>
  <c r="AF611" i="3" s="1"/>
  <c r="AL611" i="3"/>
  <c r="AH611" i="3" s="1"/>
  <c r="AV611" i="3" l="1"/>
  <c r="AW611" i="3"/>
  <c r="AE611" i="3"/>
  <c r="AG611" i="3"/>
  <c r="AX611" i="3"/>
  <c r="AY611" i="3"/>
  <c r="AC611" i="3"/>
  <c r="AD611" i="3"/>
  <c r="AB611" i="3" s="1"/>
  <c r="Z612" i="3" l="1"/>
  <c r="X612" i="3"/>
  <c r="AA611" i="3"/>
  <c r="W612" i="3" l="1"/>
  <c r="Y612" i="3"/>
  <c r="AL612" i="3" l="1"/>
  <c r="BA612" i="3"/>
  <c r="AJ612" i="3"/>
  <c r="BB612" i="3"/>
  <c r="AK612" i="3"/>
  <c r="AF612" i="3" s="1"/>
  <c r="AX612" i="3" l="1"/>
  <c r="AY612" i="3"/>
  <c r="AE612" i="3"/>
  <c r="AV612" i="3"/>
  <c r="AW612" i="3"/>
  <c r="AC612" i="3"/>
  <c r="AD612" i="3"/>
  <c r="AG612" i="3"/>
  <c r="AH612" i="3"/>
  <c r="AB612" i="3" l="1"/>
  <c r="AA612" i="3"/>
  <c r="Z613" i="3" l="1"/>
  <c r="X613" i="3"/>
  <c r="Y613" i="3"/>
  <c r="W613" i="3"/>
  <c r="BB613" i="3" l="1"/>
  <c r="AX613" i="3" s="1"/>
  <c r="AL613" i="3"/>
  <c r="AG613" i="3" s="1"/>
  <c r="AK613" i="3"/>
  <c r="AE613" i="3" s="1"/>
  <c r="AJ613" i="3"/>
  <c r="AD613" i="3" s="1"/>
  <c r="BA613" i="3"/>
  <c r="AV613" i="3" s="1"/>
  <c r="AC613" i="3"/>
  <c r="AY613" i="3" l="1"/>
  <c r="AA613" i="3"/>
  <c r="AW613" i="3"/>
  <c r="AF613" i="3"/>
  <c r="AB613" i="3" s="1"/>
  <c r="AH613" i="3"/>
  <c r="X614" i="3" l="1"/>
  <c r="Z614" i="3"/>
  <c r="W614" i="3"/>
  <c r="Y614" i="3"/>
  <c r="AL614" i="3" l="1"/>
  <c r="AG614" i="3" s="1"/>
  <c r="AK614" i="3"/>
  <c r="BA614" i="3"/>
  <c r="AV614" i="3" s="1"/>
  <c r="BB614" i="3"/>
  <c r="AX614" i="3" s="1"/>
  <c r="AE614" i="3"/>
  <c r="AJ614" i="3"/>
  <c r="AC614" i="3" s="1"/>
  <c r="AA614" i="3" s="1"/>
  <c r="AH614" i="3"/>
  <c r="AF614" i="3"/>
  <c r="AY614" i="3"/>
  <c r="AW614" i="3"/>
  <c r="AD614" i="3" l="1"/>
  <c r="Y615" i="3"/>
  <c r="W615" i="3"/>
  <c r="AB614" i="3" l="1"/>
  <c r="X615" i="3" s="1"/>
  <c r="AL615" i="3"/>
  <c r="AG615" i="3" s="1"/>
  <c r="BB615" i="3"/>
  <c r="AX615" i="3" s="1"/>
  <c r="BA615" i="3"/>
  <c r="AV615" i="3" s="1"/>
  <c r="AK615" i="3"/>
  <c r="AF615" i="3" s="1"/>
  <c r="AJ615" i="3"/>
  <c r="AD615" i="3" s="1"/>
  <c r="Z615" i="3" l="1"/>
  <c r="AC615" i="3"/>
  <c r="AW615" i="3"/>
  <c r="AE615" i="3"/>
  <c r="AY615" i="3"/>
  <c r="AH615" i="3"/>
  <c r="AB615" i="3" s="1"/>
  <c r="Z616" i="3" l="1"/>
  <c r="X616" i="3"/>
  <c r="AA615" i="3"/>
  <c r="Y616" i="3" l="1"/>
  <c r="W616" i="3"/>
  <c r="BA616" i="3" l="1"/>
  <c r="AL616" i="3"/>
  <c r="AJ616" i="3"/>
  <c r="AD616" i="3" s="1"/>
  <c r="AK616" i="3"/>
  <c r="AF616" i="3" s="1"/>
  <c r="BB616" i="3"/>
  <c r="AC616" i="3"/>
  <c r="AE616" i="3"/>
  <c r="AX616" i="3" l="1"/>
  <c r="AY616" i="3"/>
  <c r="AG616" i="3"/>
  <c r="AH616" i="3"/>
  <c r="AV616" i="3"/>
  <c r="AA616" i="3" s="1"/>
  <c r="AW616" i="3"/>
  <c r="AB616" i="3" l="1"/>
  <c r="Y617" i="3"/>
  <c r="W617" i="3"/>
  <c r="X617" i="3"/>
  <c r="Z617" i="3"/>
  <c r="AL617" i="3" l="1"/>
  <c r="AH617" i="3" s="1"/>
  <c r="BA617" i="3"/>
  <c r="AW617" i="3" s="1"/>
  <c r="BB617" i="3"/>
  <c r="AY617" i="3" s="1"/>
  <c r="AK617" i="3"/>
  <c r="AF617" i="3" s="1"/>
  <c r="AJ617" i="3"/>
  <c r="AD617" i="3" s="1"/>
  <c r="AV617" i="3"/>
  <c r="AG617" i="3"/>
  <c r="AX617" i="3"/>
  <c r="AB617" i="3" l="1"/>
  <c r="X618" i="3"/>
  <c r="Z618" i="3"/>
  <c r="AC617" i="3"/>
  <c r="AE617" i="3"/>
  <c r="AA617" i="3" l="1"/>
  <c r="Y618" i="3" l="1"/>
  <c r="W618" i="3"/>
  <c r="BB618" i="3" l="1"/>
  <c r="AY618" i="3" s="1"/>
  <c r="AJ618" i="3"/>
  <c r="AD618" i="3" s="1"/>
  <c r="AK618" i="3"/>
  <c r="AF618" i="3" s="1"/>
  <c r="AC618" i="3"/>
  <c r="AL618" i="3"/>
  <c r="AH618" i="3" s="1"/>
  <c r="AE618" i="3"/>
  <c r="BA618" i="3"/>
  <c r="AW618" i="3" s="1"/>
  <c r="AX618" i="3"/>
  <c r="AV618" i="3" l="1"/>
  <c r="AG618" i="3"/>
  <c r="AA618" i="3" s="1"/>
  <c r="AB618" i="3"/>
  <c r="Y619" i="3" l="1"/>
  <c r="W619" i="3"/>
  <c r="Z619" i="3"/>
  <c r="X619" i="3"/>
  <c r="AK619" i="3" s="1"/>
  <c r="BB619" i="3"/>
  <c r="AX619" i="3" s="1"/>
  <c r="BA619" i="3"/>
  <c r="AV619" i="3" s="1"/>
  <c r="AL619" i="3"/>
  <c r="AJ619" i="3" l="1"/>
  <c r="AD619" i="3" s="1"/>
  <c r="AH619" i="3"/>
  <c r="AG619" i="3"/>
  <c r="AF619" i="3"/>
  <c r="AE619" i="3"/>
  <c r="AC619" i="3"/>
  <c r="AY619" i="3"/>
  <c r="AW619" i="3"/>
  <c r="AB619" i="3" l="1"/>
  <c r="AA619" i="3"/>
  <c r="Y620" i="3"/>
  <c r="W620" i="3"/>
  <c r="X620" i="3"/>
  <c r="Z620" i="3"/>
  <c r="AJ620" i="3" l="1"/>
  <c r="AD620" i="3" s="1"/>
  <c r="BA620" i="3"/>
  <c r="AW620" i="3" s="1"/>
  <c r="BB620" i="3"/>
  <c r="AY620" i="3" s="1"/>
  <c r="AK620" i="3"/>
  <c r="AF620" i="3" s="1"/>
  <c r="AL620" i="3"/>
  <c r="AH620" i="3" s="1"/>
  <c r="AV620" i="3"/>
  <c r="AG620" i="3" l="1"/>
  <c r="AB620" i="3"/>
  <c r="AC620" i="3"/>
  <c r="AX620" i="3"/>
  <c r="AE620" i="3"/>
  <c r="X621" i="3" l="1"/>
  <c r="Z621" i="3"/>
  <c r="AA620" i="3"/>
  <c r="Y621" i="3" l="1"/>
  <c r="W621" i="3"/>
  <c r="BB621" i="3" l="1"/>
  <c r="AY621" i="3" s="1"/>
  <c r="BA621" i="3"/>
  <c r="AL621" i="3"/>
  <c r="AH621" i="3" s="1"/>
  <c r="AJ621" i="3"/>
  <c r="AD621" i="3" s="1"/>
  <c r="AK621" i="3"/>
  <c r="AF621" i="3" s="1"/>
  <c r="AX621" i="3"/>
  <c r="AG621" i="3"/>
  <c r="AC621" i="3"/>
  <c r="AV621" i="3" l="1"/>
  <c r="AW621" i="3"/>
  <c r="AB621" i="3" s="1"/>
  <c r="AE621" i="3"/>
  <c r="AA621" i="3" s="1"/>
  <c r="W622" i="3" l="1"/>
  <c r="Y622" i="3"/>
  <c r="Z622" i="3"/>
  <c r="X622" i="3"/>
  <c r="AL622" i="3" l="1"/>
  <c r="AK622" i="3"/>
  <c r="AF622" i="3" s="1"/>
  <c r="AJ622" i="3"/>
  <c r="AD622" i="3" s="1"/>
  <c r="BB622" i="3"/>
  <c r="AY622" i="3" s="1"/>
  <c r="AE622" i="3"/>
  <c r="BA622" i="3"/>
  <c r="AW622" i="3" s="1"/>
  <c r="AC622" i="3"/>
  <c r="AV622" i="3" l="1"/>
  <c r="AX622" i="3"/>
  <c r="AH622" i="3"/>
  <c r="AB622" i="3" s="1"/>
  <c r="AG622" i="3"/>
  <c r="AA622" i="3" s="1"/>
  <c r="X623" i="3" l="1"/>
  <c r="Z623" i="3"/>
  <c r="Y623" i="3"/>
  <c r="W623" i="3"/>
  <c r="AK623" i="3" l="1"/>
  <c r="BA623" i="3"/>
  <c r="AW623" i="3" s="1"/>
  <c r="AL623" i="3"/>
  <c r="AH623" i="3" s="1"/>
  <c r="BB623" i="3"/>
  <c r="AJ623" i="3"/>
  <c r="AV623" i="3" l="1"/>
  <c r="AD623" i="3"/>
  <c r="AC623" i="3"/>
  <c r="AF623" i="3"/>
  <c r="AE623" i="3"/>
  <c r="AX623" i="3"/>
  <c r="AY623" i="3"/>
  <c r="AG623" i="3"/>
  <c r="AB623" i="3" l="1"/>
  <c r="AA623" i="3"/>
  <c r="X624" i="3" l="1"/>
  <c r="Z624" i="3"/>
  <c r="W624" i="3"/>
  <c r="Y624" i="3"/>
  <c r="BA624" i="3" l="1"/>
  <c r="AW624" i="3" s="1"/>
  <c r="AL624" i="3"/>
  <c r="AH624" i="3" s="1"/>
  <c r="BB624" i="3"/>
  <c r="AY624" i="3" s="1"/>
  <c r="AK624" i="3"/>
  <c r="AF624" i="3" s="1"/>
  <c r="AV624" i="3"/>
  <c r="AJ624" i="3"/>
  <c r="AD624" i="3" s="1"/>
  <c r="AB624" i="3" s="1"/>
  <c r="AG624" i="3"/>
  <c r="AE624" i="3"/>
  <c r="AC624" i="3" l="1"/>
  <c r="Z625" i="3"/>
  <c r="X625" i="3"/>
  <c r="AX624" i="3"/>
  <c r="AA624" i="3" s="1"/>
  <c r="Y625" i="3" l="1"/>
  <c r="W625" i="3"/>
  <c r="BA625" i="3" l="1"/>
  <c r="AW625" i="3" s="1"/>
  <c r="BB625" i="3"/>
  <c r="AY625" i="3" s="1"/>
  <c r="AK625" i="3"/>
  <c r="AF625" i="3" s="1"/>
  <c r="AL625" i="3"/>
  <c r="AJ625" i="3"/>
  <c r="AD625" i="3" s="1"/>
  <c r="AE625" i="3" l="1"/>
  <c r="AG625" i="3"/>
  <c r="AH625" i="3"/>
  <c r="AB625" i="3" s="1"/>
  <c r="AV625" i="3"/>
  <c r="AX625" i="3"/>
  <c r="AC625" i="3"/>
  <c r="AA625" i="3" l="1"/>
  <c r="Y626" i="3"/>
  <c r="W626" i="3"/>
  <c r="Z626" i="3"/>
  <c r="X626" i="3"/>
  <c r="AL626" i="3" l="1"/>
  <c r="AG626" i="3" s="1"/>
  <c r="BA626" i="3"/>
  <c r="AV626" i="3" s="1"/>
  <c r="AK626" i="3"/>
  <c r="AE626" i="3" s="1"/>
  <c r="AJ626" i="3"/>
  <c r="AC626" i="3" s="1"/>
  <c r="BB626" i="3"/>
  <c r="AX626" i="3" s="1"/>
  <c r="AA626" i="3" l="1"/>
  <c r="AW626" i="3"/>
  <c r="AH626" i="3"/>
  <c r="AY626" i="3"/>
  <c r="AD626" i="3"/>
  <c r="AF626" i="3"/>
  <c r="AB626" i="3" l="1"/>
  <c r="Y627" i="3"/>
  <c r="W627" i="3"/>
  <c r="X627" i="3" l="1"/>
  <c r="Z627" i="3"/>
  <c r="BB627" i="3" l="1"/>
  <c r="AX627" i="3" s="1"/>
  <c r="BA627" i="3"/>
  <c r="AV627" i="3" s="1"/>
  <c r="AK627" i="3"/>
  <c r="AL627" i="3"/>
  <c r="AJ627" i="3"/>
  <c r="AH627" i="3" l="1"/>
  <c r="AG627" i="3"/>
  <c r="AF627" i="3"/>
  <c r="AE627" i="3"/>
  <c r="AD627" i="3"/>
  <c r="AC627" i="3"/>
  <c r="AA627" i="3" s="1"/>
  <c r="AW627" i="3"/>
  <c r="AY627" i="3"/>
  <c r="AB627" i="3" l="1"/>
  <c r="Y628" i="3"/>
  <c r="W628" i="3"/>
  <c r="Z628" i="3"/>
  <c r="X628" i="3"/>
  <c r="AJ628" i="3" l="1"/>
  <c r="AD628" i="3" s="1"/>
  <c r="BB628" i="3"/>
  <c r="AY628" i="3" s="1"/>
  <c r="BA628" i="3"/>
  <c r="AW628" i="3" s="1"/>
  <c r="AC628" i="3"/>
  <c r="AL628" i="3"/>
  <c r="AH628" i="3" s="1"/>
  <c r="AK628" i="3"/>
  <c r="AF628" i="3" s="1"/>
  <c r="AV628" i="3"/>
  <c r="AX628" i="3"/>
  <c r="AB628" i="3" l="1"/>
  <c r="Z629" i="3"/>
  <c r="X629" i="3"/>
  <c r="AG628" i="3"/>
  <c r="AE628" i="3"/>
  <c r="AA628" i="3" l="1"/>
  <c r="Y629" i="3" l="1"/>
  <c r="W629" i="3"/>
  <c r="AK629" i="3" l="1"/>
  <c r="AF629" i="3" s="1"/>
  <c r="BA629" i="3"/>
  <c r="BB629" i="3"/>
  <c r="AE629" i="3"/>
  <c r="AL629" i="3"/>
  <c r="AJ629" i="3"/>
  <c r="AD629" i="3" s="1"/>
  <c r="AC629" i="3" l="1"/>
  <c r="AX629" i="3"/>
  <c r="AY629" i="3"/>
  <c r="AV629" i="3"/>
  <c r="AW629" i="3"/>
  <c r="AG629" i="3"/>
  <c r="AH629" i="3"/>
  <c r="AB629" i="3" l="1"/>
  <c r="X630" i="3"/>
  <c r="Z630" i="3"/>
  <c r="AA629" i="3"/>
  <c r="W630" i="3" l="1"/>
  <c r="Y630" i="3"/>
  <c r="AJ630" i="3" l="1"/>
  <c r="AD630" i="3" s="1"/>
  <c r="AK630" i="3"/>
  <c r="AF630" i="3" s="1"/>
  <c r="BA630" i="3"/>
  <c r="AW630" i="3" s="1"/>
  <c r="AL630" i="3"/>
  <c r="AH630" i="3" s="1"/>
  <c r="BB630" i="3"/>
  <c r="AY630" i="3" s="1"/>
  <c r="AC630" i="3"/>
  <c r="AV630" i="3"/>
  <c r="AG630" i="3"/>
  <c r="AX630" i="3"/>
  <c r="AB630" i="3" l="1"/>
  <c r="AE630" i="3"/>
  <c r="AA630" i="3" s="1"/>
  <c r="Y631" i="3" l="1"/>
  <c r="W631" i="3"/>
  <c r="Z631" i="3"/>
  <c r="X631" i="3"/>
  <c r="BB631" i="3" l="1"/>
  <c r="AY631" i="3" s="1"/>
  <c r="AJ631" i="3"/>
  <c r="AD631" i="3" s="1"/>
  <c r="AK631" i="3"/>
  <c r="AF631" i="3" s="1"/>
  <c r="AL631" i="3"/>
  <c r="AH631" i="3" s="1"/>
  <c r="BA631" i="3"/>
  <c r="AW631" i="3" s="1"/>
  <c r="AE631" i="3"/>
  <c r="AG631" i="3"/>
  <c r="AX631" i="3"/>
  <c r="AB631" i="3" l="1"/>
  <c r="AC631" i="3"/>
  <c r="AV631" i="3"/>
  <c r="AA631" i="3" l="1"/>
  <c r="X632" i="3"/>
  <c r="Z632" i="3"/>
  <c r="Y632" i="3" l="1"/>
  <c r="W632" i="3"/>
  <c r="BA632" i="3" l="1"/>
  <c r="AJ632" i="3"/>
  <c r="AL632" i="3"/>
  <c r="AH632" i="3" s="1"/>
  <c r="AK632" i="3"/>
  <c r="BB632" i="3"/>
  <c r="AY632" i="3" s="1"/>
  <c r="AG632" i="3"/>
  <c r="AE632" i="3" l="1"/>
  <c r="AF632" i="3"/>
  <c r="AX632" i="3"/>
  <c r="AC632" i="3"/>
  <c r="AD632" i="3"/>
  <c r="AV632" i="3"/>
  <c r="AW632" i="3"/>
  <c r="AB632" i="3" l="1"/>
  <c r="AA632" i="3"/>
  <c r="Y633" i="3"/>
  <c r="W633" i="3"/>
  <c r="Z633" i="3"/>
  <c r="X633" i="3"/>
  <c r="BB633" i="3" l="1"/>
  <c r="AY633" i="3" s="1"/>
  <c r="BA633" i="3"/>
  <c r="AV633" i="3" s="1"/>
  <c r="AJ633" i="3"/>
  <c r="AC633" i="3" s="1"/>
  <c r="AK633" i="3"/>
  <c r="AE633" i="3" s="1"/>
  <c r="AX633" i="3"/>
  <c r="AL633" i="3"/>
  <c r="AH633" i="3" s="1"/>
  <c r="AG633" i="3" l="1"/>
  <c r="AA633" i="3"/>
  <c r="AF633" i="3"/>
  <c r="AD633" i="3"/>
  <c r="AW633" i="3"/>
  <c r="AB633" i="3" l="1"/>
  <c r="Z634" i="3"/>
  <c r="X634" i="3"/>
  <c r="Y634" i="3"/>
  <c r="W634" i="3"/>
  <c r="AL634" i="3" l="1"/>
  <c r="AK634" i="3"/>
  <c r="AE634" i="3" s="1"/>
  <c r="BB634" i="3"/>
  <c r="AY634" i="3" s="1"/>
  <c r="AJ634" i="3"/>
  <c r="AD634" i="3" s="1"/>
  <c r="AG634" i="3"/>
  <c r="BA634" i="3"/>
  <c r="AV634" i="3" s="1"/>
  <c r="AH634" i="3"/>
  <c r="AF634" i="3"/>
  <c r="AW634" i="3" l="1"/>
  <c r="AB634" i="3"/>
  <c r="AC634" i="3"/>
  <c r="AX634" i="3"/>
  <c r="AA634" i="3" l="1"/>
  <c r="Z635" i="3"/>
  <c r="X635" i="3"/>
  <c r="Y635" i="3" l="1"/>
  <c r="W635" i="3"/>
  <c r="AL635" i="3" l="1"/>
  <c r="AH635" i="3" s="1"/>
  <c r="BB635" i="3"/>
  <c r="AY635" i="3" s="1"/>
  <c r="AK635" i="3"/>
  <c r="AF635" i="3" s="1"/>
  <c r="BA635" i="3"/>
  <c r="AW635" i="3" s="1"/>
  <c r="AJ635" i="3"/>
  <c r="AD635" i="3" s="1"/>
  <c r="AX635" i="3"/>
  <c r="AB635" i="3" l="1"/>
  <c r="AC635" i="3"/>
  <c r="X636" i="3"/>
  <c r="Z636" i="3"/>
  <c r="AV635" i="3"/>
  <c r="AE635" i="3"/>
  <c r="AG635" i="3"/>
  <c r="AA635" i="3" l="1"/>
  <c r="W636" i="3"/>
  <c r="Y636" i="3"/>
  <c r="BB636" i="3" l="1"/>
  <c r="AY636" i="3" s="1"/>
  <c r="AL636" i="3"/>
  <c r="AK636" i="3"/>
  <c r="AF636" i="3" s="1"/>
  <c r="BA636" i="3"/>
  <c r="AJ636" i="3"/>
  <c r="AD636" i="3" s="1"/>
  <c r="AX636" i="3"/>
  <c r="AE636" i="3"/>
  <c r="AC636" i="3"/>
  <c r="AG636" i="3" l="1"/>
  <c r="AH636" i="3"/>
  <c r="AV636" i="3"/>
  <c r="AA636" i="3" s="1"/>
  <c r="AW636" i="3"/>
  <c r="AB636" i="3" l="1"/>
  <c r="Y637" i="3"/>
  <c r="W637" i="3"/>
  <c r="X637" i="3"/>
  <c r="Z637" i="3"/>
  <c r="AJ637" i="3" l="1"/>
  <c r="AD637" i="3" s="1"/>
  <c r="BB637" i="3"/>
  <c r="AX637" i="3" s="1"/>
  <c r="BA637" i="3"/>
  <c r="AV637" i="3" s="1"/>
  <c r="AL637" i="3"/>
  <c r="AH637" i="3" s="1"/>
  <c r="AK637" i="3"/>
  <c r="AF637" i="3" s="1"/>
  <c r="AG637" i="3" l="1"/>
  <c r="AY637" i="3"/>
  <c r="AE637" i="3"/>
  <c r="AC637" i="3"/>
  <c r="AW637" i="3"/>
  <c r="AB637" i="3" s="1"/>
  <c r="AA637" i="3" l="1"/>
  <c r="X638" i="3"/>
  <c r="Z638" i="3"/>
  <c r="Y638" i="3" l="1"/>
  <c r="W638" i="3"/>
  <c r="BA638" i="3" l="1"/>
  <c r="AW638" i="3" s="1"/>
  <c r="AK638" i="3"/>
  <c r="AV638" i="3"/>
  <c r="AJ638" i="3"/>
  <c r="BB638" i="3"/>
  <c r="AY638" i="3" s="1"/>
  <c r="AL638" i="3"/>
  <c r="AH638" i="3" s="1"/>
  <c r="AX638" i="3" l="1"/>
  <c r="AE638" i="3"/>
  <c r="AF638" i="3"/>
  <c r="AG638" i="3"/>
  <c r="AC638" i="3"/>
  <c r="AD638" i="3"/>
  <c r="AB638" i="3" s="1"/>
  <c r="Z639" i="3" l="1"/>
  <c r="X639" i="3"/>
  <c r="AA638" i="3"/>
  <c r="W639" i="3" l="1"/>
  <c r="Y639" i="3"/>
  <c r="AJ639" i="3" l="1"/>
  <c r="AD639" i="3" s="1"/>
  <c r="AK639" i="3"/>
  <c r="AF639" i="3" s="1"/>
  <c r="BB639" i="3"/>
  <c r="AY639" i="3" s="1"/>
  <c r="BA639" i="3"/>
  <c r="AL639" i="3"/>
  <c r="AH639" i="3" s="1"/>
  <c r="AE639" i="3"/>
  <c r="AC639" i="3"/>
  <c r="AX639" i="3"/>
  <c r="AV639" i="3" l="1"/>
  <c r="AW639" i="3"/>
  <c r="AB639" i="3" s="1"/>
  <c r="AG639" i="3"/>
  <c r="AA639" i="3" s="1"/>
  <c r="Y640" i="3" l="1"/>
  <c r="W640" i="3"/>
  <c r="X640" i="3"/>
  <c r="Z640" i="3"/>
  <c r="BA640" i="3" l="1"/>
  <c r="AV640" i="3" s="1"/>
  <c r="AL640" i="3"/>
  <c r="AH640" i="3" s="1"/>
  <c r="AK640" i="3"/>
  <c r="AE640" i="3" s="1"/>
  <c r="BB640" i="3"/>
  <c r="AY640" i="3" s="1"/>
  <c r="AJ640" i="3"/>
  <c r="AC640" i="3" s="1"/>
  <c r="AX640" i="3"/>
  <c r="AG640" i="3"/>
  <c r="AA640" i="3" l="1"/>
  <c r="AF640" i="3"/>
  <c r="AW640" i="3"/>
  <c r="AD640" i="3"/>
  <c r="AB640" i="3" l="1"/>
  <c r="Z641" i="3"/>
  <c r="X641" i="3"/>
  <c r="W641" i="3"/>
  <c r="Y641" i="3"/>
  <c r="AL641" i="3" l="1"/>
  <c r="AH641" i="3" s="1"/>
  <c r="BA641" i="3"/>
  <c r="AV641" i="3" s="1"/>
  <c r="AG641" i="3"/>
  <c r="AK641" i="3"/>
  <c r="AE641" i="3" s="1"/>
  <c r="AJ641" i="3"/>
  <c r="AC641" i="3" s="1"/>
  <c r="BB641" i="3"/>
  <c r="AY641" i="3" s="1"/>
  <c r="AW641" i="3"/>
  <c r="AF641" i="3"/>
  <c r="AD641" i="3" l="1"/>
  <c r="AB641" i="3"/>
  <c r="Z642" i="3" s="1"/>
  <c r="AX641" i="3"/>
  <c r="AA641" i="3" s="1"/>
  <c r="X642" i="3" l="1"/>
  <c r="Y642" i="3"/>
  <c r="W642" i="3"/>
  <c r="BB642" i="3" l="1"/>
  <c r="AY642" i="3" s="1"/>
  <c r="AJ642" i="3"/>
  <c r="AD642" i="3" s="1"/>
  <c r="BA642" i="3"/>
  <c r="AW642" i="3" s="1"/>
  <c r="AK642" i="3"/>
  <c r="AF642" i="3" s="1"/>
  <c r="AX642" i="3"/>
  <c r="AL642" i="3"/>
  <c r="AH642" i="3" s="1"/>
  <c r="AV642" i="3"/>
  <c r="AE642" i="3"/>
  <c r="AC642" i="3"/>
  <c r="AB642" i="3" l="1"/>
  <c r="AG642" i="3"/>
  <c r="AA642" i="3" s="1"/>
  <c r="W643" i="3" l="1"/>
  <c r="Y643" i="3"/>
  <c r="Z643" i="3"/>
  <c r="X643" i="3"/>
  <c r="BB643" i="3" l="1"/>
  <c r="AY643" i="3" s="1"/>
  <c r="AJ643" i="3"/>
  <c r="AD643" i="3" s="1"/>
  <c r="AK643" i="3"/>
  <c r="AE643" i="3" s="1"/>
  <c r="AX643" i="3"/>
  <c r="AL643" i="3"/>
  <c r="AG643" i="3" s="1"/>
  <c r="BA643" i="3"/>
  <c r="AV643" i="3" s="1"/>
  <c r="AC643" i="3"/>
  <c r="AA643" i="3" l="1"/>
  <c r="AH643" i="3"/>
  <c r="AF643" i="3"/>
  <c r="AW643" i="3"/>
  <c r="AB643" i="3" l="1"/>
  <c r="X644" i="3"/>
  <c r="Z644" i="3"/>
  <c r="Y644" i="3"/>
  <c r="W644" i="3"/>
  <c r="AK644" i="3" l="1"/>
  <c r="AE644" i="3" s="1"/>
  <c r="AJ644" i="3"/>
  <c r="AC644" i="3" s="1"/>
  <c r="AL644" i="3"/>
  <c r="AG644" i="3" s="1"/>
  <c r="BA644" i="3"/>
  <c r="AV644" i="3" s="1"/>
  <c r="BB644" i="3"/>
  <c r="AX644" i="3" s="1"/>
  <c r="AA644" i="3" s="1"/>
  <c r="Y645" i="3" s="1"/>
  <c r="AH644" i="3"/>
  <c r="AF644" i="3"/>
  <c r="AW644" i="3"/>
  <c r="AD644" i="3"/>
  <c r="AY644" i="3" l="1"/>
  <c r="AB644" i="3" s="1"/>
  <c r="W645" i="3"/>
  <c r="Z645" i="3" l="1"/>
  <c r="X645" i="3"/>
  <c r="BB645" i="3" l="1"/>
  <c r="AX645" i="3" s="1"/>
  <c r="BA645" i="3"/>
  <c r="AV645" i="3" s="1"/>
  <c r="AL645" i="3"/>
  <c r="AK645" i="3"/>
  <c r="AJ645" i="3"/>
  <c r="AF645" i="3" l="1"/>
  <c r="AE645" i="3"/>
  <c r="AH645" i="3"/>
  <c r="AG645" i="3"/>
  <c r="AD645" i="3"/>
  <c r="AC645" i="3"/>
  <c r="AA645" i="3" s="1"/>
  <c r="AW645" i="3"/>
  <c r="AY645" i="3"/>
  <c r="AB645" i="3" l="1"/>
  <c r="Y646" i="3"/>
  <c r="W646" i="3"/>
  <c r="Z646" i="3"/>
  <c r="X646" i="3"/>
  <c r="AL646" i="3" l="1"/>
  <c r="AH646" i="3" s="1"/>
  <c r="BB646" i="3"/>
  <c r="AY646" i="3" s="1"/>
  <c r="AG646" i="3"/>
  <c r="BA646" i="3"/>
  <c r="AW646" i="3" s="1"/>
  <c r="AK646" i="3"/>
  <c r="AF646" i="3" s="1"/>
  <c r="AX646" i="3"/>
  <c r="AJ646" i="3"/>
  <c r="AD646" i="3" s="1"/>
  <c r="AB646" i="3" s="1"/>
  <c r="AE646" i="3" l="1"/>
  <c r="Z647" i="3"/>
  <c r="X647" i="3"/>
  <c r="AC646" i="3"/>
  <c r="AV646" i="3"/>
  <c r="AA646" i="3" l="1"/>
  <c r="Y647" i="3"/>
  <c r="W647" i="3"/>
  <c r="AK647" i="3" l="1"/>
  <c r="AF647" i="3" s="1"/>
  <c r="BB647" i="3"/>
  <c r="AY647" i="3" s="1"/>
  <c r="AL647" i="3"/>
  <c r="AH647" i="3" s="1"/>
  <c r="AJ647" i="3"/>
  <c r="AD647" i="3" s="1"/>
  <c r="AX647" i="3"/>
  <c r="BA647" i="3"/>
  <c r="AW647" i="3" s="1"/>
  <c r="AE647" i="3"/>
  <c r="AG647" i="3"/>
  <c r="AV647" i="3"/>
  <c r="AB647" i="3" l="1"/>
  <c r="AC647" i="3"/>
  <c r="AA647" i="3" s="1"/>
  <c r="Z648" i="3" l="1"/>
  <c r="X648" i="3"/>
  <c r="W648" i="3"/>
  <c r="Y648" i="3"/>
  <c r="AL648" i="3" l="1"/>
  <c r="AH648" i="3" s="1"/>
  <c r="AK648" i="3"/>
  <c r="AF648" i="3" s="1"/>
  <c r="BB648" i="3"/>
  <c r="AX648" i="3" s="1"/>
  <c r="AJ648" i="3"/>
  <c r="AD648" i="3" s="1"/>
  <c r="AE648" i="3"/>
  <c r="BA648" i="3"/>
  <c r="AV648" i="3" s="1"/>
  <c r="AG648" i="3"/>
  <c r="AC648" i="3" l="1"/>
  <c r="AA648" i="3" s="1"/>
  <c r="AW648" i="3"/>
  <c r="AY648" i="3"/>
  <c r="AB648" i="3" l="1"/>
  <c r="X649" i="3"/>
  <c r="Z649" i="3"/>
  <c r="Y649" i="3"/>
  <c r="W649" i="3"/>
  <c r="BA649" i="3" l="1"/>
  <c r="AV649" i="3" s="1"/>
  <c r="AJ649" i="3"/>
  <c r="AD649" i="3" s="1"/>
  <c r="AK649" i="3"/>
  <c r="AE649" i="3" s="1"/>
  <c r="AL649" i="3"/>
  <c r="AG649" i="3" s="1"/>
  <c r="AC649" i="3"/>
  <c r="BB649" i="3"/>
  <c r="AY649" i="3" s="1"/>
  <c r="AH649" i="3"/>
  <c r="AW649" i="3"/>
  <c r="AF649" i="3"/>
  <c r="AB649" i="3" l="1"/>
  <c r="Z650" i="3" s="1"/>
  <c r="X650" i="3"/>
  <c r="AX649" i="3"/>
  <c r="AA649" i="3" s="1"/>
  <c r="W650" i="3" l="1"/>
  <c r="Y650" i="3"/>
  <c r="AL650" i="3"/>
  <c r="AG650" i="3" s="1"/>
  <c r="AH650" i="3" l="1"/>
  <c r="BA650" i="3"/>
  <c r="AJ650" i="3"/>
  <c r="BB650" i="3"/>
  <c r="AY650" i="3" s="1"/>
  <c r="AK650" i="3"/>
  <c r="AX650" i="3" l="1"/>
  <c r="AC650" i="3"/>
  <c r="AD650" i="3"/>
  <c r="AE650" i="3"/>
  <c r="AF650" i="3"/>
  <c r="AV650" i="3"/>
  <c r="AW650" i="3"/>
  <c r="AB650" i="3" l="1"/>
  <c r="AA650" i="3"/>
  <c r="W651" i="3" l="1"/>
  <c r="Y651" i="3"/>
  <c r="Z651" i="3"/>
  <c r="X651" i="3"/>
  <c r="BB651" i="3" l="1"/>
  <c r="AY651" i="3" s="1"/>
  <c r="AK651" i="3"/>
  <c r="AE651" i="3" s="1"/>
  <c r="AL651" i="3"/>
  <c r="AH651" i="3" s="1"/>
  <c r="BA651" i="3"/>
  <c r="AV651" i="3" s="1"/>
  <c r="AJ651" i="3"/>
  <c r="AC651" i="3" s="1"/>
  <c r="AA651" i="3" s="1"/>
  <c r="Y652" i="3" s="1"/>
  <c r="AX651" i="3"/>
  <c r="AG651" i="3"/>
  <c r="AF651" i="3" l="1"/>
  <c r="W652" i="3"/>
  <c r="AD651" i="3"/>
  <c r="AW651" i="3"/>
  <c r="AB651" i="3" l="1"/>
  <c r="Z652" i="3"/>
  <c r="X652" i="3"/>
  <c r="BA652" i="3" l="1"/>
  <c r="AV652" i="3" s="1"/>
  <c r="AL652" i="3"/>
  <c r="BB652" i="3"/>
  <c r="AX652" i="3" s="1"/>
  <c r="AJ652" i="3"/>
  <c r="AC652" i="3" s="1"/>
  <c r="AK652" i="3"/>
  <c r="AE652" i="3" s="1"/>
  <c r="AH652" i="3" l="1"/>
  <c r="AG652" i="3"/>
  <c r="AA652" i="3" s="1"/>
  <c r="AW652" i="3"/>
  <c r="AY652" i="3"/>
  <c r="AF652" i="3"/>
  <c r="AD652" i="3"/>
  <c r="AB652" i="3" s="1"/>
  <c r="Y653" i="3" l="1"/>
  <c r="W653" i="3"/>
  <c r="Z653" i="3"/>
  <c r="X653" i="3"/>
  <c r="AL653" i="3" l="1"/>
  <c r="AH653" i="3" s="1"/>
  <c r="BA653" i="3"/>
  <c r="AW653" i="3" s="1"/>
  <c r="AK653" i="3"/>
  <c r="AF653" i="3" s="1"/>
  <c r="AJ653" i="3"/>
  <c r="AC653" i="3" s="1"/>
  <c r="BB653" i="3"/>
  <c r="AY653" i="3" s="1"/>
  <c r="AE653" i="3"/>
  <c r="AV653" i="3"/>
  <c r="AG653" i="3"/>
  <c r="AX653" i="3"/>
  <c r="AA653" i="3" l="1"/>
  <c r="AD653" i="3"/>
  <c r="AB653" i="3" s="1"/>
  <c r="Z654" i="3" l="1"/>
  <c r="X654" i="3"/>
  <c r="W654" i="3"/>
  <c r="Y654" i="3"/>
  <c r="AK654" i="3" l="1"/>
  <c r="AE654" i="3" s="1"/>
  <c r="AJ654" i="3"/>
  <c r="AC654" i="3" s="1"/>
  <c r="BB654" i="3"/>
  <c r="AX654" i="3" s="1"/>
  <c r="BA654" i="3"/>
  <c r="AV654" i="3" s="1"/>
  <c r="AL654" i="3"/>
  <c r="AG654" i="3" s="1"/>
  <c r="AY654" i="3"/>
  <c r="AF654" i="3"/>
  <c r="AD654" i="3"/>
  <c r="AW654" i="3"/>
  <c r="AH654" i="3" l="1"/>
  <c r="AA654" i="3"/>
  <c r="W655" i="3" s="1"/>
  <c r="AB654" i="3"/>
  <c r="Z655" i="3" s="1"/>
  <c r="Y655" i="3"/>
  <c r="X655" i="3" l="1"/>
  <c r="BB655" i="3"/>
  <c r="AX655" i="3" s="1"/>
  <c r="AJ655" i="3"/>
  <c r="AC655" i="3" s="1"/>
  <c r="BA655" i="3"/>
  <c r="AV655" i="3" s="1"/>
  <c r="AK655" i="3"/>
  <c r="AE655" i="3" s="1"/>
  <c r="AL655" i="3"/>
  <c r="AG655" i="3" s="1"/>
  <c r="AA655" i="3" l="1"/>
  <c r="AH655" i="3"/>
  <c r="AW655" i="3"/>
  <c r="AF655" i="3"/>
  <c r="AY655" i="3"/>
  <c r="AD655" i="3"/>
  <c r="AB655" i="3" l="1"/>
  <c r="Z656" i="3"/>
  <c r="X656" i="3"/>
  <c r="Y656" i="3"/>
  <c r="W656" i="3"/>
  <c r="AJ656" i="3" l="1"/>
  <c r="AL656" i="3"/>
  <c r="AG656" i="3" s="1"/>
  <c r="BB656" i="3"/>
  <c r="BA656" i="3"/>
  <c r="AV656" i="3" s="1"/>
  <c r="AK656" i="3"/>
  <c r="AF656" i="3" s="1"/>
  <c r="AC656" i="3"/>
  <c r="AX656" i="3"/>
  <c r="AY656" i="3"/>
  <c r="AH656" i="3"/>
  <c r="AW656" i="3"/>
  <c r="AD656" i="3"/>
  <c r="AB656" i="3" l="1"/>
  <c r="X657" i="3" s="1"/>
  <c r="AE656" i="3"/>
  <c r="AA656" i="3" s="1"/>
  <c r="Z657" i="3"/>
  <c r="Y657" i="3" l="1"/>
  <c r="W657" i="3"/>
  <c r="BA657" i="3" l="1"/>
  <c r="AW657" i="3" s="1"/>
  <c r="AK657" i="3"/>
  <c r="AF657" i="3" s="1"/>
  <c r="BB657" i="3"/>
  <c r="AY657" i="3" s="1"/>
  <c r="AJ657" i="3"/>
  <c r="AD657" i="3" s="1"/>
  <c r="AL657" i="3"/>
  <c r="AC657" i="3"/>
  <c r="AE657" i="3"/>
  <c r="AX657" i="3"/>
  <c r="AV657" i="3"/>
  <c r="AG657" i="3" l="1"/>
  <c r="AH657" i="3"/>
  <c r="AB657" i="3" s="1"/>
  <c r="AA657" i="3"/>
  <c r="Z658" i="3" l="1"/>
  <c r="X658" i="3"/>
  <c r="W658" i="3"/>
  <c r="Y658" i="3"/>
  <c r="AK658" i="3" l="1"/>
  <c r="AF658" i="3" s="1"/>
  <c r="AJ658" i="3"/>
  <c r="AD658" i="3" s="1"/>
  <c r="BA658" i="3"/>
  <c r="AV658" i="3" s="1"/>
  <c r="BB658" i="3"/>
  <c r="AX658" i="3" s="1"/>
  <c r="AL658" i="3"/>
  <c r="AG658" i="3" s="1"/>
  <c r="AC658" i="3"/>
  <c r="AE658" i="3"/>
  <c r="AA658" i="3" l="1"/>
  <c r="AH658" i="3"/>
  <c r="AW658" i="3"/>
  <c r="AY658" i="3"/>
  <c r="AB658" i="3" l="1"/>
  <c r="X659" i="3"/>
  <c r="Z659" i="3"/>
  <c r="Y659" i="3"/>
  <c r="W659" i="3"/>
  <c r="BB659" i="3" l="1"/>
  <c r="AX659" i="3" s="1"/>
  <c r="AK659" i="3"/>
  <c r="AF659" i="3" s="1"/>
  <c r="AJ659" i="3"/>
  <c r="AC659" i="3" s="1"/>
  <c r="AL659" i="3"/>
  <c r="AG659" i="3" s="1"/>
  <c r="AE659" i="3"/>
  <c r="BA659" i="3"/>
  <c r="AV659" i="3" s="1"/>
  <c r="AH659" i="3"/>
  <c r="AY659" i="3"/>
  <c r="AD659" i="3"/>
  <c r="AW659" i="3" l="1"/>
  <c r="AB659" i="3" s="1"/>
  <c r="AA659" i="3"/>
  <c r="Z660" i="3" l="1"/>
  <c r="X660" i="3"/>
  <c r="Y660" i="3"/>
  <c r="W660" i="3"/>
  <c r="BA660" i="3" l="1"/>
  <c r="AW660" i="3" s="1"/>
  <c r="AJ660" i="3"/>
  <c r="AD660" i="3" s="1"/>
  <c r="BB660" i="3"/>
  <c r="AY660" i="3" s="1"/>
  <c r="AK660" i="3"/>
  <c r="AF660" i="3" s="1"/>
  <c r="AL660" i="3"/>
  <c r="AH660" i="3" s="1"/>
  <c r="AX660" i="3"/>
  <c r="AV660" i="3"/>
  <c r="AC660" i="3"/>
  <c r="AE660" i="3" l="1"/>
  <c r="AB660" i="3"/>
  <c r="AG660" i="3"/>
  <c r="AA660" i="3" s="1"/>
  <c r="W661" i="3" l="1"/>
  <c r="Y661" i="3"/>
  <c r="Z661" i="3"/>
  <c r="X661" i="3"/>
  <c r="BB661" i="3" l="1"/>
  <c r="AY661" i="3" s="1"/>
  <c r="BA661" i="3"/>
  <c r="AW661" i="3" s="1"/>
  <c r="AJ661" i="3"/>
  <c r="AD661" i="3" s="1"/>
  <c r="AK661" i="3"/>
  <c r="AF661" i="3" s="1"/>
  <c r="AL661" i="3"/>
  <c r="AH661" i="3" s="1"/>
  <c r="AX661" i="3"/>
  <c r="AC661" i="3"/>
  <c r="AE661" i="3"/>
  <c r="AV661" i="3"/>
  <c r="AG661" i="3"/>
  <c r="AB661" i="3" l="1"/>
  <c r="AA661" i="3"/>
  <c r="X662" i="3" l="1"/>
  <c r="Z662" i="3"/>
  <c r="Y662" i="3"/>
  <c r="W662" i="3"/>
  <c r="BA662" i="3" l="1"/>
  <c r="AL662" i="3"/>
  <c r="AG662" i="3" s="1"/>
  <c r="AJ662" i="3"/>
  <c r="BB662" i="3"/>
  <c r="AY662" i="3" s="1"/>
  <c r="AK662" i="3"/>
  <c r="AV662" i="3"/>
  <c r="AC662" i="3"/>
  <c r="AE662" i="3"/>
  <c r="AF662" i="3"/>
  <c r="AD662" i="3"/>
  <c r="AW662" i="3"/>
  <c r="AH662" i="3"/>
  <c r="AB662" i="3" l="1"/>
  <c r="AX662" i="3"/>
  <c r="AA662" i="3" s="1"/>
  <c r="Y663" i="3" l="1"/>
  <c r="W663" i="3"/>
  <c r="X663" i="3"/>
  <c r="Z663" i="3"/>
  <c r="BA663" i="3" l="1"/>
  <c r="AW663" i="3" s="1"/>
  <c r="AJ663" i="3"/>
  <c r="AD663" i="3" s="1"/>
  <c r="BB663" i="3"/>
  <c r="AY663" i="3" s="1"/>
  <c r="AL663" i="3"/>
  <c r="AH663" i="3" s="1"/>
  <c r="AV663" i="3"/>
  <c r="AK663" i="3"/>
  <c r="AF663" i="3" s="1"/>
  <c r="AX663" i="3"/>
  <c r="AC663" i="3"/>
  <c r="AG663" i="3"/>
  <c r="AB663" i="3" l="1"/>
  <c r="AE663" i="3"/>
  <c r="AA663" i="3" s="1"/>
  <c r="W664" i="3" l="1"/>
  <c r="Y664" i="3"/>
  <c r="Z664" i="3"/>
  <c r="X664" i="3"/>
  <c r="AL664" i="3" l="1"/>
  <c r="AG664" i="3" s="1"/>
  <c r="AJ664" i="3"/>
  <c r="AD664" i="3" s="1"/>
  <c r="AK664" i="3"/>
  <c r="AF664" i="3" s="1"/>
  <c r="BA664" i="3"/>
  <c r="AV664" i="3" s="1"/>
  <c r="BB664" i="3"/>
  <c r="AY664" i="3" s="1"/>
  <c r="AC664" i="3"/>
  <c r="AE664" i="3"/>
  <c r="AX664" i="3" l="1"/>
  <c r="AA664" i="3" s="1"/>
  <c r="AW664" i="3"/>
  <c r="AH664" i="3"/>
  <c r="AB664" i="3" l="1"/>
  <c r="Z665" i="3"/>
  <c r="X665" i="3"/>
  <c r="Y665" i="3"/>
  <c r="W665" i="3"/>
  <c r="AL665" i="3" l="1"/>
  <c r="AJ665" i="3"/>
  <c r="AD665" i="3" s="1"/>
  <c r="AK665" i="3"/>
  <c r="AF665" i="3" s="1"/>
  <c r="BB665" i="3"/>
  <c r="AY665" i="3" s="1"/>
  <c r="AG665" i="3"/>
  <c r="BA665" i="3"/>
  <c r="AV665" i="3" s="1"/>
  <c r="AH665" i="3"/>
  <c r="AW665" i="3" l="1"/>
  <c r="AB665" i="3"/>
  <c r="AC665" i="3"/>
  <c r="AX665" i="3"/>
  <c r="AE665" i="3"/>
  <c r="AA665" i="3" l="1"/>
  <c r="X666" i="3"/>
  <c r="Z666" i="3"/>
  <c r="W666" i="3" l="1"/>
  <c r="Y666" i="3"/>
  <c r="AJ666" i="3" l="1"/>
  <c r="BB666" i="3"/>
  <c r="BA666" i="3"/>
  <c r="AL666" i="3"/>
  <c r="AH666" i="3" s="1"/>
  <c r="AK666" i="3"/>
  <c r="AF666" i="3" s="1"/>
  <c r="AG666" i="3" l="1"/>
  <c r="AE666" i="3"/>
  <c r="AX666" i="3"/>
  <c r="AY666" i="3"/>
  <c r="AV666" i="3"/>
  <c r="AW666" i="3"/>
  <c r="AC666" i="3"/>
  <c r="AA666" i="3" s="1"/>
  <c r="AD666" i="3"/>
  <c r="AB666" i="3" s="1"/>
  <c r="Y667" i="3" l="1"/>
  <c r="W667" i="3"/>
  <c r="Z667" i="3"/>
  <c r="X667" i="3"/>
  <c r="BB667" i="3" l="1"/>
  <c r="AY667" i="3" s="1"/>
  <c r="AK667" i="3"/>
  <c r="AF667" i="3" s="1"/>
  <c r="AL667" i="3"/>
  <c r="AG667" i="3" s="1"/>
  <c r="BA667" i="3"/>
  <c r="AW667" i="3" s="1"/>
  <c r="AJ667" i="3"/>
  <c r="AD667" i="3" s="1"/>
  <c r="AX667" i="3"/>
  <c r="AE667" i="3"/>
  <c r="AC667" i="3" l="1"/>
  <c r="AV667" i="3"/>
  <c r="AA667" i="3" s="1"/>
  <c r="AH667" i="3"/>
  <c r="AB667" i="3" s="1"/>
  <c r="Z668" i="3" l="1"/>
  <c r="X668" i="3"/>
  <c r="W668" i="3"/>
  <c r="Y668" i="3"/>
  <c r="BA668" i="3" l="1"/>
  <c r="AL668" i="3"/>
  <c r="AH668" i="3" s="1"/>
  <c r="BB668" i="3"/>
  <c r="AG668" i="3"/>
  <c r="AK668" i="3"/>
  <c r="AJ668" i="3"/>
  <c r="AE668" i="3"/>
  <c r="AX668" i="3"/>
  <c r="AC668" i="3"/>
  <c r="AV668" i="3"/>
  <c r="AF668" i="3"/>
  <c r="AD668" i="3"/>
  <c r="AW668" i="3"/>
  <c r="AY668" i="3"/>
  <c r="AB668" i="3" l="1"/>
  <c r="AA668" i="3"/>
  <c r="Y669" i="3" s="1"/>
  <c r="Z669" i="3"/>
  <c r="W669" i="3"/>
  <c r="X669" i="3"/>
  <c r="BB669" i="3" l="1"/>
  <c r="AY669" i="3" s="1"/>
  <c r="BA669" i="3"/>
  <c r="AJ669" i="3"/>
  <c r="AX669" i="3"/>
  <c r="AK669" i="3"/>
  <c r="AL669" i="3"/>
  <c r="AH669" i="3" s="1"/>
  <c r="AF669" i="3" l="1"/>
  <c r="AE669" i="3"/>
  <c r="AC669" i="3"/>
  <c r="AD669" i="3"/>
  <c r="AV669" i="3"/>
  <c r="AW669" i="3"/>
  <c r="AG669" i="3"/>
  <c r="AB669" i="3" l="1"/>
  <c r="Z670" i="3"/>
  <c r="X670" i="3"/>
  <c r="AA669" i="3"/>
  <c r="W670" i="3" l="1"/>
  <c r="Y670" i="3"/>
  <c r="BA670" i="3" l="1"/>
  <c r="AK670" i="3"/>
  <c r="BB670" i="3"/>
  <c r="AL670" i="3"/>
  <c r="AJ670" i="3"/>
  <c r="AC670" i="3" l="1"/>
  <c r="AD670" i="3"/>
  <c r="AE670" i="3"/>
  <c r="AF670" i="3"/>
  <c r="AH670" i="3"/>
  <c r="AG670" i="3"/>
  <c r="AY670" i="3"/>
  <c r="AX670" i="3"/>
  <c r="AV670" i="3"/>
  <c r="AW670" i="3"/>
  <c r="AB670" i="3" l="1"/>
  <c r="AA670" i="3"/>
  <c r="W671" i="3" l="1"/>
  <c r="Y671" i="3"/>
  <c r="X671" i="3"/>
  <c r="Z671" i="3"/>
  <c r="AL671" i="3" l="1"/>
  <c r="AK671" i="3"/>
  <c r="AJ671" i="3"/>
  <c r="BA671" i="3"/>
  <c r="BB671" i="3"/>
  <c r="AV671" i="3" l="1"/>
  <c r="AW671" i="3"/>
  <c r="AX671" i="3"/>
  <c r="AY671" i="3"/>
  <c r="AE671" i="3"/>
  <c r="AF671" i="3"/>
  <c r="AC671" i="3"/>
  <c r="AD671" i="3"/>
  <c r="AH671" i="3"/>
  <c r="AG671" i="3"/>
  <c r="AA671" i="3" s="1"/>
  <c r="AB671" i="3" l="1"/>
  <c r="Z672" i="3"/>
  <c r="X672" i="3"/>
  <c r="Y672" i="3"/>
  <c r="W672" i="3"/>
  <c r="AL672" i="3" l="1"/>
  <c r="AJ672" i="3"/>
  <c r="AC672" i="3" s="1"/>
  <c r="AK672" i="3"/>
  <c r="AE672" i="3" s="1"/>
  <c r="AG672" i="3"/>
  <c r="BA672" i="3"/>
  <c r="AV672" i="3" s="1"/>
  <c r="BB672" i="3"/>
  <c r="AX672" i="3" s="1"/>
  <c r="AH672" i="3"/>
  <c r="AF672" i="3"/>
  <c r="AD672" i="3"/>
  <c r="AW672" i="3"/>
  <c r="AY672" i="3"/>
  <c r="AB672" i="3" l="1"/>
  <c r="Z673" i="3"/>
  <c r="X673" i="3"/>
  <c r="AA672" i="3"/>
  <c r="W673" i="3" l="1"/>
  <c r="Y673" i="3"/>
  <c r="BB673" i="3" l="1"/>
  <c r="AJ673" i="3"/>
  <c r="AK673" i="3"/>
  <c r="AL673" i="3"/>
  <c r="AH673" i="3" s="1"/>
  <c r="BA673" i="3"/>
  <c r="AC673" i="3" l="1"/>
  <c r="AD673" i="3"/>
  <c r="AW673" i="3"/>
  <c r="AV673" i="3"/>
  <c r="AE673" i="3"/>
  <c r="AF673" i="3"/>
  <c r="AG673" i="3"/>
  <c r="AX673" i="3"/>
  <c r="AY673" i="3"/>
  <c r="AB673" i="3" l="1"/>
  <c r="AA673" i="3"/>
  <c r="Y674" i="3" l="1"/>
  <c r="W674" i="3"/>
  <c r="Z674" i="3"/>
  <c r="X674" i="3"/>
  <c r="BB674" i="3" l="1"/>
  <c r="AY674" i="3" s="1"/>
  <c r="AK674" i="3"/>
  <c r="AF674" i="3" s="1"/>
  <c r="AL674" i="3"/>
  <c r="AH674" i="3" s="1"/>
  <c r="AJ674" i="3"/>
  <c r="AC674" i="3" s="1"/>
  <c r="BA674" i="3"/>
  <c r="AW674" i="3" s="1"/>
  <c r="AX674" i="3"/>
  <c r="AE674" i="3"/>
  <c r="AG674" i="3"/>
  <c r="AV674" i="3" l="1"/>
  <c r="AA674" i="3"/>
  <c r="AD674" i="3"/>
  <c r="AB674" i="3" s="1"/>
  <c r="Y675" i="3" l="1"/>
  <c r="W675" i="3"/>
  <c r="Z675" i="3"/>
  <c r="X675" i="3"/>
  <c r="AK675" i="3" l="1"/>
  <c r="AE675" i="3" s="1"/>
  <c r="BB675" i="3"/>
  <c r="AY675" i="3" s="1"/>
  <c r="AL675" i="3"/>
  <c r="AH675" i="3" s="1"/>
  <c r="AJ675" i="3"/>
  <c r="AC675" i="3" s="1"/>
  <c r="BA675" i="3"/>
  <c r="AW675" i="3" s="1"/>
  <c r="AV675" i="3" l="1"/>
  <c r="AX675" i="3"/>
  <c r="AF675" i="3"/>
  <c r="AG675" i="3"/>
  <c r="AA675" i="3" s="1"/>
  <c r="AD675" i="3"/>
  <c r="AB675" i="3" s="1"/>
  <c r="Y676" i="3" l="1"/>
  <c r="W676" i="3"/>
  <c r="Z676" i="3"/>
  <c r="X676" i="3"/>
  <c r="BA676" i="3" l="1"/>
  <c r="AW676" i="3" s="1"/>
  <c r="AL676" i="3"/>
  <c r="AH676" i="3" s="1"/>
  <c r="AK676" i="3"/>
  <c r="AJ676" i="3"/>
  <c r="AD676" i="3" s="1"/>
  <c r="AV676" i="3"/>
  <c r="BB676" i="3"/>
  <c r="AG676" i="3"/>
  <c r="AY676" i="3" l="1"/>
  <c r="AX676" i="3"/>
  <c r="AE676" i="3"/>
  <c r="AF676" i="3"/>
  <c r="AB676" i="3" s="1"/>
  <c r="AC676" i="3"/>
  <c r="X677" i="3" l="1"/>
  <c r="Z677" i="3"/>
  <c r="AA676" i="3"/>
  <c r="Y677" i="3" l="1"/>
  <c r="W677" i="3"/>
  <c r="AL677" i="3" l="1"/>
  <c r="AH677" i="3" s="1"/>
  <c r="BB677" i="3"/>
  <c r="BA677" i="3"/>
  <c r="AK677" i="3"/>
  <c r="AF677" i="3" s="1"/>
  <c r="AJ677" i="3"/>
  <c r="AD677" i="3" s="1"/>
  <c r="AE677" i="3"/>
  <c r="AG677" i="3"/>
  <c r="AC677" i="3"/>
  <c r="AV677" i="3" l="1"/>
  <c r="AW677" i="3"/>
  <c r="AX677" i="3"/>
  <c r="AA677" i="3" s="1"/>
  <c r="AY677" i="3"/>
  <c r="AB677" i="3" l="1"/>
  <c r="X678" i="3"/>
  <c r="Z678" i="3"/>
  <c r="Y678" i="3"/>
  <c r="W678" i="3"/>
  <c r="BB678" i="3" l="1"/>
  <c r="AY678" i="3" s="1"/>
  <c r="AK678" i="3"/>
  <c r="AF678" i="3" s="1"/>
  <c r="BA678" i="3"/>
  <c r="AW678" i="3" s="1"/>
  <c r="AL678" i="3"/>
  <c r="AJ678" i="3"/>
  <c r="AD678" i="3" s="1"/>
  <c r="AV678" i="3"/>
  <c r="AX678" i="3"/>
  <c r="AE678" i="3"/>
  <c r="AC678" i="3" l="1"/>
  <c r="AG678" i="3"/>
  <c r="AA678" i="3" s="1"/>
  <c r="AH678" i="3"/>
  <c r="AB678" i="3" s="1"/>
  <c r="X679" i="3" l="1"/>
  <c r="Z679" i="3"/>
  <c r="Y679" i="3"/>
  <c r="W679" i="3"/>
  <c r="AK679" i="3" l="1"/>
  <c r="AF679" i="3" s="1"/>
  <c r="AJ679" i="3"/>
  <c r="AL679" i="3"/>
  <c r="AH679" i="3" s="1"/>
  <c r="BB679" i="3"/>
  <c r="AY679" i="3" s="1"/>
  <c r="AE679" i="3"/>
  <c r="BA679" i="3"/>
  <c r="AW679" i="3" s="1"/>
  <c r="AG679" i="3"/>
  <c r="AX679" i="3"/>
  <c r="AV679" i="3" l="1"/>
  <c r="AC679" i="3"/>
  <c r="AA679" i="3" s="1"/>
  <c r="AD679" i="3"/>
  <c r="AB679" i="3" s="1"/>
  <c r="W680" i="3" l="1"/>
  <c r="Y680" i="3"/>
  <c r="Z680" i="3"/>
  <c r="X680" i="3"/>
  <c r="BA680" i="3" l="1"/>
  <c r="AW680" i="3" s="1"/>
  <c r="BB680" i="3"/>
  <c r="AY680" i="3" s="1"/>
  <c r="AK680" i="3"/>
  <c r="AJ680" i="3"/>
  <c r="AD680" i="3" s="1"/>
  <c r="AL680" i="3"/>
  <c r="AH680" i="3" s="1"/>
  <c r="AV680" i="3"/>
  <c r="AX680" i="3"/>
  <c r="AF680" i="3" l="1"/>
  <c r="AB680" i="3" s="1"/>
  <c r="AE680" i="3"/>
  <c r="AG680" i="3"/>
  <c r="AC680" i="3"/>
  <c r="AA680" i="3" s="1"/>
  <c r="X681" i="3" l="1"/>
  <c r="Z681" i="3"/>
  <c r="W681" i="3"/>
  <c r="Y681" i="3"/>
  <c r="BB681" i="3" l="1"/>
  <c r="AY681" i="3" s="1"/>
  <c r="BA681" i="3"/>
  <c r="AL681" i="3"/>
  <c r="AH681" i="3" s="1"/>
  <c r="AK681" i="3"/>
  <c r="AF681" i="3" s="1"/>
  <c r="AJ681" i="3"/>
  <c r="AD681" i="3" s="1"/>
  <c r="AG681" i="3"/>
  <c r="AX681" i="3"/>
  <c r="AE681" i="3" l="1"/>
  <c r="AV681" i="3"/>
  <c r="AW681" i="3"/>
  <c r="AB681" i="3" s="1"/>
  <c r="AC681" i="3"/>
  <c r="AA681" i="3" s="1"/>
  <c r="X682" i="3" l="1"/>
  <c r="Z682" i="3"/>
  <c r="W682" i="3"/>
  <c r="Y682" i="3"/>
  <c r="BA682" i="3" l="1"/>
  <c r="AW682" i="3" s="1"/>
  <c r="AK682" i="3"/>
  <c r="AF682" i="3" s="1"/>
  <c r="AE682" i="3"/>
  <c r="AL682" i="3"/>
  <c r="AH682" i="3" s="1"/>
  <c r="AJ682" i="3"/>
  <c r="AD682" i="3" s="1"/>
  <c r="BB682" i="3"/>
  <c r="AY682" i="3" s="1"/>
  <c r="AV682" i="3"/>
  <c r="AB682" i="3" l="1"/>
  <c r="AX682" i="3"/>
  <c r="AC682" i="3"/>
  <c r="AG682" i="3"/>
  <c r="Z683" i="3"/>
  <c r="X683" i="3"/>
  <c r="AA682" i="3" l="1"/>
  <c r="Y683" i="3"/>
  <c r="W683" i="3"/>
  <c r="BA683" i="3" l="1"/>
  <c r="AW683" i="3" s="1"/>
  <c r="AL683" i="3"/>
  <c r="AH683" i="3" s="1"/>
  <c r="AK683" i="3"/>
  <c r="AF683" i="3" s="1"/>
  <c r="BB683" i="3"/>
  <c r="AY683" i="3" s="1"/>
  <c r="AJ683" i="3"/>
  <c r="AD683" i="3" s="1"/>
  <c r="AB683" i="3" s="1"/>
  <c r="AE683" i="3"/>
  <c r="AG683" i="3"/>
  <c r="AX683" i="3"/>
  <c r="AV683" i="3"/>
  <c r="AC683" i="3" l="1"/>
  <c r="AA683" i="3"/>
  <c r="X684" i="3"/>
  <c r="Z684" i="3"/>
  <c r="Y684" i="3" l="1"/>
  <c r="W684" i="3"/>
  <c r="BB684" i="3" l="1"/>
  <c r="AL684" i="3"/>
  <c r="AH684" i="3" s="1"/>
  <c r="AJ684" i="3"/>
  <c r="AK684" i="3"/>
  <c r="AF684" i="3" s="1"/>
  <c r="BA684" i="3"/>
  <c r="AV684" i="3" l="1"/>
  <c r="AW684" i="3"/>
  <c r="AC684" i="3"/>
  <c r="AD684" i="3"/>
  <c r="AG684" i="3"/>
  <c r="AX684" i="3"/>
  <c r="AY684" i="3"/>
  <c r="AE684" i="3"/>
  <c r="AB684" i="3" l="1"/>
  <c r="Z685" i="3"/>
  <c r="X685" i="3"/>
  <c r="AA684" i="3"/>
  <c r="Y685" i="3" l="1"/>
  <c r="W685" i="3"/>
  <c r="BB685" i="3" l="1"/>
  <c r="AY685" i="3" s="1"/>
  <c r="BA685" i="3"/>
  <c r="AW685" i="3" s="1"/>
  <c r="AL685" i="3"/>
  <c r="AH685" i="3" s="1"/>
  <c r="AJ685" i="3"/>
  <c r="AD685" i="3" s="1"/>
  <c r="AK685" i="3"/>
  <c r="AF685" i="3" s="1"/>
  <c r="AX685" i="3"/>
  <c r="AG685" i="3"/>
  <c r="AV685" i="3"/>
  <c r="AC685" i="3"/>
  <c r="AE685" i="3" l="1"/>
  <c r="AB685" i="3"/>
  <c r="Z686" i="3" s="1"/>
  <c r="AA685" i="3"/>
  <c r="X686" i="3"/>
  <c r="Y686" i="3"/>
  <c r="W686" i="3"/>
  <c r="AJ686" i="3" l="1"/>
  <c r="AD686" i="3" s="1"/>
  <c r="BA686" i="3"/>
  <c r="AV686" i="3" s="1"/>
  <c r="BB686" i="3"/>
  <c r="AY686" i="3" s="1"/>
  <c r="AC686" i="3"/>
  <c r="AK686" i="3"/>
  <c r="AF686" i="3" s="1"/>
  <c r="AL686" i="3"/>
  <c r="AG686" i="3" s="1"/>
  <c r="AW686" i="3"/>
  <c r="AH686" i="3" l="1"/>
  <c r="AB686" i="3" s="1"/>
  <c r="AX686" i="3"/>
  <c r="AE686" i="3"/>
  <c r="AA686" i="3" s="1"/>
  <c r="Y687" i="3" l="1"/>
  <c r="W687" i="3"/>
  <c r="X687" i="3"/>
  <c r="Z687" i="3"/>
  <c r="AJ687" i="3" l="1"/>
  <c r="AD687" i="3" s="1"/>
  <c r="BB687" i="3"/>
  <c r="AY687" i="3" s="1"/>
  <c r="BA687" i="3"/>
  <c r="AW687" i="3" s="1"/>
  <c r="AC687" i="3"/>
  <c r="AL687" i="3"/>
  <c r="AH687" i="3" s="1"/>
  <c r="AK687" i="3"/>
  <c r="AV687" i="3"/>
  <c r="AX687" i="3" l="1"/>
  <c r="AG687" i="3"/>
  <c r="AF687" i="3"/>
  <c r="AB687" i="3" s="1"/>
  <c r="AE687" i="3"/>
  <c r="AA687" i="3" s="1"/>
  <c r="X688" i="3" l="1"/>
  <c r="Z688" i="3"/>
  <c r="Y688" i="3"/>
  <c r="W688" i="3"/>
  <c r="AJ688" i="3" l="1"/>
  <c r="AD688" i="3" s="1"/>
  <c r="BB688" i="3"/>
  <c r="AK688" i="3"/>
  <c r="AF688" i="3" s="1"/>
  <c r="AL688" i="3"/>
  <c r="AH688" i="3" s="1"/>
  <c r="AC688" i="3"/>
  <c r="BA688" i="3"/>
  <c r="AG688" i="3"/>
  <c r="AV688" i="3" l="1"/>
  <c r="AW688" i="3"/>
  <c r="AE688" i="3"/>
  <c r="AX688" i="3"/>
  <c r="AY688" i="3"/>
  <c r="AB688" i="3" l="1"/>
  <c r="AA688" i="3"/>
  <c r="Y689" i="3"/>
  <c r="W689" i="3"/>
  <c r="Z689" i="3"/>
  <c r="X689" i="3"/>
  <c r="AJ689" i="3" l="1"/>
  <c r="AD689" i="3" s="1"/>
  <c r="AK689" i="3"/>
  <c r="AF689" i="3" s="1"/>
  <c r="AC689" i="3"/>
  <c r="BA689" i="3"/>
  <c r="AW689" i="3" s="1"/>
  <c r="AE689" i="3"/>
  <c r="BB689" i="3"/>
  <c r="AL689" i="3"/>
  <c r="AH689" i="3" s="1"/>
  <c r="AV689" i="3" l="1"/>
  <c r="AY689" i="3"/>
  <c r="AB689" i="3" s="1"/>
  <c r="AX689" i="3"/>
  <c r="AG689" i="3"/>
  <c r="AA689" i="3" s="1"/>
  <c r="W690" i="3" l="1"/>
  <c r="Y690" i="3"/>
  <c r="Z690" i="3"/>
  <c r="X690" i="3"/>
  <c r="BB690" i="3" l="1"/>
  <c r="AY690" i="3" s="1"/>
  <c r="AK690" i="3"/>
  <c r="AF690" i="3" s="1"/>
  <c r="AJ690" i="3"/>
  <c r="AD690" i="3" s="1"/>
  <c r="AL690" i="3"/>
  <c r="AH690" i="3" s="1"/>
  <c r="BA690" i="3"/>
  <c r="AV690" i="3" s="1"/>
  <c r="AX690" i="3"/>
  <c r="AE690" i="3"/>
  <c r="AG690" i="3" l="1"/>
  <c r="AC690" i="3"/>
  <c r="AA690" i="3" s="1"/>
  <c r="AW690" i="3"/>
  <c r="AB690" i="3" s="1"/>
  <c r="X691" i="3" l="1"/>
  <c r="Z691" i="3"/>
  <c r="W691" i="3"/>
  <c r="Y691" i="3"/>
  <c r="AJ691" i="3" l="1"/>
  <c r="AL691" i="3"/>
  <c r="AH691" i="3" s="1"/>
  <c r="BB691" i="3"/>
  <c r="BA691" i="3"/>
  <c r="AW691" i="3" s="1"/>
  <c r="AG691" i="3"/>
  <c r="AK691" i="3"/>
  <c r="AF691" i="3" s="1"/>
  <c r="AE691" i="3" l="1"/>
  <c r="AV691" i="3"/>
  <c r="AY691" i="3"/>
  <c r="AX691" i="3"/>
  <c r="AC691" i="3"/>
  <c r="AD691" i="3"/>
  <c r="AB691" i="3" s="1"/>
  <c r="AA691" i="3" l="1"/>
  <c r="Z692" i="3"/>
  <c r="X692" i="3"/>
  <c r="Y692" i="3"/>
  <c r="W692" i="3"/>
  <c r="AL692" i="3" l="1"/>
  <c r="AG692" i="3" s="1"/>
  <c r="BB692" i="3"/>
  <c r="BA692" i="3"/>
  <c r="AK692" i="3"/>
  <c r="AJ692" i="3"/>
  <c r="AH692" i="3"/>
  <c r="AW692" i="3" l="1"/>
  <c r="AV692" i="3"/>
  <c r="AC692" i="3"/>
  <c r="AD692" i="3"/>
  <c r="AY692" i="3"/>
  <c r="AX692" i="3"/>
  <c r="AF692" i="3"/>
  <c r="AE692" i="3"/>
  <c r="AB692" i="3" l="1"/>
  <c r="AA692" i="3"/>
  <c r="Y693" i="3" l="1"/>
  <c r="W693" i="3"/>
  <c r="Z693" i="3"/>
  <c r="X693" i="3"/>
  <c r="BB693" i="3" l="1"/>
  <c r="AY693" i="3" s="1"/>
  <c r="AJ693" i="3"/>
  <c r="AD693" i="3" s="1"/>
  <c r="AK693" i="3"/>
  <c r="AF693" i="3" s="1"/>
  <c r="AL693" i="3"/>
  <c r="AH693" i="3" s="1"/>
  <c r="BA693" i="3"/>
  <c r="AW693" i="3" s="1"/>
  <c r="AE693" i="3"/>
  <c r="AG693" i="3"/>
  <c r="AC693" i="3"/>
  <c r="AX693" i="3"/>
  <c r="AB693" i="3" l="1"/>
  <c r="AV693" i="3"/>
  <c r="AA693" i="3" s="1"/>
  <c r="Y694" i="3" l="1"/>
  <c r="W694" i="3"/>
  <c r="Z694" i="3"/>
  <c r="X694" i="3"/>
  <c r="BB694" i="3" l="1"/>
  <c r="AL694" i="3"/>
  <c r="AG694" i="3" s="1"/>
  <c r="AJ694" i="3"/>
  <c r="AC694" i="3" s="1"/>
  <c r="BA694" i="3"/>
  <c r="AK694" i="3"/>
  <c r="AF694" i="3" l="1"/>
  <c r="AE694" i="3"/>
  <c r="AD694" i="3"/>
  <c r="AW694" i="3"/>
  <c r="AV694" i="3"/>
  <c r="AY694" i="3"/>
  <c r="AX694" i="3"/>
  <c r="AH694" i="3"/>
  <c r="AB694" i="3" l="1"/>
  <c r="AA694" i="3"/>
  <c r="X695" i="3" l="1"/>
  <c r="Z695" i="3"/>
  <c r="Y695" i="3"/>
  <c r="W695" i="3"/>
  <c r="AL695" i="3" l="1"/>
  <c r="BB695" i="3"/>
  <c r="AY695" i="3" s="1"/>
  <c r="BA695" i="3"/>
  <c r="AW695" i="3" s="1"/>
  <c r="AJ695" i="3"/>
  <c r="AC695" i="3" s="1"/>
  <c r="AK695" i="3"/>
  <c r="AF695" i="3" s="1"/>
  <c r="AV695" i="3"/>
  <c r="AG695" i="3"/>
  <c r="AX695" i="3"/>
  <c r="AH695" i="3"/>
  <c r="AD695" i="3"/>
  <c r="AE695" i="3" l="1"/>
  <c r="AB695" i="3"/>
  <c r="Z696" i="3" s="1"/>
  <c r="AA695" i="3"/>
  <c r="X696" i="3" l="1"/>
  <c r="Y696" i="3"/>
  <c r="W696" i="3"/>
  <c r="AJ696" i="3" l="1"/>
  <c r="BA696" i="3"/>
  <c r="AW696" i="3" s="1"/>
  <c r="AK696" i="3"/>
  <c r="AF696" i="3" s="1"/>
  <c r="AL696" i="3"/>
  <c r="AH696" i="3" s="1"/>
  <c r="BB696" i="3"/>
  <c r="AY696" i="3" s="1"/>
  <c r="AV696" i="3"/>
  <c r="AG696" i="3"/>
  <c r="AE696" i="3"/>
  <c r="AX696" i="3"/>
  <c r="AC696" i="3" l="1"/>
  <c r="AA696" i="3" s="1"/>
  <c r="AD696" i="3"/>
  <c r="AB696" i="3" s="1"/>
  <c r="Y697" i="3" l="1"/>
  <c r="W697" i="3"/>
  <c r="X697" i="3"/>
  <c r="Z697" i="3"/>
  <c r="AL697" i="3" l="1"/>
  <c r="AG697" i="3" s="1"/>
  <c r="BB697" i="3"/>
  <c r="BA697" i="3"/>
  <c r="AK697" i="3"/>
  <c r="AJ697" i="3"/>
  <c r="AW697" i="3" l="1"/>
  <c r="AV697" i="3"/>
  <c r="AF697" i="3"/>
  <c r="AE697" i="3"/>
  <c r="AY697" i="3"/>
  <c r="AX697" i="3"/>
  <c r="AD697" i="3"/>
  <c r="AC697" i="3"/>
  <c r="AA697" i="3" s="1"/>
  <c r="AH697" i="3"/>
  <c r="AB697" i="3" l="1"/>
  <c r="Y698" i="3"/>
  <c r="W698" i="3"/>
  <c r="X698" i="3" l="1"/>
  <c r="Z698" i="3"/>
  <c r="BA698" i="3"/>
  <c r="AV698" i="3" s="1"/>
  <c r="AL698" i="3"/>
  <c r="AG698" i="3" s="1"/>
  <c r="BB698" i="3"/>
  <c r="AX698" i="3" s="1"/>
  <c r="AK698" i="3"/>
  <c r="AE698" i="3" s="1"/>
  <c r="AJ698" i="3"/>
  <c r="AC698" i="3" s="1"/>
  <c r="AA698" i="3" l="1"/>
  <c r="AH698" i="3"/>
  <c r="AW698" i="3"/>
  <c r="AD698" i="3"/>
  <c r="AY698" i="3"/>
  <c r="AF698" i="3"/>
  <c r="AB698" i="3" l="1"/>
  <c r="Y699" i="3"/>
  <c r="W699" i="3"/>
  <c r="Z699" i="3" l="1"/>
  <c r="X699" i="3"/>
  <c r="BA699" i="3" l="1"/>
  <c r="AV699" i="3" s="1"/>
  <c r="AK699" i="3"/>
  <c r="AE699" i="3" s="1"/>
  <c r="AJ699" i="3"/>
  <c r="AC699" i="3" s="1"/>
  <c r="AL699" i="3"/>
  <c r="AG699" i="3" s="1"/>
  <c r="BB699" i="3"/>
  <c r="AY699" i="3" l="1"/>
  <c r="AX699" i="3"/>
  <c r="AA699" i="3" s="1"/>
  <c r="AH699" i="3"/>
  <c r="AD699" i="3"/>
  <c r="AW699" i="3"/>
  <c r="AF699" i="3"/>
  <c r="AB699" i="3" l="1"/>
  <c r="Z700" i="3"/>
  <c r="X700" i="3"/>
  <c r="W700" i="3"/>
  <c r="Y700" i="3"/>
  <c r="AK700" i="3" l="1"/>
  <c r="AF700" i="3" s="1"/>
  <c r="AL700" i="3"/>
  <c r="BB700" i="3"/>
  <c r="AX700" i="3" s="1"/>
  <c r="AJ700" i="3"/>
  <c r="AC700" i="3" s="1"/>
  <c r="BA700" i="3"/>
  <c r="AV700" i="3" s="1"/>
  <c r="AG700" i="3"/>
  <c r="AH700" i="3"/>
  <c r="AD700" i="3"/>
  <c r="AW700" i="3"/>
  <c r="AY700" i="3"/>
  <c r="AB700" i="3" l="1"/>
  <c r="X701" i="3"/>
  <c r="Z701" i="3"/>
  <c r="AE700" i="3"/>
  <c r="AA700" i="3" s="1"/>
  <c r="Y701" i="3" l="1"/>
  <c r="W701" i="3"/>
  <c r="AK701" i="3" l="1"/>
  <c r="AF701" i="3" s="1"/>
  <c r="AL701" i="3"/>
  <c r="AH701" i="3" s="1"/>
  <c r="BA701" i="3"/>
  <c r="AW701" i="3" s="1"/>
  <c r="BB701" i="3"/>
  <c r="AY701" i="3" s="1"/>
  <c r="AJ701" i="3"/>
  <c r="AD701" i="3" s="1"/>
  <c r="AB701" i="3" s="1"/>
  <c r="AG701" i="3"/>
  <c r="AX701" i="3"/>
  <c r="AE701" i="3"/>
  <c r="AV701" i="3"/>
  <c r="X702" i="3" l="1"/>
  <c r="Z702" i="3"/>
  <c r="AC701" i="3"/>
  <c r="AA701" i="3" s="1"/>
  <c r="W702" i="3" l="1"/>
  <c r="Y702" i="3"/>
  <c r="BB702" i="3" l="1"/>
  <c r="AY702" i="3" s="1"/>
  <c r="AL702" i="3"/>
  <c r="AH702" i="3" s="1"/>
  <c r="BA702" i="3"/>
  <c r="AW702" i="3" s="1"/>
  <c r="AJ702" i="3"/>
  <c r="AK702" i="3"/>
  <c r="AF702" i="3" s="1"/>
  <c r="AX702" i="3"/>
  <c r="AV702" i="3"/>
  <c r="AG702" i="3"/>
  <c r="AC702" i="3" l="1"/>
  <c r="AD702" i="3"/>
  <c r="AB702" i="3" s="1"/>
  <c r="AE702" i="3"/>
  <c r="AA702" i="3" l="1"/>
  <c r="W703" i="3"/>
  <c r="Y703" i="3"/>
  <c r="Z703" i="3"/>
  <c r="X703" i="3"/>
  <c r="BB703" i="3" l="1"/>
  <c r="AY703" i="3" s="1"/>
  <c r="AK703" i="3"/>
  <c r="AF703" i="3" s="1"/>
  <c r="BA703" i="3"/>
  <c r="AW703" i="3" s="1"/>
  <c r="AJ703" i="3"/>
  <c r="AC703" i="3" s="1"/>
  <c r="AL703" i="3"/>
  <c r="AH703" i="3" s="1"/>
  <c r="AX703" i="3"/>
  <c r="AE703" i="3"/>
  <c r="AG703" i="3"/>
  <c r="AV703" i="3"/>
  <c r="AA703" i="3" l="1"/>
  <c r="AD703" i="3"/>
  <c r="AB703" i="3" s="1"/>
  <c r="X704" i="3" l="1"/>
  <c r="Z704" i="3"/>
  <c r="W704" i="3"/>
  <c r="Y704" i="3"/>
  <c r="AL704" i="3" l="1"/>
  <c r="BA704" i="3"/>
  <c r="AW704" i="3" s="1"/>
  <c r="AJ704" i="3"/>
  <c r="AC704" i="3" s="1"/>
  <c r="BB704" i="3"/>
  <c r="AY704" i="3" s="1"/>
  <c r="AK704" i="3"/>
  <c r="AF704" i="3" s="1"/>
  <c r="AV704" i="3"/>
  <c r="AX704" i="3"/>
  <c r="AG704" i="3"/>
  <c r="AE704" i="3"/>
  <c r="AA704" i="3" s="1"/>
  <c r="W705" i="3" s="1"/>
  <c r="AH704" i="3"/>
  <c r="AD704" i="3"/>
  <c r="AB704" i="3" l="1"/>
  <c r="Y705" i="3"/>
  <c r="X705" i="3" l="1"/>
  <c r="Z705" i="3"/>
  <c r="BB705" i="3" l="1"/>
  <c r="AL705" i="3"/>
  <c r="AK705" i="3"/>
  <c r="BA705" i="3"/>
  <c r="AJ705" i="3"/>
  <c r="AC705" i="3" l="1"/>
  <c r="AD705" i="3"/>
  <c r="AG705" i="3"/>
  <c r="AH705" i="3"/>
  <c r="AW705" i="3"/>
  <c r="AV705" i="3"/>
  <c r="AE705" i="3"/>
  <c r="AF705" i="3"/>
  <c r="AY705" i="3"/>
  <c r="AX705" i="3"/>
  <c r="AB705" i="3" l="1"/>
  <c r="AA705" i="3"/>
  <c r="W706" i="3" l="1"/>
  <c r="Y706" i="3"/>
  <c r="Z706" i="3"/>
  <c r="X706" i="3"/>
  <c r="AL706" i="3" l="1"/>
  <c r="AH706" i="3" s="1"/>
  <c r="BA706" i="3"/>
  <c r="AV706" i="3" s="1"/>
  <c r="AJ706" i="3"/>
  <c r="AD706" i="3" s="1"/>
  <c r="AK706" i="3"/>
  <c r="AF706" i="3" s="1"/>
  <c r="BB706" i="3"/>
  <c r="AX706" i="3" s="1"/>
  <c r="AC706" i="3"/>
  <c r="AE706" i="3"/>
  <c r="AG706" i="3" l="1"/>
  <c r="AY706" i="3"/>
  <c r="AA706" i="3"/>
  <c r="AW706" i="3"/>
  <c r="AB706" i="3" s="1"/>
  <c r="X707" i="3" l="1"/>
  <c r="Z707" i="3"/>
  <c r="Y707" i="3"/>
  <c r="W707" i="3"/>
  <c r="AK707" i="3" l="1"/>
  <c r="AF707" i="3" s="1"/>
  <c r="AL707" i="3"/>
  <c r="AH707" i="3" s="1"/>
  <c r="AJ707" i="3"/>
  <c r="AD707" i="3" s="1"/>
  <c r="BA707" i="3"/>
  <c r="BB707" i="3"/>
  <c r="AE707" i="3"/>
  <c r="AC707" i="3"/>
  <c r="AG707" i="3"/>
  <c r="AX707" i="3" l="1"/>
  <c r="AY707" i="3"/>
  <c r="AV707" i="3"/>
  <c r="AA707" i="3" s="1"/>
  <c r="AW707" i="3"/>
  <c r="AB707" i="3" s="1"/>
  <c r="W708" i="3" l="1"/>
  <c r="Y708" i="3"/>
  <c r="X708" i="3"/>
  <c r="Z708" i="3"/>
  <c r="AL708" i="3" l="1"/>
  <c r="AH708" i="3" s="1"/>
  <c r="BB708" i="3"/>
  <c r="AY708" i="3" s="1"/>
  <c r="BA708" i="3"/>
  <c r="AW708" i="3" s="1"/>
  <c r="AJ708" i="3"/>
  <c r="AD708" i="3" s="1"/>
  <c r="AK708" i="3"/>
  <c r="AF708" i="3" s="1"/>
  <c r="AV708" i="3"/>
  <c r="AX708" i="3"/>
  <c r="AC708" i="3"/>
  <c r="AG708" i="3"/>
  <c r="AE708" i="3" l="1"/>
  <c r="AB708" i="3"/>
  <c r="AA708" i="3"/>
  <c r="Z709" i="3" l="1"/>
  <c r="X709" i="3"/>
  <c r="Y709" i="3"/>
  <c r="W709" i="3"/>
  <c r="AJ709" i="3" l="1"/>
  <c r="AC709" i="3" s="1"/>
  <c r="BB709" i="3"/>
  <c r="AY709" i="3" s="1"/>
  <c r="BA709" i="3"/>
  <c r="AW709" i="3" s="1"/>
  <c r="AK709" i="3"/>
  <c r="AE709" i="3" s="1"/>
  <c r="AL709" i="3"/>
  <c r="AG709" i="3" s="1"/>
  <c r="AX709" i="3"/>
  <c r="AV709" i="3"/>
  <c r="AF709" i="3"/>
  <c r="AD709" i="3"/>
  <c r="AH709" i="3" l="1"/>
  <c r="AA709" i="3"/>
  <c r="Y710" i="3" s="1"/>
  <c r="AB709" i="3"/>
  <c r="X710" i="3" s="1"/>
  <c r="W710" i="3"/>
  <c r="BA710" i="3" s="1"/>
  <c r="AV710" i="3" s="1"/>
  <c r="AJ710" i="3" l="1"/>
  <c r="AK710" i="3"/>
  <c r="BB710" i="3"/>
  <c r="AL710" i="3"/>
  <c r="Z710" i="3"/>
  <c r="AX710" i="3"/>
  <c r="AY710" i="3"/>
  <c r="AW710" i="3"/>
  <c r="AC710" i="3" l="1"/>
  <c r="AD710" i="3"/>
  <c r="AF710" i="3"/>
  <c r="AE710" i="3"/>
  <c r="AG710" i="3"/>
  <c r="AH710" i="3"/>
  <c r="AB710" i="3" s="1"/>
  <c r="AA710" i="3" l="1"/>
  <c r="Z711" i="3"/>
  <c r="X711" i="3"/>
  <c r="Y711" i="3" l="1"/>
  <c r="W711" i="3"/>
  <c r="BA711" i="3" l="1"/>
  <c r="AJ711" i="3"/>
  <c r="BB711" i="3"/>
  <c r="AK711" i="3"/>
  <c r="AL711" i="3"/>
  <c r="AF711" i="3" l="1"/>
  <c r="AE711" i="3"/>
  <c r="AC711" i="3"/>
  <c r="AD711" i="3"/>
  <c r="AH711" i="3"/>
  <c r="AG711" i="3"/>
  <c r="AY711" i="3"/>
  <c r="AX711" i="3"/>
  <c r="AW711" i="3"/>
  <c r="AV711" i="3"/>
  <c r="AA711" i="3" l="1"/>
  <c r="AB711" i="3"/>
  <c r="X712" i="3" l="1"/>
  <c r="Z712" i="3"/>
  <c r="W712" i="3"/>
  <c r="Y712" i="3"/>
  <c r="AK712" i="3" l="1"/>
  <c r="AE712" i="3" s="1"/>
  <c r="AL712" i="3"/>
  <c r="AH712" i="3" s="1"/>
  <c r="BA712" i="3"/>
  <c r="AW712" i="3" s="1"/>
  <c r="AJ712" i="3"/>
  <c r="AC712" i="3" s="1"/>
  <c r="BB712" i="3"/>
  <c r="AY712" i="3" s="1"/>
  <c r="AG712" i="3"/>
  <c r="AV712" i="3"/>
  <c r="AD712" i="3"/>
  <c r="AF712" i="3"/>
  <c r="AX712" i="3" l="1"/>
  <c r="AA712" i="3"/>
  <c r="AB712" i="3"/>
  <c r="X713" i="3" l="1"/>
  <c r="Z713" i="3"/>
  <c r="Y713" i="3"/>
  <c r="W713" i="3"/>
  <c r="BB713" i="3" l="1"/>
  <c r="AY713" i="3" s="1"/>
  <c r="AL713" i="3"/>
  <c r="AK713" i="3"/>
  <c r="AE713" i="3" s="1"/>
  <c r="AJ713" i="3"/>
  <c r="AC713" i="3" s="1"/>
  <c r="BA713" i="3"/>
  <c r="AV713" i="3" s="1"/>
  <c r="AX713" i="3"/>
  <c r="AG713" i="3"/>
  <c r="AH713" i="3"/>
  <c r="AW713" i="3"/>
  <c r="AF713" i="3"/>
  <c r="AD713" i="3"/>
  <c r="AB713" i="3" l="1"/>
  <c r="Z714" i="3"/>
  <c r="X714" i="3"/>
  <c r="AA713" i="3"/>
  <c r="Y714" i="3" l="1"/>
  <c r="W714" i="3"/>
  <c r="AJ714" i="3" l="1"/>
  <c r="BA714" i="3"/>
  <c r="BB714" i="3"/>
  <c r="AY714" i="3" s="1"/>
  <c r="AK714" i="3"/>
  <c r="AL714" i="3"/>
  <c r="AH714" i="3" s="1"/>
  <c r="AX714" i="3"/>
  <c r="AG714" i="3"/>
  <c r="AE714" i="3" l="1"/>
  <c r="AF714" i="3"/>
  <c r="AV714" i="3"/>
  <c r="AW714" i="3"/>
  <c r="AC714" i="3"/>
  <c r="AA714" i="3" s="1"/>
  <c r="AD714" i="3"/>
  <c r="AB714" i="3" s="1"/>
  <c r="W715" i="3" l="1"/>
  <c r="Y715" i="3"/>
  <c r="Z715" i="3"/>
  <c r="X715" i="3"/>
  <c r="BA715" i="3" l="1"/>
  <c r="AW715" i="3" s="1"/>
  <c r="AL715" i="3"/>
  <c r="AH715" i="3" s="1"/>
  <c r="AK715" i="3"/>
  <c r="AE715" i="3" s="1"/>
  <c r="BB715" i="3"/>
  <c r="AY715" i="3" s="1"/>
  <c r="AJ715" i="3"/>
  <c r="AC715" i="3" s="1"/>
  <c r="AG715" i="3"/>
  <c r="AV715" i="3"/>
  <c r="AX715" i="3"/>
  <c r="AA715" i="3" l="1"/>
  <c r="AF715" i="3"/>
  <c r="Y716" i="3"/>
  <c r="W716" i="3"/>
  <c r="AD715" i="3"/>
  <c r="AB715" i="3" l="1"/>
  <c r="Z716" i="3" l="1"/>
  <c r="X716" i="3"/>
  <c r="AK716" i="3" l="1"/>
  <c r="AE716" i="3" s="1"/>
  <c r="AL716" i="3"/>
  <c r="AG716" i="3" s="1"/>
  <c r="BA716" i="3"/>
  <c r="AV716" i="3" s="1"/>
  <c r="AJ716" i="3"/>
  <c r="AC716" i="3" s="1"/>
  <c r="BB716" i="3"/>
  <c r="AX716" i="3" s="1"/>
  <c r="AA716" i="3" l="1"/>
  <c r="AD716" i="3"/>
  <c r="AW716" i="3"/>
  <c r="AH716" i="3"/>
  <c r="AF716" i="3"/>
  <c r="AY716" i="3"/>
  <c r="AB716" i="3" l="1"/>
  <c r="Y717" i="3"/>
  <c r="W717" i="3"/>
  <c r="X717" i="3" l="1"/>
  <c r="Z717" i="3"/>
  <c r="AK717" i="3" l="1"/>
  <c r="BB717" i="3"/>
  <c r="AJ717" i="3"/>
  <c r="AC717" i="3" s="1"/>
  <c r="BA717" i="3"/>
  <c r="AL717" i="3"/>
  <c r="AG717" i="3" s="1"/>
  <c r="AY717" i="3" l="1"/>
  <c r="AX717" i="3"/>
  <c r="AW717" i="3"/>
  <c r="AV717" i="3"/>
  <c r="AF717" i="3"/>
  <c r="AE717" i="3"/>
  <c r="AA717" i="3" s="1"/>
  <c r="AD717" i="3"/>
  <c r="AH717" i="3"/>
  <c r="W718" i="3" l="1"/>
  <c r="Y718" i="3"/>
  <c r="AB717" i="3"/>
  <c r="Z718" i="3" l="1"/>
  <c r="X718" i="3"/>
  <c r="AJ718" i="3"/>
  <c r="AC718" i="3" s="1"/>
  <c r="AL718" i="3"/>
  <c r="BA718" i="3"/>
  <c r="AW718" i="3" s="1"/>
  <c r="AK718" i="3"/>
  <c r="AF718" i="3" s="1"/>
  <c r="BB718" i="3"/>
  <c r="AY718" i="3" s="1"/>
  <c r="AV718" i="3"/>
  <c r="AG718" i="3"/>
  <c r="AE718" i="3"/>
  <c r="AX718" i="3" l="1"/>
  <c r="AA718" i="3" s="1"/>
  <c r="AH718" i="3"/>
  <c r="AD718" i="3"/>
  <c r="AB718" i="3" s="1"/>
  <c r="X719" i="3" s="1"/>
  <c r="Y719" i="3" l="1"/>
  <c r="W719" i="3"/>
  <c r="BB719" i="3" s="1"/>
  <c r="Z719" i="3"/>
  <c r="BA719" i="3"/>
  <c r="AV719" i="3" s="1"/>
  <c r="AL719" i="3"/>
  <c r="AG719" i="3" s="1"/>
  <c r="AJ719" i="3"/>
  <c r="AD719" i="3" s="1"/>
  <c r="AK719" i="3"/>
  <c r="AE719" i="3" s="1"/>
  <c r="AC719" i="3"/>
  <c r="AY719" i="3" l="1"/>
  <c r="AX719" i="3"/>
  <c r="AA719" i="3" s="1"/>
  <c r="AW719" i="3"/>
  <c r="AF719" i="3"/>
  <c r="AH719" i="3"/>
  <c r="AB719" i="3" l="1"/>
  <c r="Z720" i="3"/>
  <c r="X720" i="3"/>
  <c r="Y720" i="3"/>
  <c r="W720" i="3"/>
  <c r="AJ720" i="3" l="1"/>
  <c r="AC720" i="3" s="1"/>
  <c r="BB720" i="3"/>
  <c r="AY720" i="3" s="1"/>
  <c r="AK720" i="3"/>
  <c r="AE720" i="3" s="1"/>
  <c r="AL720" i="3"/>
  <c r="AG720" i="3" s="1"/>
  <c r="BA720" i="3"/>
  <c r="AW720" i="3" s="1"/>
  <c r="AX720" i="3"/>
  <c r="AD720" i="3"/>
  <c r="AH720" i="3"/>
  <c r="AF720" i="3"/>
  <c r="AV720" i="3" l="1"/>
  <c r="AB720" i="3"/>
  <c r="AA720" i="3"/>
  <c r="Y721" i="3" l="1"/>
  <c r="W721" i="3"/>
  <c r="Z721" i="3"/>
  <c r="X721" i="3"/>
  <c r="AL721" i="3" l="1"/>
  <c r="AH721" i="3" s="1"/>
  <c r="AJ721" i="3"/>
  <c r="AD721" i="3" s="1"/>
  <c r="BB721" i="3"/>
  <c r="AX721" i="3" s="1"/>
  <c r="AK721" i="3"/>
  <c r="AF721" i="3" s="1"/>
  <c r="BA721" i="3"/>
  <c r="AV721" i="3" s="1"/>
  <c r="AC721" i="3"/>
  <c r="AE721" i="3"/>
  <c r="AG721" i="3"/>
  <c r="AA721" i="3" l="1"/>
  <c r="AY721" i="3"/>
  <c r="AW721" i="3"/>
  <c r="AB721" i="3" s="1"/>
  <c r="X722" i="3" l="1"/>
  <c r="Z722" i="3"/>
  <c r="Y722" i="3"/>
  <c r="W722" i="3"/>
  <c r="AJ722" i="3" l="1"/>
  <c r="AC722" i="3" s="1"/>
  <c r="AK722" i="3"/>
  <c r="AE722" i="3" s="1"/>
  <c r="BA722" i="3"/>
  <c r="AV722" i="3" s="1"/>
  <c r="AL722" i="3"/>
  <c r="BB722" i="3"/>
  <c r="AX722" i="3" s="1"/>
  <c r="AG722" i="3"/>
  <c r="AY722" i="3"/>
  <c r="AW722" i="3"/>
  <c r="AH722" i="3"/>
  <c r="AD722" i="3"/>
  <c r="AF722" i="3"/>
  <c r="AB722" i="3" l="1"/>
  <c r="X723" i="3" s="1"/>
  <c r="Z723" i="3"/>
  <c r="AA722" i="3"/>
  <c r="Y723" i="3" l="1"/>
  <c r="W723" i="3"/>
  <c r="AJ723" i="3" l="1"/>
  <c r="AK723" i="3"/>
  <c r="BB723" i="3"/>
  <c r="AL723" i="3"/>
  <c r="BA723" i="3"/>
  <c r="AV723" i="3" l="1"/>
  <c r="AW723" i="3"/>
  <c r="AE723" i="3"/>
  <c r="AF723" i="3"/>
  <c r="AG723" i="3"/>
  <c r="AH723" i="3"/>
  <c r="AX723" i="3"/>
  <c r="AY723" i="3"/>
  <c r="AC723" i="3"/>
  <c r="AA723" i="3" s="1"/>
  <c r="AD723" i="3"/>
  <c r="Y724" i="3" l="1"/>
  <c r="W724" i="3"/>
  <c r="AB723" i="3"/>
  <c r="Z724" i="3" l="1"/>
  <c r="X724" i="3"/>
  <c r="AJ724" i="3"/>
  <c r="AD724" i="3" s="1"/>
  <c r="AL724" i="3"/>
  <c r="AH724" i="3" s="1"/>
  <c r="AC724" i="3"/>
  <c r="BA724" i="3"/>
  <c r="AV724" i="3" s="1"/>
  <c r="AG724" i="3" l="1"/>
  <c r="BB724" i="3"/>
  <c r="AX724" i="3" s="1"/>
  <c r="AW724" i="3"/>
  <c r="AK724" i="3"/>
  <c r="AF724" i="3" l="1"/>
  <c r="AE724" i="3"/>
  <c r="AA724" i="3" s="1"/>
  <c r="AY724" i="3"/>
  <c r="AB724" i="3" s="1"/>
  <c r="Z725" i="3" l="1"/>
  <c r="X725" i="3"/>
  <c r="Y725" i="3"/>
  <c r="W725" i="3"/>
  <c r="AK725" i="3" l="1"/>
  <c r="AF725" i="3" s="1"/>
  <c r="AL725" i="3"/>
  <c r="AJ725" i="3"/>
  <c r="AD725" i="3" s="1"/>
  <c r="BA725" i="3"/>
  <c r="AW725" i="3" s="1"/>
  <c r="BB725" i="3"/>
  <c r="AY725" i="3" s="1"/>
  <c r="AV725" i="3"/>
  <c r="AX725" i="3"/>
  <c r="AG725" i="3"/>
  <c r="AE725" i="3"/>
  <c r="AC725" i="3"/>
  <c r="AA725" i="3" s="1"/>
  <c r="Y726" i="3" s="1"/>
  <c r="AH725" i="3"/>
  <c r="W726" i="3" l="1"/>
  <c r="AB725" i="3"/>
  <c r="Z726" i="3" l="1"/>
  <c r="X726" i="3"/>
  <c r="BA726" i="3"/>
  <c r="AW726" i="3" s="1"/>
  <c r="AL726" i="3"/>
  <c r="AK726" i="3"/>
  <c r="AF726" i="3" s="1"/>
  <c r="AJ726" i="3"/>
  <c r="AD726" i="3" s="1"/>
  <c r="AV726" i="3"/>
  <c r="AC726" i="3"/>
  <c r="AG726" i="3"/>
  <c r="AE726" i="3"/>
  <c r="AH726" i="3" l="1"/>
  <c r="BB726" i="3"/>
  <c r="AY726" i="3" l="1"/>
  <c r="AB726" i="3" s="1"/>
  <c r="AX726" i="3"/>
  <c r="AA726" i="3" s="1"/>
  <c r="X727" i="3" l="1"/>
  <c r="Z727" i="3"/>
  <c r="Y727" i="3"/>
  <c r="W727" i="3"/>
  <c r="AL727" i="3" l="1"/>
  <c r="BB727" i="3"/>
  <c r="AY727" i="3" s="1"/>
  <c r="BA727" i="3"/>
  <c r="AW727" i="3" s="1"/>
  <c r="AK727" i="3"/>
  <c r="AF727" i="3" s="1"/>
  <c r="AJ727" i="3"/>
  <c r="AC727" i="3" s="1"/>
  <c r="AX727" i="3"/>
  <c r="AV727" i="3"/>
  <c r="AE727" i="3"/>
  <c r="AG727" i="3"/>
  <c r="AH727" i="3"/>
  <c r="AD727" i="3"/>
  <c r="AB727" i="3" s="1"/>
  <c r="Z728" i="3" l="1"/>
  <c r="X728" i="3"/>
  <c r="AA727" i="3"/>
  <c r="Y728" i="3" l="1"/>
  <c r="W728" i="3"/>
  <c r="BB728" i="3" l="1"/>
  <c r="BA728" i="3"/>
  <c r="AK728" i="3"/>
  <c r="AJ728" i="3"/>
  <c r="AL728" i="3"/>
  <c r="AH728" i="3" l="1"/>
  <c r="AG728" i="3"/>
  <c r="AW728" i="3"/>
  <c r="AV728" i="3"/>
  <c r="AC728" i="3"/>
  <c r="AD728" i="3"/>
  <c r="AF728" i="3"/>
  <c r="AE728" i="3"/>
  <c r="AA728" i="3" s="1"/>
  <c r="AY728" i="3"/>
  <c r="AX728" i="3"/>
  <c r="Y729" i="3" l="1"/>
  <c r="W729" i="3"/>
  <c r="AB728" i="3"/>
  <c r="X729" i="3" l="1"/>
  <c r="Z729" i="3"/>
  <c r="BB729" i="3"/>
  <c r="BA729" i="3"/>
  <c r="AK729" i="3"/>
  <c r="AF729" i="3" s="1"/>
  <c r="AJ729" i="3"/>
  <c r="AL729" i="3"/>
  <c r="AG729" i="3" s="1"/>
  <c r="AY729" i="3" l="1"/>
  <c r="AX729" i="3"/>
  <c r="AD729" i="3"/>
  <c r="AC729" i="3"/>
  <c r="AW729" i="3"/>
  <c r="AV729" i="3"/>
  <c r="AE729" i="3"/>
  <c r="AH729" i="3"/>
  <c r="AA729" i="3" l="1"/>
  <c r="AB729" i="3"/>
  <c r="X730" i="3" l="1"/>
  <c r="Z730" i="3"/>
  <c r="Y730" i="3"/>
  <c r="W730" i="3"/>
  <c r="BB730" i="3" l="1"/>
  <c r="AY730" i="3" s="1"/>
  <c r="BA730" i="3"/>
  <c r="AW730" i="3" s="1"/>
  <c r="AJ730" i="3"/>
  <c r="AD730" i="3" s="1"/>
  <c r="AK730" i="3"/>
  <c r="AF730" i="3" s="1"/>
  <c r="AL730" i="3"/>
  <c r="AX730" i="3"/>
  <c r="AC730" i="3"/>
  <c r="AE730" i="3"/>
  <c r="AG730" i="3"/>
  <c r="AV730" i="3"/>
  <c r="AH730" i="3"/>
  <c r="AB730" i="3" l="1"/>
  <c r="AA730" i="3"/>
  <c r="Y731" i="3" l="1"/>
  <c r="W731" i="3"/>
  <c r="Z731" i="3"/>
  <c r="X731" i="3"/>
  <c r="BB731" i="3" l="1"/>
  <c r="AY731" i="3" s="1"/>
  <c r="AK731" i="3"/>
  <c r="AF731" i="3" s="1"/>
  <c r="AJ731" i="3"/>
  <c r="AD731" i="3" s="1"/>
  <c r="AL731" i="3"/>
  <c r="AH731" i="3" s="1"/>
  <c r="BA731" i="3"/>
  <c r="AV731" i="3" s="1"/>
  <c r="AX731" i="3"/>
  <c r="AG731" i="3"/>
  <c r="AC731" i="3"/>
  <c r="AW731" i="3" l="1"/>
  <c r="AB731" i="3" s="1"/>
  <c r="AE731" i="3"/>
  <c r="AA731" i="3" s="1"/>
  <c r="W732" i="3" l="1"/>
  <c r="Y732" i="3"/>
  <c r="Z732" i="3"/>
  <c r="X732" i="3"/>
  <c r="AL732" i="3" l="1"/>
  <c r="AG732" i="3" s="1"/>
  <c r="BB732" i="3"/>
  <c r="AK732" i="3"/>
  <c r="AJ732" i="3"/>
  <c r="BA732" i="3"/>
  <c r="AF732" i="3" l="1"/>
  <c r="AE732" i="3"/>
  <c r="AD732" i="3"/>
  <c r="AC732" i="3"/>
  <c r="AY732" i="3"/>
  <c r="AX732" i="3"/>
  <c r="AW732" i="3"/>
  <c r="AV732" i="3"/>
  <c r="AH732" i="3"/>
  <c r="AA732" i="3" l="1"/>
  <c r="AB732" i="3"/>
  <c r="X733" i="3" l="1"/>
  <c r="Z733" i="3"/>
  <c r="Y733" i="3"/>
  <c r="W733" i="3"/>
  <c r="AL733" i="3" l="1"/>
  <c r="AG733" i="3" s="1"/>
  <c r="BB733" i="3"/>
  <c r="AY733" i="3" s="1"/>
  <c r="AJ733" i="3"/>
  <c r="AK733" i="3"/>
  <c r="BA733" i="3"/>
  <c r="AX733" i="3"/>
  <c r="AH733" i="3"/>
  <c r="AC733" i="3" l="1"/>
  <c r="AD733" i="3"/>
  <c r="AW733" i="3"/>
  <c r="AV733" i="3"/>
  <c r="AF733" i="3"/>
  <c r="AE733" i="3"/>
  <c r="AA733" i="3" s="1"/>
  <c r="Y734" i="3" s="1"/>
  <c r="W734" i="3" l="1"/>
  <c r="AB733" i="3"/>
  <c r="Z734" i="3" l="1"/>
  <c r="X734" i="3"/>
  <c r="AL734" i="3" l="1"/>
  <c r="AG734" i="3" s="1"/>
  <c r="BA734" i="3"/>
  <c r="AK734" i="3"/>
  <c r="BB734" i="3"/>
  <c r="AH734" i="3"/>
  <c r="AJ734" i="3"/>
  <c r="AF734" i="3" l="1"/>
  <c r="AE734" i="3"/>
  <c r="AW734" i="3"/>
  <c r="AV734" i="3"/>
  <c r="AC734" i="3"/>
  <c r="AD734" i="3"/>
  <c r="AB734" i="3" s="1"/>
  <c r="AY734" i="3"/>
  <c r="AX734" i="3"/>
  <c r="Z735" i="3" l="1"/>
  <c r="X735" i="3"/>
  <c r="AA734" i="3"/>
  <c r="W735" i="3" l="1"/>
  <c r="Y735" i="3"/>
  <c r="BA735" i="3" l="1"/>
  <c r="AK735" i="3"/>
  <c r="BB735" i="3"/>
  <c r="AY735" i="3" s="1"/>
  <c r="AL735" i="3"/>
  <c r="AH735" i="3" s="1"/>
  <c r="AJ735" i="3"/>
  <c r="AX735" i="3"/>
  <c r="AG735" i="3" l="1"/>
  <c r="AC735" i="3"/>
  <c r="AD735" i="3"/>
  <c r="AE735" i="3"/>
  <c r="AF735" i="3"/>
  <c r="AV735" i="3"/>
  <c r="AW735" i="3"/>
  <c r="AA735" i="3" l="1"/>
  <c r="W736" i="3"/>
  <c r="Y736" i="3"/>
  <c r="AB735" i="3"/>
  <c r="Z736" i="3" l="1"/>
  <c r="X736" i="3"/>
  <c r="AK736" i="3"/>
  <c r="AE736" i="3" s="1"/>
  <c r="BB736" i="3"/>
  <c r="AY736" i="3" s="1"/>
  <c r="AL736" i="3"/>
  <c r="AH736" i="3" s="1"/>
  <c r="AJ736" i="3"/>
  <c r="AC736" i="3" s="1"/>
  <c r="AX736" i="3"/>
  <c r="AG736" i="3"/>
  <c r="AD736" i="3" l="1"/>
  <c r="AF736" i="3"/>
  <c r="BA736" i="3"/>
  <c r="AW736" i="3" l="1"/>
  <c r="AV736" i="3"/>
  <c r="AA736" i="3" s="1"/>
  <c r="AB736" i="3"/>
  <c r="W737" i="3" l="1"/>
  <c r="Y737" i="3"/>
  <c r="X737" i="3"/>
  <c r="Z737" i="3"/>
  <c r="AL737" i="3" l="1"/>
  <c r="AH737" i="3" s="1"/>
  <c r="BA737" i="3"/>
  <c r="AV737" i="3" s="1"/>
  <c r="AJ737" i="3"/>
  <c r="AD737" i="3" s="1"/>
  <c r="BB737" i="3"/>
  <c r="AY737" i="3" s="1"/>
  <c r="AK737" i="3"/>
  <c r="AE737" i="3" s="1"/>
  <c r="AG737" i="3"/>
  <c r="AX737" i="3"/>
  <c r="AC737" i="3"/>
  <c r="AA737" i="3" s="1"/>
  <c r="Y738" i="3" l="1"/>
  <c r="W738" i="3"/>
  <c r="AF737" i="3"/>
  <c r="AW737" i="3"/>
  <c r="AB737" i="3" l="1"/>
  <c r="Z738" i="3" l="1"/>
  <c r="X738" i="3"/>
  <c r="AJ738" i="3" l="1"/>
  <c r="AC738" i="3" s="1"/>
  <c r="AK738" i="3"/>
  <c r="BA738" i="3"/>
  <c r="AL738" i="3"/>
  <c r="AG738" i="3" s="1"/>
  <c r="BB738" i="3"/>
  <c r="AW738" i="3" l="1"/>
  <c r="AV738" i="3"/>
  <c r="AF738" i="3"/>
  <c r="AE738" i="3"/>
  <c r="AD738" i="3"/>
  <c r="AY738" i="3"/>
  <c r="AX738" i="3"/>
  <c r="AH738" i="3"/>
  <c r="AB738" i="3" l="1"/>
  <c r="AA738" i="3"/>
  <c r="Y739" i="3" l="1"/>
  <c r="W739" i="3"/>
  <c r="X739" i="3"/>
  <c r="Z739" i="3"/>
  <c r="AJ739" i="3" l="1"/>
  <c r="AC739" i="3" s="1"/>
  <c r="AL739" i="3"/>
  <c r="AH739" i="3" s="1"/>
  <c r="BA739" i="3"/>
  <c r="AW739" i="3" s="1"/>
  <c r="BB739" i="3"/>
  <c r="AY739" i="3" s="1"/>
  <c r="AK739" i="3"/>
  <c r="AF739" i="3" s="1"/>
  <c r="AV739" i="3"/>
  <c r="AG739" i="3"/>
  <c r="AX739" i="3"/>
  <c r="AE739" i="3"/>
  <c r="AA739" i="3" s="1"/>
  <c r="Y740" i="3" l="1"/>
  <c r="W740" i="3"/>
  <c r="AD739" i="3"/>
  <c r="AB739" i="3" s="1"/>
  <c r="Z740" i="3" l="1"/>
  <c r="X740" i="3"/>
  <c r="AJ740" i="3"/>
  <c r="AK740" i="3"/>
  <c r="AL740" i="3"/>
  <c r="AG740" i="3" s="1"/>
  <c r="BA740" i="3"/>
  <c r="BB740" i="3"/>
  <c r="AY740" i="3" l="1"/>
  <c r="AX740" i="3"/>
  <c r="AD740" i="3"/>
  <c r="AC740" i="3"/>
  <c r="AW740" i="3"/>
  <c r="AV740" i="3"/>
  <c r="AF740" i="3"/>
  <c r="AE740" i="3"/>
  <c r="AH740" i="3"/>
  <c r="AA740" i="3" l="1"/>
  <c r="AB740" i="3"/>
  <c r="X741" i="3" l="1"/>
  <c r="Z741" i="3"/>
  <c r="Y741" i="3"/>
  <c r="W741" i="3"/>
  <c r="AJ741" i="3" l="1"/>
  <c r="AC741" i="3" s="1"/>
  <c r="BA741" i="3"/>
  <c r="AV741" i="3" s="1"/>
  <c r="AK741" i="3"/>
  <c r="AE741" i="3" s="1"/>
  <c r="BB741" i="3"/>
  <c r="AY741" i="3" s="1"/>
  <c r="AL741" i="3"/>
  <c r="AH741" i="3" s="1"/>
  <c r="AX741" i="3"/>
  <c r="AW741" i="3"/>
  <c r="AF741" i="3"/>
  <c r="AD741" i="3"/>
  <c r="AB741" i="3" s="1"/>
  <c r="AG741" i="3" l="1"/>
  <c r="X742" i="3"/>
  <c r="Z742" i="3"/>
  <c r="AA741" i="3"/>
  <c r="W742" i="3" l="1"/>
  <c r="Y742" i="3"/>
  <c r="AL742" i="3" l="1"/>
  <c r="AH742" i="3" s="1"/>
  <c r="BB742" i="3"/>
  <c r="AJ742" i="3"/>
  <c r="AK742" i="3"/>
  <c r="BA742" i="3"/>
  <c r="AE742" i="3" l="1"/>
  <c r="AF742" i="3"/>
  <c r="AV742" i="3"/>
  <c r="AW742" i="3"/>
  <c r="AC742" i="3"/>
  <c r="AD742" i="3"/>
  <c r="AX742" i="3"/>
  <c r="AY742" i="3"/>
  <c r="AG742" i="3"/>
  <c r="AA742" i="3" l="1"/>
  <c r="AB742" i="3"/>
  <c r="Z743" i="3" l="1"/>
  <c r="X743" i="3"/>
  <c r="Y743" i="3"/>
  <c r="W743" i="3"/>
  <c r="AJ743" i="3" l="1"/>
  <c r="AC743" i="3" s="1"/>
  <c r="BB743" i="3"/>
  <c r="AX743" i="3" s="1"/>
  <c r="AK743" i="3"/>
  <c r="AF743" i="3" s="1"/>
  <c r="BA743" i="3"/>
  <c r="AV743" i="3" s="1"/>
  <c r="AL743" i="3"/>
  <c r="AG743" i="3" s="1"/>
  <c r="AE743" i="3"/>
  <c r="AH743" i="3"/>
  <c r="AY743" i="3"/>
  <c r="AD743" i="3"/>
  <c r="AW743" i="3"/>
  <c r="AB743" i="3" l="1"/>
  <c r="AA743" i="3"/>
  <c r="Y744" i="3" l="1"/>
  <c r="W744" i="3"/>
  <c r="X744" i="3"/>
  <c r="Z744" i="3"/>
  <c r="AK744" i="3" l="1"/>
  <c r="AF744" i="3" s="1"/>
  <c r="AJ744" i="3"/>
  <c r="AD744" i="3" s="1"/>
  <c r="BB744" i="3"/>
  <c r="AY744" i="3" s="1"/>
  <c r="AL744" i="3"/>
  <c r="AH744" i="3" s="1"/>
  <c r="BA744" i="3"/>
  <c r="AW744" i="3" s="1"/>
  <c r="AX744" i="3"/>
  <c r="AV744" i="3"/>
  <c r="AC744" i="3"/>
  <c r="AG744" i="3"/>
  <c r="AE744" i="3" l="1"/>
  <c r="AA744" i="3"/>
  <c r="AB744" i="3"/>
  <c r="Y745" i="3" l="1"/>
  <c r="W745" i="3"/>
  <c r="Z745" i="3"/>
  <c r="X745" i="3"/>
  <c r="AK745" i="3" l="1"/>
  <c r="AF745" i="3" s="1"/>
  <c r="AJ745" i="3"/>
  <c r="AC745" i="3" s="1"/>
  <c r="AL745" i="3"/>
  <c r="AH745" i="3" s="1"/>
  <c r="BB745" i="3"/>
  <c r="AY745" i="3" s="1"/>
  <c r="BA745" i="3"/>
  <c r="AW745" i="3" s="1"/>
  <c r="AX745" i="3"/>
  <c r="AG745" i="3"/>
  <c r="AV745" i="3"/>
  <c r="AE745" i="3"/>
  <c r="AD745" i="3" l="1"/>
  <c r="AB745" i="3" s="1"/>
  <c r="AA745" i="3"/>
  <c r="Y746" i="3" l="1"/>
  <c r="W746" i="3"/>
  <c r="Z746" i="3"/>
  <c r="X746" i="3"/>
  <c r="BA746" i="3" l="1"/>
  <c r="AV746" i="3" s="1"/>
  <c r="AK746" i="3"/>
  <c r="AE746" i="3" s="1"/>
  <c r="BB746" i="3"/>
  <c r="AY746" i="3" s="1"/>
  <c r="AL746" i="3"/>
  <c r="AH746" i="3" s="1"/>
  <c r="AJ746" i="3"/>
  <c r="AC746" i="3" s="1"/>
  <c r="AX746" i="3"/>
  <c r="AG746" i="3" l="1"/>
  <c r="AA746" i="3" s="1"/>
  <c r="AF746" i="3"/>
  <c r="AD746" i="3"/>
  <c r="AW746" i="3"/>
  <c r="W747" i="3" l="1"/>
  <c r="Y747" i="3"/>
  <c r="AB746" i="3"/>
  <c r="X747" i="3" l="1"/>
  <c r="Z747" i="3"/>
  <c r="AK747" i="3"/>
  <c r="AE747" i="3" s="1"/>
  <c r="AJ747" i="3"/>
  <c r="AC747" i="3" s="1"/>
  <c r="BA747" i="3"/>
  <c r="AV747" i="3" s="1"/>
  <c r="AL747" i="3"/>
  <c r="AG747" i="3" s="1"/>
  <c r="BB747" i="3"/>
  <c r="AX747" i="3" s="1"/>
  <c r="AA747" i="3" l="1"/>
  <c r="AW747" i="3"/>
  <c r="AY747" i="3"/>
  <c r="AH747" i="3"/>
  <c r="AD747" i="3"/>
  <c r="AF747" i="3"/>
  <c r="AB747" i="3" l="1"/>
  <c r="Z748" i="3" s="1"/>
  <c r="X748" i="3"/>
  <c r="W748" i="3"/>
  <c r="Y748" i="3"/>
  <c r="BA748" i="3" l="1"/>
  <c r="AV748" i="3" s="1"/>
  <c r="BB748" i="3"/>
  <c r="AX748" i="3" s="1"/>
  <c r="AL748" i="3"/>
  <c r="AK748" i="3"/>
  <c r="AF748" i="3" s="1"/>
  <c r="AJ748" i="3"/>
  <c r="AC748" i="3" s="1"/>
  <c r="AG748" i="3"/>
  <c r="AE748" i="3"/>
  <c r="AH748" i="3"/>
  <c r="AY748" i="3"/>
  <c r="AD748" i="3"/>
  <c r="AW748" i="3"/>
  <c r="AB748" i="3" l="1"/>
  <c r="AA748" i="3"/>
  <c r="X749" i="3"/>
  <c r="Z749" i="3"/>
  <c r="Y749" i="3" l="1"/>
  <c r="W749" i="3"/>
  <c r="AJ749" i="3" l="1"/>
  <c r="BB749" i="3"/>
  <c r="AY749" i="3" s="1"/>
  <c r="AL749" i="3"/>
  <c r="AH749" i="3" s="1"/>
  <c r="AK749" i="3"/>
  <c r="BA749" i="3"/>
  <c r="AW749" i="3" s="1"/>
  <c r="AX749" i="3"/>
  <c r="AG749" i="3"/>
  <c r="AE749" i="3" l="1"/>
  <c r="AF749" i="3"/>
  <c r="AV749" i="3"/>
  <c r="AC749" i="3"/>
  <c r="AA749" i="3" s="1"/>
  <c r="AD749" i="3"/>
  <c r="AB749" i="3" s="1"/>
  <c r="X750" i="3" l="1"/>
  <c r="Z750" i="3"/>
  <c r="W750" i="3"/>
  <c r="Y750" i="3"/>
  <c r="AK750" i="3" l="1"/>
  <c r="AE750" i="3" s="1"/>
  <c r="AJ750" i="3"/>
  <c r="AD750" i="3" s="1"/>
  <c r="BA750" i="3"/>
  <c r="AL750" i="3"/>
  <c r="AG750" i="3" s="1"/>
  <c r="AC750" i="3"/>
  <c r="BB750" i="3"/>
  <c r="AX750" i="3" s="1"/>
  <c r="AF750" i="3"/>
  <c r="AY750" i="3"/>
  <c r="AH750" i="3"/>
  <c r="AV750" i="3" l="1"/>
  <c r="AW750" i="3"/>
  <c r="AB750" i="3" s="1"/>
  <c r="AA750" i="3"/>
  <c r="Z751" i="3" l="1"/>
  <c r="X751" i="3"/>
  <c r="Y751" i="3"/>
  <c r="W751" i="3"/>
  <c r="AL751" i="3" l="1"/>
  <c r="BB751" i="3"/>
  <c r="AX751" i="3" s="1"/>
  <c r="BA751" i="3"/>
  <c r="AV751" i="3" s="1"/>
  <c r="AJ751" i="3"/>
  <c r="AC751" i="3" s="1"/>
  <c r="AK751" i="3"/>
  <c r="AE751" i="3" s="1"/>
  <c r="AG751" i="3"/>
  <c r="AH751" i="3"/>
  <c r="AY751" i="3"/>
  <c r="AW751" i="3"/>
  <c r="AD751" i="3"/>
  <c r="AF751" i="3"/>
  <c r="AB751" i="3" l="1"/>
  <c r="AA751" i="3"/>
  <c r="Y752" i="3" l="1"/>
  <c r="W752" i="3"/>
  <c r="X752" i="3"/>
  <c r="Z752" i="3"/>
  <c r="BB752" i="3" l="1"/>
  <c r="AY752" i="3" s="1"/>
  <c r="AK752" i="3"/>
  <c r="AF752" i="3" s="1"/>
  <c r="AL752" i="3"/>
  <c r="AH752" i="3" s="1"/>
  <c r="AJ752" i="3"/>
  <c r="AD752" i="3" s="1"/>
  <c r="BA752" i="3"/>
  <c r="AV752" i="3" s="1"/>
  <c r="AX752" i="3"/>
  <c r="AG752" i="3"/>
  <c r="AC752" i="3"/>
  <c r="AE752" i="3" l="1"/>
  <c r="AA752" i="3" s="1"/>
  <c r="AW752" i="3"/>
  <c r="AB752" i="3" s="1"/>
  <c r="Y753" i="3" l="1"/>
  <c r="W753" i="3"/>
  <c r="Z753" i="3"/>
  <c r="X753" i="3"/>
  <c r="AL753" i="3" l="1"/>
  <c r="AG753" i="3" s="1"/>
  <c r="BB753" i="3"/>
  <c r="BA753" i="3"/>
  <c r="AJ753" i="3"/>
  <c r="AK753" i="3"/>
  <c r="AD753" i="3" l="1"/>
  <c r="AC753" i="3"/>
  <c r="AF753" i="3"/>
  <c r="AE753" i="3"/>
  <c r="AW753" i="3"/>
  <c r="AV753" i="3"/>
  <c r="AY753" i="3"/>
  <c r="AX753" i="3"/>
  <c r="AH753" i="3"/>
  <c r="AA753" i="3" l="1"/>
  <c r="AB753" i="3"/>
  <c r="Z754" i="3" l="1"/>
  <c r="X754" i="3"/>
  <c r="W754" i="3"/>
  <c r="Y754" i="3"/>
  <c r="AJ754" i="3" l="1"/>
  <c r="AD754" i="3" s="1"/>
  <c r="AK754" i="3"/>
  <c r="AF754" i="3" s="1"/>
  <c r="BB754" i="3"/>
  <c r="AY754" i="3" s="1"/>
  <c r="BA754" i="3"/>
  <c r="AV754" i="3" s="1"/>
  <c r="AL754" i="3"/>
  <c r="AE754" i="3"/>
  <c r="AC754" i="3"/>
  <c r="AX754" i="3"/>
  <c r="AG754" i="3"/>
  <c r="AH754" i="3"/>
  <c r="AW754" i="3"/>
  <c r="AB754" i="3" s="1"/>
  <c r="X755" i="3" l="1"/>
  <c r="Z755" i="3"/>
  <c r="AA754" i="3"/>
  <c r="Y755" i="3" l="1"/>
  <c r="W755" i="3"/>
  <c r="AJ755" i="3" l="1"/>
  <c r="AD755" i="3" s="1"/>
  <c r="BB755" i="3"/>
  <c r="AY755" i="3" s="1"/>
  <c r="BA755" i="3"/>
  <c r="AL755" i="3"/>
  <c r="AH755" i="3" s="1"/>
  <c r="AK755" i="3"/>
  <c r="AF755" i="3" s="1"/>
  <c r="AX755" i="3"/>
  <c r="AC755" i="3"/>
  <c r="AG755" i="3"/>
  <c r="AE755" i="3" l="1"/>
  <c r="AV755" i="3"/>
  <c r="AW755" i="3"/>
  <c r="AB755" i="3" s="1"/>
  <c r="AA755" i="3"/>
  <c r="Y756" i="3" l="1"/>
  <c r="W756" i="3"/>
  <c r="X756" i="3"/>
  <c r="Z756" i="3"/>
  <c r="AK756" i="3" l="1"/>
  <c r="AF756" i="3" s="1"/>
  <c r="AJ756" i="3"/>
  <c r="AD756" i="3" s="1"/>
  <c r="BB756" i="3"/>
  <c r="BA756" i="3"/>
  <c r="AC756" i="3"/>
  <c r="AE756" i="3"/>
  <c r="AL756" i="3"/>
  <c r="AH756" i="3" s="1"/>
  <c r="AY756" i="3" l="1"/>
  <c r="AX756" i="3"/>
  <c r="AG756" i="3"/>
  <c r="AW756" i="3"/>
  <c r="AB756" i="3" s="1"/>
  <c r="AV756" i="3"/>
  <c r="AA756" i="3" l="1"/>
  <c r="Z757" i="3"/>
  <c r="X757" i="3"/>
  <c r="Y757" i="3"/>
  <c r="W757" i="3"/>
  <c r="AL757" i="3" l="1"/>
  <c r="AH757" i="3" s="1"/>
  <c r="BB757" i="3"/>
  <c r="AX757" i="3" s="1"/>
  <c r="AJ757" i="3"/>
  <c r="AD757" i="3" s="1"/>
  <c r="BA757" i="3"/>
  <c r="AW757" i="3" s="1"/>
  <c r="AK757" i="3"/>
  <c r="AF757" i="3" s="1"/>
  <c r="AV757" i="3"/>
  <c r="AC757" i="3"/>
  <c r="AG757" i="3"/>
  <c r="AY757" i="3"/>
  <c r="AB757" i="3" s="1"/>
  <c r="AE757" i="3" l="1"/>
  <c r="Z758" i="3"/>
  <c r="X758" i="3"/>
  <c r="AA757" i="3"/>
  <c r="Y758" i="3" l="1"/>
  <c r="W758" i="3"/>
  <c r="AL758" i="3" l="1"/>
  <c r="AH758" i="3" s="1"/>
  <c r="BB758" i="3"/>
  <c r="AK758" i="3"/>
  <c r="AF758" i="3" s="1"/>
  <c r="AJ758" i="3"/>
  <c r="BA758" i="3"/>
  <c r="AG758" i="3"/>
  <c r="AE758" i="3"/>
  <c r="AV758" i="3" l="1"/>
  <c r="AW758" i="3"/>
  <c r="AX758" i="3"/>
  <c r="AY758" i="3"/>
  <c r="AC758" i="3"/>
  <c r="AA758" i="3" s="1"/>
  <c r="AD758" i="3"/>
  <c r="AB758" i="3" s="1"/>
  <c r="Y759" i="3" l="1"/>
  <c r="W759" i="3"/>
  <c r="X759" i="3"/>
  <c r="Z759" i="3"/>
  <c r="AL759" i="3" l="1"/>
  <c r="AH759" i="3" s="1"/>
  <c r="BB759" i="3"/>
  <c r="AY759" i="3" s="1"/>
  <c r="BA759" i="3"/>
  <c r="AV759" i="3" s="1"/>
  <c r="AK759" i="3"/>
  <c r="AE759" i="3" s="1"/>
  <c r="AJ759" i="3"/>
  <c r="AC759" i="3" s="1"/>
  <c r="AA759" i="3" s="1"/>
  <c r="AG759" i="3"/>
  <c r="AX759" i="3"/>
  <c r="Y760" i="3" l="1"/>
  <c r="W760" i="3"/>
  <c r="AW759" i="3"/>
  <c r="AD759" i="3"/>
  <c r="AF759" i="3"/>
  <c r="AB759" i="3" l="1"/>
  <c r="X760" i="3" l="1"/>
  <c r="Z760" i="3"/>
  <c r="BB760" i="3" l="1"/>
  <c r="AK760" i="3"/>
  <c r="AE760" i="3" s="1"/>
  <c r="BA760" i="3"/>
  <c r="AV760" i="3" s="1"/>
  <c r="AL760" i="3"/>
  <c r="AJ760" i="3"/>
  <c r="AH760" i="3" l="1"/>
  <c r="AG760" i="3"/>
  <c r="AY760" i="3"/>
  <c r="AX760" i="3"/>
  <c r="AD760" i="3"/>
  <c r="AC760" i="3"/>
  <c r="AA760" i="3" s="1"/>
  <c r="AF760" i="3"/>
  <c r="AW760" i="3"/>
  <c r="Y761" i="3" l="1"/>
  <c r="W761" i="3"/>
  <c r="AB760" i="3"/>
  <c r="Z761" i="3" l="1"/>
  <c r="X761" i="3"/>
  <c r="AL761" i="3"/>
  <c r="BB761" i="3"/>
  <c r="AY761" i="3" s="1"/>
  <c r="AJ761" i="3"/>
  <c r="AD761" i="3" s="1"/>
  <c r="AK761" i="3"/>
  <c r="AF761" i="3" s="1"/>
  <c r="BA761" i="3"/>
  <c r="AW761" i="3" s="1"/>
  <c r="AG761" i="3"/>
  <c r="AV761" i="3"/>
  <c r="AC761" i="3"/>
  <c r="AX761" i="3"/>
  <c r="AE761" i="3" l="1"/>
  <c r="AH761" i="3"/>
  <c r="AA761" i="3"/>
  <c r="AB761" i="3"/>
  <c r="X762" i="3" s="1"/>
  <c r="Z762" i="3"/>
  <c r="Y762" i="3" l="1"/>
  <c r="W762" i="3"/>
  <c r="AK762" i="3" l="1"/>
  <c r="AF762" i="3" s="1"/>
  <c r="BA762" i="3"/>
  <c r="AW762" i="3" s="1"/>
  <c r="AL762" i="3"/>
  <c r="AH762" i="3" s="1"/>
  <c r="AJ762" i="3"/>
  <c r="AD762" i="3" s="1"/>
  <c r="BB762" i="3"/>
  <c r="AY762" i="3" s="1"/>
  <c r="AV762" i="3"/>
  <c r="AG762" i="3"/>
  <c r="AE762" i="3"/>
  <c r="AX762" i="3"/>
  <c r="AC762" i="3"/>
  <c r="AA762" i="3" l="1"/>
  <c r="AB762" i="3"/>
  <c r="X763" i="3" l="1"/>
  <c r="Z763" i="3"/>
  <c r="Y763" i="3"/>
  <c r="W763" i="3"/>
  <c r="AL763" i="3" l="1"/>
  <c r="AH763" i="3" s="1"/>
  <c r="BB763" i="3"/>
  <c r="AY763" i="3" s="1"/>
  <c r="AK763" i="3"/>
  <c r="AF763" i="3" s="1"/>
  <c r="AJ763" i="3"/>
  <c r="AD763" i="3" s="1"/>
  <c r="BA763" i="3"/>
  <c r="AV763" i="3" s="1"/>
  <c r="AX763" i="3"/>
  <c r="AC763" i="3"/>
  <c r="AG763" i="3"/>
  <c r="AE763" i="3"/>
  <c r="AW763" i="3"/>
  <c r="AB763" i="3" s="1"/>
  <c r="X764" i="3" l="1"/>
  <c r="Z764" i="3"/>
  <c r="AA763" i="3"/>
  <c r="W764" i="3" l="1"/>
  <c r="Y764" i="3"/>
  <c r="AL764" i="3" l="1"/>
  <c r="AH764" i="3" s="1"/>
  <c r="BB764" i="3"/>
  <c r="AY764" i="3" s="1"/>
  <c r="BA764" i="3"/>
  <c r="AW764" i="3" s="1"/>
  <c r="AK764" i="3"/>
  <c r="AF764" i="3" s="1"/>
  <c r="AJ764" i="3"/>
  <c r="AD764" i="3" s="1"/>
  <c r="AB764" i="3" s="1"/>
  <c r="AV764" i="3"/>
  <c r="AX764" i="3"/>
  <c r="AE764" i="3"/>
  <c r="AG764" i="3"/>
  <c r="X765" i="3" l="1"/>
  <c r="Z765" i="3"/>
  <c r="AC764" i="3"/>
  <c r="AA764" i="3" s="1"/>
  <c r="Y765" i="3" l="1"/>
  <c r="W765" i="3"/>
  <c r="AL765" i="3" l="1"/>
  <c r="AH765" i="3" s="1"/>
  <c r="BA765" i="3"/>
  <c r="AW765" i="3" s="1"/>
  <c r="BB765" i="3"/>
  <c r="AY765" i="3" s="1"/>
  <c r="AJ765" i="3"/>
  <c r="AD765" i="3" s="1"/>
  <c r="AK765" i="3"/>
  <c r="AF765" i="3" s="1"/>
  <c r="AV765" i="3"/>
  <c r="AC765" i="3"/>
  <c r="AX765" i="3"/>
  <c r="AG765" i="3"/>
  <c r="AE765" i="3" l="1"/>
  <c r="AA765" i="3" s="1"/>
  <c r="AB765" i="3"/>
  <c r="W766" i="3" l="1"/>
  <c r="Y766" i="3"/>
  <c r="Z766" i="3"/>
  <c r="X766" i="3"/>
  <c r="AL766" i="3" l="1"/>
  <c r="AH766" i="3" s="1"/>
  <c r="BB766" i="3"/>
  <c r="AY766" i="3" s="1"/>
  <c r="BA766" i="3"/>
  <c r="AW766" i="3" s="1"/>
  <c r="AK766" i="3"/>
  <c r="AF766" i="3" s="1"/>
  <c r="AJ766" i="3"/>
  <c r="AD766" i="3" s="1"/>
  <c r="AX766" i="3"/>
  <c r="AC766" i="3"/>
  <c r="AG766" i="3"/>
  <c r="AV766" i="3"/>
  <c r="AE766" i="3"/>
  <c r="AA766" i="3" l="1"/>
  <c r="AB766" i="3"/>
  <c r="Z767" i="3" l="1"/>
  <c r="X767" i="3"/>
  <c r="Y767" i="3"/>
  <c r="W767" i="3"/>
  <c r="AJ767" i="3" l="1"/>
  <c r="AD767" i="3" s="1"/>
  <c r="AL767" i="3"/>
  <c r="BA767" i="3"/>
  <c r="AV767" i="3" s="1"/>
  <c r="AK767" i="3"/>
  <c r="AF767" i="3" s="1"/>
  <c r="BB767" i="3"/>
  <c r="AX767" i="3" s="1"/>
  <c r="AG767" i="3"/>
  <c r="AE767" i="3"/>
  <c r="AC767" i="3"/>
  <c r="AA767" i="3" s="1"/>
  <c r="AH767" i="3"/>
  <c r="AW767" i="3"/>
  <c r="AY767" i="3"/>
  <c r="AB767" i="3" s="1"/>
  <c r="W768" i="3" l="1"/>
  <c r="Y768" i="3"/>
  <c r="X768" i="3"/>
  <c r="Z768" i="3"/>
  <c r="AJ768" i="3" l="1"/>
  <c r="AL768" i="3"/>
  <c r="AG768" i="3" s="1"/>
  <c r="AK768" i="3"/>
  <c r="AF768" i="3" s="1"/>
  <c r="BA768" i="3"/>
  <c r="BB768" i="3"/>
  <c r="AY768" i="3" l="1"/>
  <c r="AX768" i="3"/>
  <c r="AW768" i="3"/>
  <c r="AV768" i="3"/>
  <c r="AE768" i="3"/>
  <c r="AD768" i="3"/>
  <c r="AC768" i="3"/>
  <c r="AA768" i="3" s="1"/>
  <c r="AH768" i="3"/>
  <c r="AB768" i="3" l="1"/>
  <c r="Y769" i="3"/>
  <c r="W769" i="3"/>
  <c r="Z769" i="3" l="1"/>
  <c r="X769" i="3"/>
  <c r="AL769" i="3" l="1"/>
  <c r="AG769" i="3" s="1"/>
  <c r="AK769" i="3"/>
  <c r="AJ769" i="3"/>
  <c r="BB769" i="3"/>
  <c r="BA769" i="3"/>
  <c r="AD769" i="3" l="1"/>
  <c r="AC769" i="3"/>
  <c r="AY769" i="3"/>
  <c r="AX769" i="3"/>
  <c r="AF769" i="3"/>
  <c r="AE769" i="3"/>
  <c r="AW769" i="3"/>
  <c r="AV769" i="3"/>
  <c r="AH769" i="3"/>
  <c r="AA769" i="3" l="1"/>
  <c r="AB769" i="3"/>
  <c r="X770" i="3" l="1"/>
  <c r="Z770" i="3"/>
  <c r="Y770" i="3"/>
  <c r="W770" i="3"/>
  <c r="AJ770" i="3" l="1"/>
  <c r="AD770" i="3" s="1"/>
  <c r="AL770" i="3"/>
  <c r="BA770" i="3"/>
  <c r="AV770" i="3" s="1"/>
  <c r="BB770" i="3"/>
  <c r="AY770" i="3" s="1"/>
  <c r="AK770" i="3"/>
  <c r="AF770" i="3" s="1"/>
  <c r="AE770" i="3"/>
  <c r="AC770" i="3"/>
  <c r="AX770" i="3"/>
  <c r="AG770" i="3"/>
  <c r="AH770" i="3"/>
  <c r="AW770" i="3"/>
  <c r="AB770" i="3" s="1"/>
  <c r="Z771" i="3" s="1"/>
  <c r="X771" i="3" l="1"/>
  <c r="AA770" i="3"/>
  <c r="Y771" i="3" l="1"/>
  <c r="W771" i="3"/>
  <c r="BB771" i="3" l="1"/>
  <c r="AY771" i="3" s="1"/>
  <c r="BA771" i="3"/>
  <c r="AW771" i="3" s="1"/>
  <c r="AL771" i="3"/>
  <c r="AH771" i="3" s="1"/>
  <c r="AK771" i="3"/>
  <c r="AJ771" i="3"/>
  <c r="AX771" i="3"/>
  <c r="AG771" i="3"/>
  <c r="AV771" i="3"/>
  <c r="AC771" i="3" l="1"/>
  <c r="AD771" i="3"/>
  <c r="AE771" i="3"/>
  <c r="AF771" i="3"/>
  <c r="AB771" i="3" l="1"/>
  <c r="AA771" i="3"/>
  <c r="Y772" i="3" l="1"/>
  <c r="W772" i="3"/>
  <c r="Z772" i="3"/>
  <c r="X772" i="3"/>
  <c r="BB772" i="3" l="1"/>
  <c r="AY772" i="3" s="1"/>
  <c r="BA772" i="3"/>
  <c r="AV772" i="3" s="1"/>
  <c r="AL772" i="3"/>
  <c r="AH772" i="3" s="1"/>
  <c r="AK772" i="3"/>
  <c r="AE772" i="3" s="1"/>
  <c r="AJ772" i="3"/>
  <c r="AC772" i="3" s="1"/>
  <c r="AX772" i="3"/>
  <c r="AG772" i="3"/>
  <c r="AA772" i="3" s="1"/>
  <c r="Y773" i="3" s="1"/>
  <c r="W773" i="3" l="1"/>
  <c r="AF772" i="3"/>
  <c r="AD772" i="3"/>
  <c r="AW772" i="3"/>
  <c r="AB772" i="3" l="1"/>
  <c r="Z773" i="3" l="1"/>
  <c r="X773" i="3"/>
  <c r="BB773" i="3" l="1"/>
  <c r="AX773" i="3" s="1"/>
  <c r="AY773" i="3"/>
  <c r="AK773" i="3"/>
  <c r="AE773" i="3" s="1"/>
  <c r="AL773" i="3"/>
  <c r="BA773" i="3"/>
  <c r="AV773" i="3" s="1"/>
  <c r="AJ773" i="3"/>
  <c r="AC773" i="3" s="1"/>
  <c r="AH773" i="3" l="1"/>
  <c r="AG773" i="3"/>
  <c r="AF773" i="3"/>
  <c r="AW773" i="3"/>
  <c r="AA773" i="3"/>
  <c r="AD773" i="3"/>
  <c r="Y774" i="3" l="1"/>
  <c r="W774" i="3"/>
  <c r="AB773" i="3"/>
  <c r="X774" i="3" l="1"/>
  <c r="Z774" i="3"/>
  <c r="AJ774" i="3"/>
  <c r="AC774" i="3" s="1"/>
  <c r="AK774" i="3"/>
  <c r="AE774" i="3" s="1"/>
  <c r="AL774" i="3"/>
  <c r="AG774" i="3" s="1"/>
  <c r="BA774" i="3"/>
  <c r="AV774" i="3" s="1"/>
  <c r="BB774" i="3" l="1"/>
  <c r="AX774" i="3" s="1"/>
  <c r="AA774" i="3" s="1"/>
  <c r="AD774" i="3"/>
  <c r="AY774" i="3"/>
  <c r="AF774" i="3"/>
  <c r="AH774" i="3"/>
  <c r="AW774" i="3"/>
  <c r="AB774" i="3" l="1"/>
  <c r="Z775" i="3" s="1"/>
  <c r="Y775" i="3"/>
  <c r="W775" i="3"/>
  <c r="X775" i="3"/>
  <c r="BA775" i="3" l="1"/>
  <c r="AV775" i="3" s="1"/>
  <c r="AL775" i="3"/>
  <c r="AH775" i="3" s="1"/>
  <c r="AJ775" i="3"/>
  <c r="AC775" i="3" s="1"/>
  <c r="BB775" i="3"/>
  <c r="AX775" i="3" s="1"/>
  <c r="AG775" i="3"/>
  <c r="AK775" i="3"/>
  <c r="AF775" i="3" s="1"/>
  <c r="AD775" i="3" l="1"/>
  <c r="AE775" i="3"/>
  <c r="AA775" i="3" s="1"/>
  <c r="AW775" i="3"/>
  <c r="AY775" i="3"/>
  <c r="W776" i="3" l="1"/>
  <c r="Y776" i="3"/>
  <c r="AB775" i="3"/>
  <c r="Z776" i="3" l="1"/>
  <c r="X776" i="3"/>
  <c r="AK776" i="3"/>
  <c r="AF776" i="3" s="1"/>
  <c r="BB776" i="3"/>
  <c r="AY776" i="3" s="1"/>
  <c r="AJ776" i="3"/>
  <c r="AD776" i="3" s="1"/>
  <c r="AL776" i="3"/>
  <c r="AG776" i="3" s="1"/>
  <c r="AX776" i="3"/>
  <c r="AE776" i="3"/>
  <c r="AC776" i="3"/>
  <c r="AH776" i="3" l="1"/>
  <c r="BA776" i="3"/>
  <c r="AV776" i="3" s="1"/>
  <c r="AA776" i="3" s="1"/>
  <c r="Y777" i="3" l="1"/>
  <c r="W777" i="3"/>
  <c r="AW776" i="3"/>
  <c r="AB776" i="3" s="1"/>
  <c r="Z777" i="3" l="1"/>
  <c r="X777" i="3"/>
  <c r="AJ777" i="3" l="1"/>
  <c r="AC777" i="3" s="1"/>
  <c r="BA777" i="3"/>
  <c r="AV777" i="3" s="1"/>
  <c r="BB777" i="3"/>
  <c r="AX777" i="3" s="1"/>
  <c r="AK777" i="3"/>
  <c r="AE777" i="3" s="1"/>
  <c r="AL777" i="3"/>
  <c r="AG777" i="3" s="1"/>
  <c r="AH777" i="3" l="1"/>
  <c r="AY777" i="3"/>
  <c r="AA777" i="3"/>
  <c r="AD777" i="3"/>
  <c r="AF777" i="3"/>
  <c r="AW777" i="3"/>
  <c r="AB777" i="3" l="1"/>
  <c r="W778" i="3"/>
  <c r="Y778" i="3"/>
  <c r="X778" i="3" l="1"/>
  <c r="Z778" i="3"/>
  <c r="BA778" i="3" l="1"/>
  <c r="AV778" i="3" s="1"/>
  <c r="AK778" i="3"/>
  <c r="AE778" i="3" s="1"/>
  <c r="BB778" i="3"/>
  <c r="AX778" i="3" s="1"/>
  <c r="AL778" i="3"/>
  <c r="AG778" i="3" s="1"/>
  <c r="AJ778" i="3"/>
  <c r="AC778" i="3" s="1"/>
  <c r="AA778" i="3" l="1"/>
  <c r="AD778" i="3"/>
  <c r="AY778" i="3"/>
  <c r="AW778" i="3"/>
  <c r="AF778" i="3"/>
  <c r="AH778" i="3"/>
  <c r="AB778" i="3" l="1"/>
  <c r="Y779" i="3"/>
  <c r="W779" i="3"/>
  <c r="X779" i="3" l="1"/>
  <c r="Z779" i="3"/>
  <c r="AK779" i="3" l="1"/>
  <c r="BA779" i="3"/>
  <c r="AL779" i="3"/>
  <c r="BB779" i="3"/>
  <c r="AJ779" i="3"/>
  <c r="AH779" i="3" l="1"/>
  <c r="AG779" i="3"/>
  <c r="AD779" i="3"/>
  <c r="AC779" i="3"/>
  <c r="AF779" i="3"/>
  <c r="AE779" i="3"/>
  <c r="AY779" i="3"/>
  <c r="AX779" i="3"/>
  <c r="AW779" i="3"/>
  <c r="AV779" i="3"/>
  <c r="AA779" i="3" l="1"/>
  <c r="AB779" i="3"/>
  <c r="X780" i="3" l="1"/>
  <c r="Z780" i="3"/>
  <c r="Y780" i="3"/>
  <c r="W780" i="3"/>
  <c r="BB780" i="3" l="1"/>
  <c r="AY780" i="3" s="1"/>
  <c r="AL780" i="3"/>
  <c r="AH780" i="3" s="1"/>
  <c r="BA780" i="3"/>
  <c r="AV780" i="3" s="1"/>
  <c r="AJ780" i="3"/>
  <c r="AD780" i="3" s="1"/>
  <c r="AK780" i="3"/>
  <c r="AF780" i="3" s="1"/>
  <c r="AG780" i="3"/>
  <c r="AC780" i="3"/>
  <c r="AX780" i="3"/>
  <c r="AE780" i="3"/>
  <c r="AW780" i="3"/>
  <c r="AB780" i="3" l="1"/>
  <c r="X781" i="3" s="1"/>
  <c r="AA780" i="3"/>
  <c r="Z781" i="3"/>
  <c r="W781" i="3" l="1"/>
  <c r="Y781" i="3"/>
  <c r="BB781" i="3" l="1"/>
  <c r="AY781" i="3" s="1"/>
  <c r="BA781" i="3"/>
  <c r="AW781" i="3" s="1"/>
  <c r="AJ781" i="3"/>
  <c r="AD781" i="3" s="1"/>
  <c r="AL781" i="3"/>
  <c r="AH781" i="3" s="1"/>
  <c r="AK781" i="3"/>
  <c r="AF781" i="3" s="1"/>
  <c r="AC781" i="3"/>
  <c r="AG781" i="3"/>
  <c r="AE781" i="3"/>
  <c r="AV781" i="3"/>
  <c r="AX781" i="3"/>
  <c r="AB781" i="3" l="1"/>
  <c r="AA781" i="3"/>
  <c r="W782" i="3" l="1"/>
  <c r="Y782" i="3"/>
  <c r="Z782" i="3"/>
  <c r="X782" i="3"/>
  <c r="AL782" i="3" l="1"/>
  <c r="AH782" i="3" s="1"/>
  <c r="AJ782" i="3"/>
  <c r="AD782" i="3" s="1"/>
  <c r="BB782" i="3"/>
  <c r="AY782" i="3" s="1"/>
  <c r="AK782" i="3"/>
  <c r="AF782" i="3" s="1"/>
  <c r="BA782" i="3"/>
  <c r="AV782" i="3" s="1"/>
  <c r="AC782" i="3"/>
  <c r="AG782" i="3"/>
  <c r="AE782" i="3"/>
  <c r="AX782" i="3"/>
  <c r="AA782" i="3" l="1"/>
  <c r="AW782" i="3"/>
  <c r="AB782" i="3" s="1"/>
  <c r="Z783" i="3" l="1"/>
  <c r="X783" i="3"/>
  <c r="Y783" i="3"/>
  <c r="W783" i="3"/>
  <c r="AJ783" i="3" l="1"/>
  <c r="AD783" i="3" s="1"/>
  <c r="AK783" i="3"/>
  <c r="AF783" i="3" s="1"/>
  <c r="BA783" i="3"/>
  <c r="AW783" i="3" s="1"/>
  <c r="BB783" i="3"/>
  <c r="AY783" i="3" s="1"/>
  <c r="AL783" i="3"/>
  <c r="AH783" i="3" s="1"/>
  <c r="AV783" i="3"/>
  <c r="AC783" i="3"/>
  <c r="AE783" i="3"/>
  <c r="AG783" i="3"/>
  <c r="AX783" i="3"/>
  <c r="AA783" i="3" l="1"/>
  <c r="AB783" i="3"/>
  <c r="Y784" i="3" l="1"/>
  <c r="W784" i="3"/>
  <c r="X784" i="3"/>
  <c r="Z784" i="3"/>
  <c r="AK784" i="3" l="1"/>
  <c r="AL784" i="3"/>
  <c r="BB784" i="3"/>
  <c r="BA784" i="3"/>
  <c r="AV784" i="3" s="1"/>
  <c r="AJ784" i="3"/>
  <c r="AY784" i="3" l="1"/>
  <c r="AX784" i="3"/>
  <c r="AD784" i="3"/>
  <c r="AC784" i="3"/>
  <c r="AH784" i="3"/>
  <c r="AG784" i="3"/>
  <c r="AF784" i="3"/>
  <c r="AE784" i="3"/>
  <c r="AW784" i="3"/>
  <c r="AB784" i="3" s="1"/>
  <c r="X785" i="3" l="1"/>
  <c r="Z785" i="3"/>
  <c r="AA784" i="3"/>
  <c r="Y785" i="3" l="1"/>
  <c r="W785" i="3"/>
  <c r="BB785" i="3" l="1"/>
  <c r="AY785" i="3" s="1"/>
  <c r="BA785" i="3"/>
  <c r="AW785" i="3" s="1"/>
  <c r="AK785" i="3"/>
  <c r="AF785" i="3" s="1"/>
  <c r="AL785" i="3"/>
  <c r="AH785" i="3" s="1"/>
  <c r="AJ785" i="3"/>
  <c r="AD785" i="3" s="1"/>
  <c r="AB785" i="3" s="1"/>
  <c r="AE785" i="3"/>
  <c r="AX785" i="3"/>
  <c r="AV785" i="3"/>
  <c r="AC785" i="3"/>
  <c r="AG785" i="3"/>
  <c r="AA785" i="3" l="1"/>
  <c r="Z786" i="3"/>
  <c r="X786" i="3"/>
  <c r="W786" i="3" l="1"/>
  <c r="Y786" i="3"/>
  <c r="AL786" i="3" l="1"/>
  <c r="AH786" i="3" s="1"/>
  <c r="AK786" i="3"/>
  <c r="AF786" i="3" s="1"/>
  <c r="AJ786" i="3"/>
  <c r="BB786" i="3"/>
  <c r="AY786" i="3" s="1"/>
  <c r="BA786" i="3"/>
  <c r="AE786" i="3"/>
  <c r="AX786" i="3"/>
  <c r="AG786" i="3"/>
  <c r="AC786" i="3" l="1"/>
  <c r="AD786" i="3"/>
  <c r="AV786" i="3"/>
  <c r="AW786" i="3"/>
  <c r="AB786" i="3" l="1"/>
  <c r="AA786" i="3"/>
  <c r="Y787" i="3" l="1"/>
  <c r="W787" i="3"/>
  <c r="Z787" i="3"/>
  <c r="X787" i="3"/>
  <c r="BA787" i="3" l="1"/>
  <c r="AV787" i="3" s="1"/>
  <c r="AJ787" i="3"/>
  <c r="AD787" i="3" s="1"/>
  <c r="BB787" i="3"/>
  <c r="AX787" i="3" s="1"/>
  <c r="AK787" i="3"/>
  <c r="AF787" i="3" s="1"/>
  <c r="AL787" i="3"/>
  <c r="AH787" i="3" s="1"/>
  <c r="AE787" i="3"/>
  <c r="AC787" i="3"/>
  <c r="AG787" i="3" l="1"/>
  <c r="AA787" i="3" s="1"/>
  <c r="AW787" i="3"/>
  <c r="AY787" i="3"/>
  <c r="AB787" i="3" s="1"/>
  <c r="Y788" i="3" l="1"/>
  <c r="W788" i="3"/>
  <c r="Z788" i="3"/>
  <c r="X788" i="3"/>
  <c r="AL788" i="3" l="1"/>
  <c r="AH788" i="3" s="1"/>
  <c r="AK788" i="3"/>
  <c r="AF788" i="3" s="1"/>
  <c r="BB788" i="3"/>
  <c r="AY788" i="3" s="1"/>
  <c r="AJ788" i="3"/>
  <c r="AD788" i="3" s="1"/>
  <c r="BA788" i="3"/>
  <c r="AW788" i="3" s="1"/>
  <c r="AC788" i="3"/>
  <c r="AG788" i="3"/>
  <c r="AX788" i="3"/>
  <c r="AV788" i="3" l="1"/>
  <c r="AE788" i="3"/>
  <c r="AA788" i="3" s="1"/>
  <c r="AB788" i="3"/>
  <c r="Y789" i="3" l="1"/>
  <c r="W789" i="3"/>
  <c r="Z789" i="3"/>
  <c r="X789" i="3"/>
  <c r="BA789" i="3" l="1"/>
  <c r="AV789" i="3" s="1"/>
  <c r="AL789" i="3"/>
  <c r="AH789" i="3" s="1"/>
  <c r="AK789" i="3"/>
  <c r="AF789" i="3" s="1"/>
  <c r="BB789" i="3"/>
  <c r="AX789" i="3" s="1"/>
  <c r="AJ789" i="3"/>
  <c r="AD789" i="3" s="1"/>
  <c r="AE789" i="3"/>
  <c r="AG789" i="3"/>
  <c r="AC789" i="3" l="1"/>
  <c r="AA789" i="3" s="1"/>
  <c r="W790" i="3" s="1"/>
  <c r="AW789" i="3"/>
  <c r="AB789" i="3" s="1"/>
  <c r="AY789" i="3"/>
  <c r="Y790" i="3" l="1"/>
  <c r="Z790" i="3"/>
  <c r="X790" i="3"/>
  <c r="AL790" i="3" l="1"/>
  <c r="AG790" i="3" s="1"/>
  <c r="AJ790" i="3"/>
  <c r="AC790" i="3" s="1"/>
  <c r="BA790" i="3"/>
  <c r="AV790" i="3" s="1"/>
  <c r="BB790" i="3"/>
  <c r="AX790" i="3" s="1"/>
  <c r="AK790" i="3"/>
  <c r="AF790" i="3" l="1"/>
  <c r="AE790" i="3"/>
  <c r="AA790" i="3" s="1"/>
  <c r="AH790" i="3"/>
  <c r="AD790" i="3"/>
  <c r="AW790" i="3"/>
  <c r="AY790" i="3"/>
  <c r="Y791" i="3" l="1"/>
  <c r="W791" i="3"/>
  <c r="AB790" i="3"/>
  <c r="X791" i="3" l="1"/>
  <c r="Z791" i="3"/>
  <c r="AL791" i="3"/>
  <c r="AH791" i="3" s="1"/>
  <c r="BA791" i="3"/>
  <c r="AV791" i="3" s="1"/>
  <c r="AJ791" i="3"/>
  <c r="AD791" i="3" s="1"/>
  <c r="BB791" i="3"/>
  <c r="AY791" i="3" s="1"/>
  <c r="AK791" i="3"/>
  <c r="AF791" i="3" s="1"/>
  <c r="AC791" i="3"/>
  <c r="AG791" i="3"/>
  <c r="AX791" i="3"/>
  <c r="AE791" i="3" l="1"/>
  <c r="AA791" i="3"/>
  <c r="AW791" i="3"/>
  <c r="AB791" i="3" s="1"/>
  <c r="Z792" i="3" s="1"/>
  <c r="X792" i="3" l="1"/>
  <c r="W792" i="3"/>
  <c r="Y792" i="3"/>
  <c r="BB792" i="3" l="1"/>
  <c r="AY792" i="3" s="1"/>
  <c r="AL792" i="3"/>
  <c r="AH792" i="3" s="1"/>
  <c r="AK792" i="3"/>
  <c r="AF792" i="3" s="1"/>
  <c r="BA792" i="3"/>
  <c r="AV792" i="3" s="1"/>
  <c r="AJ792" i="3"/>
  <c r="AD792" i="3" s="1"/>
  <c r="AX792" i="3"/>
  <c r="AG792" i="3"/>
  <c r="AW792" i="3"/>
  <c r="AB792" i="3" s="1"/>
  <c r="Z793" i="3" s="1"/>
  <c r="AC792" i="3" l="1"/>
  <c r="AE792" i="3"/>
  <c r="AA792" i="3" s="1"/>
  <c r="X793" i="3"/>
  <c r="Y793" i="3" l="1"/>
  <c r="W793" i="3"/>
  <c r="AJ793" i="3" l="1"/>
  <c r="AL793" i="3"/>
  <c r="AH793" i="3" s="1"/>
  <c r="BA793" i="3"/>
  <c r="AK793" i="3"/>
  <c r="AF793" i="3" s="1"/>
  <c r="BB793" i="3"/>
  <c r="AG793" i="3"/>
  <c r="AE793" i="3"/>
  <c r="AX793" i="3" l="1"/>
  <c r="AY793" i="3"/>
  <c r="AV793" i="3"/>
  <c r="AW793" i="3"/>
  <c r="AC793" i="3"/>
  <c r="AA793" i="3" s="1"/>
  <c r="AD793" i="3"/>
  <c r="AB793" i="3" s="1"/>
  <c r="W794" i="3" l="1"/>
  <c r="Y794" i="3"/>
  <c r="Z794" i="3"/>
  <c r="X794" i="3"/>
  <c r="AL794" i="3" l="1"/>
  <c r="AH794" i="3" s="1"/>
  <c r="BB794" i="3"/>
  <c r="AY794" i="3" s="1"/>
  <c r="AJ794" i="3"/>
  <c r="AC794" i="3" s="1"/>
  <c r="AK794" i="3"/>
  <c r="AF794" i="3" s="1"/>
  <c r="BA794" i="3"/>
  <c r="AW794" i="3" s="1"/>
  <c r="AE794" i="3"/>
  <c r="AG794" i="3"/>
  <c r="AX794" i="3"/>
  <c r="AV794" i="3" l="1"/>
  <c r="AA794" i="3"/>
  <c r="AD794" i="3"/>
  <c r="AB794" i="3" s="1"/>
  <c r="Z795" i="3" l="1"/>
  <c r="X795" i="3"/>
  <c r="Y795" i="3"/>
  <c r="W795" i="3"/>
  <c r="AJ795" i="3" l="1"/>
  <c r="AC795" i="3" s="1"/>
  <c r="AK795" i="3"/>
  <c r="AF795" i="3" s="1"/>
  <c r="BA795" i="3"/>
  <c r="AW795" i="3" s="1"/>
  <c r="AL795" i="3"/>
  <c r="AH795" i="3" s="1"/>
  <c r="BB795" i="3"/>
  <c r="AY795" i="3" s="1"/>
  <c r="AG795" i="3"/>
  <c r="AV795" i="3"/>
  <c r="AE795" i="3"/>
  <c r="AX795" i="3" l="1"/>
  <c r="AA795" i="3" s="1"/>
  <c r="AD795" i="3"/>
  <c r="AB795" i="3" s="1"/>
  <c r="Y796" i="3" l="1"/>
  <c r="W796" i="3"/>
  <c r="X796" i="3"/>
  <c r="Z796" i="3"/>
  <c r="AL796" i="3" l="1"/>
  <c r="BB796" i="3"/>
  <c r="AY796" i="3" s="1"/>
  <c r="AJ796" i="3"/>
  <c r="AC796" i="3" s="1"/>
  <c r="AK796" i="3"/>
  <c r="AF796" i="3" s="1"/>
  <c r="BA796" i="3"/>
  <c r="AW796" i="3" s="1"/>
  <c r="AX796" i="3"/>
  <c r="AG796" i="3"/>
  <c r="AE796" i="3"/>
  <c r="AH796" i="3"/>
  <c r="AD796" i="3"/>
  <c r="AB796" i="3" l="1"/>
  <c r="Z797" i="3" s="1"/>
  <c r="X797" i="3"/>
  <c r="AV796" i="3"/>
  <c r="AA796" i="3" s="1"/>
  <c r="W797" i="3" l="1"/>
  <c r="Y797" i="3"/>
  <c r="BA797" i="3" l="1"/>
  <c r="AK797" i="3"/>
  <c r="BB797" i="3"/>
  <c r="AY797" i="3" s="1"/>
  <c r="AL797" i="3"/>
  <c r="AH797" i="3" s="1"/>
  <c r="AJ797" i="3"/>
  <c r="AG797" i="3"/>
  <c r="AX797" i="3"/>
  <c r="AC797" i="3" l="1"/>
  <c r="AD797" i="3"/>
  <c r="AV797" i="3"/>
  <c r="AW797" i="3"/>
  <c r="AE797" i="3"/>
  <c r="AF797" i="3"/>
  <c r="AA797" i="3" l="1"/>
  <c r="Y798" i="3"/>
  <c r="W798" i="3"/>
  <c r="AB797" i="3"/>
  <c r="Z798" i="3" l="1"/>
  <c r="X798" i="3"/>
  <c r="BA798" i="3"/>
  <c r="AV798" i="3" s="1"/>
  <c r="AK798" i="3"/>
  <c r="AE798" i="3" s="1"/>
  <c r="AJ798" i="3"/>
  <c r="AD798" i="3" s="1"/>
  <c r="AL798" i="3"/>
  <c r="AH798" i="3" s="1"/>
  <c r="AC798" i="3"/>
  <c r="AG798" i="3"/>
  <c r="AW798" i="3" l="1"/>
  <c r="AF798" i="3"/>
  <c r="BB798" i="3"/>
  <c r="AY798" i="3" l="1"/>
  <c r="AB798" i="3" s="1"/>
  <c r="AX798" i="3"/>
  <c r="AA798" i="3" s="1"/>
  <c r="X799" i="3" l="1"/>
  <c r="Z799" i="3"/>
  <c r="Y799" i="3"/>
  <c r="W799" i="3"/>
  <c r="BB799" i="3" l="1"/>
  <c r="AY799" i="3" s="1"/>
  <c r="BA799" i="3"/>
  <c r="AV799" i="3" s="1"/>
  <c r="AL799" i="3"/>
  <c r="AH799" i="3" s="1"/>
  <c r="AJ799" i="3"/>
  <c r="AD799" i="3" s="1"/>
  <c r="AK799" i="3"/>
  <c r="AF799" i="3" s="1"/>
  <c r="AC799" i="3"/>
  <c r="AG799" i="3"/>
  <c r="AX799" i="3"/>
  <c r="AE799" i="3"/>
  <c r="AW799" i="3"/>
  <c r="AB799" i="3" s="1"/>
  <c r="X800" i="3" s="1"/>
  <c r="Z800" i="3" l="1"/>
  <c r="AA799" i="3"/>
  <c r="Y800" i="3" l="1"/>
  <c r="W800" i="3"/>
  <c r="BB800" i="3" l="1"/>
  <c r="AY800" i="3" s="1"/>
  <c r="AL800" i="3"/>
  <c r="AH800" i="3" s="1"/>
  <c r="AK800" i="3"/>
  <c r="AJ800" i="3"/>
  <c r="AD800" i="3" s="1"/>
  <c r="BA800" i="3"/>
  <c r="AX800" i="3"/>
  <c r="AG800" i="3"/>
  <c r="AC800" i="3" l="1"/>
  <c r="AE800" i="3"/>
  <c r="AF800" i="3"/>
  <c r="AV800" i="3"/>
  <c r="AW800" i="3"/>
  <c r="AA800" i="3" l="1"/>
  <c r="Y801" i="3"/>
  <c r="W801" i="3"/>
  <c r="AB800" i="3"/>
  <c r="Z801" i="3" l="1"/>
  <c r="X801" i="3"/>
  <c r="AK801" i="3"/>
  <c r="AF801" i="3" s="1"/>
  <c r="BB801" i="3"/>
  <c r="AY801" i="3" s="1"/>
  <c r="AL801" i="3"/>
  <c r="AH801" i="3" s="1"/>
  <c r="BA801" i="3"/>
  <c r="AV801" i="3" s="1"/>
  <c r="AJ801" i="3"/>
  <c r="AD801" i="3" s="1"/>
  <c r="AX801" i="3"/>
  <c r="AG801" i="3"/>
  <c r="AE801" i="3"/>
  <c r="AC801" i="3"/>
  <c r="AA801" i="3" s="1"/>
  <c r="Y802" i="3" s="1"/>
  <c r="W802" i="3" l="1"/>
  <c r="AW801" i="3"/>
  <c r="AB801" i="3" s="1"/>
  <c r="X802" i="3" s="1"/>
  <c r="Z802" i="3" l="1"/>
  <c r="BA802" i="3"/>
  <c r="AV802" i="3" s="1"/>
  <c r="AJ802" i="3"/>
  <c r="AD802" i="3" s="1"/>
  <c r="AK802" i="3"/>
  <c r="AF802" i="3" s="1"/>
  <c r="AL802" i="3"/>
  <c r="AH802" i="3" s="1"/>
  <c r="BB802" i="3"/>
  <c r="AX802" i="3" s="1"/>
  <c r="AG802" i="3"/>
  <c r="AC802" i="3"/>
  <c r="AE802" i="3"/>
  <c r="AA802" i="3" l="1"/>
  <c r="AW802" i="3"/>
  <c r="AY802" i="3"/>
  <c r="AB802" i="3" l="1"/>
  <c r="Z803" i="3"/>
  <c r="X803" i="3"/>
  <c r="Y803" i="3"/>
  <c r="W803" i="3"/>
  <c r="BB803" i="3" l="1"/>
  <c r="AY803" i="3" s="1"/>
  <c r="AL803" i="3"/>
  <c r="AJ803" i="3"/>
  <c r="AD803" i="3" s="1"/>
  <c r="AK803" i="3"/>
  <c r="AF803" i="3" s="1"/>
  <c r="BA803" i="3"/>
  <c r="AV803" i="3" s="1"/>
  <c r="AX803" i="3"/>
  <c r="AC803" i="3"/>
  <c r="AE803" i="3"/>
  <c r="AG803" i="3"/>
  <c r="AH803" i="3"/>
  <c r="AW803" i="3"/>
  <c r="AB803" i="3" s="1"/>
  <c r="Z804" i="3" s="1"/>
  <c r="X804" i="3" l="1"/>
  <c r="AA803" i="3"/>
  <c r="Y804" i="3" l="1"/>
  <c r="W804" i="3"/>
  <c r="AK804" i="3" l="1"/>
  <c r="AF804" i="3" s="1"/>
  <c r="AJ804" i="3"/>
  <c r="AD804" i="3" s="1"/>
  <c r="BA804" i="3"/>
  <c r="AL804" i="3"/>
  <c r="AH804" i="3" s="1"/>
  <c r="BB804" i="3"/>
  <c r="AY804" i="3" s="1"/>
  <c r="AC804" i="3"/>
  <c r="AE804" i="3"/>
  <c r="AX804" i="3"/>
  <c r="AG804" i="3"/>
  <c r="AV804" i="3" l="1"/>
  <c r="AA804" i="3" s="1"/>
  <c r="AW804" i="3"/>
  <c r="AB804" i="3" s="1"/>
  <c r="Y805" i="3" l="1"/>
  <c r="W805" i="3"/>
  <c r="Z805" i="3"/>
  <c r="X805" i="3"/>
  <c r="AL805" i="3" l="1"/>
  <c r="AH805" i="3" s="1"/>
  <c r="BA805" i="3"/>
  <c r="AV805" i="3" s="1"/>
  <c r="AK805" i="3"/>
  <c r="AF805" i="3" s="1"/>
  <c r="BB805" i="3"/>
  <c r="AY805" i="3" s="1"/>
  <c r="AJ805" i="3"/>
  <c r="AD805" i="3" s="1"/>
  <c r="AE805" i="3"/>
  <c r="AX805" i="3"/>
  <c r="AG805" i="3"/>
  <c r="AC805" i="3"/>
  <c r="AA805" i="3" s="1"/>
  <c r="W806" i="3" s="1"/>
  <c r="Y806" i="3" l="1"/>
  <c r="AW805" i="3"/>
  <c r="AB805" i="3" s="1"/>
  <c r="Z806" i="3" l="1"/>
  <c r="X806" i="3"/>
  <c r="AL806" i="3" l="1"/>
  <c r="AG806" i="3" s="1"/>
  <c r="AJ806" i="3"/>
  <c r="BA806" i="3"/>
  <c r="AV806" i="3" s="1"/>
  <c r="AK806" i="3"/>
  <c r="BB806" i="3"/>
  <c r="AX806" i="3" s="1"/>
  <c r="AF806" i="3" l="1"/>
  <c r="AE806" i="3"/>
  <c r="AD806" i="3"/>
  <c r="AC806" i="3"/>
  <c r="AA806" i="3" s="1"/>
  <c r="AH806" i="3"/>
  <c r="AW806" i="3"/>
  <c r="AY806" i="3"/>
  <c r="W807" i="3" l="1"/>
  <c r="Y807" i="3"/>
  <c r="AB806" i="3"/>
  <c r="X807" i="3" l="1"/>
  <c r="Z807" i="3"/>
  <c r="BA807" i="3"/>
  <c r="AW807" i="3" s="1"/>
  <c r="AK807" i="3"/>
  <c r="AF807" i="3" s="1"/>
  <c r="BB807" i="3"/>
  <c r="AY807" i="3" s="1"/>
  <c r="AJ807" i="3"/>
  <c r="AD807" i="3" s="1"/>
  <c r="AL807" i="3"/>
  <c r="AX807" i="3"/>
  <c r="AE807" i="3"/>
  <c r="AG807" i="3"/>
  <c r="AV807" i="3"/>
  <c r="AC807" i="3"/>
  <c r="AA807" i="3" l="1"/>
  <c r="AH807" i="3"/>
  <c r="AB807" i="3" s="1"/>
  <c r="Y808" i="3" l="1"/>
  <c r="W808" i="3"/>
  <c r="X808" i="3"/>
  <c r="Z808" i="3"/>
  <c r="BA808" i="3" l="1"/>
  <c r="AV808" i="3" s="1"/>
  <c r="AL808" i="3"/>
  <c r="AJ808" i="3"/>
  <c r="AK808" i="3"/>
  <c r="BB808" i="3"/>
  <c r="AY808" i="3" l="1"/>
  <c r="AX808" i="3"/>
  <c r="AD808" i="3"/>
  <c r="AC808" i="3"/>
  <c r="AF808" i="3"/>
  <c r="AE808" i="3"/>
  <c r="AH808" i="3"/>
  <c r="AG808" i="3"/>
  <c r="AW808" i="3"/>
  <c r="AB808" i="3" s="1"/>
  <c r="Z809" i="3" l="1"/>
  <c r="X809" i="3"/>
  <c r="AA808" i="3"/>
  <c r="Y809" i="3" l="1"/>
  <c r="W809" i="3"/>
  <c r="AL809" i="3" l="1"/>
  <c r="AH809" i="3" s="1"/>
  <c r="AJ809" i="3"/>
  <c r="AD809" i="3" s="1"/>
  <c r="BA809" i="3"/>
  <c r="AW809" i="3" s="1"/>
  <c r="AK809" i="3"/>
  <c r="AF809" i="3" s="1"/>
  <c r="BB809" i="3"/>
  <c r="AY809" i="3" s="1"/>
  <c r="AV809" i="3"/>
  <c r="AC809" i="3"/>
  <c r="AE809" i="3"/>
  <c r="AG809" i="3"/>
  <c r="AB809" i="3" l="1"/>
  <c r="AX809" i="3"/>
  <c r="AA809" i="3" s="1"/>
  <c r="W810" i="3" l="1"/>
  <c r="Y810" i="3"/>
  <c r="Z810" i="3"/>
  <c r="X810" i="3"/>
  <c r="BB810" i="3" l="1"/>
  <c r="AY810" i="3" s="1"/>
  <c r="BA810" i="3"/>
  <c r="AW810" i="3" s="1"/>
  <c r="AJ810" i="3"/>
  <c r="AD810" i="3" s="1"/>
  <c r="AL810" i="3"/>
  <c r="AH810" i="3" s="1"/>
  <c r="AK810" i="3"/>
  <c r="AF810" i="3" s="1"/>
  <c r="AV810" i="3"/>
  <c r="AE810" i="3"/>
  <c r="AC810" i="3"/>
  <c r="AX810" i="3"/>
  <c r="AG810" i="3"/>
  <c r="AA810" i="3" l="1"/>
  <c r="AB810" i="3"/>
  <c r="X811" i="3" l="1"/>
  <c r="Z811" i="3"/>
  <c r="Y811" i="3"/>
  <c r="W811" i="3"/>
  <c r="BB811" i="3" l="1"/>
  <c r="AY811" i="3" s="1"/>
  <c r="AJ811" i="3"/>
  <c r="AC811" i="3" s="1"/>
  <c r="BA811" i="3"/>
  <c r="AW811" i="3" s="1"/>
  <c r="AK811" i="3"/>
  <c r="AF811" i="3" s="1"/>
  <c r="AL811" i="3"/>
  <c r="AH811" i="3" s="1"/>
  <c r="AX811" i="3"/>
  <c r="AE811" i="3"/>
  <c r="AD811" i="3"/>
  <c r="AB811" i="3" s="1"/>
  <c r="Z812" i="3" s="1"/>
  <c r="AG811" i="3" l="1"/>
  <c r="X812" i="3"/>
  <c r="AV811" i="3"/>
  <c r="AA811" i="3" s="1"/>
  <c r="Y812" i="3" l="1"/>
  <c r="W812" i="3"/>
  <c r="BA812" i="3" l="1"/>
  <c r="AL812" i="3"/>
  <c r="AH812" i="3" s="1"/>
  <c r="BB812" i="3"/>
  <c r="AK812" i="3"/>
  <c r="AF812" i="3" s="1"/>
  <c r="AJ812" i="3"/>
  <c r="AD812" i="3" s="1"/>
  <c r="AE812" i="3"/>
  <c r="AG812" i="3"/>
  <c r="AC812" i="3" l="1"/>
  <c r="AX812" i="3"/>
  <c r="AY812" i="3"/>
  <c r="AV812" i="3"/>
  <c r="AW812" i="3"/>
  <c r="AB812" i="3" s="1"/>
  <c r="Z813" i="3" l="1"/>
  <c r="X813" i="3"/>
  <c r="AA812" i="3"/>
  <c r="W813" i="3" l="1"/>
  <c r="Y813" i="3"/>
  <c r="AL813" i="3" l="1"/>
  <c r="AH813" i="3" s="1"/>
  <c r="BA813" i="3"/>
  <c r="AK813" i="3"/>
  <c r="AF813" i="3" s="1"/>
  <c r="BB813" i="3"/>
  <c r="AJ813" i="3"/>
  <c r="AE813" i="3"/>
  <c r="AG813" i="3"/>
  <c r="AC813" i="3" l="1"/>
  <c r="AD813" i="3"/>
  <c r="AV813" i="3"/>
  <c r="AW813" i="3"/>
  <c r="AX813" i="3"/>
  <c r="AY813" i="3"/>
  <c r="AB813" i="3" l="1"/>
  <c r="AA813" i="3"/>
  <c r="Y814" i="3" l="1"/>
  <c r="W814" i="3"/>
  <c r="Z814" i="3"/>
  <c r="X814" i="3"/>
  <c r="BB814" i="3" l="1"/>
  <c r="AY814" i="3" s="1"/>
  <c r="AJ814" i="3"/>
  <c r="AC814" i="3" s="1"/>
  <c r="BA814" i="3"/>
  <c r="AV814" i="3" s="1"/>
  <c r="AL814" i="3"/>
  <c r="AH814" i="3" s="1"/>
  <c r="AG814" i="3"/>
  <c r="AK814" i="3"/>
  <c r="AE814" i="3" s="1"/>
  <c r="AX814" i="3"/>
  <c r="AA814" i="3" l="1"/>
  <c r="W815" i="3" s="1"/>
  <c r="Y815" i="3"/>
  <c r="AW814" i="3"/>
  <c r="AF814" i="3"/>
  <c r="AD814" i="3"/>
  <c r="AB814" i="3" s="1"/>
  <c r="Z815" i="3" l="1"/>
  <c r="X815" i="3"/>
  <c r="AL815" i="3" l="1"/>
  <c r="AG815" i="3" s="1"/>
  <c r="BA815" i="3"/>
  <c r="AV815" i="3" s="1"/>
  <c r="AK815" i="3"/>
  <c r="AE815" i="3" s="1"/>
  <c r="BB815" i="3"/>
  <c r="AX815" i="3" s="1"/>
  <c r="AJ815" i="3"/>
  <c r="AC815" i="3" s="1"/>
  <c r="AW815" i="3" l="1"/>
  <c r="AA815" i="3"/>
  <c r="AF815" i="3"/>
  <c r="AH815" i="3"/>
  <c r="AD815" i="3"/>
  <c r="AY815" i="3"/>
  <c r="W816" i="3" l="1"/>
  <c r="Y816" i="3"/>
  <c r="AB815" i="3"/>
  <c r="X816" i="3" l="1"/>
  <c r="Z816" i="3"/>
  <c r="BA816" i="3"/>
  <c r="AV816" i="3" s="1"/>
  <c r="BB816" i="3"/>
  <c r="AY816" i="3" s="1"/>
  <c r="AK816" i="3"/>
  <c r="AE816" i="3" s="1"/>
  <c r="AJ816" i="3"/>
  <c r="AC816" i="3" s="1"/>
  <c r="AL816" i="3"/>
  <c r="AH816" i="3" s="1"/>
  <c r="AX816" i="3"/>
  <c r="AG816" i="3" l="1"/>
  <c r="AA816" i="3" s="1"/>
  <c r="Y817" i="3" s="1"/>
  <c r="W817" i="3"/>
  <c r="AD816" i="3"/>
  <c r="AF816" i="3"/>
  <c r="AW816" i="3"/>
  <c r="AB816" i="3" l="1"/>
  <c r="X817" i="3" l="1"/>
  <c r="Z817" i="3"/>
  <c r="BA817" i="3" l="1"/>
  <c r="AV817" i="3" s="1"/>
  <c r="AJ817" i="3"/>
  <c r="AC817" i="3" s="1"/>
  <c r="AL817" i="3"/>
  <c r="BB817" i="3"/>
  <c r="AK817" i="3"/>
  <c r="AE817" i="3" s="1"/>
  <c r="AY817" i="3" l="1"/>
  <c r="AX817" i="3"/>
  <c r="AF817" i="3"/>
  <c r="AH817" i="3"/>
  <c r="AG817" i="3"/>
  <c r="AA817" i="3" s="1"/>
  <c r="AW817" i="3"/>
  <c r="AD817" i="3"/>
  <c r="AB817" i="3" s="1"/>
  <c r="Y818" i="3" l="1"/>
  <c r="W818" i="3"/>
  <c r="Z818" i="3"/>
  <c r="X818" i="3"/>
  <c r="BA818" i="3" l="1"/>
  <c r="AV818" i="3" s="1"/>
  <c r="AK818" i="3"/>
  <c r="AE818" i="3" s="1"/>
  <c r="BB818" i="3"/>
  <c r="AY818" i="3" s="1"/>
  <c r="AL818" i="3"/>
  <c r="AG818" i="3" s="1"/>
  <c r="AJ818" i="3"/>
  <c r="AC818" i="3" s="1"/>
  <c r="AX818" i="3"/>
  <c r="AA818" i="3" l="1"/>
  <c r="AF818" i="3"/>
  <c r="AH818" i="3"/>
  <c r="AW818" i="3"/>
  <c r="AD818" i="3"/>
  <c r="AB818" i="3" s="1"/>
  <c r="Z819" i="3" l="1"/>
  <c r="X819" i="3"/>
  <c r="Y819" i="3"/>
  <c r="W819" i="3"/>
  <c r="AL819" i="3" l="1"/>
  <c r="AH819" i="3" s="1"/>
  <c r="BB819" i="3"/>
  <c r="AX819" i="3" s="1"/>
  <c r="BA819" i="3"/>
  <c r="AV819" i="3" s="1"/>
  <c r="AJ819" i="3"/>
  <c r="AC819" i="3" s="1"/>
  <c r="AK819" i="3"/>
  <c r="AF819" i="3" s="1"/>
  <c r="AG819" i="3"/>
  <c r="AE819" i="3" l="1"/>
  <c r="AA819" i="3" s="1"/>
  <c r="W820" i="3" s="1"/>
  <c r="AD819" i="3"/>
  <c r="AY819" i="3"/>
  <c r="AW819" i="3"/>
  <c r="Y820" i="3" l="1"/>
  <c r="AB819" i="3"/>
  <c r="X820" i="3" l="1"/>
  <c r="Z820" i="3"/>
  <c r="AJ820" i="3" l="1"/>
  <c r="AC820" i="3" s="1"/>
  <c r="BA820" i="3"/>
  <c r="AV820" i="3" s="1"/>
  <c r="AK820" i="3"/>
  <c r="AE820" i="3" s="1"/>
  <c r="BB820" i="3"/>
  <c r="AL820" i="3"/>
  <c r="AG820" i="3" s="1"/>
  <c r="AY820" i="3" l="1"/>
  <c r="AX820" i="3"/>
  <c r="AA820" i="3" s="1"/>
  <c r="AD820" i="3"/>
  <c r="AF820" i="3"/>
  <c r="AW820" i="3"/>
  <c r="AH820" i="3"/>
  <c r="Y821" i="3" l="1"/>
  <c r="W821" i="3"/>
  <c r="AB820" i="3"/>
  <c r="Z821" i="3" l="1"/>
  <c r="X821" i="3"/>
  <c r="AK821" i="3"/>
  <c r="AF821" i="3" s="1"/>
  <c r="AJ821" i="3"/>
  <c r="AD821" i="3" s="1"/>
  <c r="BB821" i="3"/>
  <c r="AX821" i="3" s="1"/>
  <c r="AL821" i="3"/>
  <c r="AE821" i="3"/>
  <c r="AC821" i="3"/>
  <c r="AG821" i="3"/>
  <c r="AH821" i="3" l="1"/>
  <c r="AY821" i="3"/>
  <c r="BA821" i="3"/>
  <c r="AV821" i="3" s="1"/>
  <c r="AA821" i="3" s="1"/>
  <c r="Y822" i="3" l="1"/>
  <c r="W822" i="3"/>
  <c r="AW821" i="3"/>
  <c r="AB821" i="3" s="1"/>
  <c r="Z822" i="3" l="1"/>
  <c r="X822" i="3"/>
  <c r="BB822" i="3"/>
  <c r="AY822" i="3" s="1"/>
  <c r="AK822" i="3"/>
  <c r="AF822" i="3" s="1"/>
  <c r="AL822" i="3"/>
  <c r="AJ822" i="3"/>
  <c r="AD822" i="3" s="1"/>
  <c r="BA822" i="3"/>
  <c r="AW822" i="3" s="1"/>
  <c r="AX822" i="3"/>
  <c r="AG822" i="3"/>
  <c r="AE822" i="3"/>
  <c r="AC822" i="3"/>
  <c r="AV822" i="3" l="1"/>
  <c r="AA822" i="3" s="1"/>
  <c r="AH822" i="3"/>
  <c r="AB822" i="3" s="1"/>
  <c r="X823" i="3" s="1"/>
  <c r="W823" i="3" l="1"/>
  <c r="Y823" i="3"/>
  <c r="Z823" i="3"/>
  <c r="BB823" i="3" l="1"/>
  <c r="BA823" i="3"/>
  <c r="AL823" i="3"/>
  <c r="AH823" i="3" s="1"/>
  <c r="AK823" i="3"/>
  <c r="AF823" i="3" s="1"/>
  <c r="AJ823" i="3"/>
  <c r="AD823" i="3" s="1"/>
  <c r="AG823" i="3"/>
  <c r="AE823" i="3"/>
  <c r="AC823" i="3" l="1"/>
  <c r="AV823" i="3"/>
  <c r="AA823" i="3" s="1"/>
  <c r="AW823" i="3"/>
  <c r="AX823" i="3"/>
  <c r="AY823" i="3"/>
  <c r="Y824" i="3" l="1"/>
  <c r="W824" i="3"/>
  <c r="AB823" i="3"/>
  <c r="Z824" i="3" l="1"/>
  <c r="X824" i="3"/>
  <c r="AJ824" i="3"/>
  <c r="AD824" i="3" s="1"/>
  <c r="BA824" i="3"/>
  <c r="AV824" i="3" s="1"/>
  <c r="AK824" i="3"/>
  <c r="AF824" i="3" s="1"/>
  <c r="BB824" i="3"/>
  <c r="AX824" i="3" s="1"/>
  <c r="AC824" i="3"/>
  <c r="AE824" i="3"/>
  <c r="AY824" i="3" l="1"/>
  <c r="AW824" i="3"/>
  <c r="AL824" i="3"/>
  <c r="AG824" i="3" s="1"/>
  <c r="AA824" i="3" s="1"/>
  <c r="W825" i="3" l="1"/>
  <c r="Y825" i="3"/>
  <c r="AH824" i="3"/>
  <c r="AB824" i="3" s="1"/>
  <c r="X825" i="3" l="1"/>
  <c r="Z825" i="3"/>
  <c r="BB825" i="3"/>
  <c r="AY825" i="3" s="1"/>
  <c r="BA825" i="3"/>
  <c r="AV825" i="3" s="1"/>
  <c r="AJ825" i="3"/>
  <c r="AC825" i="3" s="1"/>
  <c r="AL825" i="3"/>
  <c r="AH825" i="3" s="1"/>
  <c r="AK825" i="3"/>
  <c r="AF825" i="3" s="1"/>
  <c r="AX825" i="3"/>
  <c r="AG825" i="3"/>
  <c r="AE825" i="3"/>
  <c r="AA825" i="3" l="1"/>
  <c r="AW825" i="3"/>
  <c r="AD825" i="3"/>
  <c r="AB825" i="3" s="1"/>
  <c r="Z826" i="3" s="1"/>
  <c r="X826" i="3" l="1"/>
  <c r="Y826" i="3"/>
  <c r="W826" i="3"/>
  <c r="BB826" i="3" l="1"/>
  <c r="AY826" i="3" s="1"/>
  <c r="BA826" i="3"/>
  <c r="AV826" i="3" s="1"/>
  <c r="AK826" i="3"/>
  <c r="AE826" i="3" s="1"/>
  <c r="AL826" i="3"/>
  <c r="AG826" i="3" s="1"/>
  <c r="AJ826" i="3"/>
  <c r="AC826" i="3" s="1"/>
  <c r="AA826" i="3" s="1"/>
  <c r="AX826" i="3"/>
  <c r="AW826" i="3"/>
  <c r="AF826" i="3"/>
  <c r="AH826" i="3"/>
  <c r="AD826" i="3"/>
  <c r="AB826" i="3" s="1"/>
  <c r="Z827" i="3" s="1"/>
  <c r="X827" i="3" l="1"/>
  <c r="Y827" i="3"/>
  <c r="W827" i="3"/>
  <c r="AL827" i="3" l="1"/>
  <c r="AH827" i="3" s="1"/>
  <c r="BB827" i="3"/>
  <c r="BA827" i="3"/>
  <c r="AJ827" i="3"/>
  <c r="AD827" i="3" s="1"/>
  <c r="AK827" i="3"/>
  <c r="AC827" i="3"/>
  <c r="AG827" i="3"/>
  <c r="AV827" i="3" l="1"/>
  <c r="AW827" i="3"/>
  <c r="AE827" i="3"/>
  <c r="AF827" i="3"/>
  <c r="AB827" i="3" s="1"/>
  <c r="AX827" i="3"/>
  <c r="AY827" i="3"/>
  <c r="AA827" i="3" l="1"/>
  <c r="Y828" i="3"/>
  <c r="W828" i="3"/>
  <c r="Z828" i="3"/>
  <c r="X828" i="3"/>
  <c r="BB828" i="3" l="1"/>
  <c r="AY828" i="3" s="1"/>
  <c r="AL828" i="3"/>
  <c r="AH828" i="3" s="1"/>
  <c r="AJ828" i="3"/>
  <c r="AD828" i="3" s="1"/>
  <c r="BA828" i="3"/>
  <c r="AV828" i="3" s="1"/>
  <c r="AK828" i="3"/>
  <c r="AF828" i="3" s="1"/>
  <c r="AX828" i="3"/>
  <c r="AC828" i="3"/>
  <c r="AG828" i="3"/>
  <c r="AE828" i="3" l="1"/>
  <c r="AA828" i="3"/>
  <c r="AW828" i="3"/>
  <c r="AB828" i="3" s="1"/>
  <c r="Z829" i="3" l="1"/>
  <c r="X829" i="3"/>
  <c r="Y829" i="3"/>
  <c r="W829" i="3"/>
  <c r="BA829" i="3" l="1"/>
  <c r="AV829" i="3" s="1"/>
  <c r="AL829" i="3"/>
  <c r="AH829" i="3" s="1"/>
  <c r="AK829" i="3"/>
  <c r="AE829" i="3" s="1"/>
  <c r="AJ829" i="3"/>
  <c r="AD829" i="3" s="1"/>
  <c r="BB829" i="3"/>
  <c r="AY829" i="3" s="1"/>
  <c r="AG829" i="3"/>
  <c r="AC829" i="3"/>
  <c r="AX829" i="3" l="1"/>
  <c r="AA829" i="3"/>
  <c r="AF829" i="3"/>
  <c r="AW829" i="3"/>
  <c r="Y830" i="3" l="1"/>
  <c r="W830" i="3"/>
  <c r="AB829" i="3"/>
  <c r="X830" i="3" l="1"/>
  <c r="Z830" i="3"/>
  <c r="AJ830" i="3"/>
  <c r="AC830" i="3" s="1"/>
  <c r="AK830" i="3"/>
  <c r="AF830" i="3" s="1"/>
  <c r="AL830" i="3"/>
  <c r="BB830" i="3"/>
  <c r="AY830" i="3" s="1"/>
  <c r="BA830" i="3"/>
  <c r="AW830" i="3" s="1"/>
  <c r="AX830" i="3"/>
  <c r="AG830" i="3"/>
  <c r="AV830" i="3"/>
  <c r="AE830" i="3"/>
  <c r="AA830" i="3" l="1"/>
  <c r="AH830" i="3"/>
  <c r="AD830" i="3"/>
  <c r="AB830" i="3" s="1"/>
  <c r="Z831" i="3" s="1"/>
  <c r="X831" i="3" l="1"/>
  <c r="W831" i="3"/>
  <c r="Y831" i="3"/>
  <c r="AL831" i="3" l="1"/>
  <c r="AH831" i="3" s="1"/>
  <c r="AK831" i="3"/>
  <c r="AE831" i="3" s="1"/>
  <c r="BB831" i="3"/>
  <c r="AY831" i="3" s="1"/>
  <c r="AJ831" i="3"/>
  <c r="AD831" i="3" s="1"/>
  <c r="BA831" i="3"/>
  <c r="AV831" i="3" s="1"/>
  <c r="AX831" i="3"/>
  <c r="AG831" i="3"/>
  <c r="AC831" i="3"/>
  <c r="AA831" i="3" s="1"/>
  <c r="W832" i="3" s="1"/>
  <c r="AW831" i="3"/>
  <c r="AF831" i="3"/>
  <c r="AB831" i="3" s="1"/>
  <c r="Z832" i="3" s="1"/>
  <c r="X832" i="3" l="1"/>
  <c r="Y832" i="3"/>
  <c r="AK832" i="3" l="1"/>
  <c r="BB832" i="3"/>
  <c r="AX832" i="3" s="1"/>
  <c r="AL832" i="3"/>
  <c r="AG832" i="3" s="1"/>
  <c r="AJ832" i="3"/>
  <c r="AC832" i="3" s="1"/>
  <c r="BA832" i="3"/>
  <c r="AV832" i="3" s="1"/>
  <c r="AF832" i="3" l="1"/>
  <c r="AE832" i="3"/>
  <c r="AA832" i="3" s="1"/>
  <c r="AH832" i="3"/>
  <c r="AW832" i="3"/>
  <c r="AD832" i="3"/>
  <c r="AY832" i="3"/>
  <c r="AB832" i="3" l="1"/>
  <c r="W833" i="3"/>
  <c r="Y833" i="3"/>
  <c r="Z833" i="3"/>
  <c r="X833" i="3"/>
  <c r="AK833" i="3" l="1"/>
  <c r="AF833" i="3" s="1"/>
  <c r="AJ833" i="3"/>
  <c r="AD833" i="3" s="1"/>
  <c r="AL833" i="3"/>
  <c r="AH833" i="3" s="1"/>
  <c r="BA833" i="3"/>
  <c r="AV833" i="3" s="1"/>
  <c r="BB833" i="3"/>
  <c r="AY833" i="3" s="1"/>
  <c r="AG833" i="3"/>
  <c r="AE833" i="3"/>
  <c r="AC833" i="3"/>
  <c r="AX833" i="3" l="1"/>
  <c r="AA833" i="3" s="1"/>
  <c r="AW833" i="3"/>
  <c r="AB833" i="3" s="1"/>
  <c r="Y834" i="3" l="1"/>
  <c r="W834" i="3"/>
  <c r="X834" i="3"/>
  <c r="Z834" i="3"/>
  <c r="AK834" i="3" l="1"/>
  <c r="AF834" i="3" s="1"/>
  <c r="AJ834" i="3"/>
  <c r="AC834" i="3" s="1"/>
  <c r="BA834" i="3"/>
  <c r="AV834" i="3" s="1"/>
  <c r="AL834" i="3"/>
  <c r="AG834" i="3" s="1"/>
  <c r="BB834" i="3"/>
  <c r="AY834" i="3" s="1"/>
  <c r="AE834" i="3"/>
  <c r="AX834" i="3"/>
  <c r="AD834" i="3"/>
  <c r="AH834" i="3"/>
  <c r="AW834" i="3"/>
  <c r="AA834" i="3" l="1"/>
  <c r="AB834" i="3"/>
  <c r="Z835" i="3" l="1"/>
  <c r="X835" i="3"/>
  <c r="W835" i="3"/>
  <c r="Y835" i="3"/>
  <c r="AL835" i="3" l="1"/>
  <c r="AH835" i="3" s="1"/>
  <c r="AK835" i="3"/>
  <c r="AF835" i="3" s="1"/>
  <c r="BA835" i="3"/>
  <c r="AV835" i="3" s="1"/>
  <c r="BB835" i="3"/>
  <c r="AX835" i="3" s="1"/>
  <c r="AJ835" i="3"/>
  <c r="AC835" i="3" s="1"/>
  <c r="AG835" i="3"/>
  <c r="AE835" i="3"/>
  <c r="AA835" i="3" l="1"/>
  <c r="AD835" i="3"/>
  <c r="AW835" i="3"/>
  <c r="AY835" i="3"/>
  <c r="AB835" i="3" l="1"/>
  <c r="Y836" i="3"/>
  <c r="W836" i="3"/>
  <c r="X836" i="3" l="1"/>
  <c r="Z836" i="3"/>
  <c r="BA836" i="3" l="1"/>
  <c r="AL836" i="3"/>
  <c r="AG836" i="3" s="1"/>
  <c r="AJ836" i="3"/>
  <c r="AC836" i="3" s="1"/>
  <c r="AK836" i="3"/>
  <c r="BB836" i="3"/>
  <c r="AY836" i="3" l="1"/>
  <c r="AX836" i="3"/>
  <c r="AD836" i="3"/>
  <c r="AF836" i="3"/>
  <c r="AE836" i="3"/>
  <c r="AW836" i="3"/>
  <c r="AV836" i="3"/>
  <c r="AH836" i="3"/>
  <c r="AA836" i="3" l="1"/>
  <c r="AB836" i="3"/>
  <c r="X837" i="3" l="1"/>
  <c r="Z837" i="3"/>
  <c r="W837" i="3"/>
  <c r="Y837" i="3"/>
  <c r="BB837" i="3" l="1"/>
  <c r="AY837" i="3" s="1"/>
  <c r="AJ837" i="3"/>
  <c r="AC837" i="3" s="1"/>
  <c r="BA837" i="3"/>
  <c r="AV837" i="3" s="1"/>
  <c r="AK837" i="3"/>
  <c r="AE837" i="3" s="1"/>
  <c r="AL837" i="3"/>
  <c r="AH837" i="3" s="1"/>
  <c r="AX837" i="3"/>
  <c r="AG837" i="3"/>
  <c r="AD837" i="3"/>
  <c r="AF837" i="3"/>
  <c r="AW837" i="3"/>
  <c r="AB837" i="3" l="1"/>
  <c r="Z838" i="3" s="1"/>
  <c r="X838" i="3"/>
  <c r="AA837" i="3"/>
  <c r="Y838" i="3" l="1"/>
  <c r="W838" i="3"/>
  <c r="AJ838" i="3" l="1"/>
  <c r="AL838" i="3"/>
  <c r="AH838" i="3" s="1"/>
  <c r="BA838" i="3"/>
  <c r="AK838" i="3"/>
  <c r="BB838" i="3"/>
  <c r="AX838" i="3" l="1"/>
  <c r="AY838" i="3"/>
  <c r="AV838" i="3"/>
  <c r="AW838" i="3"/>
  <c r="AE838" i="3"/>
  <c r="AF838" i="3"/>
  <c r="AC838" i="3"/>
  <c r="AD838" i="3"/>
  <c r="AB838" i="3" s="1"/>
  <c r="AG838" i="3"/>
  <c r="AA838" i="3" l="1"/>
  <c r="W839" i="3"/>
  <c r="Y839" i="3"/>
  <c r="Z839" i="3"/>
  <c r="X839" i="3"/>
  <c r="AL839" i="3" l="1"/>
  <c r="AG839" i="3" s="1"/>
  <c r="BA839" i="3"/>
  <c r="AV839" i="3" s="1"/>
  <c r="AK839" i="3"/>
  <c r="AE839" i="3" s="1"/>
  <c r="AJ839" i="3"/>
  <c r="AD839" i="3" s="1"/>
  <c r="BB839" i="3"/>
  <c r="AX839" i="3" s="1"/>
  <c r="AC839" i="3"/>
  <c r="AA839" i="3" l="1"/>
  <c r="AY839" i="3"/>
  <c r="AF839" i="3"/>
  <c r="AW839" i="3"/>
  <c r="AH839" i="3"/>
  <c r="AB839" i="3" l="1"/>
  <c r="X840" i="3"/>
  <c r="Z840" i="3"/>
  <c r="W840" i="3"/>
  <c r="Y840" i="3"/>
  <c r="BA840" i="3" l="1"/>
  <c r="AV840" i="3" s="1"/>
  <c r="AL840" i="3"/>
  <c r="AG840" i="3" s="1"/>
  <c r="BB840" i="3"/>
  <c r="AY840" i="3" s="1"/>
  <c r="AK840" i="3"/>
  <c r="AE840" i="3" s="1"/>
  <c r="AJ840" i="3"/>
  <c r="AC840" i="3" s="1"/>
  <c r="AF840" i="3"/>
  <c r="AH840" i="3"/>
  <c r="AW840" i="3"/>
  <c r="AD840" i="3"/>
  <c r="AB840" i="3" s="1"/>
  <c r="Z841" i="3" s="1"/>
  <c r="X841" i="3" l="1"/>
  <c r="AX840" i="3"/>
  <c r="AA840" i="3" s="1"/>
  <c r="Y841" i="3" l="1"/>
  <c r="W841" i="3"/>
  <c r="AK841" i="3" l="1"/>
  <c r="AF841" i="3" s="1"/>
  <c r="AJ841" i="3"/>
  <c r="AD841" i="3" s="1"/>
  <c r="AL841" i="3"/>
  <c r="AH841" i="3" s="1"/>
  <c r="BB841" i="3"/>
  <c r="BA841" i="3"/>
  <c r="AC841" i="3"/>
  <c r="AE841" i="3"/>
  <c r="AG841" i="3"/>
  <c r="AV841" i="3" l="1"/>
  <c r="AW841" i="3"/>
  <c r="AX841" i="3"/>
  <c r="AY841" i="3"/>
  <c r="AA841" i="3" l="1"/>
  <c r="W842" i="3"/>
  <c r="Y842" i="3"/>
  <c r="AB841" i="3"/>
  <c r="Z842" i="3" l="1"/>
  <c r="X842" i="3"/>
  <c r="BB842" i="3"/>
  <c r="AY842" i="3" s="1"/>
  <c r="AL842" i="3"/>
  <c r="AK842" i="3"/>
  <c r="AF842" i="3" s="1"/>
  <c r="AJ842" i="3"/>
  <c r="AC842" i="3" s="1"/>
  <c r="BA842" i="3"/>
  <c r="AW842" i="3" s="1"/>
  <c r="AG842" i="3"/>
  <c r="AE842" i="3"/>
  <c r="AV842" i="3"/>
  <c r="AX842" i="3"/>
  <c r="AA842" i="3" l="1"/>
  <c r="AH842" i="3"/>
  <c r="AD842" i="3"/>
  <c r="AB842" i="3" s="1"/>
  <c r="X843" i="3" s="1"/>
  <c r="Z843" i="3" l="1"/>
  <c r="Y843" i="3"/>
  <c r="W843" i="3"/>
  <c r="BA843" i="3" l="1"/>
  <c r="AW843" i="3" s="1"/>
  <c r="BB843" i="3"/>
  <c r="AY843" i="3" s="1"/>
  <c r="AL843" i="3"/>
  <c r="AH843" i="3" s="1"/>
  <c r="AJ843" i="3"/>
  <c r="AD843" i="3" s="1"/>
  <c r="AK843" i="3"/>
  <c r="AF843" i="3" s="1"/>
  <c r="AX843" i="3"/>
  <c r="AC843" i="3"/>
  <c r="AG843" i="3"/>
  <c r="AV843" i="3"/>
  <c r="AE843" i="3"/>
  <c r="AB843" i="3" l="1"/>
  <c r="AA843" i="3"/>
  <c r="Z844" i="3" l="1"/>
  <c r="X844" i="3"/>
  <c r="Y844" i="3"/>
  <c r="W844" i="3"/>
  <c r="AJ844" i="3" l="1"/>
  <c r="AD844" i="3" s="1"/>
  <c r="AK844" i="3"/>
  <c r="AF844" i="3" s="1"/>
  <c r="BB844" i="3"/>
  <c r="AY844" i="3" s="1"/>
  <c r="AL844" i="3"/>
  <c r="AH844" i="3" s="1"/>
  <c r="BA844" i="3"/>
  <c r="AX844" i="3"/>
  <c r="AC844" i="3"/>
  <c r="AG844" i="3"/>
  <c r="AE844" i="3"/>
  <c r="AV844" i="3" l="1"/>
  <c r="AW844" i="3"/>
  <c r="AB844" i="3" s="1"/>
  <c r="AA844" i="3"/>
  <c r="Z845" i="3" l="1"/>
  <c r="X845" i="3"/>
  <c r="Y845" i="3"/>
  <c r="W845" i="3"/>
  <c r="BB845" i="3" l="1"/>
  <c r="AX845" i="3" s="1"/>
  <c r="AJ845" i="3"/>
  <c r="AC845" i="3" s="1"/>
  <c r="AL845" i="3"/>
  <c r="AK845" i="3"/>
  <c r="AF845" i="3" s="1"/>
  <c r="BA845" i="3"/>
  <c r="AV845" i="3" s="1"/>
  <c r="AG845" i="3"/>
  <c r="AW845" i="3"/>
  <c r="AH845" i="3"/>
  <c r="AY845" i="3"/>
  <c r="AD845" i="3"/>
  <c r="AE845" i="3" l="1"/>
  <c r="AB845" i="3"/>
  <c r="AA845" i="3"/>
  <c r="W846" i="3" l="1"/>
  <c r="Y846" i="3"/>
  <c r="X846" i="3"/>
  <c r="Z846" i="3"/>
  <c r="AL846" i="3" l="1"/>
  <c r="AH846" i="3" s="1"/>
  <c r="BB846" i="3"/>
  <c r="AY846" i="3" s="1"/>
  <c r="BA846" i="3"/>
  <c r="AV846" i="3" s="1"/>
  <c r="AK846" i="3"/>
  <c r="AE846" i="3" s="1"/>
  <c r="AJ846" i="3"/>
  <c r="AC846" i="3" s="1"/>
  <c r="AA846" i="3" s="1"/>
  <c r="Y847" i="3" s="1"/>
  <c r="AX846" i="3"/>
  <c r="AG846" i="3"/>
  <c r="W847" i="3" l="1"/>
  <c r="AD846" i="3"/>
  <c r="AF846" i="3"/>
  <c r="AW846" i="3"/>
  <c r="AB846" i="3" l="1"/>
  <c r="X847" i="3" l="1"/>
  <c r="Z847" i="3"/>
  <c r="BA847" i="3" l="1"/>
  <c r="AV847" i="3" s="1"/>
  <c r="AK847" i="3"/>
  <c r="AE847" i="3" s="1"/>
  <c r="AJ847" i="3"/>
  <c r="AC847" i="3" s="1"/>
  <c r="AL847" i="3"/>
  <c r="BB847" i="3"/>
  <c r="AH847" i="3" l="1"/>
  <c r="AG847" i="3"/>
  <c r="AW847" i="3"/>
  <c r="AY847" i="3"/>
  <c r="AX847" i="3"/>
  <c r="AD847" i="3"/>
  <c r="AF847" i="3"/>
  <c r="AA847" i="3" l="1"/>
  <c r="Y848" i="3"/>
  <c r="W848" i="3"/>
  <c r="AB847" i="3"/>
  <c r="Z848" i="3" l="1"/>
  <c r="X848" i="3"/>
  <c r="AJ848" i="3"/>
  <c r="AC848" i="3" s="1"/>
  <c r="AL848" i="3"/>
  <c r="AG848" i="3" s="1"/>
  <c r="BA848" i="3"/>
  <c r="AV848" i="3" s="1"/>
  <c r="AK848" i="3"/>
  <c r="AE848" i="3" s="1"/>
  <c r="BB848" i="3" l="1"/>
  <c r="AX848" i="3" s="1"/>
  <c r="AA848" i="3" s="1"/>
  <c r="AH848" i="3"/>
  <c r="AD848" i="3"/>
  <c r="AY848" i="3"/>
  <c r="AW848" i="3"/>
  <c r="AF848" i="3"/>
  <c r="AB848" i="3" s="1"/>
  <c r="Z849" i="3" s="1"/>
  <c r="W849" i="3" l="1"/>
  <c r="Y849" i="3"/>
  <c r="X849" i="3"/>
  <c r="BB849" i="3" l="1"/>
  <c r="AX849" i="3" s="1"/>
  <c r="AY849" i="3"/>
  <c r="AL849" i="3"/>
  <c r="AH849" i="3" s="1"/>
  <c r="BA849" i="3"/>
  <c r="AV849" i="3" s="1"/>
  <c r="AK849" i="3"/>
  <c r="AE849" i="3" s="1"/>
  <c r="AJ849" i="3"/>
  <c r="AC849" i="3" s="1"/>
  <c r="AG849" i="3" l="1"/>
  <c r="AA849" i="3" s="1"/>
  <c r="AD849" i="3"/>
  <c r="AF849" i="3"/>
  <c r="AW849" i="3"/>
  <c r="Y850" i="3" l="1"/>
  <c r="W850" i="3"/>
  <c r="AB849" i="3"/>
  <c r="Z850" i="3" l="1"/>
  <c r="X850" i="3"/>
  <c r="AK850" i="3"/>
  <c r="AE850" i="3" s="1"/>
  <c r="BB850" i="3"/>
  <c r="AX850" i="3" s="1"/>
  <c r="AJ850" i="3"/>
  <c r="AC850" i="3" s="1"/>
  <c r="AL850" i="3"/>
  <c r="AG850" i="3" s="1"/>
  <c r="BA850" i="3" l="1"/>
  <c r="AV850" i="3" s="1"/>
  <c r="AA850" i="3" s="1"/>
  <c r="AD850" i="3"/>
  <c r="AF850" i="3"/>
  <c r="AW850" i="3"/>
  <c r="AY850" i="3"/>
  <c r="AH850" i="3"/>
  <c r="Y851" i="3" l="1"/>
  <c r="W851" i="3"/>
  <c r="AB850" i="3"/>
  <c r="Z851" i="3" l="1"/>
  <c r="X851" i="3"/>
  <c r="AK851" i="3"/>
  <c r="AE851" i="3" s="1"/>
  <c r="AJ851" i="3"/>
  <c r="AC851" i="3" s="1"/>
  <c r="AL851" i="3"/>
  <c r="AG851" i="3" s="1"/>
  <c r="BA851" i="3"/>
  <c r="AV851" i="3" s="1"/>
  <c r="BB851" i="3" l="1"/>
  <c r="AX851" i="3" s="1"/>
  <c r="AA851" i="3" s="1"/>
  <c r="AH851" i="3"/>
  <c r="AD851" i="3"/>
  <c r="AF851" i="3"/>
  <c r="AW851" i="3"/>
  <c r="Y852" i="3" l="1"/>
  <c r="W852" i="3"/>
  <c r="AY851" i="3"/>
  <c r="AB851" i="3" s="1"/>
  <c r="Z852" i="3" l="1"/>
  <c r="X852" i="3"/>
  <c r="AK852" i="3"/>
  <c r="AE852" i="3" s="1"/>
  <c r="AJ852" i="3"/>
  <c r="AC852" i="3" s="1"/>
  <c r="BB852" i="3"/>
  <c r="AX852" i="3" s="1"/>
  <c r="BA852" i="3"/>
  <c r="AV852" i="3" s="1"/>
  <c r="AL852" i="3"/>
  <c r="AH852" i="3" s="1"/>
  <c r="AG852" i="3" l="1"/>
  <c r="AA852" i="3" s="1"/>
  <c r="AF852" i="3"/>
  <c r="AD852" i="3"/>
  <c r="AW852" i="3"/>
  <c r="AY852" i="3"/>
  <c r="AB852" i="3" l="1"/>
  <c r="W853" i="3"/>
  <c r="Y853" i="3"/>
  <c r="X853" i="3" l="1"/>
  <c r="AJ853" i="3" s="1"/>
  <c r="Z853" i="3"/>
  <c r="AD853" i="3" l="1"/>
  <c r="AC853" i="3"/>
  <c r="BA853" i="3"/>
  <c r="AV853" i="3" s="1"/>
  <c r="BB853" i="3"/>
  <c r="AX853" i="3" s="1"/>
  <c r="AW853" i="3"/>
  <c r="AL853" i="3"/>
  <c r="AG853" i="3" s="1"/>
  <c r="AK853" i="3"/>
  <c r="AE853" i="3" s="1"/>
  <c r="AH853" i="3" l="1"/>
  <c r="AF853" i="3"/>
  <c r="AY853" i="3"/>
  <c r="AB853" i="3" s="1"/>
  <c r="AA853" i="3"/>
  <c r="X854" i="3" l="1"/>
  <c r="Z854" i="3"/>
  <c r="Y854" i="3"/>
  <c r="W854" i="3"/>
  <c r="BB854" i="3" l="1"/>
  <c r="AY854" i="3" s="1"/>
  <c r="AK854" i="3"/>
  <c r="AF854" i="3" s="1"/>
  <c r="AL854" i="3"/>
  <c r="AJ854" i="3"/>
  <c r="AC854" i="3" s="1"/>
  <c r="BA854" i="3"/>
  <c r="AW854" i="3" s="1"/>
  <c r="AX854" i="3"/>
  <c r="AV854" i="3"/>
  <c r="AG854" i="3"/>
  <c r="AE854" i="3"/>
  <c r="AH854" i="3"/>
  <c r="AD854" i="3"/>
  <c r="AA854" i="3" l="1"/>
  <c r="AB854" i="3"/>
  <c r="Z855" i="3" l="1"/>
  <c r="X855" i="3"/>
  <c r="Y855" i="3"/>
  <c r="W855" i="3"/>
  <c r="BA855" i="3" l="1"/>
  <c r="AV855" i="3" s="1"/>
  <c r="AJ855" i="3"/>
  <c r="AC855" i="3" s="1"/>
  <c r="AL855" i="3"/>
  <c r="AH855" i="3" s="1"/>
  <c r="BB855" i="3"/>
  <c r="AY855" i="3" s="1"/>
  <c r="AK855" i="3"/>
  <c r="AE855" i="3" s="1"/>
  <c r="AG855" i="3"/>
  <c r="AX855" i="3"/>
  <c r="AD855" i="3"/>
  <c r="AW855" i="3"/>
  <c r="AF855" i="3" l="1"/>
  <c r="AB855" i="3"/>
  <c r="AA855" i="3"/>
  <c r="W856" i="3" l="1"/>
  <c r="Y856" i="3"/>
  <c r="Z856" i="3"/>
  <c r="X856" i="3"/>
  <c r="BB856" i="3" l="1"/>
  <c r="AX856" i="3" s="1"/>
  <c r="AJ856" i="3"/>
  <c r="AC856" i="3" s="1"/>
  <c r="AK856" i="3"/>
  <c r="AE856" i="3" s="1"/>
  <c r="AL856" i="3"/>
  <c r="AG856" i="3" s="1"/>
  <c r="BA856" i="3"/>
  <c r="AV856" i="3" s="1"/>
  <c r="AA856" i="3" l="1"/>
  <c r="AD856" i="3"/>
  <c r="AW856" i="3"/>
  <c r="AF856" i="3"/>
  <c r="AH856" i="3"/>
  <c r="AY856" i="3"/>
  <c r="AB856" i="3" l="1"/>
  <c r="Y857" i="3"/>
  <c r="W857" i="3"/>
  <c r="Z857" i="3" l="1"/>
  <c r="X857" i="3"/>
  <c r="AK857" i="3" l="1"/>
  <c r="BB857" i="3"/>
  <c r="AX857" i="3" s="1"/>
  <c r="AL857" i="3"/>
  <c r="BA857" i="3"/>
  <c r="AV857" i="3" s="1"/>
  <c r="AJ857" i="3"/>
  <c r="AD857" i="3" l="1"/>
  <c r="AC857" i="3"/>
  <c r="AH857" i="3"/>
  <c r="AG857" i="3"/>
  <c r="AY857" i="3"/>
  <c r="AF857" i="3"/>
  <c r="AE857" i="3"/>
  <c r="AW857" i="3"/>
  <c r="AA857" i="3" l="1"/>
  <c r="AB857" i="3"/>
  <c r="X858" i="3" l="1"/>
  <c r="Z858" i="3"/>
  <c r="W858" i="3"/>
  <c r="Y858" i="3"/>
  <c r="AL858" i="3" l="1"/>
  <c r="BB858" i="3"/>
  <c r="AY858" i="3" s="1"/>
  <c r="AJ858" i="3"/>
  <c r="AC858" i="3" s="1"/>
  <c r="AK858" i="3"/>
  <c r="AF858" i="3" s="1"/>
  <c r="BA858" i="3"/>
  <c r="AV858" i="3" s="1"/>
  <c r="AG858" i="3"/>
  <c r="AX858" i="3"/>
  <c r="AE858" i="3"/>
  <c r="AA858" i="3" s="1"/>
  <c r="W859" i="3" s="1"/>
  <c r="AH858" i="3"/>
  <c r="AW858" i="3"/>
  <c r="AD858" i="3"/>
  <c r="AB858" i="3" l="1"/>
  <c r="Z859" i="3" s="1"/>
  <c r="X859" i="3"/>
  <c r="Y859" i="3"/>
  <c r="AK859" i="3" l="1"/>
  <c r="BA859" i="3"/>
  <c r="AL859" i="3"/>
  <c r="AG859" i="3" s="1"/>
  <c r="BB859" i="3"/>
  <c r="AJ859" i="3"/>
  <c r="AD859" i="3" l="1"/>
  <c r="AC859" i="3"/>
  <c r="AY859" i="3"/>
  <c r="AX859" i="3"/>
  <c r="AW859" i="3"/>
  <c r="AV859" i="3"/>
  <c r="AF859" i="3"/>
  <c r="AE859" i="3"/>
  <c r="AH859" i="3"/>
  <c r="AA859" i="3" l="1"/>
  <c r="AB859" i="3"/>
  <c r="Z860" i="3" l="1"/>
  <c r="X860" i="3"/>
  <c r="Y860" i="3"/>
  <c r="W860" i="3"/>
  <c r="AL860" i="3" l="1"/>
  <c r="AH860" i="3" s="1"/>
  <c r="AJ860" i="3"/>
  <c r="AD860" i="3" s="1"/>
  <c r="BA860" i="3"/>
  <c r="AW860" i="3" s="1"/>
  <c r="AK860" i="3"/>
  <c r="AF860" i="3" s="1"/>
  <c r="BB860" i="3"/>
  <c r="AY860" i="3" s="1"/>
  <c r="AX860" i="3"/>
  <c r="AV860" i="3"/>
  <c r="AE860" i="3"/>
  <c r="AC860" i="3"/>
  <c r="AG860" i="3"/>
  <c r="AB860" i="3" l="1"/>
  <c r="AA860" i="3"/>
  <c r="W861" i="3" l="1"/>
  <c r="Y861" i="3"/>
  <c r="X861" i="3"/>
  <c r="Z861" i="3"/>
  <c r="BB861" i="3" l="1"/>
  <c r="AY861" i="3" s="1"/>
  <c r="AJ861" i="3"/>
  <c r="AC861" i="3" s="1"/>
  <c r="BA861" i="3"/>
  <c r="AW861" i="3" s="1"/>
  <c r="AK861" i="3"/>
  <c r="AE861" i="3" s="1"/>
  <c r="AL861" i="3"/>
  <c r="AH861" i="3" s="1"/>
  <c r="AX861" i="3"/>
  <c r="AV861" i="3"/>
  <c r="AG861" i="3" l="1"/>
  <c r="AA861" i="3"/>
  <c r="AF861" i="3"/>
  <c r="AD861" i="3"/>
  <c r="AB861" i="3" s="1"/>
  <c r="X862" i="3" l="1"/>
  <c r="Z862" i="3"/>
  <c r="Y862" i="3"/>
  <c r="W862" i="3"/>
  <c r="AL862" i="3" l="1"/>
  <c r="AH862" i="3" s="1"/>
  <c r="AK862" i="3"/>
  <c r="AE862" i="3" s="1"/>
  <c r="BA862" i="3"/>
  <c r="AW862" i="3" s="1"/>
  <c r="BB862" i="3"/>
  <c r="AY862" i="3" s="1"/>
  <c r="AG862" i="3"/>
  <c r="AJ862" i="3"/>
  <c r="AC862" i="3" s="1"/>
  <c r="AX862" i="3"/>
  <c r="AV862" i="3"/>
  <c r="AF862" i="3"/>
  <c r="AD862" i="3"/>
  <c r="AB862" i="3" l="1"/>
  <c r="AA862" i="3"/>
  <c r="W863" i="3" l="1"/>
  <c r="Y863" i="3"/>
  <c r="Z863" i="3"/>
  <c r="X863" i="3"/>
  <c r="BB863" i="3" l="1"/>
  <c r="AX863" i="3" s="1"/>
  <c r="AJ863" i="3"/>
  <c r="AC863" i="3" s="1"/>
  <c r="BA863" i="3"/>
  <c r="AV863" i="3" s="1"/>
  <c r="AK863" i="3"/>
  <c r="AE863" i="3" s="1"/>
  <c r="AL863" i="3"/>
  <c r="AG863" i="3" s="1"/>
  <c r="AA863" i="3" s="1"/>
  <c r="W864" i="3" s="1"/>
  <c r="Y864" i="3" l="1"/>
  <c r="AF863" i="3"/>
  <c r="AW863" i="3"/>
  <c r="AY863" i="3"/>
  <c r="AD863" i="3"/>
  <c r="AH863" i="3"/>
  <c r="AB863" i="3" l="1"/>
  <c r="Z864" i="3" l="1"/>
  <c r="X864" i="3"/>
  <c r="AL864" i="3" l="1"/>
  <c r="AG864" i="3" s="1"/>
  <c r="BB864" i="3"/>
  <c r="AX864" i="3" s="1"/>
  <c r="BA864" i="3"/>
  <c r="AV864" i="3" s="1"/>
  <c r="AJ864" i="3"/>
  <c r="AC864" i="3" s="1"/>
  <c r="AK864" i="3"/>
  <c r="AE864" i="3" s="1"/>
  <c r="AA864" i="3" l="1"/>
  <c r="AW864" i="3"/>
  <c r="AD864" i="3"/>
  <c r="AF864" i="3"/>
  <c r="AH864" i="3"/>
  <c r="AY864" i="3"/>
  <c r="AB864" i="3" l="1"/>
  <c r="W865" i="3"/>
  <c r="Y865" i="3"/>
  <c r="Z865" i="3" l="1"/>
  <c r="X865" i="3"/>
  <c r="AL865" i="3" l="1"/>
  <c r="BB865" i="3"/>
  <c r="AJ865" i="3"/>
  <c r="AC865" i="3" s="1"/>
  <c r="BA865" i="3"/>
  <c r="AV865" i="3" s="1"/>
  <c r="AK865" i="3"/>
  <c r="AE865" i="3" s="1"/>
  <c r="AH865" i="3" l="1"/>
  <c r="AG865" i="3"/>
  <c r="AD865" i="3"/>
  <c r="AY865" i="3"/>
  <c r="AX865" i="3"/>
  <c r="AW865" i="3"/>
  <c r="AF865" i="3"/>
  <c r="AA865" i="3" l="1"/>
  <c r="AB865" i="3"/>
  <c r="Z866" i="3" l="1"/>
  <c r="X866" i="3"/>
  <c r="Y866" i="3"/>
  <c r="W866" i="3"/>
  <c r="BB866" i="3" l="1"/>
  <c r="AX866" i="3" s="1"/>
  <c r="BA866" i="3"/>
  <c r="AV866" i="3" s="1"/>
  <c r="AL866" i="3"/>
  <c r="AJ866" i="3"/>
  <c r="AD866" i="3" s="1"/>
  <c r="AK866" i="3"/>
  <c r="AF866" i="3" s="1"/>
  <c r="AG866" i="3"/>
  <c r="AH866" i="3"/>
  <c r="AY866" i="3"/>
  <c r="AW866" i="3"/>
  <c r="AB866" i="3" s="1"/>
  <c r="Z867" i="3" s="1"/>
  <c r="AE866" i="3" l="1"/>
  <c r="AC866" i="3"/>
  <c r="AA866" i="3" s="1"/>
  <c r="X867" i="3"/>
  <c r="Y867" i="3" l="1"/>
  <c r="W867" i="3"/>
  <c r="BA867" i="3" l="1"/>
  <c r="AL867" i="3"/>
  <c r="AH867" i="3" s="1"/>
  <c r="BB867" i="3"/>
  <c r="AJ867" i="3"/>
  <c r="AD867" i="3" s="1"/>
  <c r="AK867" i="3"/>
  <c r="AF867" i="3" s="1"/>
  <c r="AG867" i="3"/>
  <c r="AC867" i="3"/>
  <c r="AE867" i="3"/>
  <c r="AX867" i="3" l="1"/>
  <c r="AY867" i="3"/>
  <c r="AV867" i="3"/>
  <c r="AA867" i="3" s="1"/>
  <c r="AW867" i="3"/>
  <c r="AB867" i="3" s="1"/>
  <c r="Z868" i="3" l="1"/>
  <c r="X868" i="3"/>
  <c r="Y868" i="3"/>
  <c r="W868" i="3"/>
  <c r="BB868" i="3" l="1"/>
  <c r="AY868" i="3" s="1"/>
  <c r="BA868" i="3"/>
  <c r="AV868" i="3" s="1"/>
  <c r="AL868" i="3"/>
  <c r="AH868" i="3" s="1"/>
  <c r="AJ868" i="3"/>
  <c r="AC868" i="3" s="1"/>
  <c r="AK868" i="3"/>
  <c r="AF868" i="3" s="1"/>
  <c r="AX868" i="3"/>
  <c r="AG868" i="3"/>
  <c r="AE868" i="3"/>
  <c r="AA868" i="3" s="1"/>
  <c r="Y869" i="3" s="1"/>
  <c r="AD868" i="3"/>
  <c r="AW868" i="3"/>
  <c r="AB868" i="3" l="1"/>
  <c r="X869" i="3" s="1"/>
  <c r="Z869" i="3"/>
  <c r="W869" i="3"/>
  <c r="BB869" i="3" l="1"/>
  <c r="AY869" i="3" s="1"/>
  <c r="AL869" i="3"/>
  <c r="AJ869" i="3"/>
  <c r="AD869" i="3" s="1"/>
  <c r="BA869" i="3"/>
  <c r="AW869" i="3" s="1"/>
  <c r="AK869" i="3"/>
  <c r="AF869" i="3" s="1"/>
  <c r="AC869" i="3"/>
  <c r="AX869" i="3"/>
  <c r="AE869" i="3"/>
  <c r="AV869" i="3"/>
  <c r="AG869" i="3" l="1"/>
  <c r="AA869" i="3" s="1"/>
  <c r="AH869" i="3"/>
  <c r="AB869" i="3" s="1"/>
  <c r="Y870" i="3" l="1"/>
  <c r="W870" i="3"/>
  <c r="X870" i="3"/>
  <c r="Z870" i="3"/>
  <c r="AL870" i="3" l="1"/>
  <c r="AG870" i="3" s="1"/>
  <c r="BB870" i="3"/>
  <c r="AX870" i="3" s="1"/>
  <c r="AK870" i="3"/>
  <c r="AF870" i="3" s="1"/>
  <c r="BA870" i="3"/>
  <c r="AV870" i="3" s="1"/>
  <c r="AJ870" i="3"/>
  <c r="AC870" i="3" s="1"/>
  <c r="AE870" i="3"/>
  <c r="AA870" i="3" l="1"/>
  <c r="AW870" i="3"/>
  <c r="AD870" i="3"/>
  <c r="AH870" i="3"/>
  <c r="AY870" i="3"/>
  <c r="AB870" i="3" l="1"/>
  <c r="Y871" i="3"/>
  <c r="W871" i="3"/>
  <c r="X871" i="3" l="1"/>
  <c r="Z871" i="3"/>
  <c r="AL871" i="3" l="1"/>
  <c r="AG871" i="3" s="1"/>
  <c r="AJ871" i="3"/>
  <c r="BA871" i="3"/>
  <c r="AV871" i="3" s="1"/>
  <c r="AK871" i="3"/>
  <c r="BB871" i="3"/>
  <c r="AY871" i="3" l="1"/>
  <c r="AX871" i="3"/>
  <c r="AD871" i="3"/>
  <c r="AC871" i="3"/>
  <c r="AF871" i="3"/>
  <c r="AE871" i="3"/>
  <c r="AW871" i="3"/>
  <c r="AH871" i="3"/>
  <c r="AA871" i="3" l="1"/>
  <c r="W872" i="3"/>
  <c r="Y872" i="3"/>
  <c r="AB871" i="3"/>
  <c r="X872" i="3" l="1"/>
  <c r="Z872" i="3"/>
  <c r="AJ872" i="3"/>
  <c r="AD872" i="3" s="1"/>
  <c r="AL872" i="3"/>
  <c r="BB872" i="3"/>
  <c r="AY872" i="3" s="1"/>
  <c r="AK872" i="3"/>
  <c r="AF872" i="3" s="1"/>
  <c r="BA872" i="3"/>
  <c r="AW872" i="3" s="1"/>
  <c r="AX872" i="3"/>
  <c r="AV872" i="3"/>
  <c r="AC872" i="3"/>
  <c r="AA872" i="3" s="1"/>
  <c r="Y873" i="3" s="1"/>
  <c r="AE872" i="3"/>
  <c r="AG872" i="3"/>
  <c r="W873" i="3" l="1"/>
  <c r="AH872" i="3"/>
  <c r="AB872" i="3" s="1"/>
  <c r="X873" i="3" l="1"/>
  <c r="Z873" i="3"/>
  <c r="AL873" i="3"/>
  <c r="AH873" i="3" s="1"/>
  <c r="BB873" i="3"/>
  <c r="AY873" i="3" s="1"/>
  <c r="AJ873" i="3"/>
  <c r="AD873" i="3" s="1"/>
  <c r="AK873" i="3"/>
  <c r="AF873" i="3" s="1"/>
  <c r="BA873" i="3"/>
  <c r="AW873" i="3" s="1"/>
  <c r="AX873" i="3"/>
  <c r="AG873" i="3"/>
  <c r="AC873" i="3"/>
  <c r="AE873" i="3"/>
  <c r="AV873" i="3" l="1"/>
  <c r="AA873" i="3"/>
  <c r="AB873" i="3"/>
  <c r="Z874" i="3" l="1"/>
  <c r="X874" i="3"/>
  <c r="Y874" i="3"/>
  <c r="W874" i="3"/>
  <c r="AL874" i="3" l="1"/>
  <c r="AH874" i="3" s="1"/>
  <c r="AJ874" i="3"/>
  <c r="AD874" i="3" s="1"/>
  <c r="AK874" i="3"/>
  <c r="AE874" i="3" s="1"/>
  <c r="BA874" i="3"/>
  <c r="AW874" i="3" s="1"/>
  <c r="BB874" i="3"/>
  <c r="AY874" i="3" s="1"/>
  <c r="AG874" i="3"/>
  <c r="AX874" i="3"/>
  <c r="AV874" i="3"/>
  <c r="AC874" i="3"/>
  <c r="AA874" i="3" s="1"/>
  <c r="W875" i="3" s="1"/>
  <c r="Y875" i="3" l="1"/>
  <c r="AF874" i="3"/>
  <c r="AB874" i="3" s="1"/>
  <c r="X875" i="3" l="1"/>
  <c r="Z875" i="3"/>
  <c r="AL875" i="3" l="1"/>
  <c r="AJ875" i="3"/>
  <c r="AC875" i="3" s="1"/>
  <c r="BB875" i="3"/>
  <c r="AX875" i="3" s="1"/>
  <c r="BA875" i="3"/>
  <c r="AV875" i="3" s="1"/>
  <c r="AK875" i="3"/>
  <c r="AF875" i="3" l="1"/>
  <c r="AE875" i="3"/>
  <c r="AH875" i="3"/>
  <c r="AG875" i="3"/>
  <c r="AY875" i="3"/>
  <c r="AW875" i="3"/>
  <c r="AD875" i="3"/>
  <c r="AA875" i="3" l="1"/>
  <c r="W876" i="3"/>
  <c r="Y876" i="3"/>
  <c r="AB875" i="3"/>
  <c r="Z876" i="3" l="1"/>
  <c r="X876" i="3"/>
  <c r="BA876" i="3"/>
  <c r="AW876" i="3" s="1"/>
  <c r="AJ876" i="3"/>
  <c r="AC876" i="3" s="1"/>
  <c r="AL876" i="3"/>
  <c r="AK876" i="3"/>
  <c r="AF876" i="3" s="1"/>
  <c r="BB876" i="3"/>
  <c r="AY876" i="3" s="1"/>
  <c r="AV876" i="3"/>
  <c r="AG876" i="3"/>
  <c r="AX876" i="3" l="1"/>
  <c r="AE876" i="3"/>
  <c r="AA876" i="3" s="1"/>
  <c r="AH876" i="3"/>
  <c r="AD876" i="3"/>
  <c r="AB876" i="3" s="1"/>
  <c r="Z877" i="3" s="1"/>
  <c r="X877" i="3" l="1"/>
  <c r="Y877" i="3"/>
  <c r="W877" i="3"/>
  <c r="BA877" i="3" l="1"/>
  <c r="BB877" i="3"/>
  <c r="AY877" i="3" s="1"/>
  <c r="AJ877" i="3"/>
  <c r="AK877" i="3"/>
  <c r="AL877" i="3"/>
  <c r="AH877" i="3" s="1"/>
  <c r="AX877" i="3"/>
  <c r="AC877" i="3" l="1"/>
  <c r="AD877" i="3"/>
  <c r="AE877" i="3"/>
  <c r="AF877" i="3"/>
  <c r="AV877" i="3"/>
  <c r="AW877" i="3"/>
  <c r="AG877" i="3"/>
  <c r="AA877" i="3" s="1"/>
  <c r="Y878" i="3" l="1"/>
  <c r="W878" i="3"/>
  <c r="AB877" i="3"/>
  <c r="Z878" i="3" l="1"/>
  <c r="X878" i="3"/>
  <c r="AK878" i="3"/>
  <c r="AE878" i="3" s="1"/>
  <c r="AJ878" i="3"/>
  <c r="AC878" i="3" s="1"/>
  <c r="AL878" i="3"/>
  <c r="AG878" i="3" s="1"/>
  <c r="BA878" i="3"/>
  <c r="AV878" i="3" s="1"/>
  <c r="BB878" i="3" l="1"/>
  <c r="AX878" i="3" s="1"/>
  <c r="AA878" i="3" s="1"/>
  <c r="AW878" i="3"/>
  <c r="AH878" i="3"/>
  <c r="AF878" i="3"/>
  <c r="AD878" i="3"/>
  <c r="W879" i="3" l="1"/>
  <c r="Y879" i="3"/>
  <c r="AY878" i="3"/>
  <c r="AB878" i="3" s="1"/>
  <c r="Z879" i="3" l="1"/>
  <c r="X879" i="3"/>
  <c r="BB879" i="3"/>
  <c r="AX879" i="3" s="1"/>
  <c r="AL879" i="3"/>
  <c r="AH879" i="3" s="1"/>
  <c r="BA879" i="3"/>
  <c r="AV879" i="3" s="1"/>
  <c r="AJ879" i="3"/>
  <c r="AC879" i="3" s="1"/>
  <c r="AG879" i="3"/>
  <c r="AW879" i="3" l="1"/>
  <c r="AY879" i="3"/>
  <c r="AD879" i="3"/>
  <c r="AK879" i="3"/>
  <c r="AE879" i="3" s="1"/>
  <c r="AA879" i="3" s="1"/>
  <c r="Y880" i="3" l="1"/>
  <c r="W880" i="3"/>
  <c r="AF879" i="3"/>
  <c r="AB879" i="3" s="1"/>
  <c r="X880" i="3" l="1"/>
  <c r="Z880" i="3"/>
  <c r="BB880" i="3"/>
  <c r="AX880" i="3" s="1"/>
  <c r="AL880" i="3"/>
  <c r="AJ880" i="3"/>
  <c r="AC880" i="3" s="1"/>
  <c r="AK880" i="3"/>
  <c r="AE880" i="3" s="1"/>
  <c r="AG880" i="3"/>
  <c r="BA880" i="3" l="1"/>
  <c r="AV880" i="3" s="1"/>
  <c r="AA880" i="3" s="1"/>
  <c r="AW880" i="3"/>
  <c r="AY880" i="3"/>
  <c r="AD880" i="3"/>
  <c r="AF880" i="3"/>
  <c r="AH880" i="3"/>
  <c r="Y881" i="3" l="1"/>
  <c r="W881" i="3"/>
  <c r="AB880" i="3"/>
  <c r="Z881" i="3" l="1"/>
  <c r="X881" i="3"/>
  <c r="BB881" i="3"/>
  <c r="AY881" i="3" s="1"/>
  <c r="AK881" i="3"/>
  <c r="AE881" i="3" s="1"/>
  <c r="BA881" i="3"/>
  <c r="AV881" i="3" s="1"/>
  <c r="AJ881" i="3"/>
  <c r="AC881" i="3" s="1"/>
  <c r="AL881" i="3"/>
  <c r="AX881" i="3"/>
  <c r="AG881" i="3"/>
  <c r="AH881" i="3" l="1"/>
  <c r="AW881" i="3"/>
  <c r="AD881" i="3"/>
  <c r="AF881" i="3"/>
  <c r="AA881" i="3"/>
  <c r="W882" i="3" l="1"/>
  <c r="Y882" i="3"/>
  <c r="AB881" i="3"/>
  <c r="X882" i="3" l="1"/>
  <c r="Z882" i="3"/>
  <c r="BB882" i="3"/>
  <c r="AX882" i="3" s="1"/>
  <c r="AJ882" i="3"/>
  <c r="AD882" i="3" s="1"/>
  <c r="AL882" i="3"/>
  <c r="AK882" i="3"/>
  <c r="AE882" i="3" s="1"/>
  <c r="BA882" i="3"/>
  <c r="AV882" i="3" s="1"/>
  <c r="AG882" i="3"/>
  <c r="AC882" i="3"/>
  <c r="AA882" i="3" l="1"/>
  <c r="AH882" i="3"/>
  <c r="AW882" i="3"/>
  <c r="AY882" i="3"/>
  <c r="AF882" i="3"/>
  <c r="AB882" i="3" s="1"/>
  <c r="Z883" i="3" s="1"/>
  <c r="X883" i="3" l="1"/>
  <c r="Y883" i="3"/>
  <c r="W883" i="3"/>
  <c r="AL883" i="3" l="1"/>
  <c r="AK883" i="3"/>
  <c r="AE883" i="3" s="1"/>
  <c r="AG883" i="3"/>
  <c r="BA883" i="3"/>
  <c r="AV883" i="3" s="1"/>
  <c r="AJ883" i="3"/>
  <c r="AC883" i="3" s="1"/>
  <c r="BB883" i="3"/>
  <c r="AX883" i="3" s="1"/>
  <c r="AW883" i="3"/>
  <c r="AD883" i="3"/>
  <c r="AF883" i="3"/>
  <c r="AH883" i="3"/>
  <c r="AY883" i="3" l="1"/>
  <c r="AA883" i="3"/>
  <c r="Y884" i="3" s="1"/>
  <c r="AB883" i="3"/>
  <c r="W884" i="3"/>
  <c r="Z884" i="3" l="1"/>
  <c r="X884" i="3"/>
  <c r="BB884" i="3" l="1"/>
  <c r="AX884" i="3" s="1"/>
  <c r="BA884" i="3"/>
  <c r="AV884" i="3" s="1"/>
  <c r="AK884" i="3"/>
  <c r="AE884" i="3" s="1"/>
  <c r="AJ884" i="3"/>
  <c r="AL884" i="3"/>
  <c r="AG884" i="3" s="1"/>
  <c r="AD884" i="3" l="1"/>
  <c r="AC884" i="3"/>
  <c r="AA884" i="3" s="1"/>
  <c r="AW884" i="3"/>
  <c r="AF884" i="3"/>
  <c r="AY884" i="3"/>
  <c r="AH884" i="3"/>
  <c r="Y885" i="3" l="1"/>
  <c r="W885" i="3"/>
  <c r="AB884" i="3"/>
  <c r="X885" i="3" l="1"/>
  <c r="Z885" i="3"/>
  <c r="AL885" i="3" l="1"/>
  <c r="AG885" i="3" s="1"/>
  <c r="AJ885" i="3"/>
  <c r="BB885" i="3"/>
  <c r="AX885" i="3" s="1"/>
  <c r="AK885" i="3"/>
  <c r="BA885" i="3"/>
  <c r="AW885" i="3" l="1"/>
  <c r="AV885" i="3"/>
  <c r="AF885" i="3"/>
  <c r="AE885" i="3"/>
  <c r="AD885" i="3"/>
  <c r="AC885" i="3"/>
  <c r="AA885" i="3" s="1"/>
  <c r="AY885" i="3"/>
  <c r="AH885" i="3"/>
  <c r="Y886" i="3" l="1"/>
  <c r="W886" i="3"/>
  <c r="AB885" i="3"/>
  <c r="Z886" i="3" l="1"/>
  <c r="X886" i="3"/>
  <c r="AK886" i="3"/>
  <c r="AF886" i="3" s="1"/>
  <c r="BA886" i="3"/>
  <c r="AV886" i="3" s="1"/>
  <c r="AJ886" i="3"/>
  <c r="AC886" i="3" s="1"/>
  <c r="BB886" i="3"/>
  <c r="AX886" i="3" s="1"/>
  <c r="AE886" i="3"/>
  <c r="AY886" i="3" l="1"/>
  <c r="AW886" i="3"/>
  <c r="AD886" i="3"/>
  <c r="AL886" i="3"/>
  <c r="AG886" i="3" s="1"/>
  <c r="AA886" i="3" s="1"/>
  <c r="W887" i="3" l="1"/>
  <c r="Y887" i="3"/>
  <c r="AH886" i="3"/>
  <c r="AB886" i="3" s="1"/>
  <c r="X887" i="3" l="1"/>
  <c r="Z887" i="3"/>
  <c r="BA887" i="3"/>
  <c r="AW887" i="3" s="1"/>
  <c r="BB887" i="3"/>
  <c r="AY887" i="3" s="1"/>
  <c r="AJ887" i="3"/>
  <c r="AC887" i="3" s="1"/>
  <c r="AL887" i="3"/>
  <c r="AK887" i="3"/>
  <c r="AF887" i="3" s="1"/>
  <c r="AV887" i="3"/>
  <c r="AX887" i="3"/>
  <c r="AE887" i="3"/>
  <c r="AG887" i="3"/>
  <c r="AA887" i="3" l="1"/>
  <c r="Y888" i="3" s="1"/>
  <c r="W888" i="3"/>
  <c r="AH887" i="3"/>
  <c r="AD887" i="3"/>
  <c r="AB887" i="3" s="1"/>
  <c r="Z888" i="3" s="1"/>
  <c r="X888" i="3"/>
  <c r="BB888" i="3" l="1"/>
  <c r="AY888" i="3" s="1"/>
  <c r="AJ888" i="3"/>
  <c r="AD888" i="3" s="1"/>
  <c r="AL888" i="3"/>
  <c r="AH888" i="3" s="1"/>
  <c r="AK888" i="3"/>
  <c r="AE888" i="3" s="1"/>
  <c r="BA888" i="3"/>
  <c r="AW888" i="3" s="1"/>
  <c r="AG888" i="3"/>
  <c r="AV888" i="3"/>
  <c r="AX888" i="3"/>
  <c r="AC888" i="3"/>
  <c r="AA888" i="3" s="1"/>
  <c r="Y889" i="3" s="1"/>
  <c r="W889" i="3" l="1"/>
  <c r="AF888" i="3"/>
  <c r="AB888" i="3" s="1"/>
  <c r="Z889" i="3" l="1"/>
  <c r="X889" i="3"/>
  <c r="BA889" i="3"/>
  <c r="AW889" i="3" s="1"/>
  <c r="AJ889" i="3"/>
  <c r="AD889" i="3" s="1"/>
  <c r="BB889" i="3"/>
  <c r="AY889" i="3" s="1"/>
  <c r="AL889" i="3"/>
  <c r="AH889" i="3" s="1"/>
  <c r="AK889" i="3"/>
  <c r="AE889" i="3" s="1"/>
  <c r="AC889" i="3"/>
  <c r="AG889" i="3"/>
  <c r="AX889" i="3"/>
  <c r="AV889" i="3"/>
  <c r="AA889" i="3" l="1"/>
  <c r="AF889" i="3"/>
  <c r="AB889" i="3" s="1"/>
  <c r="X890" i="3"/>
  <c r="Z890" i="3"/>
  <c r="W890" i="3" l="1"/>
  <c r="Y890" i="3"/>
  <c r="AJ890" i="3" l="1"/>
  <c r="AL890" i="3"/>
  <c r="AH890" i="3" s="1"/>
  <c r="BA890" i="3"/>
  <c r="AK890" i="3"/>
  <c r="AF890" i="3" s="1"/>
  <c r="BB890" i="3"/>
  <c r="AG890" i="3"/>
  <c r="AE890" i="3"/>
  <c r="AX890" i="3" l="1"/>
  <c r="AY890" i="3"/>
  <c r="AV890" i="3"/>
  <c r="AW890" i="3"/>
  <c r="AC890" i="3"/>
  <c r="AA890" i="3" s="1"/>
  <c r="AD890" i="3"/>
  <c r="AB890" i="3" s="1"/>
  <c r="Y891" i="3" l="1"/>
  <c r="W891" i="3"/>
  <c r="Z891" i="3"/>
  <c r="X891" i="3"/>
  <c r="BB891" i="3" l="1"/>
  <c r="AY891" i="3" s="1"/>
  <c r="AL891" i="3"/>
  <c r="AH891" i="3" s="1"/>
  <c r="AJ891" i="3"/>
  <c r="AC891" i="3" s="1"/>
  <c r="BA891" i="3"/>
  <c r="AV891" i="3" s="1"/>
  <c r="AK891" i="3"/>
  <c r="AE891" i="3" s="1"/>
  <c r="AG891" i="3"/>
  <c r="AX891" i="3"/>
  <c r="AA891" i="3" l="1"/>
  <c r="AD891" i="3"/>
  <c r="AF891" i="3"/>
  <c r="AW891" i="3"/>
  <c r="AB891" i="3" l="1"/>
  <c r="Y892" i="3"/>
  <c r="W892" i="3"/>
  <c r="X892" i="3" l="1"/>
  <c r="Z892" i="3"/>
  <c r="AL892" i="3" l="1"/>
  <c r="BB892" i="3"/>
  <c r="AK892" i="3"/>
  <c r="AE892" i="3" s="1"/>
  <c r="AJ892" i="3"/>
  <c r="BA892" i="3"/>
  <c r="AD892" i="3" l="1"/>
  <c r="AC892" i="3"/>
  <c r="AW892" i="3"/>
  <c r="AV892" i="3"/>
  <c r="AY892" i="3"/>
  <c r="AX892" i="3"/>
  <c r="AH892" i="3"/>
  <c r="AG892" i="3"/>
  <c r="AF892" i="3"/>
  <c r="AB892" i="3" s="1"/>
  <c r="X893" i="3" l="1"/>
  <c r="Z893" i="3"/>
  <c r="AA892" i="3"/>
  <c r="Y893" i="3" l="1"/>
  <c r="W893" i="3"/>
  <c r="AJ893" i="3" l="1"/>
  <c r="BB893" i="3"/>
  <c r="AY893" i="3" s="1"/>
  <c r="BA893" i="3"/>
  <c r="AW893" i="3" s="1"/>
  <c r="AL893" i="3"/>
  <c r="AH893" i="3" s="1"/>
  <c r="AK893" i="3"/>
  <c r="AF893" i="3" s="1"/>
  <c r="AX893" i="3"/>
  <c r="AE893" i="3"/>
  <c r="AV893" i="3"/>
  <c r="AG893" i="3"/>
  <c r="AC893" i="3" l="1"/>
  <c r="AA893" i="3" s="1"/>
  <c r="AD893" i="3"/>
  <c r="AB893" i="3" s="1"/>
  <c r="W894" i="3" l="1"/>
  <c r="Y894" i="3"/>
  <c r="Z894" i="3"/>
  <c r="X894" i="3"/>
  <c r="BB894" i="3" l="1"/>
  <c r="AY894" i="3" s="1"/>
  <c r="AL894" i="3"/>
  <c r="AH894" i="3" s="1"/>
  <c r="AJ894" i="3"/>
  <c r="AC894" i="3" s="1"/>
  <c r="BA894" i="3"/>
  <c r="AV894" i="3" s="1"/>
  <c r="AK894" i="3"/>
  <c r="AE894" i="3" s="1"/>
  <c r="AG894" i="3"/>
  <c r="AX894" i="3"/>
  <c r="AA894" i="3" l="1"/>
  <c r="AW894" i="3"/>
  <c r="AF894" i="3"/>
  <c r="AD894" i="3"/>
  <c r="AB894" i="3" s="1"/>
  <c r="Z895" i="3" l="1"/>
  <c r="X895" i="3"/>
  <c r="Y895" i="3"/>
  <c r="W895" i="3"/>
  <c r="BB895" i="3" l="1"/>
  <c r="AY895" i="3" s="1"/>
  <c r="BA895" i="3"/>
  <c r="AV895" i="3" s="1"/>
  <c r="AL895" i="3"/>
  <c r="AG895" i="3" s="1"/>
  <c r="AK895" i="3"/>
  <c r="AE895" i="3" s="1"/>
  <c r="AJ895" i="3"/>
  <c r="AC895" i="3" s="1"/>
  <c r="AX895" i="3"/>
  <c r="AH895" i="3"/>
  <c r="AF895" i="3"/>
  <c r="AD895" i="3"/>
  <c r="AW895" i="3"/>
  <c r="AA895" i="3" l="1"/>
  <c r="AB895" i="3"/>
  <c r="Z896" i="3" l="1"/>
  <c r="X896" i="3"/>
  <c r="Y896" i="3"/>
  <c r="W896" i="3"/>
  <c r="AL896" i="3" l="1"/>
  <c r="AH896" i="3" s="1"/>
  <c r="BB896" i="3"/>
  <c r="AX896" i="3" s="1"/>
  <c r="AJ896" i="3"/>
  <c r="AC896" i="3" s="1"/>
  <c r="AK896" i="3"/>
  <c r="AF896" i="3" s="1"/>
  <c r="BA896" i="3"/>
  <c r="AV896" i="3" s="1"/>
  <c r="AE896" i="3"/>
  <c r="AG896" i="3"/>
  <c r="AA896" i="3" l="1"/>
  <c r="AW896" i="3"/>
  <c r="AY896" i="3"/>
  <c r="AD896" i="3"/>
  <c r="AB896" i="3" l="1"/>
  <c r="W897" i="3"/>
  <c r="Y897" i="3"/>
  <c r="X897" i="3" l="1"/>
  <c r="Z897" i="3"/>
  <c r="AJ897" i="3" l="1"/>
  <c r="AC897" i="3" s="1"/>
  <c r="BA897" i="3"/>
  <c r="AV897" i="3" s="1"/>
  <c r="AL897" i="3"/>
  <c r="BB897" i="3"/>
  <c r="AK897" i="3"/>
  <c r="AE897" i="3" s="1"/>
  <c r="AY897" i="3" l="1"/>
  <c r="AX897" i="3"/>
  <c r="AH897" i="3"/>
  <c r="AG897" i="3"/>
  <c r="AA897" i="3" s="1"/>
  <c r="AF897" i="3"/>
  <c r="AW897" i="3"/>
  <c r="AD897" i="3"/>
  <c r="AB897" i="3" s="1"/>
  <c r="Y898" i="3" l="1"/>
  <c r="W898" i="3"/>
  <c r="X898" i="3"/>
  <c r="Z898" i="3"/>
  <c r="BA898" i="3" l="1"/>
  <c r="AV898" i="3" s="1"/>
  <c r="AW898" i="3"/>
  <c r="AJ898" i="3"/>
  <c r="AD898" i="3" s="1"/>
  <c r="AK898" i="3"/>
  <c r="AE898" i="3" s="1"/>
  <c r="AL898" i="3"/>
  <c r="AG898" i="3" s="1"/>
  <c r="BB898" i="3"/>
  <c r="AX898" i="3" s="1"/>
  <c r="AC898" i="3"/>
  <c r="AA898" i="3" l="1"/>
  <c r="AH898" i="3"/>
  <c r="AF898" i="3"/>
  <c r="AY898" i="3"/>
  <c r="AB898" i="3" s="1"/>
  <c r="Y899" i="3" l="1"/>
  <c r="W899" i="3"/>
  <c r="Z899" i="3"/>
  <c r="X899" i="3"/>
  <c r="AJ899" i="3" l="1"/>
  <c r="AC899" i="3" s="1"/>
  <c r="BB899" i="3"/>
  <c r="AL899" i="3"/>
  <c r="AG899" i="3" s="1"/>
  <c r="AK899" i="3"/>
  <c r="AE899" i="3" s="1"/>
  <c r="BA899" i="3"/>
  <c r="AW899" i="3" l="1"/>
  <c r="AV899" i="3"/>
  <c r="AY899" i="3"/>
  <c r="AX899" i="3"/>
  <c r="AA899" i="3" s="1"/>
  <c r="AF899" i="3"/>
  <c r="AH899" i="3"/>
  <c r="AD899" i="3"/>
  <c r="Y900" i="3" l="1"/>
  <c r="W900" i="3"/>
  <c r="AB899" i="3"/>
  <c r="X900" i="3" l="1"/>
  <c r="Z900" i="3"/>
  <c r="BB900" i="3" l="1"/>
  <c r="AX900" i="3" s="1"/>
  <c r="AJ900" i="3"/>
  <c r="BA900" i="3"/>
  <c r="AV900" i="3" s="1"/>
  <c r="AL900" i="3"/>
  <c r="AG900" i="3" s="1"/>
  <c r="AK900" i="3"/>
  <c r="AF900" i="3" l="1"/>
  <c r="AE900" i="3"/>
  <c r="AD900" i="3"/>
  <c r="AC900" i="3"/>
  <c r="AA900" i="3" s="1"/>
  <c r="AY900" i="3"/>
  <c r="AW900" i="3"/>
  <c r="AH900" i="3"/>
  <c r="W901" i="3" l="1"/>
  <c r="Y901" i="3"/>
  <c r="AB900" i="3"/>
  <c r="X901" i="3" l="1"/>
  <c r="Z901" i="3"/>
  <c r="AL901" i="3"/>
  <c r="BB901" i="3"/>
  <c r="AY901" i="3" s="1"/>
  <c r="BA901" i="3"/>
  <c r="AW901" i="3" s="1"/>
  <c r="AK901" i="3"/>
  <c r="AF901" i="3" s="1"/>
  <c r="AJ901" i="3"/>
  <c r="AC901" i="3" s="1"/>
  <c r="AE901" i="3"/>
  <c r="AV901" i="3"/>
  <c r="AG901" i="3"/>
  <c r="AX901" i="3"/>
  <c r="AH901" i="3" l="1"/>
  <c r="AD901" i="3"/>
  <c r="AB901" i="3" s="1"/>
  <c r="X902" i="3" s="1"/>
  <c r="AA901" i="3"/>
  <c r="Z902" i="3" l="1"/>
  <c r="Y902" i="3"/>
  <c r="W902" i="3"/>
  <c r="BA902" i="3" l="1"/>
  <c r="AW902" i="3" s="1"/>
  <c r="AL902" i="3"/>
  <c r="AJ902" i="3"/>
  <c r="AK902" i="3"/>
  <c r="BB902" i="3"/>
  <c r="AY902" i="3" s="1"/>
  <c r="AV902" i="3"/>
  <c r="AX902" i="3"/>
  <c r="AC902" i="3" l="1"/>
  <c r="AD902" i="3"/>
  <c r="AG902" i="3"/>
  <c r="AH902" i="3"/>
  <c r="AE902" i="3"/>
  <c r="AF902" i="3"/>
  <c r="AB902" i="3" l="1"/>
  <c r="AA902" i="3"/>
  <c r="Y903" i="3" l="1"/>
  <c r="W903" i="3"/>
  <c r="X903" i="3"/>
  <c r="Z903" i="3"/>
  <c r="BB903" i="3" l="1"/>
  <c r="AX903" i="3" s="1"/>
  <c r="BA903" i="3"/>
  <c r="AV903" i="3" s="1"/>
  <c r="AL903" i="3"/>
  <c r="AH903" i="3" s="1"/>
  <c r="AK903" i="3"/>
  <c r="AE903" i="3" s="1"/>
  <c r="AJ903" i="3"/>
  <c r="AC903" i="3" s="1"/>
  <c r="AG903" i="3" l="1"/>
  <c r="AA903" i="3" s="1"/>
  <c r="AF903" i="3"/>
  <c r="AY903" i="3"/>
  <c r="AD903" i="3"/>
  <c r="AB903" i="3" s="1"/>
  <c r="AW903" i="3"/>
  <c r="W904" i="3" l="1"/>
  <c r="Y904" i="3"/>
  <c r="Z904" i="3"/>
  <c r="X904" i="3"/>
  <c r="BB904" i="3" l="1"/>
  <c r="AY904" i="3" s="1"/>
  <c r="AJ904" i="3"/>
  <c r="AC904" i="3" s="1"/>
  <c r="AL904" i="3"/>
  <c r="AH904" i="3" s="1"/>
  <c r="AK904" i="3"/>
  <c r="AE904" i="3" s="1"/>
  <c r="BA904" i="3"/>
  <c r="AV904" i="3" s="1"/>
  <c r="AX904" i="3"/>
  <c r="AG904" i="3"/>
  <c r="AA904" i="3" l="1"/>
  <c r="AW904" i="3"/>
  <c r="AD904" i="3"/>
  <c r="AB904" i="3" s="1"/>
  <c r="AF904" i="3"/>
  <c r="X905" i="3" l="1"/>
  <c r="Z905" i="3"/>
  <c r="Y905" i="3"/>
  <c r="W905" i="3"/>
  <c r="BA905" i="3" l="1"/>
  <c r="AV905" i="3" s="1"/>
  <c r="AL905" i="3"/>
  <c r="AG905" i="3" s="1"/>
  <c r="AJ905" i="3"/>
  <c r="AC905" i="3" s="1"/>
  <c r="AK905" i="3"/>
  <c r="AE905" i="3" s="1"/>
  <c r="BB905" i="3"/>
  <c r="AY905" i="3" s="1"/>
  <c r="AW905" i="3"/>
  <c r="AH905" i="3"/>
  <c r="AF905" i="3"/>
  <c r="AD905" i="3"/>
  <c r="AB905" i="3" l="1"/>
  <c r="Z906" i="3" s="1"/>
  <c r="X906" i="3"/>
  <c r="AX905" i="3"/>
  <c r="AA905" i="3" s="1"/>
  <c r="W906" i="3" l="1"/>
  <c r="Y906" i="3"/>
  <c r="BA906" i="3" l="1"/>
  <c r="AK906" i="3"/>
  <c r="AF906" i="3" s="1"/>
  <c r="BB906" i="3"/>
  <c r="AJ906" i="3"/>
  <c r="AL906" i="3"/>
  <c r="AH906" i="3" s="1"/>
  <c r="AE906" i="3"/>
  <c r="AX906" i="3" l="1"/>
  <c r="AY906" i="3"/>
  <c r="AC906" i="3"/>
  <c r="AD906" i="3"/>
  <c r="AV906" i="3"/>
  <c r="AW906" i="3"/>
  <c r="AG906" i="3"/>
  <c r="AA906" i="3" l="1"/>
  <c r="AB906" i="3"/>
  <c r="Z907" i="3"/>
  <c r="X907" i="3"/>
  <c r="Y907" i="3"/>
  <c r="W907" i="3"/>
  <c r="BA907" i="3" l="1"/>
  <c r="AV907" i="3" s="1"/>
  <c r="AK907" i="3"/>
  <c r="AF907" i="3" s="1"/>
  <c r="AJ907" i="3"/>
  <c r="AD907" i="3" s="1"/>
  <c r="AL907" i="3"/>
  <c r="BB907" i="3"/>
  <c r="AX907" i="3" s="1"/>
  <c r="AC907" i="3"/>
  <c r="AE907" i="3"/>
  <c r="AG907" i="3"/>
  <c r="AY907" i="3"/>
  <c r="AH907" i="3"/>
  <c r="AW907" i="3"/>
  <c r="AB907" i="3" l="1"/>
  <c r="AA907" i="3"/>
  <c r="Y908" i="3" l="1"/>
  <c r="W908" i="3"/>
  <c r="X908" i="3"/>
  <c r="Z908" i="3"/>
  <c r="BA908" i="3" l="1"/>
  <c r="AW908" i="3" s="1"/>
  <c r="AJ908" i="3"/>
  <c r="AD908" i="3" s="1"/>
  <c r="BB908" i="3"/>
  <c r="AY908" i="3" s="1"/>
  <c r="AL908" i="3"/>
  <c r="AH908" i="3" s="1"/>
  <c r="AK908" i="3"/>
  <c r="AE908" i="3" s="1"/>
  <c r="AX908" i="3"/>
  <c r="AV908" i="3"/>
  <c r="AG908" i="3"/>
  <c r="AC908" i="3"/>
  <c r="AA908" i="3" s="1"/>
  <c r="W909" i="3" s="1"/>
  <c r="Y909" i="3" l="1"/>
  <c r="AF908" i="3"/>
  <c r="AB908" i="3" s="1"/>
  <c r="Z909" i="3" l="1"/>
  <c r="X909" i="3"/>
  <c r="BB909" i="3" l="1"/>
  <c r="AX909" i="3" s="1"/>
  <c r="AK909" i="3"/>
  <c r="AE909" i="3" s="1"/>
  <c r="AJ909" i="3"/>
  <c r="AC909" i="3" s="1"/>
  <c r="BA909" i="3"/>
  <c r="AV909" i="3" s="1"/>
  <c r="AL909" i="3"/>
  <c r="AG909" i="3" s="1"/>
  <c r="AA909" i="3" s="1"/>
  <c r="W910" i="3" l="1"/>
  <c r="Y910" i="3"/>
  <c r="AY909" i="3"/>
  <c r="AD909" i="3"/>
  <c r="AF909" i="3"/>
  <c r="AW909" i="3"/>
  <c r="AH909" i="3"/>
  <c r="AB909" i="3" l="1"/>
  <c r="Z910" i="3" l="1"/>
  <c r="X910" i="3"/>
  <c r="BB910" i="3" l="1"/>
  <c r="AX910" i="3" s="1"/>
  <c r="AY910" i="3"/>
  <c r="AL910" i="3"/>
  <c r="AG910" i="3" s="1"/>
  <c r="AK910" i="3"/>
  <c r="AE910" i="3" s="1"/>
  <c r="AJ910" i="3"/>
  <c r="AC910" i="3" s="1"/>
  <c r="BA910" i="3"/>
  <c r="AV910" i="3" s="1"/>
  <c r="AF910" i="3" l="1"/>
  <c r="AW910" i="3"/>
  <c r="AA910" i="3"/>
  <c r="AD910" i="3"/>
  <c r="AH910" i="3"/>
  <c r="AB910" i="3" l="1"/>
  <c r="Y911" i="3"/>
  <c r="W911" i="3"/>
  <c r="X911" i="3" l="1"/>
  <c r="AJ911" i="3" s="1"/>
  <c r="AC911" i="3" s="1"/>
  <c r="Z911" i="3"/>
  <c r="BB911" i="3" l="1"/>
  <c r="AX911" i="3" s="1"/>
  <c r="AY911" i="3"/>
  <c r="AD911" i="3"/>
  <c r="AK911" i="3"/>
  <c r="AE911" i="3" s="1"/>
  <c r="BA911" i="3"/>
  <c r="AV911" i="3" s="1"/>
  <c r="AL911" i="3"/>
  <c r="AG911" i="3" s="1"/>
  <c r="AA911" i="3" l="1"/>
  <c r="W912" i="3"/>
  <c r="Y912" i="3"/>
  <c r="AW911" i="3"/>
  <c r="AF911" i="3"/>
  <c r="AH911" i="3"/>
  <c r="AB911" i="3" l="1"/>
  <c r="X912" i="3"/>
  <c r="Z912" i="3"/>
  <c r="BA912" i="3"/>
  <c r="AV912" i="3" s="1"/>
  <c r="AL912" i="3"/>
  <c r="AG912" i="3" s="1"/>
  <c r="AK912" i="3"/>
  <c r="AE912" i="3" s="1"/>
  <c r="AJ912" i="3"/>
  <c r="AC912" i="3" s="1"/>
  <c r="BB912" i="3" l="1"/>
  <c r="AX912" i="3" s="1"/>
  <c r="AA912" i="3" s="1"/>
  <c r="AY912" i="3"/>
  <c r="AF912" i="3"/>
  <c r="AW912" i="3"/>
  <c r="AH912" i="3"/>
  <c r="AD912" i="3"/>
  <c r="AB912" i="3" s="1"/>
  <c r="Z913" i="3" s="1"/>
  <c r="Y913" i="3" l="1"/>
  <c r="W913" i="3"/>
  <c r="X913" i="3"/>
  <c r="AJ913" i="3" l="1"/>
  <c r="AD913" i="3" s="1"/>
  <c r="BB913" i="3"/>
  <c r="AX913" i="3" s="1"/>
  <c r="AK913" i="3"/>
  <c r="AF913" i="3" s="1"/>
  <c r="BA913" i="3"/>
  <c r="AW913" i="3" s="1"/>
  <c r="AL913" i="3"/>
  <c r="AH913" i="3" s="1"/>
  <c r="AV913" i="3"/>
  <c r="AE913" i="3"/>
  <c r="AG913" i="3" l="1"/>
  <c r="AC913" i="3"/>
  <c r="AA913" i="3" s="1"/>
  <c r="AY913" i="3"/>
  <c r="AB913" i="3" s="1"/>
  <c r="Z914" i="3" l="1"/>
  <c r="X914" i="3"/>
  <c r="W914" i="3"/>
  <c r="Y914" i="3"/>
  <c r="BB914" i="3" l="1"/>
  <c r="AX914" i="3" s="1"/>
  <c r="AJ914" i="3"/>
  <c r="AC914" i="3" s="1"/>
  <c r="AL914" i="3"/>
  <c r="BA914" i="3"/>
  <c r="AV914" i="3" s="1"/>
  <c r="AK914" i="3"/>
  <c r="AF914" i="3" s="1"/>
  <c r="AG914" i="3"/>
  <c r="AH914" i="3"/>
  <c r="AY914" i="3"/>
  <c r="AW914" i="3"/>
  <c r="AD914" i="3"/>
  <c r="AB914" i="3" s="1"/>
  <c r="Z915" i="3" s="1"/>
  <c r="AE914" i="3" l="1"/>
  <c r="X915" i="3"/>
  <c r="AA914" i="3"/>
  <c r="Y915" i="3" l="1"/>
  <c r="W915" i="3"/>
  <c r="AL915" i="3" l="1"/>
  <c r="BA915" i="3"/>
  <c r="AJ915" i="3"/>
  <c r="AD915" i="3" s="1"/>
  <c r="BB915" i="3"/>
  <c r="AY915" i="3" s="1"/>
  <c r="AK915" i="3"/>
  <c r="AC915" i="3"/>
  <c r="AX915" i="3"/>
  <c r="AE915" i="3" l="1"/>
  <c r="AF915" i="3"/>
  <c r="AV915" i="3"/>
  <c r="AW915" i="3"/>
  <c r="AG915" i="3"/>
  <c r="AH915" i="3"/>
  <c r="AB915" i="3" s="1"/>
  <c r="AA915" i="3" l="1"/>
  <c r="Z916" i="3"/>
  <c r="X916" i="3"/>
  <c r="W916" i="3"/>
  <c r="Y916" i="3"/>
  <c r="AJ916" i="3" l="1"/>
  <c r="AD916" i="3" s="1"/>
  <c r="AK916" i="3"/>
  <c r="AL916" i="3"/>
  <c r="BB916" i="3"/>
  <c r="AX916" i="3" s="1"/>
  <c r="AC916" i="3"/>
  <c r="AG916" i="3"/>
  <c r="AE916" i="3"/>
  <c r="BA916" i="3"/>
  <c r="AV916" i="3" s="1"/>
  <c r="AY916" i="3"/>
  <c r="AF916" i="3"/>
  <c r="AH916" i="3"/>
  <c r="AW916" i="3" l="1"/>
  <c r="AA916" i="3"/>
  <c r="AB916" i="3"/>
  <c r="Y917" i="3" l="1"/>
  <c r="W917" i="3"/>
  <c r="X917" i="3"/>
  <c r="Z917" i="3"/>
  <c r="BB917" i="3" l="1"/>
  <c r="AX917" i="3" s="1"/>
  <c r="AY917" i="3"/>
  <c r="AJ917" i="3"/>
  <c r="AD917" i="3" s="1"/>
  <c r="AK917" i="3"/>
  <c r="AE917" i="3" s="1"/>
  <c r="BA917" i="3"/>
  <c r="AV917" i="3" s="1"/>
  <c r="AC917" i="3"/>
  <c r="AL917" i="3"/>
  <c r="AH917" i="3" s="1"/>
  <c r="AG917" i="3" l="1"/>
  <c r="AA917" i="3" s="1"/>
  <c r="AW917" i="3"/>
  <c r="AB917" i="3" s="1"/>
  <c r="AF917" i="3"/>
  <c r="W918" i="3" l="1"/>
  <c r="Y918" i="3"/>
  <c r="X918" i="3"/>
  <c r="Z918" i="3"/>
  <c r="AK918" i="3" l="1"/>
  <c r="AF918" i="3" s="1"/>
  <c r="AJ918" i="3"/>
  <c r="AD918" i="3" s="1"/>
  <c r="BB918" i="3"/>
  <c r="AY918" i="3" s="1"/>
  <c r="AL918" i="3"/>
  <c r="AH918" i="3" s="1"/>
  <c r="BA918" i="3"/>
  <c r="AW918" i="3" s="1"/>
  <c r="AG918" i="3"/>
  <c r="AC918" i="3"/>
  <c r="AX918" i="3"/>
  <c r="AE918" i="3"/>
  <c r="AB918" i="3" l="1"/>
  <c r="X919" i="3"/>
  <c r="Z919" i="3"/>
  <c r="AV918" i="3"/>
  <c r="AA918" i="3" s="1"/>
  <c r="W919" i="3" l="1"/>
  <c r="Y919" i="3"/>
  <c r="BB919" i="3"/>
  <c r="AX919" i="3" l="1"/>
  <c r="AY919" i="3"/>
  <c r="AL919" i="3"/>
  <c r="AH919" i="3" s="1"/>
  <c r="BA919" i="3"/>
  <c r="AK919" i="3"/>
  <c r="AJ919" i="3"/>
  <c r="AG919" i="3"/>
  <c r="AV919" i="3" l="1"/>
  <c r="AW919" i="3"/>
  <c r="AE919" i="3"/>
  <c r="AF919" i="3"/>
  <c r="AC919" i="3"/>
  <c r="AA919" i="3" s="1"/>
  <c r="AD919" i="3"/>
  <c r="Y920" i="3" l="1"/>
  <c r="W920" i="3"/>
  <c r="AB919" i="3"/>
  <c r="X920" i="3" l="1"/>
  <c r="Z920" i="3"/>
  <c r="AL920" i="3"/>
  <c r="BB920" i="3"/>
  <c r="AX920" i="3" s="1"/>
  <c r="AK920" i="3"/>
  <c r="AE920" i="3" s="1"/>
  <c r="AG920" i="3"/>
  <c r="BA920" i="3"/>
  <c r="AV920" i="3" s="1"/>
  <c r="AJ920" i="3"/>
  <c r="AC920" i="3" s="1"/>
  <c r="AA920" i="3" l="1"/>
  <c r="W921" i="3" s="1"/>
  <c r="Y921" i="3"/>
  <c r="AD920" i="3"/>
  <c r="AY920" i="3"/>
  <c r="AF920" i="3"/>
  <c r="AW920" i="3"/>
  <c r="AH920" i="3"/>
  <c r="AB920" i="3" l="1"/>
  <c r="X921" i="3" l="1"/>
  <c r="Z921" i="3"/>
  <c r="AL921" i="3" l="1"/>
  <c r="AG921" i="3" s="1"/>
  <c r="AK921" i="3"/>
  <c r="AE921" i="3" s="1"/>
  <c r="AH921" i="3"/>
  <c r="BA921" i="3"/>
  <c r="AV921" i="3" s="1"/>
  <c r="BB921" i="3"/>
  <c r="AX921" i="3" s="1"/>
  <c r="AJ921" i="3"/>
  <c r="AC921" i="3" s="1"/>
  <c r="AY921" i="3"/>
  <c r="AD921" i="3" l="1"/>
  <c r="AF921" i="3"/>
  <c r="AW921" i="3"/>
  <c r="AA921" i="3"/>
  <c r="AB921" i="3" l="1"/>
  <c r="Z922" i="3"/>
  <c r="X922" i="3"/>
  <c r="Y922" i="3"/>
  <c r="W922" i="3"/>
  <c r="BB922" i="3" l="1"/>
  <c r="AX922" i="3" s="1"/>
  <c r="BA922" i="3"/>
  <c r="AV922" i="3" s="1"/>
  <c r="AK922" i="3"/>
  <c r="AE922" i="3" s="1"/>
  <c r="AL922" i="3"/>
  <c r="AG922" i="3" s="1"/>
  <c r="AJ922" i="3"/>
  <c r="AC922" i="3" s="1"/>
  <c r="AA922" i="3" s="1"/>
  <c r="W923" i="3" s="1"/>
  <c r="AH922" i="3"/>
  <c r="AW922" i="3"/>
  <c r="AD922" i="3"/>
  <c r="AY922" i="3"/>
  <c r="AF922" i="3"/>
  <c r="AB922" i="3" l="1"/>
  <c r="Y923" i="3"/>
  <c r="Z923" i="3" l="1"/>
  <c r="X923" i="3"/>
  <c r="AL923" i="3" l="1"/>
  <c r="AG923" i="3" s="1"/>
  <c r="AH923" i="3"/>
  <c r="BA923" i="3"/>
  <c r="AK923" i="3"/>
  <c r="AE923" i="3" s="1"/>
  <c r="AJ923" i="3"/>
  <c r="AC923" i="3" s="1"/>
  <c r="BB923" i="3"/>
  <c r="AY923" i="3" l="1"/>
  <c r="AX923" i="3"/>
  <c r="AF923" i="3"/>
  <c r="AW923" i="3"/>
  <c r="AV923" i="3"/>
  <c r="AA923" i="3" s="1"/>
  <c r="AD923" i="3"/>
  <c r="AB923" i="3" s="1"/>
  <c r="W924" i="3" l="1"/>
  <c r="Y924" i="3"/>
  <c r="X924" i="3"/>
  <c r="Z924" i="3"/>
  <c r="BA924" i="3" l="1"/>
  <c r="AW924" i="3" s="1"/>
  <c r="AJ924" i="3"/>
  <c r="AC924" i="3" s="1"/>
  <c r="AL924" i="3"/>
  <c r="AG924" i="3" s="1"/>
  <c r="BB924" i="3"/>
  <c r="AY924" i="3" s="1"/>
  <c r="AK924" i="3"/>
  <c r="AE924" i="3" s="1"/>
  <c r="AV924" i="3"/>
  <c r="AX924" i="3"/>
  <c r="AF924" i="3" l="1"/>
  <c r="AA924" i="3"/>
  <c r="AH924" i="3"/>
  <c r="AD924" i="3"/>
  <c r="Y925" i="3" l="1"/>
  <c r="W925" i="3"/>
  <c r="AB924" i="3"/>
  <c r="X925" i="3" l="1"/>
  <c r="AK925" i="3" s="1"/>
  <c r="AE925" i="3" s="1"/>
  <c r="Z925" i="3"/>
  <c r="BA925" i="3" l="1"/>
  <c r="AV925" i="3" s="1"/>
  <c r="BB925" i="3"/>
  <c r="AX925" i="3" s="1"/>
  <c r="AY925" i="3"/>
  <c r="AF925" i="3"/>
  <c r="AW925" i="3"/>
  <c r="AL925" i="3"/>
  <c r="AJ925" i="3"/>
  <c r="AC925" i="3" s="1"/>
  <c r="AH925" i="3" l="1"/>
  <c r="AG925" i="3"/>
  <c r="AA925" i="3" s="1"/>
  <c r="AD925" i="3"/>
  <c r="AB925" i="3" s="1"/>
  <c r="Z926" i="3" l="1"/>
  <c r="X926" i="3"/>
  <c r="Y926" i="3"/>
  <c r="W926" i="3"/>
  <c r="BB926" i="3" l="1"/>
  <c r="AY926" i="3" s="1"/>
  <c r="AL926" i="3"/>
  <c r="AH926" i="3" s="1"/>
  <c r="BA926" i="3"/>
  <c r="AW926" i="3" s="1"/>
  <c r="AJ926" i="3"/>
  <c r="AD926" i="3" s="1"/>
  <c r="AK926" i="3"/>
  <c r="AF926" i="3" s="1"/>
  <c r="AX926" i="3"/>
  <c r="AV926" i="3"/>
  <c r="AG926" i="3"/>
  <c r="AC926" i="3"/>
  <c r="AA926" i="3" s="1"/>
  <c r="Y927" i="3" s="1"/>
  <c r="AE926" i="3"/>
  <c r="AB926" i="3" l="1"/>
  <c r="W927" i="3"/>
  <c r="Z927" i="3" l="1"/>
  <c r="X927" i="3"/>
  <c r="AL927" i="3"/>
  <c r="AH927" i="3" s="1"/>
  <c r="BA927" i="3"/>
  <c r="AK927" i="3"/>
  <c r="AF927" i="3" s="1"/>
  <c r="AJ927" i="3"/>
  <c r="AD927" i="3" s="1"/>
  <c r="BB927" i="3"/>
  <c r="AC927" i="3"/>
  <c r="AG927" i="3"/>
  <c r="AE927" i="3"/>
  <c r="AX927" i="3" l="1"/>
  <c r="AY927" i="3"/>
  <c r="AV927" i="3"/>
  <c r="AA927" i="3" s="1"/>
  <c r="AW927" i="3"/>
  <c r="AB927" i="3" s="1"/>
  <c r="Y928" i="3" l="1"/>
  <c r="W928" i="3"/>
  <c r="X928" i="3"/>
  <c r="Z928" i="3"/>
  <c r="AL928" i="3" l="1"/>
  <c r="BB928" i="3"/>
  <c r="AY928" i="3" s="1"/>
  <c r="AK928" i="3"/>
  <c r="AF928" i="3" s="1"/>
  <c r="BA928" i="3"/>
  <c r="AW928" i="3" s="1"/>
  <c r="AJ928" i="3"/>
  <c r="AD928" i="3" s="1"/>
  <c r="AX928" i="3"/>
  <c r="AE928" i="3"/>
  <c r="AC928" i="3"/>
  <c r="AV928" i="3"/>
  <c r="AG928" i="3"/>
  <c r="AH928" i="3"/>
  <c r="AA928" i="3" l="1"/>
  <c r="W929" i="3" s="1"/>
  <c r="Y929" i="3"/>
  <c r="AB928" i="3"/>
  <c r="X929" i="3" l="1"/>
  <c r="Z929" i="3"/>
  <c r="AL929" i="3" l="1"/>
  <c r="AG929" i="3" s="1"/>
  <c r="BB929" i="3"/>
  <c r="AJ929" i="3"/>
  <c r="AC929" i="3" s="1"/>
  <c r="AK929" i="3"/>
  <c r="BA929" i="3"/>
  <c r="AV929" i="3" s="1"/>
  <c r="AF929" i="3" l="1"/>
  <c r="AE929" i="3"/>
  <c r="AY929" i="3"/>
  <c r="AX929" i="3"/>
  <c r="AW929" i="3"/>
  <c r="AH929" i="3"/>
  <c r="AD929" i="3"/>
  <c r="AA929" i="3" l="1"/>
  <c r="Y930" i="3" s="1"/>
  <c r="W930" i="3"/>
  <c r="AB929" i="3"/>
  <c r="Z930" i="3" l="1"/>
  <c r="X930" i="3"/>
  <c r="BA930" i="3"/>
  <c r="AV930" i="3" s="1"/>
  <c r="AK930" i="3"/>
  <c r="AF930" i="3" s="1"/>
  <c r="BB930" i="3"/>
  <c r="AX930" i="3" s="1"/>
  <c r="AJ930" i="3"/>
  <c r="AC930" i="3" s="1"/>
  <c r="AE930" i="3"/>
  <c r="AY930" i="3" l="1"/>
  <c r="AW930" i="3"/>
  <c r="AD930" i="3"/>
  <c r="AL930" i="3"/>
  <c r="AG930" i="3" s="1"/>
  <c r="AA930" i="3" s="1"/>
  <c r="W931" i="3" l="1"/>
  <c r="Y931" i="3"/>
  <c r="AH930" i="3"/>
  <c r="AB930" i="3" s="1"/>
  <c r="X931" i="3" l="1"/>
  <c r="Z931" i="3"/>
  <c r="AK931" i="3"/>
  <c r="AF931" i="3" s="1"/>
  <c r="AL931" i="3"/>
  <c r="BA931" i="3"/>
  <c r="AW931" i="3" s="1"/>
  <c r="AJ931" i="3"/>
  <c r="AC931" i="3" s="1"/>
  <c r="BB931" i="3"/>
  <c r="AY931" i="3" s="1"/>
  <c r="AV931" i="3"/>
  <c r="AG931" i="3"/>
  <c r="AE931" i="3"/>
  <c r="AA931" i="3" s="1"/>
  <c r="AX931" i="3"/>
  <c r="Y932" i="3" l="1"/>
  <c r="W932" i="3"/>
  <c r="AH931" i="3"/>
  <c r="AD931" i="3"/>
  <c r="AB931" i="3" s="1"/>
  <c r="Z932" i="3" s="1"/>
  <c r="X932" i="3" l="1"/>
  <c r="BB932" i="3"/>
  <c r="BA932" i="3"/>
  <c r="AV932" i="3" s="1"/>
  <c r="AJ932" i="3"/>
  <c r="AK932" i="3"/>
  <c r="AL932" i="3"/>
  <c r="AG932" i="3" s="1"/>
  <c r="AC932" i="3" l="1"/>
  <c r="AD932" i="3"/>
  <c r="AE932" i="3"/>
  <c r="AF932" i="3"/>
  <c r="AY932" i="3"/>
  <c r="AX932" i="3"/>
  <c r="AA932" i="3" s="1"/>
  <c r="AH932" i="3"/>
  <c r="AW932" i="3"/>
  <c r="Y933" i="3" l="1"/>
  <c r="W933" i="3"/>
  <c r="AB932" i="3"/>
  <c r="X933" i="3" l="1"/>
  <c r="Z933" i="3"/>
  <c r="BA933" i="3"/>
  <c r="AK933" i="3"/>
  <c r="AJ933" i="3"/>
  <c r="AC933" i="3" s="1"/>
  <c r="BB933" i="3"/>
  <c r="AL933" i="3"/>
  <c r="AH933" i="3" l="1"/>
  <c r="AG933" i="3"/>
  <c r="AF933" i="3"/>
  <c r="AE933" i="3"/>
  <c r="AY933" i="3"/>
  <c r="AX933" i="3"/>
  <c r="AW933" i="3"/>
  <c r="AV933" i="3"/>
  <c r="AD933" i="3"/>
  <c r="AB933" i="3" s="1"/>
  <c r="Z934" i="3" l="1"/>
  <c r="X934" i="3"/>
  <c r="AA933" i="3"/>
  <c r="W934" i="3" l="1"/>
  <c r="Y934" i="3"/>
  <c r="AL934" i="3" l="1"/>
  <c r="AH934" i="3" s="1"/>
  <c r="BB934" i="3"/>
  <c r="AY934" i="3" s="1"/>
  <c r="BA934" i="3"/>
  <c r="AJ934" i="3"/>
  <c r="AD934" i="3" s="1"/>
  <c r="AK934" i="3"/>
  <c r="AC934" i="3"/>
  <c r="AX934" i="3"/>
  <c r="AG934" i="3"/>
  <c r="AE934" i="3" l="1"/>
  <c r="AF934" i="3"/>
  <c r="AV934" i="3"/>
  <c r="AW934" i="3"/>
  <c r="AA934" i="3"/>
  <c r="Y935" i="3" l="1"/>
  <c r="W935" i="3"/>
  <c r="AB934" i="3"/>
  <c r="Z935" i="3" l="1"/>
  <c r="X935" i="3"/>
  <c r="BA935" i="3"/>
  <c r="AL935" i="3"/>
  <c r="AG935" i="3" s="1"/>
  <c r="BB935" i="3"/>
  <c r="AK935" i="3"/>
  <c r="AJ935" i="3"/>
  <c r="AC935" i="3" s="1"/>
  <c r="AY935" i="3" l="1"/>
  <c r="AX935" i="3"/>
  <c r="AF935" i="3"/>
  <c r="AE935" i="3"/>
  <c r="AW935" i="3"/>
  <c r="AV935" i="3"/>
  <c r="AH935" i="3"/>
  <c r="AD935" i="3"/>
  <c r="AB935" i="3" s="1"/>
  <c r="AA935" i="3" l="1"/>
  <c r="Y936" i="3"/>
  <c r="W936" i="3"/>
  <c r="Z936" i="3"/>
  <c r="X936" i="3"/>
  <c r="AL936" i="3"/>
  <c r="BB936" i="3"/>
  <c r="AY936" i="3" s="1"/>
  <c r="BA936" i="3"/>
  <c r="AW936" i="3" s="1"/>
  <c r="AJ936" i="3"/>
  <c r="AD936" i="3" s="1"/>
  <c r="AH936" i="3"/>
  <c r="AK936" i="3"/>
  <c r="AF936" i="3" s="1"/>
  <c r="AB936" i="3" l="1"/>
  <c r="AX936" i="3"/>
  <c r="AV936" i="3"/>
  <c r="AC936" i="3"/>
  <c r="AG936" i="3"/>
  <c r="AE936" i="3"/>
  <c r="AA936" i="3" l="1"/>
  <c r="Y937" i="3"/>
  <c r="W937" i="3"/>
  <c r="Z937" i="3"/>
  <c r="X937" i="3"/>
  <c r="BB937" i="3" l="1"/>
  <c r="AY937" i="3" s="1"/>
  <c r="BA937" i="3"/>
  <c r="AV937" i="3" s="1"/>
  <c r="AL937" i="3"/>
  <c r="AH937" i="3" s="1"/>
  <c r="AJ937" i="3"/>
  <c r="AD937" i="3" s="1"/>
  <c r="AK937" i="3"/>
  <c r="AF937" i="3" s="1"/>
  <c r="AW937" i="3" l="1"/>
  <c r="AB937" i="3" s="1"/>
  <c r="Z938" i="3" s="1"/>
  <c r="AX937" i="3"/>
  <c r="AC937" i="3"/>
  <c r="AG937" i="3"/>
  <c r="AE937" i="3"/>
  <c r="AA937" i="3" l="1"/>
  <c r="X938" i="3"/>
  <c r="W938" i="3"/>
  <c r="AL938" i="3" l="1"/>
  <c r="BB938" i="3"/>
  <c r="AY938" i="3" s="1"/>
  <c r="BA938" i="3"/>
  <c r="AW938" i="3" s="1"/>
  <c r="Y938" i="3"/>
  <c r="AH938" i="3"/>
  <c r="AK938" i="3"/>
  <c r="AF938" i="3" s="1"/>
  <c r="AJ938" i="3"/>
  <c r="AD938" i="3" s="1"/>
  <c r="AB938" i="3" l="1"/>
  <c r="AX938" i="3"/>
  <c r="AV938" i="3"/>
  <c r="AC938" i="3"/>
  <c r="AG938" i="3"/>
  <c r="AE938" i="3"/>
  <c r="X939" i="3"/>
  <c r="Z939" i="3"/>
  <c r="AA938" i="3" l="1"/>
  <c r="Y939" i="3"/>
  <c r="W939" i="3"/>
  <c r="AL939" i="3" l="1"/>
  <c r="BA939" i="3"/>
  <c r="AW939" i="3" s="1"/>
  <c r="BB939" i="3"/>
  <c r="AY939" i="3" s="1"/>
  <c r="AH939" i="3"/>
  <c r="AK939" i="3"/>
  <c r="AF939" i="3" s="1"/>
  <c r="AJ939" i="3"/>
  <c r="AC939" i="3" s="1"/>
  <c r="AX939" i="3" l="1"/>
  <c r="AV939" i="3"/>
  <c r="AG939" i="3"/>
  <c r="AD939" i="3"/>
  <c r="AB939" i="3" s="1"/>
  <c r="AE939" i="3"/>
  <c r="AA939" i="3" s="1"/>
  <c r="Z940" i="3" l="1"/>
  <c r="X940" i="3" l="1"/>
  <c r="W940" i="3"/>
  <c r="Y940" i="3"/>
  <c r="AL940" i="3" l="1"/>
  <c r="BA940" i="3"/>
  <c r="AV940" i="3" s="1"/>
  <c r="BB940" i="3"/>
  <c r="AX940" i="3" s="1"/>
  <c r="AW940" i="3"/>
  <c r="AH940" i="3"/>
  <c r="AK940" i="3"/>
  <c r="AF940" i="3" s="1"/>
  <c r="AJ940" i="3"/>
  <c r="AC940" i="3" s="1"/>
  <c r="AY940" i="3" l="1"/>
  <c r="AG940" i="3"/>
  <c r="AD940" i="3"/>
  <c r="AB940" i="3" s="1"/>
  <c r="AE940" i="3"/>
  <c r="AA940" i="3" s="1"/>
  <c r="Y941" i="3" l="1"/>
  <c r="W941" i="3"/>
  <c r="X941" i="3"/>
  <c r="Z941" i="3"/>
  <c r="BA941" i="3" l="1"/>
  <c r="AV941" i="3" s="1"/>
  <c r="BB941" i="3"/>
  <c r="AY941" i="3" s="1"/>
  <c r="AL941" i="3"/>
  <c r="AG941" i="3" s="1"/>
  <c r="AJ941" i="3"/>
  <c r="AC941" i="3" s="1"/>
  <c r="AK941" i="3"/>
  <c r="AE941" i="3" s="1"/>
  <c r="AW941" i="3" l="1"/>
  <c r="AX941" i="3"/>
  <c r="AA941" i="3" s="1"/>
  <c r="AD941" i="3"/>
  <c r="AH941" i="3"/>
  <c r="AF941" i="3"/>
  <c r="AB941" i="3" l="1"/>
  <c r="Z942" i="3"/>
  <c r="X942" i="3"/>
  <c r="W942" i="3"/>
  <c r="Y942" i="3"/>
  <c r="AL942" i="3" l="1"/>
  <c r="BA942" i="3"/>
  <c r="AV942" i="3" s="1"/>
  <c r="BB942" i="3"/>
  <c r="AX942" i="3" s="1"/>
  <c r="AW942" i="3"/>
  <c r="AJ942" i="3"/>
  <c r="AD942" i="3" s="1"/>
  <c r="AH942" i="3"/>
  <c r="AK942" i="3"/>
  <c r="AF942" i="3" s="1"/>
  <c r="AY942" i="3" l="1"/>
  <c r="AB942" i="3" s="1"/>
  <c r="AC942" i="3"/>
  <c r="AG942" i="3"/>
  <c r="AE942" i="3"/>
  <c r="AA942" i="3" l="1"/>
  <c r="Y943" i="3"/>
  <c r="W943" i="3"/>
  <c r="Z943" i="3"/>
  <c r="X943" i="3"/>
  <c r="BB943" i="3" l="1"/>
  <c r="AY943" i="3" s="1"/>
  <c r="BA943" i="3"/>
  <c r="AW943" i="3" s="1"/>
  <c r="AL943" i="3"/>
  <c r="AH943" i="3" s="1"/>
  <c r="AJ943" i="3"/>
  <c r="AD943" i="3" s="1"/>
  <c r="AK943" i="3"/>
  <c r="AF943" i="3" s="1"/>
  <c r="AB943" i="3" l="1"/>
  <c r="AX943" i="3"/>
  <c r="AV943" i="3"/>
  <c r="AC943" i="3"/>
  <c r="AG943" i="3"/>
  <c r="AE943" i="3"/>
  <c r="AA943" i="3" l="1"/>
  <c r="Y944" i="3"/>
  <c r="X944" i="3"/>
  <c r="Z944" i="3"/>
  <c r="W944" i="3"/>
  <c r="AL944" i="3" l="1"/>
  <c r="BB944" i="3"/>
  <c r="AX944" i="3" s="1"/>
  <c r="BA944" i="3"/>
  <c r="AV944" i="3" s="1"/>
  <c r="AY944" i="3"/>
  <c r="AG944" i="3"/>
  <c r="AK944" i="3"/>
  <c r="AE944" i="3" s="1"/>
  <c r="AJ944" i="3"/>
  <c r="AW944" i="3" l="1"/>
  <c r="AC944" i="3"/>
  <c r="AA944" i="3" s="1"/>
  <c r="AH944" i="3"/>
  <c r="AF944" i="3"/>
  <c r="AD944" i="3"/>
  <c r="AB944" i="3" l="1"/>
  <c r="Y945" i="3"/>
  <c r="W945" i="3"/>
  <c r="Z945" i="3" l="1"/>
  <c r="X945" i="3"/>
  <c r="AL945" i="3" l="1"/>
  <c r="BA945" i="3"/>
  <c r="AV945" i="3" s="1"/>
  <c r="BB945" i="3"/>
  <c r="AX945" i="3" s="1"/>
  <c r="AK945" i="3"/>
  <c r="AF945" i="3" s="1"/>
  <c r="AJ945" i="3"/>
  <c r="AC945" i="3" s="1"/>
  <c r="AG945" i="3"/>
  <c r="AY945" i="3" l="1"/>
  <c r="AW945" i="3"/>
  <c r="AH945" i="3"/>
  <c r="AD945" i="3"/>
  <c r="AB945" i="3" s="1"/>
  <c r="AE945" i="3"/>
  <c r="AA945" i="3" s="1"/>
  <c r="Y946" i="3" l="1"/>
  <c r="W946" i="3"/>
  <c r="Z946" i="3"/>
  <c r="X946" i="3"/>
  <c r="BB946" i="3" l="1"/>
  <c r="AY946" i="3" s="1"/>
  <c r="BA946" i="3"/>
  <c r="AV946" i="3" s="1"/>
  <c r="AL946" i="3"/>
  <c r="AK946" i="3"/>
  <c r="AF946" i="3" s="1"/>
  <c r="AJ946" i="3"/>
  <c r="AC946" i="3" s="1"/>
  <c r="AG946" i="3"/>
  <c r="AW946" i="3" l="1"/>
  <c r="AX946" i="3"/>
  <c r="AH946" i="3"/>
  <c r="AD946" i="3"/>
  <c r="AE946" i="3"/>
  <c r="AA946" i="3" s="1"/>
  <c r="AB946" i="3" l="1"/>
  <c r="Z947" i="3"/>
  <c r="X947" i="3"/>
  <c r="Y947" i="3"/>
  <c r="W947" i="3"/>
  <c r="AL947" i="3" l="1"/>
  <c r="BB947" i="3"/>
  <c r="AX947" i="3" s="1"/>
  <c r="BA947" i="3"/>
  <c r="AV947" i="3" s="1"/>
  <c r="AY947" i="3"/>
  <c r="AK947" i="3"/>
  <c r="AE947" i="3" s="1"/>
  <c r="AG947" i="3"/>
  <c r="AJ947" i="3"/>
  <c r="AW947" i="3" l="1"/>
  <c r="AC947" i="3"/>
  <c r="AH947" i="3"/>
  <c r="AF947" i="3"/>
  <c r="AD947" i="3"/>
  <c r="AB947" i="3" s="1"/>
  <c r="AA947" i="3" l="1"/>
  <c r="W948" i="3" s="1"/>
  <c r="Z948" i="3"/>
  <c r="Y948" i="3"/>
  <c r="X948" i="3"/>
  <c r="AL948" i="3" l="1"/>
  <c r="BA948" i="3"/>
  <c r="AV948" i="3" s="1"/>
  <c r="BB948" i="3"/>
  <c r="AX948" i="3" s="1"/>
  <c r="AG948" i="3"/>
  <c r="AJ948" i="3"/>
  <c r="AC948" i="3" s="1"/>
  <c r="AK948" i="3"/>
  <c r="AF948" i="3" s="1"/>
  <c r="AY948" i="3" l="1"/>
  <c r="AW948" i="3"/>
  <c r="AH948" i="3"/>
  <c r="AE948" i="3"/>
  <c r="AA948" i="3" s="1"/>
  <c r="AD948" i="3"/>
  <c r="AB948" i="3" s="1"/>
  <c r="W949" i="3" l="1"/>
  <c r="Y949" i="3"/>
  <c r="X949" i="3" l="1"/>
  <c r="Z949" i="3"/>
  <c r="AL949" i="3" l="1"/>
  <c r="BA949" i="3"/>
  <c r="AV949" i="3" s="1"/>
  <c r="BB949" i="3"/>
  <c r="AX949" i="3" s="1"/>
  <c r="AK949" i="3"/>
  <c r="AF949" i="3" s="1"/>
  <c r="AJ949" i="3"/>
  <c r="AC949" i="3" s="1"/>
  <c r="AG949" i="3"/>
  <c r="AW949" i="3" l="1"/>
  <c r="AY949" i="3"/>
  <c r="AH949" i="3"/>
  <c r="AD949" i="3"/>
  <c r="AB949" i="3" s="1"/>
  <c r="AE949" i="3"/>
  <c r="AA949" i="3" s="1"/>
  <c r="Y950" i="3" l="1"/>
  <c r="W950" i="3"/>
  <c r="X950" i="3" l="1"/>
  <c r="BA950" i="3" s="1"/>
  <c r="AV950" i="3" s="1"/>
  <c r="Z950" i="3"/>
  <c r="AJ950" i="3"/>
  <c r="AC950" i="3" s="1"/>
  <c r="AK950" i="3"/>
  <c r="AE950" i="3" s="1"/>
  <c r="AL950" i="3" l="1"/>
  <c r="AG950" i="3" s="1"/>
  <c r="AW950" i="3"/>
  <c r="BB950" i="3"/>
  <c r="AX950" i="3" s="1"/>
  <c r="AH950" i="3"/>
  <c r="AF950" i="3"/>
  <c r="AD950" i="3"/>
  <c r="AA950" i="3" l="1"/>
  <c r="AY950" i="3"/>
  <c r="AB950" i="3" s="1"/>
  <c r="Y951" i="3"/>
  <c r="W951" i="3"/>
  <c r="X951" i="3" l="1"/>
  <c r="BB951" i="3" s="1"/>
  <c r="AX951" i="3" s="1"/>
  <c r="Z951" i="3"/>
  <c r="AL951" i="3" l="1"/>
  <c r="AY951" i="3"/>
  <c r="BA951" i="3"/>
  <c r="AV951" i="3" s="1"/>
  <c r="AG951" i="3"/>
  <c r="AK951" i="3"/>
  <c r="AF951" i="3" s="1"/>
  <c r="AJ951" i="3"/>
  <c r="AC951" i="3" s="1"/>
  <c r="AW951" i="3" l="1"/>
  <c r="AH951" i="3"/>
  <c r="AD951" i="3"/>
  <c r="AE951" i="3"/>
  <c r="AA951" i="3" s="1"/>
  <c r="AB951" i="3" l="1"/>
  <c r="W952" i="3"/>
  <c r="Y952" i="3"/>
  <c r="X952" i="3" l="1"/>
  <c r="BA952" i="3" s="1"/>
  <c r="AV952" i="3" s="1"/>
  <c r="Z952" i="3"/>
  <c r="AJ952" i="3"/>
  <c r="AD952" i="3" s="1"/>
  <c r="AK952" i="3"/>
  <c r="AE952" i="3" s="1"/>
  <c r="AL952" i="3" l="1"/>
  <c r="AG952" i="3" s="1"/>
  <c r="AW952" i="3"/>
  <c r="BB952" i="3"/>
  <c r="AX952" i="3" s="1"/>
  <c r="AC952" i="3"/>
  <c r="AH952" i="3"/>
  <c r="AF952" i="3"/>
  <c r="AA952" i="3" l="1"/>
  <c r="AY952" i="3"/>
  <c r="AB952" i="3" s="1"/>
  <c r="Z953" i="3" s="1"/>
  <c r="Y953" i="3"/>
  <c r="W953" i="3"/>
  <c r="X953" i="3" l="1"/>
  <c r="AL953" i="3"/>
  <c r="BB953" i="3"/>
  <c r="AX953" i="3" s="1"/>
  <c r="BA953" i="3"/>
  <c r="AV953" i="3" s="1"/>
  <c r="AY953" i="3"/>
  <c r="AK953" i="3"/>
  <c r="AF953" i="3" s="1"/>
  <c r="AJ953" i="3"/>
  <c r="AC953" i="3" s="1"/>
  <c r="AG953" i="3"/>
  <c r="AW953" i="3" l="1"/>
  <c r="AH953" i="3"/>
  <c r="AD953" i="3"/>
  <c r="AE953" i="3"/>
  <c r="AA953" i="3" s="1"/>
  <c r="AB953" i="3" l="1"/>
  <c r="X954" i="3"/>
  <c r="Y954" i="3"/>
  <c r="W954" i="3"/>
  <c r="BB954" i="3" l="1"/>
  <c r="AX954" i="3" s="1"/>
  <c r="BA954" i="3"/>
  <c r="AV954" i="3" s="1"/>
  <c r="AY954" i="3"/>
  <c r="AW954" i="3"/>
  <c r="Z954" i="3"/>
  <c r="AL954" i="3"/>
  <c r="AG954" i="3" s="1"/>
  <c r="AK954" i="3"/>
  <c r="AF954" i="3" s="1"/>
  <c r="AJ954" i="3"/>
  <c r="AC954" i="3" s="1"/>
  <c r="AH954" i="3" l="1"/>
  <c r="AD954" i="3"/>
  <c r="AB954" i="3" s="1"/>
  <c r="AE954" i="3"/>
  <c r="AA954" i="3" s="1"/>
  <c r="Z955" i="3" l="1"/>
  <c r="X955" i="3"/>
  <c r="Y955" i="3"/>
  <c r="W955" i="3"/>
  <c r="AL955" i="3" l="1"/>
  <c r="BB955" i="3"/>
  <c r="AX955" i="3" s="1"/>
  <c r="BA955" i="3"/>
  <c r="AV955" i="3" s="1"/>
  <c r="AK955" i="3"/>
  <c r="AF955" i="3" s="1"/>
  <c r="AJ955" i="3"/>
  <c r="AD955" i="3" s="1"/>
  <c r="AG955" i="3"/>
  <c r="AW955" i="3" l="1"/>
  <c r="AY955" i="3"/>
  <c r="AE955" i="3"/>
  <c r="AC955" i="3"/>
  <c r="AH955" i="3"/>
  <c r="AB955" i="3" s="1"/>
  <c r="AA955" i="3" l="1"/>
  <c r="Y956" i="3"/>
  <c r="X956" i="3"/>
  <c r="Z956" i="3"/>
  <c r="W956" i="3" l="1"/>
  <c r="AL956" i="3" l="1"/>
  <c r="BB956" i="3"/>
  <c r="AY956" i="3" s="1"/>
  <c r="BA956" i="3"/>
  <c r="AW956" i="3" s="1"/>
  <c r="AH956" i="3"/>
  <c r="AJ956" i="3"/>
  <c r="AC956" i="3" s="1"/>
  <c r="AK956" i="3"/>
  <c r="AF956" i="3" s="1"/>
  <c r="AX956" i="3" l="1"/>
  <c r="AV956" i="3"/>
  <c r="AG956" i="3"/>
  <c r="AD956" i="3"/>
  <c r="AB956" i="3" s="1"/>
  <c r="AE956" i="3"/>
  <c r="AA956" i="3" s="1"/>
  <c r="Z957" i="3" l="1"/>
  <c r="X957" i="3"/>
  <c r="Y957" i="3" l="1"/>
  <c r="W957" i="3"/>
  <c r="AL957" i="3" l="1"/>
  <c r="BB957" i="3"/>
  <c r="AY957" i="3" s="1"/>
  <c r="BA957" i="3"/>
  <c r="AW957" i="3" s="1"/>
  <c r="AJ957" i="3"/>
  <c r="AC957" i="3" s="1"/>
  <c r="AK957" i="3"/>
  <c r="AF957" i="3" s="1"/>
  <c r="AH957" i="3"/>
  <c r="AX957" i="3" l="1"/>
  <c r="AV957" i="3"/>
  <c r="AG957" i="3"/>
  <c r="AE957" i="3"/>
  <c r="AA957" i="3" s="1"/>
  <c r="AD957" i="3"/>
  <c r="AB957" i="3" s="1"/>
  <c r="W958" i="3" l="1"/>
  <c r="Z958" i="3"/>
  <c r="Y958" i="3"/>
  <c r="X958" i="3" l="1"/>
  <c r="BB958" i="3" s="1"/>
  <c r="AX958" i="3" s="1"/>
  <c r="AL958" i="3" l="1"/>
  <c r="AY958" i="3"/>
  <c r="BA958" i="3"/>
  <c r="AV958" i="3" s="1"/>
  <c r="AG958" i="3"/>
  <c r="AJ958" i="3"/>
  <c r="AC958" i="3" s="1"/>
  <c r="AK958" i="3"/>
  <c r="AF958" i="3" s="1"/>
  <c r="AW958" i="3" l="1"/>
  <c r="AH958" i="3"/>
  <c r="AD958" i="3"/>
  <c r="AE958" i="3"/>
  <c r="AA958" i="3" s="1"/>
  <c r="AB958" i="3" l="1"/>
  <c r="X959" i="3"/>
  <c r="Z959" i="3"/>
  <c r="W959" i="3"/>
  <c r="Y959" i="3"/>
  <c r="AL959" i="3" l="1"/>
  <c r="BB959" i="3"/>
  <c r="AX959" i="3" s="1"/>
  <c r="BA959" i="3"/>
  <c r="AV959" i="3" s="1"/>
  <c r="AH959" i="3"/>
  <c r="AJ959" i="3"/>
  <c r="AD959" i="3" s="1"/>
  <c r="AK959" i="3"/>
  <c r="AE959" i="3" s="1"/>
  <c r="AW959" i="3" l="1"/>
  <c r="AY959" i="3"/>
  <c r="AC959" i="3"/>
  <c r="AG959" i="3"/>
  <c r="AF959" i="3"/>
  <c r="AB959" i="3" s="1"/>
  <c r="AA959" i="3" l="1"/>
  <c r="Z960" i="3"/>
  <c r="X960" i="3"/>
  <c r="Y960" i="3"/>
  <c r="W960" i="3"/>
  <c r="AL960" i="3" l="1"/>
  <c r="BB960" i="3"/>
  <c r="AX960" i="3" s="1"/>
  <c r="BA960" i="3"/>
  <c r="AV960" i="3" s="1"/>
  <c r="AY960" i="3"/>
  <c r="AH960" i="3"/>
  <c r="AK960" i="3"/>
  <c r="AF960" i="3" s="1"/>
  <c r="AJ960" i="3"/>
  <c r="AC960" i="3" s="1"/>
  <c r="AW960" i="3" l="1"/>
  <c r="AG960" i="3"/>
  <c r="AE960" i="3"/>
  <c r="AD960" i="3"/>
  <c r="AB960" i="3" s="1"/>
  <c r="AA960" i="3" l="1"/>
  <c r="X961" i="3"/>
  <c r="Z961" i="3"/>
  <c r="W961" i="3"/>
  <c r="Y961" i="3"/>
  <c r="AL961" i="3" l="1"/>
  <c r="BB961" i="3"/>
  <c r="AX961" i="3" s="1"/>
  <c r="BA961" i="3"/>
  <c r="AV961" i="3" s="1"/>
  <c r="AY961" i="3"/>
  <c r="AH961" i="3"/>
  <c r="AK961" i="3"/>
  <c r="AF961" i="3" s="1"/>
  <c r="AJ961" i="3"/>
  <c r="AD961" i="3" s="1"/>
  <c r="AW961" i="3" l="1"/>
  <c r="AB961" i="3" s="1"/>
  <c r="AC961" i="3"/>
  <c r="AG961" i="3"/>
  <c r="AE961" i="3"/>
  <c r="AA961" i="3" l="1"/>
  <c r="W962" i="3"/>
  <c r="Y962" i="3" l="1"/>
  <c r="Z962" i="3"/>
  <c r="X962" i="3"/>
  <c r="AL962" i="3" l="1"/>
  <c r="BA962" i="3"/>
  <c r="AV962" i="3" s="1"/>
  <c r="BB962" i="3"/>
  <c r="AX962" i="3" s="1"/>
  <c r="AG962" i="3"/>
  <c r="AK962" i="3"/>
  <c r="AF962" i="3" s="1"/>
  <c r="AJ962" i="3"/>
  <c r="AC962" i="3" s="1"/>
  <c r="AY962" i="3" l="1"/>
  <c r="AW962" i="3"/>
  <c r="AH962" i="3"/>
  <c r="AD962" i="3"/>
  <c r="AB962" i="3" s="1"/>
  <c r="AE962" i="3"/>
  <c r="AA962" i="3" s="1"/>
  <c r="W963" i="3" l="1"/>
  <c r="Y963" i="3"/>
  <c r="Z963" i="3"/>
  <c r="X963" i="3"/>
  <c r="BB963" i="3" l="1"/>
  <c r="AY963" i="3" s="1"/>
  <c r="BA963" i="3"/>
  <c r="AV963" i="3" s="1"/>
  <c r="AL963" i="3"/>
  <c r="AJ963" i="3"/>
  <c r="AC963" i="3" s="1"/>
  <c r="AK963" i="3"/>
  <c r="AF963" i="3" s="1"/>
  <c r="AH963" i="3"/>
  <c r="AW963" i="3" l="1"/>
  <c r="AX963" i="3"/>
  <c r="AG963" i="3"/>
  <c r="AE963" i="3"/>
  <c r="AA963" i="3" s="1"/>
  <c r="AD963" i="3"/>
  <c r="AB963" i="3" l="1"/>
  <c r="X964" i="3" s="1"/>
  <c r="Z964" i="3"/>
  <c r="Y964" i="3" l="1"/>
  <c r="W964" i="3"/>
  <c r="AL964" i="3" l="1"/>
  <c r="BB964" i="3"/>
  <c r="AY964" i="3" s="1"/>
  <c r="BA964" i="3"/>
  <c r="AW964" i="3" s="1"/>
  <c r="AJ964" i="3"/>
  <c r="AD964" i="3" s="1"/>
  <c r="AH964" i="3"/>
  <c r="AK964" i="3"/>
  <c r="AF964" i="3" s="1"/>
  <c r="AB964" i="3" l="1"/>
  <c r="AX964" i="3"/>
  <c r="AV964" i="3"/>
  <c r="AC964" i="3"/>
  <c r="AG964" i="3"/>
  <c r="AE964" i="3"/>
  <c r="AA964" i="3" l="1"/>
  <c r="Z965" i="3"/>
  <c r="X965" i="3"/>
  <c r="W965" i="3"/>
  <c r="Y965" i="3"/>
  <c r="AL965" i="3" l="1"/>
  <c r="BB965" i="3"/>
  <c r="AX965" i="3" s="1"/>
  <c r="BA965" i="3"/>
  <c r="AV965" i="3" s="1"/>
  <c r="AY965" i="3"/>
  <c r="AH965" i="3"/>
  <c r="AJ965" i="3"/>
  <c r="AC965" i="3" s="1"/>
  <c r="AK965" i="3"/>
  <c r="AF965" i="3" s="1"/>
  <c r="AW965" i="3" l="1"/>
  <c r="AG965" i="3"/>
  <c r="AD965" i="3"/>
  <c r="AB965" i="3" s="1"/>
  <c r="AE965" i="3"/>
  <c r="AA965" i="3" s="1"/>
  <c r="Z966" i="3" l="1"/>
  <c r="X966" i="3"/>
  <c r="Y966" i="3"/>
  <c r="W966" i="3"/>
  <c r="AL966" i="3" l="1"/>
  <c r="BB966" i="3"/>
  <c r="AX966" i="3" s="1"/>
  <c r="BA966" i="3"/>
  <c r="AV966" i="3" s="1"/>
  <c r="AH966" i="3"/>
  <c r="AJ966" i="3"/>
  <c r="AD966" i="3" s="1"/>
  <c r="AK966" i="3"/>
  <c r="AE966" i="3" s="1"/>
  <c r="AY966" i="3" l="1"/>
  <c r="AW966" i="3"/>
  <c r="AC966" i="3"/>
  <c r="AG966" i="3"/>
  <c r="AF966" i="3"/>
  <c r="AB966" i="3" s="1"/>
  <c r="AA966" i="3" l="1"/>
  <c r="Y967" i="3"/>
  <c r="W967" i="3"/>
  <c r="Z967" i="3"/>
  <c r="X967" i="3"/>
  <c r="BB967" i="3" l="1"/>
  <c r="AY967" i="3" s="1"/>
  <c r="BA967" i="3"/>
  <c r="AW967" i="3" s="1"/>
  <c r="AL967" i="3"/>
  <c r="AK967" i="3"/>
  <c r="AE967" i="3" s="1"/>
  <c r="AJ967" i="3"/>
  <c r="AD967" i="3" s="1"/>
  <c r="AH967" i="3"/>
  <c r="AV967" i="3" l="1"/>
  <c r="AX967" i="3"/>
  <c r="AC967" i="3"/>
  <c r="AG967" i="3"/>
  <c r="AF967" i="3"/>
  <c r="AB967" i="3" s="1"/>
  <c r="AA967" i="3" l="1"/>
  <c r="W968" i="3"/>
  <c r="Y968" i="3"/>
  <c r="X968" i="3"/>
  <c r="Z968" i="3"/>
  <c r="BB968" i="3" l="1"/>
  <c r="AY968" i="3" s="1"/>
  <c r="BA968" i="3"/>
  <c r="AW968" i="3" s="1"/>
  <c r="AL968" i="3"/>
  <c r="AJ968" i="3"/>
  <c r="AC968" i="3" s="1"/>
  <c r="AH968" i="3"/>
  <c r="AK968" i="3"/>
  <c r="AF968" i="3" s="1"/>
  <c r="AV968" i="3" l="1"/>
  <c r="AX968" i="3"/>
  <c r="AG968" i="3"/>
  <c r="AE968" i="3"/>
  <c r="AA968" i="3" s="1"/>
  <c r="AD968" i="3"/>
  <c r="AB968" i="3" s="1"/>
  <c r="W969" i="3" l="1"/>
  <c r="Y969" i="3" l="1"/>
  <c r="Z969" i="3"/>
  <c r="X969" i="3"/>
  <c r="AL969" i="3" l="1"/>
  <c r="BB969" i="3"/>
  <c r="AX969" i="3" s="1"/>
  <c r="BA969" i="3"/>
  <c r="AV969" i="3" s="1"/>
  <c r="AK969" i="3"/>
  <c r="AF969" i="3" s="1"/>
  <c r="AG969" i="3"/>
  <c r="AJ969" i="3"/>
  <c r="AC969" i="3" s="1"/>
  <c r="AY969" i="3" l="1"/>
  <c r="AW969" i="3"/>
  <c r="AH969" i="3"/>
  <c r="AD969" i="3"/>
  <c r="AB969" i="3" s="1"/>
  <c r="AE969" i="3"/>
  <c r="AA969" i="3" s="1"/>
  <c r="Z970" i="3" l="1"/>
  <c r="X970" i="3" l="1"/>
  <c r="Y970" i="3"/>
  <c r="W970" i="3"/>
  <c r="AL970" i="3" l="1"/>
  <c r="BB970" i="3"/>
  <c r="AX970" i="3" s="1"/>
  <c r="BA970" i="3"/>
  <c r="AV970" i="3" s="1"/>
  <c r="AY970" i="3"/>
  <c r="AJ970" i="3"/>
  <c r="AC970" i="3" s="1"/>
  <c r="AK970" i="3"/>
  <c r="AF970" i="3" s="1"/>
  <c r="AH970" i="3"/>
  <c r="AW970" i="3" l="1"/>
  <c r="AG970" i="3"/>
  <c r="AE970" i="3"/>
  <c r="AD970" i="3"/>
  <c r="AB970" i="3" l="1"/>
  <c r="Z971" i="3" s="1"/>
  <c r="AA970" i="3"/>
  <c r="X971" i="3"/>
  <c r="W971" i="3"/>
  <c r="Y971" i="3"/>
  <c r="AL971" i="3" l="1"/>
  <c r="BB971" i="3"/>
  <c r="AX971" i="3" s="1"/>
  <c r="BA971" i="3"/>
  <c r="AV971" i="3" s="1"/>
  <c r="AJ971" i="3"/>
  <c r="AC971" i="3" s="1"/>
  <c r="AK971" i="3"/>
  <c r="AF971" i="3" s="1"/>
  <c r="AH971" i="3"/>
  <c r="AW971" i="3" l="1"/>
  <c r="AY971" i="3"/>
  <c r="AG971" i="3"/>
  <c r="AE971" i="3"/>
  <c r="AD971" i="3"/>
  <c r="AB971" i="3" l="1"/>
  <c r="Z972" i="3" s="1"/>
  <c r="AA971" i="3"/>
  <c r="X972" i="3"/>
  <c r="Y972" i="3"/>
  <c r="W972" i="3"/>
  <c r="AL972" i="3" l="1"/>
  <c r="BB972" i="3"/>
  <c r="AX972" i="3" s="1"/>
  <c r="BA972" i="3"/>
  <c r="AV972" i="3" s="1"/>
  <c r="AW972" i="3"/>
  <c r="AK972" i="3"/>
  <c r="AE972" i="3" s="1"/>
  <c r="AH972" i="3"/>
  <c r="AJ972" i="3"/>
  <c r="AC972" i="3" s="1"/>
  <c r="AY972" i="3" l="1"/>
  <c r="AG972" i="3"/>
  <c r="AA972" i="3" s="1"/>
  <c r="AF972" i="3"/>
  <c r="AD972" i="3"/>
  <c r="AB972" i="3" s="1"/>
  <c r="Z973" i="3" l="1"/>
  <c r="X973" i="3"/>
  <c r="W973" i="3" l="1"/>
  <c r="Y973" i="3"/>
  <c r="AL973" i="3" l="1"/>
  <c r="BB973" i="3"/>
  <c r="AY973" i="3" s="1"/>
  <c r="BA973" i="3"/>
  <c r="AW973" i="3" s="1"/>
  <c r="AH973" i="3"/>
  <c r="AJ973" i="3"/>
  <c r="AD973" i="3" s="1"/>
  <c r="AK973" i="3"/>
  <c r="AF973" i="3" s="1"/>
  <c r="AB973" i="3" l="1"/>
  <c r="AX973" i="3"/>
  <c r="AV973" i="3"/>
  <c r="AC973" i="3"/>
  <c r="AG973" i="3"/>
  <c r="AE973" i="3"/>
  <c r="AA973" i="3" l="1"/>
  <c r="X974" i="3"/>
  <c r="Z974" i="3"/>
  <c r="W974" i="3"/>
  <c r="Y974" i="3"/>
  <c r="AL974" i="3" l="1"/>
  <c r="BB974" i="3"/>
  <c r="AX974" i="3" s="1"/>
  <c r="BA974" i="3"/>
  <c r="AV974" i="3" s="1"/>
  <c r="AW974" i="3"/>
  <c r="AJ974" i="3"/>
  <c r="AD974" i="3" s="1"/>
  <c r="AH974" i="3"/>
  <c r="AK974" i="3"/>
  <c r="AF974" i="3" s="1"/>
  <c r="AY974" i="3" l="1"/>
  <c r="AB974" i="3" s="1"/>
  <c r="AC974" i="3"/>
  <c r="AG974" i="3"/>
  <c r="AE974" i="3"/>
  <c r="AA974" i="3" l="1"/>
  <c r="W975" i="3" s="1"/>
  <c r="Y975" i="3"/>
  <c r="X975" i="3"/>
  <c r="Z975" i="3"/>
  <c r="BB975" i="3" l="1"/>
  <c r="AY975" i="3" s="1"/>
  <c r="BA975" i="3"/>
  <c r="AV975" i="3" s="1"/>
  <c r="AL975" i="3"/>
  <c r="AH975" i="3" s="1"/>
  <c r="AJ975" i="3"/>
  <c r="AC975" i="3" s="1"/>
  <c r="AK975" i="3"/>
  <c r="AF975" i="3" s="1"/>
  <c r="AW975" i="3" l="1"/>
  <c r="AX975" i="3"/>
  <c r="AG975" i="3"/>
  <c r="AE975" i="3"/>
  <c r="AA975" i="3" s="1"/>
  <c r="AD975" i="3"/>
  <c r="AB975" i="3" s="1"/>
  <c r="Y976" i="3" l="1"/>
  <c r="W976" i="3"/>
  <c r="Z976" i="3"/>
  <c r="X976" i="3"/>
  <c r="BB976" i="3" l="1"/>
  <c r="AY976" i="3" s="1"/>
  <c r="BA976" i="3"/>
  <c r="AV976" i="3" s="1"/>
  <c r="AL976" i="3"/>
  <c r="AH976" i="3" s="1"/>
  <c r="AK976" i="3"/>
  <c r="AF976" i="3" s="1"/>
  <c r="AJ976" i="3"/>
  <c r="AC976" i="3" s="1"/>
  <c r="AW976" i="3" l="1"/>
  <c r="AX976" i="3"/>
  <c r="AG976" i="3"/>
  <c r="AE976" i="3"/>
  <c r="AD976" i="3"/>
  <c r="AB976" i="3" s="1"/>
  <c r="AA976" i="3" l="1"/>
  <c r="Z977" i="3"/>
  <c r="X977" i="3"/>
  <c r="W977" i="3"/>
  <c r="Y977" i="3"/>
  <c r="BB977" i="3" l="1"/>
  <c r="AX977" i="3" s="1"/>
  <c r="BA977" i="3"/>
  <c r="AV977" i="3" s="1"/>
  <c r="AY977" i="3"/>
  <c r="AW977" i="3"/>
  <c r="AL977" i="3"/>
  <c r="AG977" i="3" s="1"/>
  <c r="AK977" i="3"/>
  <c r="AE977" i="3" s="1"/>
  <c r="AJ977" i="3"/>
  <c r="AC977" i="3" s="1"/>
  <c r="AA977" i="3" l="1"/>
  <c r="AH977" i="3"/>
  <c r="AF977" i="3"/>
  <c r="AD977" i="3"/>
  <c r="AB977" i="3" s="1"/>
  <c r="X978" i="3" l="1"/>
  <c r="Y978" i="3"/>
  <c r="W978" i="3"/>
  <c r="AL978" i="3" l="1"/>
  <c r="BB978" i="3"/>
  <c r="AX978" i="3" s="1"/>
  <c r="BA978" i="3"/>
  <c r="AV978" i="3" s="1"/>
  <c r="AY978" i="3"/>
  <c r="Z978" i="3"/>
  <c r="AH978" i="3"/>
  <c r="AJ978" i="3"/>
  <c r="AC978" i="3" s="1"/>
  <c r="AK978" i="3"/>
  <c r="AF978" i="3" s="1"/>
  <c r="AW978" i="3" l="1"/>
  <c r="AG978" i="3"/>
  <c r="AD978" i="3"/>
  <c r="AB978" i="3" s="1"/>
  <c r="AE978" i="3"/>
  <c r="AA978" i="3" s="1"/>
  <c r="Z979" i="3" l="1"/>
  <c r="X979" i="3"/>
  <c r="W979" i="3"/>
  <c r="Y979" i="3"/>
  <c r="AL979" i="3" l="1"/>
  <c r="BB979" i="3"/>
  <c r="AX979" i="3" s="1"/>
  <c r="BA979" i="3"/>
  <c r="AV979" i="3" s="1"/>
  <c r="AY979" i="3"/>
  <c r="AH979" i="3"/>
  <c r="AJ979" i="3"/>
  <c r="AC979" i="3" s="1"/>
  <c r="AK979" i="3"/>
  <c r="AF979" i="3" s="1"/>
  <c r="AW979" i="3" l="1"/>
  <c r="AG979" i="3"/>
  <c r="AD979" i="3"/>
  <c r="AB979" i="3" s="1"/>
  <c r="AE979" i="3"/>
  <c r="AA979" i="3" s="1"/>
  <c r="Y980" i="3" l="1"/>
  <c r="W980" i="3"/>
  <c r="X980" i="3"/>
  <c r="Z980" i="3"/>
  <c r="BB980" i="3" l="1"/>
  <c r="AY980" i="3" s="1"/>
  <c r="BA980" i="3"/>
  <c r="AV980" i="3" s="1"/>
  <c r="AL980" i="3"/>
  <c r="AG980" i="3" s="1"/>
  <c r="AJ980" i="3"/>
  <c r="AC980" i="3" s="1"/>
  <c r="AK980" i="3"/>
  <c r="AE980" i="3" s="1"/>
  <c r="AW980" i="3" l="1"/>
  <c r="AX980" i="3"/>
  <c r="AA980" i="3" s="1"/>
  <c r="AD980" i="3"/>
  <c r="AH980" i="3"/>
  <c r="AF980" i="3"/>
  <c r="AB980" i="3" l="1"/>
  <c r="X981" i="3"/>
  <c r="Z981" i="3"/>
  <c r="W981" i="3"/>
  <c r="Y981" i="3"/>
  <c r="AL981" i="3" l="1"/>
  <c r="BB981" i="3"/>
  <c r="AX981" i="3" s="1"/>
  <c r="BA981" i="3"/>
  <c r="AV981" i="3" s="1"/>
  <c r="AW981" i="3"/>
  <c r="AH981" i="3"/>
  <c r="AJ981" i="3"/>
  <c r="AC981" i="3" s="1"/>
  <c r="AK981" i="3"/>
  <c r="AF981" i="3" s="1"/>
  <c r="AY981" i="3" l="1"/>
  <c r="AG981" i="3"/>
  <c r="AD981" i="3"/>
  <c r="AB981" i="3" s="1"/>
  <c r="AE981" i="3"/>
  <c r="AA981" i="3" s="1"/>
  <c r="Y982" i="3" l="1"/>
  <c r="W982" i="3"/>
  <c r="Z982" i="3"/>
  <c r="X982" i="3"/>
  <c r="BB982" i="3" l="1"/>
  <c r="AY982" i="3" s="1"/>
  <c r="BA982" i="3"/>
  <c r="AV982" i="3" s="1"/>
  <c r="AL982" i="3"/>
  <c r="AJ982" i="3"/>
  <c r="AC982" i="3" s="1"/>
  <c r="AK982" i="3"/>
  <c r="AF982" i="3" s="1"/>
  <c r="AH982" i="3"/>
  <c r="AD982" i="3"/>
  <c r="AW982" i="3" l="1"/>
  <c r="AB982" i="3" s="1"/>
  <c r="AX982" i="3"/>
  <c r="AE982" i="3"/>
  <c r="AG982" i="3"/>
  <c r="AA982" i="3" l="1"/>
  <c r="X983" i="3"/>
  <c r="Z983" i="3"/>
  <c r="W983" i="3"/>
  <c r="Y983" i="3"/>
  <c r="AL983" i="3" l="1"/>
  <c r="BB983" i="3"/>
  <c r="AX983" i="3" s="1"/>
  <c r="BA983" i="3"/>
  <c r="AV983" i="3" s="1"/>
  <c r="AY983" i="3"/>
  <c r="AJ983" i="3"/>
  <c r="AC983" i="3" s="1"/>
  <c r="AK983" i="3"/>
  <c r="AE983" i="3" s="1"/>
  <c r="AH983" i="3"/>
  <c r="AD983" i="3" l="1"/>
  <c r="AW983" i="3"/>
  <c r="AG983" i="3"/>
  <c r="AA983" i="3" s="1"/>
  <c r="AF983" i="3"/>
  <c r="AB983" i="3" l="1"/>
  <c r="Y984" i="3"/>
  <c r="W984" i="3"/>
  <c r="Z984" i="3"/>
  <c r="X984" i="3"/>
  <c r="BB984" i="3" l="1"/>
  <c r="AY984" i="3" s="1"/>
  <c r="BA984" i="3"/>
  <c r="AV984" i="3" s="1"/>
  <c r="AL984" i="3"/>
  <c r="AJ984" i="3"/>
  <c r="AC984" i="3" s="1"/>
  <c r="AK984" i="3"/>
  <c r="AE984" i="3" s="1"/>
  <c r="AH984" i="3"/>
  <c r="AW984" i="3" l="1"/>
  <c r="AX984" i="3"/>
  <c r="AG984" i="3"/>
  <c r="AF984" i="3"/>
  <c r="AD984" i="3"/>
  <c r="AB984" i="3" s="1"/>
  <c r="AA984" i="3" l="1"/>
  <c r="Y985" i="3"/>
  <c r="X985" i="3"/>
  <c r="Z985" i="3"/>
  <c r="W985" i="3" l="1"/>
  <c r="BB985" i="3" l="1"/>
  <c r="AY985" i="3" s="1"/>
  <c r="BA985" i="3"/>
  <c r="AW985" i="3" s="1"/>
  <c r="AJ985" i="3"/>
  <c r="AL985" i="3"/>
  <c r="AH985" i="3" s="1"/>
  <c r="AK985" i="3"/>
  <c r="AE985" i="3" s="1"/>
  <c r="AC985" i="3"/>
  <c r="AD985" i="3"/>
  <c r="AF985" i="3" l="1"/>
  <c r="AB985" i="3" s="1"/>
  <c r="Z986" i="3" s="1"/>
  <c r="AG985" i="3"/>
  <c r="AV985" i="3"/>
  <c r="AX985" i="3"/>
  <c r="AA985" i="3" l="1"/>
  <c r="X986" i="3"/>
  <c r="W986" i="3"/>
  <c r="Y986" i="3"/>
  <c r="AL986" i="3" l="1"/>
  <c r="BA986" i="3"/>
  <c r="AV986" i="3" s="1"/>
  <c r="BB986" i="3"/>
  <c r="AX986" i="3" s="1"/>
  <c r="AW986" i="3"/>
  <c r="AJ986" i="3"/>
  <c r="AC986" i="3" s="1"/>
  <c r="AK986" i="3"/>
  <c r="AF986" i="3" s="1"/>
  <c r="AH986" i="3"/>
  <c r="AY986" i="3" l="1"/>
  <c r="AG986" i="3"/>
  <c r="AE986" i="3"/>
  <c r="AD986" i="3"/>
  <c r="AB986" i="3" s="1"/>
  <c r="AA986" i="3" l="1"/>
  <c r="Y987" i="3"/>
  <c r="W987" i="3"/>
  <c r="X987" i="3"/>
  <c r="Z987" i="3"/>
  <c r="BA987" i="3" l="1"/>
  <c r="AV987" i="3" s="1"/>
  <c r="BB987" i="3"/>
  <c r="AY987" i="3" s="1"/>
  <c r="AL987" i="3"/>
  <c r="AK987" i="3"/>
  <c r="AE987" i="3" s="1"/>
  <c r="AJ987" i="3"/>
  <c r="AC987" i="3" s="1"/>
  <c r="AG987" i="3"/>
  <c r="AW987" i="3" l="1"/>
  <c r="AX987" i="3"/>
  <c r="AA987" i="3" s="1"/>
  <c r="AH987" i="3"/>
  <c r="AF987" i="3"/>
  <c r="AD987" i="3"/>
  <c r="AB987" i="3" l="1"/>
  <c r="Z988" i="3"/>
  <c r="X988" i="3"/>
  <c r="Y988" i="3"/>
  <c r="W988" i="3"/>
  <c r="AL988" i="3" l="1"/>
  <c r="BA988" i="3"/>
  <c r="AV988" i="3" s="1"/>
  <c r="BB988" i="3"/>
  <c r="AX988" i="3" s="1"/>
  <c r="AK988" i="3"/>
  <c r="AF988" i="3" s="1"/>
  <c r="AJ988" i="3"/>
  <c r="AC988" i="3" s="1"/>
  <c r="AH988" i="3"/>
  <c r="AW988" i="3" l="1"/>
  <c r="AY988" i="3"/>
  <c r="AE988" i="3"/>
  <c r="AD988" i="3"/>
  <c r="AB988" i="3" s="1"/>
  <c r="X989" i="3" s="1"/>
  <c r="AG988" i="3"/>
  <c r="AA988" i="3" l="1"/>
  <c r="Z989" i="3"/>
  <c r="Y989" i="3"/>
  <c r="W989" i="3"/>
  <c r="AL989" i="3" l="1"/>
  <c r="BA989" i="3"/>
  <c r="AW989" i="3" s="1"/>
  <c r="BB989" i="3"/>
  <c r="AY989" i="3" s="1"/>
  <c r="AK989" i="3"/>
  <c r="AF989" i="3" s="1"/>
  <c r="AH989" i="3"/>
  <c r="AJ989" i="3"/>
  <c r="AD989" i="3" s="1"/>
  <c r="AB989" i="3" s="1"/>
  <c r="AV989" i="3" l="1"/>
  <c r="AX989" i="3"/>
  <c r="AE989" i="3"/>
  <c r="AC989" i="3"/>
  <c r="AG989" i="3"/>
  <c r="X990" i="3"/>
  <c r="Z990" i="3"/>
  <c r="AA989" i="3" l="1"/>
  <c r="W990" i="3"/>
  <c r="AJ990" i="3" s="1"/>
  <c r="AD990" i="3" s="1"/>
  <c r="Y990" i="3"/>
  <c r="AK990" i="3" l="1"/>
  <c r="AF990" i="3" s="1"/>
  <c r="AL990" i="3"/>
  <c r="AH990" i="3" s="1"/>
  <c r="BA990" i="3"/>
  <c r="AW990" i="3" s="1"/>
  <c r="BB990" i="3"/>
  <c r="AY990" i="3" s="1"/>
  <c r="AC990" i="3"/>
  <c r="AG990" i="3"/>
  <c r="AE990" i="3"/>
  <c r="AB990" i="3" l="1"/>
  <c r="AX990" i="3"/>
  <c r="AV990" i="3"/>
  <c r="AA990" i="3" s="1"/>
  <c r="Z991" i="3"/>
  <c r="X991" i="3"/>
  <c r="W991" i="3" l="1"/>
  <c r="Y991" i="3"/>
  <c r="BB991" i="3"/>
  <c r="AY991" i="3" s="1"/>
  <c r="BA991" i="3"/>
  <c r="AV991" i="3" s="1"/>
  <c r="AL991" i="3"/>
  <c r="AH991" i="3" s="1"/>
  <c r="AJ991" i="3"/>
  <c r="AC991" i="3" s="1"/>
  <c r="AK991" i="3"/>
  <c r="AF991" i="3" s="1"/>
  <c r="AW991" i="3" l="1"/>
  <c r="AX991" i="3"/>
  <c r="AG991" i="3"/>
  <c r="AE991" i="3"/>
  <c r="AA991" i="3" s="1"/>
  <c r="AD991" i="3"/>
  <c r="AB991" i="3" s="1"/>
  <c r="X992" i="3" l="1"/>
  <c r="Z992" i="3"/>
  <c r="W992" i="3" l="1"/>
  <c r="Y992" i="3"/>
  <c r="AL992" i="3" l="1"/>
  <c r="BB992" i="3"/>
  <c r="AY992" i="3" s="1"/>
  <c r="BA992" i="3"/>
  <c r="AW992" i="3" s="1"/>
  <c r="AK992" i="3"/>
  <c r="AF992" i="3" s="1"/>
  <c r="AH992" i="3"/>
  <c r="AJ992" i="3"/>
  <c r="AD992" i="3" s="1"/>
  <c r="AB992" i="3" s="1"/>
  <c r="AX992" i="3" l="1"/>
  <c r="AV992" i="3"/>
  <c r="AC992" i="3"/>
  <c r="AG992" i="3"/>
  <c r="AE992" i="3"/>
  <c r="AA992" i="3" l="1"/>
  <c r="Y993" i="3"/>
  <c r="W993" i="3"/>
  <c r="Z993" i="3"/>
  <c r="X993" i="3"/>
  <c r="BB993" i="3" l="1"/>
  <c r="AY993" i="3" s="1"/>
  <c r="BA993" i="3"/>
  <c r="AV993" i="3" s="1"/>
  <c r="AL993" i="3"/>
  <c r="AK993" i="3"/>
  <c r="AF993" i="3" s="1"/>
  <c r="AJ993" i="3"/>
  <c r="AC993" i="3" s="1"/>
  <c r="AH993" i="3"/>
  <c r="AE993" i="3"/>
  <c r="AW993" i="3" l="1"/>
  <c r="AX993" i="3"/>
  <c r="AG993" i="3"/>
  <c r="AD993" i="3"/>
  <c r="AB993" i="3" s="1"/>
  <c r="AA993" i="3" l="1"/>
  <c r="Y994" i="3"/>
  <c r="W994" i="3"/>
  <c r="Z994" i="3"/>
  <c r="X994" i="3"/>
  <c r="AJ994" i="3" l="1"/>
  <c r="AD994" i="3" s="1"/>
  <c r="BB994" i="3"/>
  <c r="AY994" i="3" s="1"/>
  <c r="BA994" i="3"/>
  <c r="AV994" i="3" s="1"/>
  <c r="AL994" i="3"/>
  <c r="AH994" i="3" s="1"/>
  <c r="AC994" i="3"/>
  <c r="AK994" i="3"/>
  <c r="AE994" i="3" s="1"/>
  <c r="AG994" i="3"/>
  <c r="AW994" i="3" l="1"/>
  <c r="AX994" i="3"/>
  <c r="AA994" i="3" s="1"/>
  <c r="AF994" i="3"/>
  <c r="AB994" i="3" s="1"/>
  <c r="W995" i="3" l="1"/>
  <c r="Y995" i="3"/>
  <c r="X995" i="3"/>
  <c r="BB995" i="3" s="1"/>
  <c r="AX995" i="3" s="1"/>
  <c r="Z995" i="3"/>
  <c r="AK995" i="3" l="1"/>
  <c r="AF995" i="3" s="1"/>
  <c r="AJ995" i="3"/>
  <c r="AD995" i="3" s="1"/>
  <c r="AL995" i="3"/>
  <c r="AH995" i="3" s="1"/>
  <c r="AY995" i="3"/>
  <c r="BA995" i="3"/>
  <c r="AV995" i="3" s="1"/>
  <c r="AC995" i="3"/>
  <c r="AG995" i="3"/>
  <c r="AE995" i="3"/>
  <c r="AA995" i="3" l="1"/>
  <c r="AW995" i="3"/>
  <c r="AB995" i="3" s="1"/>
  <c r="W996" i="3"/>
  <c r="Z996" i="3" l="1"/>
  <c r="X996" i="3"/>
  <c r="Y996" i="3"/>
  <c r="BB996" i="3"/>
  <c r="AX996" i="3" s="1"/>
  <c r="BA996" i="3"/>
  <c r="AV996" i="3" s="1"/>
  <c r="AY996" i="3"/>
  <c r="AL996" i="3"/>
  <c r="AH996" i="3" s="1"/>
  <c r="AJ996" i="3"/>
  <c r="AD996" i="3" s="1"/>
  <c r="AK996" i="3"/>
  <c r="AF996" i="3" s="1"/>
  <c r="AW996" i="3" l="1"/>
  <c r="AB996" i="3" s="1"/>
  <c r="AC996" i="3"/>
  <c r="AG996" i="3"/>
  <c r="AE996" i="3"/>
  <c r="AA996" i="3" l="1"/>
  <c r="Y997" i="3"/>
  <c r="W997" i="3"/>
  <c r="X997" i="3"/>
  <c r="Z997" i="3"/>
  <c r="BB997" i="3" l="1"/>
  <c r="AY997" i="3" s="1"/>
  <c r="BA997" i="3"/>
  <c r="AW997" i="3" s="1"/>
  <c r="AL997" i="3"/>
  <c r="AH997" i="3" s="1"/>
  <c r="AK997" i="3"/>
  <c r="AE997" i="3" s="1"/>
  <c r="AJ997" i="3"/>
  <c r="AD997" i="3" s="1"/>
  <c r="AV997" i="3" l="1"/>
  <c r="AX997" i="3"/>
  <c r="AC997" i="3"/>
  <c r="AG997" i="3"/>
  <c r="AF997" i="3"/>
  <c r="AB997" i="3" l="1"/>
  <c r="Z998" i="3" s="1"/>
  <c r="AA997" i="3"/>
  <c r="X998" i="3"/>
  <c r="W998" i="3"/>
  <c r="Y998" i="3"/>
  <c r="AL998" i="3" l="1"/>
  <c r="BB998" i="3"/>
  <c r="AX998" i="3" s="1"/>
  <c r="BA998" i="3"/>
  <c r="AV998" i="3" s="1"/>
  <c r="AY998" i="3"/>
  <c r="AJ998" i="3"/>
  <c r="AD998" i="3" s="1"/>
  <c r="AK998" i="3"/>
  <c r="AF998" i="3" s="1"/>
  <c r="AH998" i="3"/>
  <c r="AW998" i="3" l="1"/>
  <c r="AB998" i="3" s="1"/>
  <c r="AE998" i="3"/>
  <c r="AC998" i="3"/>
  <c r="AG998" i="3"/>
  <c r="AA998" i="3" l="1"/>
  <c r="Y999" i="3"/>
  <c r="W999" i="3"/>
  <c r="Z999" i="3"/>
  <c r="X999" i="3"/>
  <c r="BB999" i="3" l="1"/>
  <c r="AY999" i="3" s="1"/>
  <c r="BA999" i="3"/>
  <c r="AW999" i="3" s="1"/>
  <c r="AL999" i="3"/>
  <c r="AH999" i="3" s="1"/>
  <c r="AJ999" i="3"/>
  <c r="AD999" i="3" s="1"/>
  <c r="AK999" i="3"/>
  <c r="AF999" i="3" s="1"/>
  <c r="AB999" i="3" l="1"/>
  <c r="AV999" i="3"/>
  <c r="AX999" i="3"/>
  <c r="AC999" i="3"/>
  <c r="AE999" i="3"/>
  <c r="AG999" i="3"/>
  <c r="AA999" i="3" l="1"/>
  <c r="W1000" i="3"/>
  <c r="Y1000" i="3"/>
  <c r="Z1000" i="3"/>
  <c r="X1000" i="3"/>
  <c r="BB1000" i="3" l="1"/>
  <c r="AY1000" i="3" s="1"/>
  <c r="BA1000" i="3"/>
  <c r="AW1000" i="3" s="1"/>
  <c r="AL1000" i="3"/>
  <c r="AK1000" i="3"/>
  <c r="AF1000" i="3" s="1"/>
  <c r="AJ1000" i="3"/>
  <c r="AD1000" i="3" s="1"/>
  <c r="AB1000" i="3" s="1"/>
  <c r="AH1000" i="3"/>
  <c r="AE1000" i="3"/>
  <c r="AV1000" i="3" l="1"/>
  <c r="AX1000" i="3"/>
  <c r="AC1000" i="3"/>
  <c r="AG1000" i="3"/>
  <c r="AA1000" i="3" l="1"/>
  <c r="Z1001" i="3"/>
  <c r="X1001" i="3"/>
  <c r="Y1001" i="3" l="1"/>
  <c r="W1001" i="3"/>
  <c r="AL1001" i="3" l="1"/>
  <c r="AH1001" i="3" s="1"/>
  <c r="BB1001" i="3"/>
  <c r="AY1001" i="3" s="1"/>
  <c r="BA1001" i="3"/>
  <c r="AW1001" i="3" s="1"/>
  <c r="AK1001" i="3"/>
  <c r="AF1001" i="3" s="1"/>
  <c r="AJ1001" i="3"/>
  <c r="AC1001" i="3" s="1"/>
  <c r="AV1001" i="3" l="1"/>
  <c r="AX1001" i="3"/>
  <c r="AG1001" i="3"/>
  <c r="AD1001" i="3"/>
  <c r="AB1001" i="3" s="1"/>
  <c r="AE1001" i="3"/>
  <c r="AA1001" i="3" s="1"/>
  <c r="W1002" i="3" l="1"/>
  <c r="Y1002" i="3"/>
  <c r="Z1002" i="3"/>
  <c r="X1002" i="3"/>
  <c r="BA1002" i="3" l="1"/>
  <c r="AV1002" i="3" s="1"/>
  <c r="BB1002" i="3"/>
  <c r="AY1002" i="3" s="1"/>
  <c r="AL1002" i="3"/>
  <c r="AH1002" i="3" s="1"/>
  <c r="AJ1002" i="3"/>
  <c r="AD1002" i="3" s="1"/>
  <c r="AK1002" i="3"/>
  <c r="AE1002" i="3" s="1"/>
  <c r="AW1002" i="3" l="1"/>
  <c r="AX1002" i="3"/>
  <c r="AC1002" i="3"/>
  <c r="AG1002" i="3"/>
  <c r="AF1002" i="3"/>
  <c r="AB1002" i="3" s="1"/>
  <c r="AA1002" i="3" l="1"/>
  <c r="Z1003" i="3"/>
  <c r="X1003" i="3"/>
  <c r="Y1003" i="3" l="1"/>
  <c r="W1003" i="3"/>
  <c r="AL1003" i="3" l="1"/>
  <c r="BA1003" i="3"/>
  <c r="AW1003" i="3" s="1"/>
  <c r="BB1003" i="3"/>
  <c r="AY1003" i="3" s="1"/>
  <c r="AV1003" i="3"/>
  <c r="AJ1003" i="3"/>
  <c r="AD1003" i="3" s="1"/>
  <c r="AH1003" i="3"/>
  <c r="AK1003" i="3"/>
  <c r="AF1003" i="3" s="1"/>
  <c r="AB1003" i="3" l="1"/>
  <c r="AX1003" i="3"/>
  <c r="AC1003" i="3"/>
  <c r="AG1003" i="3"/>
  <c r="AE1003" i="3"/>
  <c r="AA1003" i="3" l="1"/>
  <c r="Y1004" i="3"/>
  <c r="W1004" i="3"/>
  <c r="X1004" i="3"/>
  <c r="Z1004" i="3"/>
  <c r="BB1004" i="3" l="1"/>
  <c r="AY1004" i="3" s="1"/>
  <c r="BA1004" i="3"/>
  <c r="AV1004" i="3" s="1"/>
  <c r="AL1004" i="3"/>
  <c r="AH1004" i="3" s="1"/>
  <c r="AJ1004" i="3"/>
  <c r="AC1004" i="3" s="1"/>
  <c r="AK1004" i="3"/>
  <c r="AE1004" i="3" s="1"/>
  <c r="AW1004" i="3" l="1"/>
  <c r="AX1004" i="3"/>
  <c r="AG1004" i="3"/>
  <c r="AF1004" i="3"/>
  <c r="AD1004" i="3"/>
  <c r="AA1004" i="3" l="1"/>
  <c r="AB1004" i="3"/>
  <c r="W1005" i="3"/>
  <c r="Y1005" i="3"/>
  <c r="X1005" i="3"/>
  <c r="Z1005" i="3"/>
  <c r="BB1005" i="3" l="1"/>
  <c r="AY1005" i="3" s="1"/>
  <c r="BA1005" i="3"/>
  <c r="AW1005" i="3" s="1"/>
  <c r="AL1005" i="3"/>
  <c r="AH1005" i="3" s="1"/>
  <c r="AK1005" i="3"/>
  <c r="AE1005" i="3" s="1"/>
  <c r="AJ1005" i="3"/>
  <c r="AD1005" i="3" s="1"/>
  <c r="AV1005" i="3" l="1"/>
  <c r="AX1005" i="3"/>
  <c r="AC1005" i="3"/>
  <c r="AG1005" i="3"/>
  <c r="AF1005" i="3"/>
  <c r="AB1005" i="3" s="1"/>
  <c r="AA1005" i="3" l="1"/>
  <c r="X1006" i="3"/>
  <c r="Z1006" i="3"/>
  <c r="N13" i="2" l="1"/>
  <c r="N12" i="2"/>
  <c r="R12" i="2"/>
  <c r="R11" i="2"/>
  <c r="Y1006" i="3"/>
  <c r="W1006" i="3"/>
  <c r="BB1006" i="3" l="1"/>
  <c r="BA1006" i="3"/>
  <c r="AL1006" i="3"/>
  <c r="Q11" i="2"/>
  <c r="M13" i="2"/>
  <c r="M12" i="2"/>
  <c r="Q12" i="2"/>
  <c r="AK1006" i="3"/>
  <c r="AF1006" i="3" s="1"/>
  <c r="AH1006" i="3"/>
  <c r="AJ1006" i="3"/>
  <c r="AC1006" i="3" s="1"/>
  <c r="AG1006" i="3" l="1"/>
  <c r="AD1006" i="3"/>
  <c r="AB1006" i="3" s="1"/>
  <c r="AE1006" i="3"/>
  <c r="AA1006" i="3" s="1"/>
</calcChain>
</file>

<file path=xl/sharedStrings.xml><?xml version="1.0" encoding="utf-8"?>
<sst xmlns="http://schemas.openxmlformats.org/spreadsheetml/2006/main" count="270" uniqueCount="90">
  <si>
    <t>Paramètres généraux</t>
  </si>
  <si>
    <t>Base de temps</t>
  </si>
  <si>
    <t>Coefficient de friction</t>
  </si>
  <si>
    <t>Ratio de la constante d'Aarseth</t>
  </si>
  <si>
    <t>Corps en mouvement</t>
  </si>
  <si>
    <t>Masse</t>
  </si>
  <si>
    <t>Position initiale</t>
  </si>
  <si>
    <t>Vitesse initiale</t>
  </si>
  <si>
    <t>Accélération initiale</t>
  </si>
  <si>
    <t>Dimension</t>
  </si>
  <si>
    <t>Corps 1</t>
  </si>
  <si>
    <t>Position</t>
  </si>
  <si>
    <t>Rayon</t>
  </si>
  <si>
    <t>Masse volumique moyenne</t>
  </si>
  <si>
    <t>Volume</t>
  </si>
  <si>
    <t>Masse totale</t>
  </si>
  <si>
    <t>Constante d'Aarseth</t>
  </si>
  <si>
    <t>Attraction/Répulsion</t>
  </si>
  <si>
    <t>Corps 2</t>
  </si>
  <si>
    <t>Corps 3</t>
  </si>
  <si>
    <t>Conditions initiales de la simulation</t>
  </si>
  <si>
    <t>Trois corps statiques</t>
  </si>
  <si>
    <t>seconde</t>
  </si>
  <si>
    <t>mètre / seconde</t>
  </si>
  <si>
    <t>-</t>
  </si>
  <si>
    <t>gramme</t>
  </si>
  <si>
    <t>mètre</t>
  </si>
  <si>
    <r>
      <t>gramme / mètre</t>
    </r>
    <r>
      <rPr>
        <b/>
        <vertAlign val="superscript"/>
        <sz val="8"/>
        <color theme="1"/>
        <rFont val="Calibri"/>
        <family val="2"/>
        <scheme val="minor"/>
      </rPr>
      <t>5</t>
    </r>
  </si>
  <si>
    <r>
      <t>mètre / seconde</t>
    </r>
    <r>
      <rPr>
        <b/>
        <vertAlign val="superscript"/>
        <sz val="8"/>
        <color theme="1"/>
        <rFont val="Calibri"/>
        <family val="2"/>
        <scheme val="minor"/>
      </rPr>
      <t>2</t>
    </r>
  </si>
  <si>
    <t>x</t>
  </si>
  <si>
    <t>y</t>
  </si>
  <si>
    <t>Numéro</t>
  </si>
  <si>
    <t>Temps</t>
  </si>
  <si>
    <t>pxj</t>
  </si>
  <si>
    <t>pyj</t>
  </si>
  <si>
    <t>vxj</t>
  </si>
  <si>
    <t>axj</t>
  </si>
  <si>
    <t>ayj</t>
  </si>
  <si>
    <t>ax1</t>
  </si>
  <si>
    <t>ay1</t>
  </si>
  <si>
    <t>ax2</t>
  </si>
  <si>
    <t>ay2</t>
  </si>
  <si>
    <t>ax3</t>
  </si>
  <si>
    <t>ay3</t>
  </si>
  <si>
    <t>Distance 1</t>
  </si>
  <si>
    <t>Distance 2</t>
  </si>
  <si>
    <t>Distance 3</t>
  </si>
  <si>
    <t>vyj</t>
  </si>
  <si>
    <t>Attraction</t>
  </si>
  <si>
    <t>Λ</t>
  </si>
  <si>
    <t>m</t>
  </si>
  <si>
    <t>p</t>
  </si>
  <si>
    <t>v</t>
  </si>
  <si>
    <t>a</t>
  </si>
  <si>
    <t>s</t>
  </si>
  <si>
    <t>t</t>
  </si>
  <si>
    <t>f</t>
  </si>
  <si>
    <r>
      <t>ρ</t>
    </r>
    <r>
      <rPr>
        <b/>
        <i/>
        <vertAlign val="subscript"/>
        <sz val="8"/>
        <color theme="1"/>
        <rFont val="Calibri"/>
        <family val="2"/>
        <scheme val="minor"/>
      </rPr>
      <t>1</t>
    </r>
  </si>
  <si>
    <r>
      <t>r</t>
    </r>
    <r>
      <rPr>
        <b/>
        <i/>
        <vertAlign val="subscript"/>
        <sz val="8"/>
        <color theme="1"/>
        <rFont val="Calibri"/>
        <family val="2"/>
        <scheme val="minor"/>
      </rPr>
      <t>1</t>
    </r>
  </si>
  <si>
    <r>
      <t>r</t>
    </r>
    <r>
      <rPr>
        <b/>
        <i/>
        <vertAlign val="subscript"/>
        <sz val="8"/>
        <color theme="1"/>
        <rFont val="Calibri"/>
        <family val="2"/>
        <scheme val="minor"/>
      </rPr>
      <t>2</t>
    </r>
  </si>
  <si>
    <r>
      <t>ρ</t>
    </r>
    <r>
      <rPr>
        <b/>
        <i/>
        <vertAlign val="subscript"/>
        <sz val="8"/>
        <color theme="1"/>
        <rFont val="Calibri"/>
        <family val="2"/>
        <scheme val="minor"/>
      </rPr>
      <t>2</t>
    </r>
  </si>
  <si>
    <r>
      <t>r</t>
    </r>
    <r>
      <rPr>
        <b/>
        <i/>
        <vertAlign val="subscript"/>
        <sz val="8"/>
        <color theme="1"/>
        <rFont val="Calibri"/>
        <family val="2"/>
        <scheme val="minor"/>
      </rPr>
      <t>3</t>
    </r>
  </si>
  <si>
    <r>
      <t>ρ</t>
    </r>
    <r>
      <rPr>
        <b/>
        <i/>
        <vertAlign val="subscript"/>
        <sz val="8"/>
        <color theme="1"/>
        <rFont val="Calibri"/>
        <family val="2"/>
        <scheme val="minor"/>
      </rPr>
      <t>3</t>
    </r>
  </si>
  <si>
    <r>
      <t>q</t>
    </r>
    <r>
      <rPr>
        <b/>
        <i/>
        <vertAlign val="subscript"/>
        <sz val="8"/>
        <color theme="1"/>
        <rFont val="Calibri"/>
        <family val="2"/>
        <scheme val="minor"/>
      </rPr>
      <t>1xy</t>
    </r>
  </si>
  <si>
    <r>
      <t>q</t>
    </r>
    <r>
      <rPr>
        <b/>
        <i/>
        <vertAlign val="subscript"/>
        <sz val="8"/>
        <color theme="1"/>
        <rFont val="Calibri"/>
        <family val="2"/>
        <scheme val="minor"/>
      </rPr>
      <t>2xy</t>
    </r>
  </si>
  <si>
    <r>
      <t>q</t>
    </r>
    <r>
      <rPr>
        <b/>
        <i/>
        <vertAlign val="subscript"/>
        <sz val="8"/>
        <color theme="1"/>
        <rFont val="Calibri"/>
        <family val="2"/>
        <scheme val="minor"/>
      </rPr>
      <t>3xy</t>
    </r>
  </si>
  <si>
    <r>
      <t>V</t>
    </r>
    <r>
      <rPr>
        <b/>
        <i/>
        <vertAlign val="subscript"/>
        <sz val="8"/>
        <color theme="1" tint="0.499984740745262"/>
        <rFont val="Calibri"/>
        <family val="2"/>
        <scheme val="minor"/>
      </rPr>
      <t>3</t>
    </r>
  </si>
  <si>
    <r>
      <t>M</t>
    </r>
    <r>
      <rPr>
        <b/>
        <i/>
        <vertAlign val="subscript"/>
        <sz val="8"/>
        <color theme="1" tint="0.499984740745262"/>
        <rFont val="Calibri"/>
        <family val="2"/>
        <scheme val="minor"/>
      </rPr>
      <t>3</t>
    </r>
  </si>
  <si>
    <r>
      <t>λ</t>
    </r>
    <r>
      <rPr>
        <b/>
        <i/>
        <vertAlign val="subscript"/>
        <sz val="8"/>
        <color theme="1" tint="0.499984740745262"/>
        <rFont val="Calibri"/>
        <family val="2"/>
        <scheme val="minor"/>
      </rPr>
      <t>3</t>
    </r>
  </si>
  <si>
    <r>
      <t>V</t>
    </r>
    <r>
      <rPr>
        <b/>
        <i/>
        <vertAlign val="subscript"/>
        <sz val="8"/>
        <color theme="1" tint="0.499984740745262"/>
        <rFont val="Calibri"/>
        <family val="2"/>
        <scheme val="minor"/>
      </rPr>
      <t>2</t>
    </r>
  </si>
  <si>
    <r>
      <t>M</t>
    </r>
    <r>
      <rPr>
        <b/>
        <i/>
        <vertAlign val="subscript"/>
        <sz val="8"/>
        <color theme="1" tint="0.499984740745262"/>
        <rFont val="Calibri"/>
        <family val="2"/>
        <scheme val="minor"/>
      </rPr>
      <t>2</t>
    </r>
  </si>
  <si>
    <r>
      <t>λ</t>
    </r>
    <r>
      <rPr>
        <b/>
        <i/>
        <vertAlign val="subscript"/>
        <sz val="8"/>
        <color theme="1" tint="0.499984740745262"/>
        <rFont val="Calibri"/>
        <family val="2"/>
        <scheme val="minor"/>
      </rPr>
      <t>2</t>
    </r>
  </si>
  <si>
    <r>
      <t>V</t>
    </r>
    <r>
      <rPr>
        <b/>
        <i/>
        <vertAlign val="subscript"/>
        <sz val="8"/>
        <color theme="1" tint="0.499984740745262"/>
        <rFont val="Calibri"/>
        <family val="2"/>
        <scheme val="minor"/>
      </rPr>
      <t>1</t>
    </r>
  </si>
  <si>
    <r>
      <t>M</t>
    </r>
    <r>
      <rPr>
        <b/>
        <i/>
        <vertAlign val="subscript"/>
        <sz val="8"/>
        <color theme="1" tint="0.499984740745262"/>
        <rFont val="Calibri"/>
        <family val="2"/>
        <scheme val="minor"/>
      </rPr>
      <t>1</t>
    </r>
  </si>
  <si>
    <r>
      <t>λ</t>
    </r>
    <r>
      <rPr>
        <b/>
        <i/>
        <vertAlign val="subscript"/>
        <sz val="8"/>
        <color theme="1" tint="0.499984740745262"/>
        <rFont val="Calibri"/>
        <family val="2"/>
        <scheme val="minor"/>
      </rPr>
      <t>1</t>
    </r>
  </si>
  <si>
    <t>Représentation des conditions initiales</t>
  </si>
  <si>
    <r>
      <t>q</t>
    </r>
    <r>
      <rPr>
        <b/>
        <i/>
        <vertAlign val="subscript"/>
        <sz val="11"/>
        <color theme="1"/>
        <rFont val="Calibri"/>
        <family val="2"/>
        <scheme val="minor"/>
      </rPr>
      <t>i =</t>
    </r>
  </si>
  <si>
    <r>
      <t>q</t>
    </r>
    <r>
      <rPr>
        <b/>
        <i/>
        <vertAlign val="subscript"/>
        <sz val="11"/>
        <color theme="1"/>
        <rFont val="Calibri"/>
        <family val="2"/>
        <scheme val="minor"/>
      </rPr>
      <t>f =</t>
    </r>
  </si>
  <si>
    <r>
      <t>q</t>
    </r>
    <r>
      <rPr>
        <b/>
        <i/>
        <vertAlign val="subscript"/>
        <sz val="11"/>
        <color theme="1"/>
        <rFont val="Calibri"/>
        <family val="2"/>
        <scheme val="minor"/>
      </rPr>
      <t>courante =</t>
    </r>
  </si>
  <si>
    <t>Progression</t>
  </si>
  <si>
    <t>Vaisseau (Tracée)</t>
  </si>
  <si>
    <t>Corps 4 (Élément du cru)</t>
  </si>
  <si>
    <t>Corps 5 (Élément du cru)</t>
  </si>
  <si>
    <t>ax4</t>
  </si>
  <si>
    <t>ay4</t>
  </si>
  <si>
    <t>ax5</t>
  </si>
  <si>
    <t>ay5</t>
  </si>
  <si>
    <t>Distance 4</t>
  </si>
  <si>
    <t>Distance 5</t>
  </si>
  <si>
    <t>L'élément du cru est l'ajout de 2 autres corps et leur influence sur la trajectoire du vaisseau en plus des 3 corps initales.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</si>
</sst>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E+00"/>
    <numFmt numFmtId="165" formatCode="0.000"/>
    <numFmt numFmtId="166" formatCode="0.0%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vertAlign val="superscript"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i/>
      <vertAlign val="subscript"/>
      <sz val="8"/>
      <color theme="1"/>
      <name val="Calibri"/>
      <family val="2"/>
      <scheme val="minor"/>
    </font>
    <font>
      <b/>
      <i/>
      <sz val="8"/>
      <color theme="1" tint="0.499984740745262"/>
      <name val="Calibri"/>
      <family val="2"/>
      <scheme val="minor"/>
    </font>
    <font>
      <b/>
      <i/>
      <vertAlign val="subscript"/>
      <sz val="8"/>
      <color theme="1" tint="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F22E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/>
      <diagonal/>
    </border>
    <border>
      <left/>
      <right/>
      <top/>
      <bottom style="medium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3" borderId="2" xfId="0" applyFill="1" applyBorder="1"/>
    <xf numFmtId="0" fontId="0" fillId="3" borderId="6" xfId="0" applyFill="1" applyBorder="1"/>
    <xf numFmtId="0" fontId="0" fillId="2" borderId="5" xfId="0" applyFill="1" applyBorder="1"/>
    <xf numFmtId="0" fontId="0" fillId="4" borderId="3" xfId="0" applyFill="1" applyBorder="1"/>
    <xf numFmtId="0" fontId="0" fillId="4" borderId="7" xfId="0" applyFill="1" applyBorder="1"/>
    <xf numFmtId="0" fontId="4" fillId="4" borderId="2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4" borderId="5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5" fillId="4" borderId="5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0" fontId="4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0" fillId="5" borderId="2" xfId="0" applyFill="1" applyBorder="1"/>
    <xf numFmtId="0" fontId="0" fillId="5" borderId="6" xfId="0" applyFill="1" applyBorder="1"/>
    <xf numFmtId="0" fontId="0" fillId="6" borderId="2" xfId="0" applyFill="1" applyBorder="1"/>
    <xf numFmtId="0" fontId="0" fillId="6" borderId="6" xfId="0" applyFill="1" applyBorder="1"/>
    <xf numFmtId="0" fontId="4" fillId="4" borderId="9" xfId="0" applyFont="1" applyFill="1" applyBorder="1" applyAlignment="1">
      <alignment vertical="center"/>
    </xf>
    <xf numFmtId="0" fontId="0" fillId="4" borderId="10" xfId="0" applyFill="1" applyBorder="1"/>
    <xf numFmtId="0" fontId="4" fillId="4" borderId="10" xfId="0" applyFont="1" applyFill="1" applyBorder="1" applyAlignment="1">
      <alignment vertical="center"/>
    </xf>
    <xf numFmtId="0" fontId="5" fillId="4" borderId="9" xfId="0" applyFont="1" applyFill="1" applyBorder="1" applyAlignment="1">
      <alignment vertical="center"/>
    </xf>
    <xf numFmtId="0" fontId="5" fillId="4" borderId="10" xfId="0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2" fillId="4" borderId="10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4" fillId="9" borderId="0" xfId="0" applyFont="1" applyFill="1" applyAlignment="1">
      <alignment horizontal="right"/>
    </xf>
    <xf numFmtId="0" fontId="0" fillId="10" borderId="2" xfId="0" applyFill="1" applyBorder="1"/>
    <xf numFmtId="0" fontId="0" fillId="10" borderId="6" xfId="0" applyFill="1" applyBorder="1"/>
    <xf numFmtId="0" fontId="0" fillId="11" borderId="2" xfId="0" applyFill="1" applyBorder="1"/>
    <xf numFmtId="0" fontId="0" fillId="11" borderId="6" xfId="0" applyFill="1" applyBorder="1"/>
    <xf numFmtId="2" fontId="7" fillId="0" borderId="0" xfId="0" applyNumberFormat="1" applyFont="1" applyAlignment="1">
      <alignment horizontal="center" vertical="center"/>
    </xf>
    <xf numFmtId="0" fontId="9" fillId="11" borderId="9" xfId="0" applyFont="1" applyFill="1" applyBorder="1" applyAlignment="1">
      <alignment horizontal="center" vertical="center"/>
    </xf>
    <xf numFmtId="0" fontId="9" fillId="11" borderId="10" xfId="0" applyFont="1" applyFill="1" applyBorder="1" applyAlignment="1">
      <alignment horizontal="center" vertical="center"/>
    </xf>
    <xf numFmtId="0" fontId="9" fillId="11" borderId="11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164" fontId="5" fillId="4" borderId="9" xfId="0" applyNumberFormat="1" applyFont="1" applyFill="1" applyBorder="1" applyAlignment="1">
      <alignment horizontal="center" vertical="center"/>
    </xf>
    <xf numFmtId="164" fontId="5" fillId="4" borderId="10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center" vertical="center"/>
    </xf>
    <xf numFmtId="0" fontId="9" fillId="10" borderId="11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9" fillId="7" borderId="11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left" vertical="center"/>
    </xf>
    <xf numFmtId="0" fontId="3" fillId="10" borderId="4" xfId="0" applyFont="1" applyFill="1" applyBorder="1" applyAlignment="1">
      <alignment horizontal="left" vertical="center"/>
    </xf>
    <xf numFmtId="0" fontId="3" fillId="10" borderId="7" xfId="0" applyFont="1" applyFill="1" applyBorder="1" applyAlignment="1">
      <alignment horizontal="left" vertical="center"/>
    </xf>
    <xf numFmtId="0" fontId="3" fillId="10" borderId="8" xfId="0" applyFont="1" applyFill="1" applyBorder="1" applyAlignment="1">
      <alignment horizontal="left" vertical="center"/>
    </xf>
    <xf numFmtId="0" fontId="3" fillId="11" borderId="3" xfId="0" applyFont="1" applyFill="1" applyBorder="1" applyAlignment="1">
      <alignment horizontal="left" vertical="center"/>
    </xf>
    <xf numFmtId="0" fontId="3" fillId="11" borderId="4" xfId="0" applyFont="1" applyFill="1" applyBorder="1" applyAlignment="1">
      <alignment horizontal="left" vertical="center"/>
    </xf>
    <xf numFmtId="0" fontId="3" fillId="11" borderId="7" xfId="0" applyFont="1" applyFill="1" applyBorder="1" applyAlignment="1">
      <alignment horizontal="left" vertical="center"/>
    </xf>
    <xf numFmtId="0" fontId="3" fillId="11" borderId="8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left" vertical="center"/>
    </xf>
    <xf numFmtId="0" fontId="3" fillId="5" borderId="7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3" fillId="6" borderId="4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 vertical="center"/>
    </xf>
    <xf numFmtId="0" fontId="3" fillId="6" borderId="8" xfId="0" applyFont="1" applyFill="1" applyBorder="1" applyAlignment="1">
      <alignment horizontal="left" vertical="center"/>
    </xf>
    <xf numFmtId="0" fontId="16" fillId="8" borderId="0" xfId="0" applyFont="1" applyFill="1" applyAlignment="1">
      <alignment horizontal="center" vertical="center"/>
    </xf>
    <xf numFmtId="0" fontId="16" fillId="8" borderId="15" xfId="0" applyFont="1" applyFill="1" applyBorder="1" applyAlignment="1">
      <alignment horizontal="center" vertical="center"/>
    </xf>
    <xf numFmtId="166" fontId="14" fillId="8" borderId="14" xfId="0" applyNumberFormat="1" applyFont="1" applyFill="1" applyBorder="1" applyAlignment="1">
      <alignment horizontal="left" vertical="center"/>
    </xf>
    <xf numFmtId="166" fontId="14" fillId="8" borderId="13" xfId="0" applyNumberFormat="1" applyFont="1" applyFill="1" applyBorder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22E"/>
      <color rgb="FFFF3300"/>
      <color rgb="FF9933FF"/>
      <color rgb="FF0000FF"/>
      <color rgb="FFFF0000"/>
      <color rgb="FF0041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9933FF"/>
              </a:solidFill>
              <a:round/>
            </a:ln>
            <a:effectLst/>
          </c:spPr>
          <c:marker>
            <c:symbol val="none"/>
          </c:marker>
          <c:xVal>
            <c:numRef>
              <c:f>Calculs!$J$6:$J$1005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Calculs!$K$6:$K$1005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23-45F2-ACB4-730A2A7FB068}"/>
            </c:ext>
          </c:extLst>
        </c:ser>
        <c:ser>
          <c:idx val="1"/>
          <c:order val="1"/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Calculs!$N$6:$N$1005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Calculs!$O$6:$O$1005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23-45F2-ACB4-730A2A7FB068}"/>
            </c:ext>
          </c:extLst>
        </c:ser>
        <c:ser>
          <c:idx val="2"/>
          <c:order val="2"/>
          <c:spPr>
            <a:ln w="19050" cap="rnd">
              <a:solidFill>
                <a:srgbClr val="FF3300"/>
              </a:solidFill>
              <a:round/>
            </a:ln>
            <a:effectLst/>
          </c:spPr>
          <c:marker>
            <c:symbol val="none"/>
          </c:marker>
          <c:xVal>
            <c:numRef>
              <c:f>Calculs!$R$6:$R$1005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Calculs!$S$6:$S$1005</c:f>
              <c:numCache>
                <c:formatCode>General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23-45F2-ACB4-730A2A7FB068}"/>
            </c:ext>
          </c:extLst>
        </c:ser>
        <c:ser>
          <c:idx val="3"/>
          <c:order val="3"/>
          <c:tx>
            <c:v>Trajectoire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Calculs!$W$6:$W$1006</c:f>
              <c:numCache>
                <c:formatCode>0.000</c:formatCode>
                <c:ptCount val="1001"/>
                <c:pt idx="0" formatCode="0">
                  <c:v>0</c:v>
                </c:pt>
                <c:pt idx="1">
                  <c:v>186.7141121852342</c:v>
                </c:pt>
                <c:pt idx="2">
                  <c:v>747.61371621631156</c:v>
                </c:pt>
                <c:pt idx="3">
                  <c:v>1685.2610757500024</c:v>
                </c:pt>
                <c:pt idx="4">
                  <c:v>3002.0815985289996</c:v>
                </c:pt>
                <c:pt idx="5">
                  <c:v>4691.5449743582931</c:v>
                </c:pt>
                <c:pt idx="6">
                  <c:v>6717.254616201325</c:v>
                </c:pt>
                <c:pt idx="7">
                  <c:v>8977.7017916719178</c:v>
                </c:pt>
                <c:pt idx="8">
                  <c:v>11276.046457748254</c:v>
                </c:pt>
                <c:pt idx="9">
                  <c:v>13347.719773691608</c:v>
                </c:pt>
                <c:pt idx="10">
                  <c:v>14962.360608550756</c:v>
                </c:pt>
                <c:pt idx="11">
                  <c:v>16001.04625791394</c:v>
                </c:pt>
                <c:pt idx="12">
                  <c:v>16436.365410558301</c:v>
                </c:pt>
                <c:pt idx="13">
                  <c:v>16276.197057780093</c:v>
                </c:pt>
                <c:pt idx="14">
                  <c:v>15530.972419970936</c:v>
                </c:pt>
                <c:pt idx="15">
                  <c:v>14205.034078783921</c:v>
                </c:pt>
                <c:pt idx="16">
                  <c:v>12304.483778563974</c:v>
                </c:pt>
                <c:pt idx="17">
                  <c:v>9867.9036547849446</c:v>
                </c:pt>
                <c:pt idx="18">
                  <c:v>7031.6198789703385</c:v>
                </c:pt>
                <c:pt idx="19">
                  <c:v>4077.8002634976606</c:v>
                </c:pt>
                <c:pt idx="20">
                  <c:v>1329.3964905129951</c:v>
                </c:pt>
                <c:pt idx="21">
                  <c:v>-1026.8576705051389</c:v>
                </c:pt>
                <c:pt idx="22">
                  <c:v>-2958.5771302701637</c:v>
                </c:pt>
                <c:pt idx="23">
                  <c:v>-4492.850342444659</c:v>
                </c:pt>
                <c:pt idx="24">
                  <c:v>-5651.1899890012946</c:v>
                </c:pt>
                <c:pt idx="25">
                  <c:v>-6428.4748784415251</c:v>
                </c:pt>
                <c:pt idx="26">
                  <c:v>-6795.3896227288942</c:v>
                </c:pt>
                <c:pt idx="27">
                  <c:v>-6715.500975866732</c:v>
                </c:pt>
                <c:pt idx="28">
                  <c:v>-6175.0685449815301</c:v>
                </c:pt>
                <c:pt idx="29">
                  <c:v>-5216.8031263607018</c:v>
                </c:pt>
                <c:pt idx="30">
                  <c:v>-3952.783271200281</c:v>
                </c:pt>
                <c:pt idx="31">
                  <c:v>-2539.5802563636594</c:v>
                </c:pt>
                <c:pt idx="32">
                  <c:v>-1136.6079652808971</c:v>
                </c:pt>
                <c:pt idx="33">
                  <c:v>121.77811154544167</c:v>
                </c:pt>
                <c:pt idx="34">
                  <c:v>1139.7986434382433</c:v>
                </c:pt>
                <c:pt idx="35">
                  <c:v>1874.9125586235996</c:v>
                </c:pt>
                <c:pt idx="36">
                  <c:v>2356.2786698912719</c:v>
                </c:pt>
                <c:pt idx="37">
                  <c:v>2689.3823504333413</c:v>
                </c:pt>
                <c:pt idx="38">
                  <c:v>3028.8540264345161</c:v>
                </c:pt>
                <c:pt idx="39">
                  <c:v>3528.7298102651648</c:v>
                </c:pt>
                <c:pt idx="40">
                  <c:v>4301.2555590632919</c:v>
                </c:pt>
                <c:pt idx="41">
                  <c:v>5396.3373905849303</c:v>
                </c:pt>
                <c:pt idx="42">
                  <c:v>6766.9500408030708</c:v>
                </c:pt>
                <c:pt idx="43">
                  <c:v>8236.328220151996</c:v>
                </c:pt>
                <c:pt idx="44">
                  <c:v>9597.0109746937887</c:v>
                </c:pt>
                <c:pt idx="45">
                  <c:v>10744.327124643956</c:v>
                </c:pt>
                <c:pt idx="46">
                  <c:v>11662.966442753066</c:v>
                </c:pt>
                <c:pt idx="47">
                  <c:v>12363.109895270622</c:v>
                </c:pt>
                <c:pt idx="48">
                  <c:v>12855.089169968041</c:v>
                </c:pt>
                <c:pt idx="49">
                  <c:v>13143.830880508969</c:v>
                </c:pt>
                <c:pt idx="50">
                  <c:v>13227.862164030224</c:v>
                </c:pt>
                <c:pt idx="51">
                  <c:v>13098.743189118197</c:v>
                </c:pt>
                <c:pt idx="52">
                  <c:v>12739.917073389952</c:v>
                </c:pt>
                <c:pt idx="53">
                  <c:v>12124.760652166118</c:v>
                </c:pt>
                <c:pt idx="54">
                  <c:v>11214.693205220645</c:v>
                </c:pt>
                <c:pt idx="55">
                  <c:v>9963.4225268456157</c:v>
                </c:pt>
                <c:pt idx="56">
                  <c:v>8353.868069519729</c:v>
                </c:pt>
                <c:pt idx="57">
                  <c:v>6504.5120533773606</c:v>
                </c:pt>
                <c:pt idx="58">
                  <c:v>4683.8371231464926</c:v>
                </c:pt>
                <c:pt idx="59">
                  <c:v>3096.7378794357887</c:v>
                </c:pt>
                <c:pt idx="60">
                  <c:v>1739.6544248278665</c:v>
                </c:pt>
                <c:pt idx="61">
                  <c:v>444.06953367707115</c:v>
                </c:pt>
                <c:pt idx="62">
                  <c:v>-1003.9757785015313</c:v>
                </c:pt>
                <c:pt idx="63">
                  <c:v>-2679.3579300596648</c:v>
                </c:pt>
                <c:pt idx="64">
                  <c:v>-4471.085908792259</c:v>
                </c:pt>
                <c:pt idx="65">
                  <c:v>-6228.7599129335858</c:v>
                </c:pt>
                <c:pt idx="66">
                  <c:v>-7858.9935231905456</c:v>
                </c:pt>
                <c:pt idx="67">
                  <c:v>-9311.9563495467773</c:v>
                </c:pt>
                <c:pt idx="68">
                  <c:v>-10555.66727910535</c:v>
                </c:pt>
                <c:pt idx="69">
                  <c:v>-11562.034240433939</c:v>
                </c:pt>
                <c:pt idx="70">
                  <c:v>-12299.25572271421</c:v>
                </c:pt>
                <c:pt idx="71">
                  <c:v>-12725.965702809084</c:v>
                </c:pt>
                <c:pt idx="72">
                  <c:v>-12784.683800785633</c:v>
                </c:pt>
                <c:pt idx="73">
                  <c:v>-12393.780529615431</c:v>
                </c:pt>
                <c:pt idx="74">
                  <c:v>-11442.749798888803</c:v>
                </c:pt>
                <c:pt idx="75">
                  <c:v>-9816.7048935610674</c:v>
                </c:pt>
                <c:pt idx="76">
                  <c:v>-7489.5097098377282</c:v>
                </c:pt>
                <c:pt idx="77">
                  <c:v>-4578.4733102590244</c:v>
                </c:pt>
                <c:pt idx="78">
                  <c:v>-1211.9046104596612</c:v>
                </c:pt>
                <c:pt idx="79">
                  <c:v>2595.094934457632</c:v>
                </c:pt>
                <c:pt idx="80">
                  <c:v>6852.5502093988507</c:v>
                </c:pt>
                <c:pt idx="81">
                  <c:v>11356.718386452245</c:v>
                </c:pt>
                <c:pt idx="82">
                  <c:v>15665.164115581541</c:v>
                </c:pt>
                <c:pt idx="83">
                  <c:v>19467.935212922228</c:v>
                </c:pt>
                <c:pt idx="84">
                  <c:v>22738.321565497678</c:v>
                </c:pt>
                <c:pt idx="85">
                  <c:v>25548.48050053919</c:v>
                </c:pt>
                <c:pt idx="86">
                  <c:v>27968.938017125685</c:v>
                </c:pt>
                <c:pt idx="87">
                  <c:v>30052.984365931912</c:v>
                </c:pt>
                <c:pt idx="88">
                  <c:v>31839.301281576241</c:v>
                </c:pt>
                <c:pt idx="89">
                  <c:v>33355.974062391753</c:v>
                </c:pt>
                <c:pt idx="90">
                  <c:v>34623.473522945133</c:v>
                </c:pt>
                <c:pt idx="91">
                  <c:v>35656.649803239139</c:v>
                </c:pt>
                <c:pt idx="92">
                  <c:v>36466.036639064208</c:v>
                </c:pt>
                <c:pt idx="93">
                  <c:v>37058.695817239925</c:v>
                </c:pt>
                <c:pt idx="94">
                  <c:v>37438.74828050191</c:v>
                </c:pt>
                <c:pt idx="95">
                  <c:v>37607.679359013739</c:v>
                </c:pt>
                <c:pt idx="96">
                  <c:v>37564.466425570768</c:v>
                </c:pt>
                <c:pt idx="97">
                  <c:v>37305.549720943025</c:v>
                </c:pt>
                <c:pt idx="98">
                  <c:v>36824.644691666668</c:v>
                </c:pt>
                <c:pt idx="99">
                  <c:v>36112.371703752673</c:v>
                </c:pt>
                <c:pt idx="100">
                  <c:v>35155.651201454246</c:v>
                </c:pt>
                <c:pt idx="101">
                  <c:v>33936.772579016026</c:v>
                </c:pt>
                <c:pt idx="102">
                  <c:v>32431.983701655736</c:v>
                </c:pt>
                <c:pt idx="103">
                  <c:v>30609.353348901317</c:v>
                </c:pt>
                <c:pt idx="104">
                  <c:v>28425.530881010513</c:v>
                </c:pt>
                <c:pt idx="105">
                  <c:v>25820.969090435901</c:v>
                </c:pt>
                <c:pt idx="106">
                  <c:v>22713.909781075665</c:v>
                </c:pt>
                <c:pt idx="107">
                  <c:v>18999.116505310296</c:v>
                </c:pt>
                <c:pt idx="108">
                  <c:v>14586.906514702992</c:v>
                </c:pt>
                <c:pt idx="109">
                  <c:v>9566.2659669826426</c:v>
                </c:pt>
                <c:pt idx="110">
                  <c:v>4301.2173249208663</c:v>
                </c:pt>
                <c:pt idx="111">
                  <c:v>-813.46168760420505</c:v>
                </c:pt>
                <c:pt idx="112">
                  <c:v>-5629.5634470441773</c:v>
                </c:pt>
                <c:pt idx="113">
                  <c:v>-10108.003273668486</c:v>
                </c:pt>
                <c:pt idx="114">
                  <c:v>-14046.973237252623</c:v>
                </c:pt>
                <c:pt idx="115">
                  <c:v>-17292.187142862269</c:v>
                </c:pt>
                <c:pt idx="116">
                  <c:v>-19935.884523150406</c:v>
                </c:pt>
                <c:pt idx="117">
                  <c:v>-22129.634537167869</c:v>
                </c:pt>
                <c:pt idx="118">
                  <c:v>-23978.981675693827</c:v>
                </c:pt>
                <c:pt idx="119">
                  <c:v>-25551.696828242952</c:v>
                </c:pt>
                <c:pt idx="120">
                  <c:v>-26892.971059250769</c:v>
                </c:pt>
                <c:pt idx="121">
                  <c:v>-28034.44050088591</c:v>
                </c:pt>
                <c:pt idx="122">
                  <c:v>-28999.186524161145</c:v>
                </c:pt>
                <c:pt idx="123">
                  <c:v>-29804.603412346583</c:v>
                </c:pt>
                <c:pt idx="124">
                  <c:v>-30464.126634626587</c:v>
                </c:pt>
                <c:pt idx="125">
                  <c:v>-30988.324276951076</c:v>
                </c:pt>
                <c:pt idx="126">
                  <c:v>-31385.614524426379</c:v>
                </c:pt>
                <c:pt idx="127">
                  <c:v>-31662.753193633187</c:v>
                </c:pt>
                <c:pt idx="128">
                  <c:v>-31825.173828093837</c:v>
                </c:pt>
                <c:pt idx="129">
                  <c:v>-31877.229582616619</c:v>
                </c:pt>
                <c:pt idx="130">
                  <c:v>-31822.367283615771</c:v>
                </c:pt>
                <c:pt idx="131">
                  <c:v>-31663.252934214001</c:v>
                </c:pt>
                <c:pt idx="132">
                  <c:v>-31401.861097092187</c:v>
                </c:pt>
                <c:pt idx="133">
                  <c:v>-31039.536200101124</c:v>
                </c:pt>
                <c:pt idx="134">
                  <c:v>-30577.030845577094</c:v>
                </c:pt>
                <c:pt idx="135">
                  <c:v>-30014.524061662349</c:v>
                </c:pt>
                <c:pt idx="136">
                  <c:v>-29351.620731063103</c:v>
                </c:pt>
                <c:pt idx="137">
                  <c:v>-28587.331897184118</c:v>
                </c:pt>
                <c:pt idx="138">
                  <c:v>-27720.034045612669</c:v>
                </c:pt>
                <c:pt idx="139">
                  <c:v>-26747.403538164657</c:v>
                </c:pt>
                <c:pt idx="140">
                  <c:v>-25666.319802950573</c:v>
                </c:pt>
                <c:pt idx="141">
                  <c:v>-24472.727148913527</c:v>
                </c:pt>
                <c:pt idx="142">
                  <c:v>-23161.439339696008</c:v>
                </c:pt>
                <c:pt idx="143">
                  <c:v>-21725.861887436939</c:v>
                </c:pt>
                <c:pt idx="144">
                  <c:v>-20157.591879932883</c:v>
                </c:pt>
                <c:pt idx="145">
                  <c:v>-18445.829655227932</c:v>
                </c:pt>
                <c:pt idx="146">
                  <c:v>-16576.494013485782</c:v>
                </c:pt>
                <c:pt idx="147">
                  <c:v>-14530.867745606552</c:v>
                </c:pt>
                <c:pt idx="148">
                  <c:v>-12283.547192995366</c:v>
                </c:pt>
                <c:pt idx="149">
                  <c:v>-9799.7675255686736</c:v>
                </c:pt>
                <c:pt idx="150">
                  <c:v>-7035.3137336550672</c:v>
                </c:pt>
                <c:pt idx="151">
                  <c:v>-3963.7675143710244</c:v>
                </c:pt>
                <c:pt idx="152">
                  <c:v>-701.55857087405991</c:v>
                </c:pt>
                <c:pt idx="153">
                  <c:v>2559.8654367391309</c:v>
                </c:pt>
                <c:pt idx="154">
                  <c:v>5864.6702828703692</c:v>
                </c:pt>
                <c:pt idx="155">
                  <c:v>9374.3513116710565</c:v>
                </c:pt>
                <c:pt idx="156">
                  <c:v>12996.702037856652</c:v>
                </c:pt>
                <c:pt idx="157">
                  <c:v>16351.250670323947</c:v>
                </c:pt>
                <c:pt idx="158">
                  <c:v>19164.164952622286</c:v>
                </c:pt>
                <c:pt idx="159">
                  <c:v>21477.534560116277</c:v>
                </c:pt>
                <c:pt idx="160">
                  <c:v>23421.390397874045</c:v>
                </c:pt>
                <c:pt idx="161">
                  <c:v>25091.072490671453</c:v>
                </c:pt>
                <c:pt idx="162">
                  <c:v>26548.877669511712</c:v>
                </c:pt>
                <c:pt idx="163">
                  <c:v>27836.535280543769</c:v>
                </c:pt>
                <c:pt idx="164">
                  <c:v>28983.227504288348</c:v>
                </c:pt>
                <c:pt idx="165">
                  <c:v>30010.196605867557</c:v>
                </c:pt>
                <c:pt idx="166">
                  <c:v>30933.438568511272</c:v>
                </c:pt>
                <c:pt idx="167">
                  <c:v>31765.34264520296</c:v>
                </c:pt>
                <c:pt idx="168">
                  <c:v>32515.731675641971</c:v>
                </c:pt>
                <c:pt idx="169">
                  <c:v>33192.54766331859</c:v>
                </c:pt>
                <c:pt idx="170">
                  <c:v>33802.318888229544</c:v>
                </c:pt>
                <c:pt idx="171">
                  <c:v>34350.487554553991</c:v>
                </c:pt>
                <c:pt idx="172">
                  <c:v>34841.645510063041</c:v>
                </c:pt>
                <c:pt idx="173">
                  <c:v>35279.707630729201</c:v>
                </c:pt>
                <c:pt idx="174">
                  <c:v>35668.041864439365</c:v>
                </c:pt>
                <c:pt idx="175">
                  <c:v>36009.568461818708</c:v>
                </c:pt>
                <c:pt idx="176">
                  <c:v>36306.836861533287</c:v>
                </c:pt>
                <c:pt idx="177">
                  <c:v>36562.086079550711</c:v>
                </c:pt>
                <c:pt idx="178">
                  <c:v>36777.29272364491</c:v>
                </c:pt>
                <c:pt idx="179">
                  <c:v>36954.209588856764</c:v>
                </c:pt>
                <c:pt idx="180">
                  <c:v>37094.396988064167</c:v>
                </c:pt>
                <c:pt idx="181">
                  <c:v>37199.248410735425</c:v>
                </c:pt>
                <c:pt idx="182">
                  <c:v>37270.011703777738</c:v>
                </c:pt>
                <c:pt idx="183">
                  <c:v>37307.806680167487</c:v>
                </c:pt>
                <c:pt idx="184">
                  <c:v>37313.639850055959</c:v>
                </c:pt>
                <c:pt idx="185">
                  <c:v>37288.416812614756</c:v>
                </c:pt>
                <c:pt idx="186">
                  <c:v>37232.952729529046</c:v>
                </c:pt>
                <c:pt idx="187">
                  <c:v>37147.981212022925</c:v>
                </c:pt>
                <c:pt idx="188">
                  <c:v>37034.161885057358</c:v>
                </c:pt>
                <c:pt idx="189">
                  <c:v>36892.086839500553</c:v>
                </c:pt>
                <c:pt idx="190">
                  <c:v>36722.2861417573</c:v>
                </c:pt>
                <c:pt idx="191">
                  <c:v>36525.232537731856</c:v>
                </c:pt>
                <c:pt idx="192">
                  <c:v>36301.345462005593</c:v>
                </c:pt>
                <c:pt idx="193">
                  <c:v>36050.994442183066</c:v>
                </c:pt>
                <c:pt idx="194">
                  <c:v>35774.501971329075</c:v>
                </c:pt>
                <c:pt idx="195">
                  <c:v>35472.145907393155</c:v>
                </c:pt>
                <c:pt idx="196">
                  <c:v>35144.16144680883</c:v>
                </c:pt>
                <c:pt idx="197">
                  <c:v>34790.742709524595</c:v>
                </c:pt>
                <c:pt idx="198">
                  <c:v>34412.043964142926</c:v>
                </c:pt>
                <c:pt idx="199">
                  <c:v>34008.180514264313</c:v>
                </c:pt>
                <c:pt idx="200">
                  <c:v>33579.229260263135</c:v>
                </c:pt>
                <c:pt idx="201">
                  <c:v>33125.228944309849</c:v>
                </c:pt>
                <c:pt idx="202">
                  <c:v>32646.180080272228</c:v>
                </c:pt>
                <c:pt idx="203">
                  <c:v>32142.044563963165</c:v>
                </c:pt>
                <c:pt idx="204">
                  <c:v>31612.744952841298</c:v>
                </c:pt>
                <c:pt idx="205">
                  <c:v>31058.163397492066</c:v>
                </c:pt>
                <c:pt idx="206">
                  <c:v>30478.140199779227</c:v>
                </c:pt>
                <c:pt idx="207">
                  <c:v>29872.471964187596</c:v>
                </c:pt>
                <c:pt idx="208">
                  <c:v>29240.909299260758</c:v>
                </c:pt>
                <c:pt idx="209">
                  <c:v>28583.154014798849</c:v>
                </c:pt>
                <c:pt idx="210">
                  <c:v>27898.85574717728</c:v>
                </c:pt>
                <c:pt idx="211">
                  <c:v>27187.607929249978</c:v>
                </c:pt>
                <c:pt idx="212">
                  <c:v>26448.943002194723</c:v>
                </c:pt>
                <c:pt idx="213">
                  <c:v>25682.326743648566</c:v>
                </c:pt>
                <c:pt idx="214">
                  <c:v>24887.151558842928</c:v>
                </c:pt>
                <c:pt idx="215">
                  <c:v>24062.728548551499</c:v>
                </c:pt>
                <c:pt idx="216">
                  <c:v>23208.278129271155</c:v>
                </c:pt>
                <c:pt idx="217">
                  <c:v>22322.918937965336</c:v>
                </c:pt>
                <c:pt idx="218">
                  <c:v>21405.654709116734</c:v>
                </c:pt>
                <c:pt idx="219">
                  <c:v>20455.358774287906</c:v>
                </c:pt>
                <c:pt idx="220">
                  <c:v>19470.755823923137</c:v>
                </c:pt>
                <c:pt idx="221">
                  <c:v>18450.400632759553</c:v>
                </c:pt>
                <c:pt idx="222">
                  <c:v>17392.653683744389</c:v>
                </c:pt>
                <c:pt idx="223">
                  <c:v>16295.654253497769</c:v>
                </c:pt>
                <c:pt idx="224">
                  <c:v>15157.293052538158</c:v>
                </c:pt>
                <c:pt idx="225">
                  <c:v>13975.19013972904</c:v>
                </c:pt>
                <c:pt idx="226">
                  <c:v>12746.692487279546</c:v>
                </c:pt>
                <c:pt idx="227">
                  <c:v>11468.926880995645</c:v>
                </c:pt>
                <c:pt idx="228">
                  <c:v>10138.998977599476</c:v>
                </c:pt>
                <c:pt idx="229">
                  <c:v>8754.5821232877133</c:v>
                </c:pt>
                <c:pt idx="230">
                  <c:v>7315.60082827722</c:v>
                </c:pt>
                <c:pt idx="231">
                  <c:v>5829.243477041493</c:v>
                </c:pt>
                <c:pt idx="232">
                  <c:v>4325.8549623146228</c:v>
                </c:pt>
                <c:pt idx="233">
                  <c:v>2906.0571189129173</c:v>
                </c:pt>
                <c:pt idx="234">
                  <c:v>1786.555969557174</c:v>
                </c:pt>
                <c:pt idx="235">
                  <c:v>1126.0546105145968</c:v>
                </c:pt>
                <c:pt idx="236">
                  <c:v>847.96650632639</c:v>
                </c:pt>
                <c:pt idx="237">
                  <c:v>675.16617169647395</c:v>
                </c:pt>
                <c:pt idx="238">
                  <c:v>318.35250028243314</c:v>
                </c:pt>
                <c:pt idx="239">
                  <c:v>-243.94480472458082</c:v>
                </c:pt>
                <c:pt idx="240">
                  <c:v>-877.0456023047783</c:v>
                </c:pt>
                <c:pt idx="241">
                  <c:v>-1516.7914542973892</c:v>
                </c:pt>
                <c:pt idx="242">
                  <c:v>-2143.1386622650716</c:v>
                </c:pt>
                <c:pt idx="243">
                  <c:v>-2750.2565042611236</c:v>
                </c:pt>
                <c:pt idx="244">
                  <c:v>-3336.9753286307337</c:v>
                </c:pt>
                <c:pt idx="245">
                  <c:v>-3903.7387407770107</c:v>
                </c:pt>
                <c:pt idx="246">
                  <c:v>-4451.5352916245329</c:v>
                </c:pt>
                <c:pt idx="247">
                  <c:v>-4981.4959023778911</c:v>
                </c:pt>
                <c:pt idx="248">
                  <c:v>-5494.7375888719571</c:v>
                </c:pt>
                <c:pt idx="249">
                  <c:v>-5992.304972022569</c:v>
                </c:pt>
                <c:pt idx="250">
                  <c:v>-6475.1523052620059</c:v>
                </c:pt>
                <c:pt idx="251">
                  <c:v>-6944.1424559850575</c:v>
                </c:pt>
                <c:pt idx="252">
                  <c:v>-7400.0526989266154</c:v>
                </c:pt>
                <c:pt idx="253">
                  <c:v>-7843.5828469699427</c:v>
                </c:pt>
                <c:pt idx="254">
                  <c:v>-8275.3637462294428</c:v>
                </c:pt>
                <c:pt idx="255">
                  <c:v>-8695.9652996849181</c:v>
                </c:pt>
                <c:pt idx="256">
                  <c:v>-9105.9037083312378</c:v>
                </c:pt>
                <c:pt idx="257">
                  <c:v>-9505.6478594355976</c:v>
                </c:pt>
                <c:pt idx="258">
                  <c:v>-9895.6248977040068</c:v>
                </c:pt>
                <c:pt idx="259">
                  <c:v>-10276.225057243159</c:v>
                </c:pt>
                <c:pt idx="260">
                  <c:v>-10647.80584395981</c:v>
                </c:pt>
                <c:pt idx="261">
                  <c:v>-11010.695655953585</c:v>
                </c:pt>
                <c:pt idx="262">
                  <c:v>-11365.196921606619</c:v>
                </c:pt>
                <c:pt idx="263">
                  <c:v>-11711.588825371648</c:v>
                </c:pt>
                <c:pt idx="264">
                  <c:v>-12050.12968154693</c:v>
                </c:pt>
                <c:pt idx="265">
                  <c:v>-12381.059007399695</c:v>
                </c:pt>
                <c:pt idx="266">
                  <c:v>-12704.599339141909</c:v>
                </c:pt>
                <c:pt idx="267">
                  <c:v>-13020.957827508022</c:v>
                </c:pt>
                <c:pt idx="268">
                  <c:v>-13330.327643957351</c:v>
                </c:pt>
                <c:pt idx="269">
                  <c:v>-13632.889223705213</c:v>
                </c:pt>
                <c:pt idx="270">
                  <c:v>-13928.811367749251</c:v>
                </c:pt>
                <c:pt idx="271">
                  <c:v>-14218.252222679976</c:v>
                </c:pt>
                <c:pt idx="272">
                  <c:v>-14501.360154240097</c:v>
                </c:pt>
                <c:pt idx="273">
                  <c:v>-14778.274528233171</c:v>
                </c:pt>
                <c:pt idx="274">
                  <c:v>-15049.126410400453</c:v>
                </c:pt>
                <c:pt idx="275">
                  <c:v>-15314.039195220379</c:v>
                </c:pt>
                <c:pt idx="276">
                  <c:v>-15573.129172183711</c:v>
                </c:pt>
                <c:pt idx="277">
                  <c:v>-15826.506036914647</c:v>
                </c:pt>
                <c:pt idx="278">
                  <c:v>-16074.273353507066</c:v>
                </c:pt>
                <c:pt idx="279">
                  <c:v>-16316.528973595592</c:v>
                </c:pt>
                <c:pt idx="280">
                  <c:v>-16553.365416958048</c:v>
                </c:pt>
                <c:pt idx="281">
                  <c:v>-16784.87021782884</c:v>
                </c:pt>
                <c:pt idx="282">
                  <c:v>-17011.126240574667</c:v>
                </c:pt>
                <c:pt idx="283">
                  <c:v>-17232.211967930652</c:v>
                </c:pt>
                <c:pt idx="284">
                  <c:v>-17448.201764604953</c:v>
                </c:pt>
                <c:pt idx="285">
                  <c:v>-17659.166118723268</c:v>
                </c:pt>
                <c:pt idx="286">
                  <c:v>-17865.171863293439</c:v>
                </c:pt>
                <c:pt idx="287">
                  <c:v>-18066.282379617754</c:v>
                </c:pt>
                <c:pt idx="288">
                  <c:v>-18262.557784360779</c:v>
                </c:pt>
                <c:pt idx="289">
                  <c:v>-18454.055101789163</c:v>
                </c:pt>
                <c:pt idx="290">
                  <c:v>-18640.828422532322</c:v>
                </c:pt>
                <c:pt idx="291">
                  <c:v>-18822.929050066439</c:v>
                </c:pt>
                <c:pt idx="292">
                  <c:v>-19000.405635995416</c:v>
                </c:pt>
                <c:pt idx="293">
                  <c:v>-19173.304305089103</c:v>
                </c:pt>
                <c:pt idx="294">
                  <c:v>-19341.668770939312</c:v>
                </c:pt>
                <c:pt idx="295">
                  <c:v>-19505.540443005717</c:v>
                </c:pt>
                <c:pt idx="296">
                  <c:v>-19664.958525745602</c:v>
                </c:pt>
                <c:pt idx="297">
                  <c:v>-19819.960110451888</c:v>
                </c:pt>
                <c:pt idx="298">
                  <c:v>-19970.580260362203</c:v>
                </c:pt>
                <c:pt idx="299">
                  <c:v>-20116.852089546588</c:v>
                </c:pt>
                <c:pt idx="300">
                  <c:v>-20258.806836032349</c:v>
                </c:pt>
                <c:pt idx="301">
                  <c:v>-20396.473929580479</c:v>
                </c:pt>
                <c:pt idx="302">
                  <c:v>-20529.881054488604</c:v>
                </c:pt>
                <c:pt idx="303">
                  <c:v>-20659.054207759884</c:v>
                </c:pt>
                <c:pt idx="304">
                  <c:v>-20784.017752945387</c:v>
                </c:pt>
                <c:pt idx="305">
                  <c:v>-20904.794469938508</c:v>
                </c:pt>
                <c:pt idx="306">
                  <c:v>-21021.405600973947</c:v>
                </c:pt>
                <c:pt idx="307">
                  <c:v>-21133.870893060044</c:v>
                </c:pt>
                <c:pt idx="308">
                  <c:v>-21242.208637051717</c:v>
                </c:pt>
                <c:pt idx="309">
                  <c:v>-21346.435703551699</c:v>
                </c:pt>
                <c:pt idx="310">
                  <c:v>-21446.567575809713</c:v>
                </c:pt>
                <c:pt idx="311">
                  <c:v>-21542.618379772892</c:v>
                </c:pt>
                <c:pt idx="312">
                  <c:v>-21634.600911425598</c:v>
                </c:pt>
                <c:pt idx="313">
                  <c:v>-21722.526661542823</c:v>
                </c:pt>
                <c:pt idx="314">
                  <c:v>-21806.405837968541</c:v>
                </c:pt>
                <c:pt idx="315">
                  <c:v>-21886.247385518353</c:v>
                </c:pt>
                <c:pt idx="316">
                  <c:v>-21962.059003594542</c:v>
                </c:pt>
                <c:pt idx="317">
                  <c:v>-22033.847161591355</c:v>
                </c:pt>
                <c:pt idx="318">
                  <c:v>-22101.617112158277</c:v>
                </c:pt>
                <c:pt idx="319">
                  <c:v>-22165.372902379942</c:v>
                </c:pt>
                <c:pt idx="320">
                  <c:v>-22225.117382922301</c:v>
                </c:pt>
                <c:pt idx="321">
                  <c:v>-22280.852215186387</c:v>
                </c:pt>
                <c:pt idx="322">
                  <c:v>-22332.577876502721</c:v>
                </c:pt>
                <c:pt idx="323">
                  <c:v>-22380.293663391574</c:v>
                </c:pt>
                <c:pt idx="324">
                  <c:v>-22423.997692906691</c:v>
                </c:pt>
                <c:pt idx="325">
                  <c:v>-22463.686902072433</c:v>
                </c:pt>
                <c:pt idx="326">
                  <c:v>-22499.357045416957</c:v>
                </c:pt>
                <c:pt idx="327">
                  <c:v>-22531.002690596553</c:v>
                </c:pt>
                <c:pt idx="328">
                  <c:v>-22558.617212098998</c:v>
                </c:pt>
                <c:pt idx="329">
                  <c:v>-22582.192783006078</c:v>
                </c:pt>
                <c:pt idx="330">
                  <c:v>-22601.72036478806</c:v>
                </c:pt>
                <c:pt idx="331">
                  <c:v>-22617.189695094945</c:v>
                </c:pt>
                <c:pt idx="332">
                  <c:v>-22628.589273501453</c:v>
                </c:pt>
                <c:pt idx="333">
                  <c:v>-22635.906345154275</c:v>
                </c:pt>
                <c:pt idx="334">
                  <c:v>-22639.126882261589</c:v>
                </c:pt>
                <c:pt idx="335">
                  <c:v>-22638.235563355713</c:v>
                </c:pt>
                <c:pt idx="336">
                  <c:v>-22633.21575025022</c:v>
                </c:pt>
                <c:pt idx="337">
                  <c:v>-22624.049462602747</c:v>
                </c:pt>
                <c:pt idx="338">
                  <c:v>-22610.71734998397</c:v>
                </c:pt>
                <c:pt idx="339">
                  <c:v>-22593.198661341685</c:v>
                </c:pt>
                <c:pt idx="340">
                  <c:v>-22571.471211736636</c:v>
                </c:pt>
                <c:pt idx="341">
                  <c:v>-22545.511346213498</c:v>
                </c:pt>
                <c:pt idx="342">
                  <c:v>-22515.293900655954</c:v>
                </c:pt>
                <c:pt idx="343">
                  <c:v>-22480.792159459455</c:v>
                </c:pt>
                <c:pt idx="344">
                  <c:v>-22441.977809838168</c:v>
                </c:pt>
                <c:pt idx="345">
                  <c:v>-22398.820892564378</c:v>
                </c:pt>
                <c:pt idx="346">
                  <c:v>-22351.289748918411</c:v>
                </c:pt>
                <c:pt idx="347">
                  <c:v>-22299.350963605157</c:v>
                </c:pt>
                <c:pt idx="348">
                  <c:v>-22242.969303369067</c:v>
                </c:pt>
                <c:pt idx="349">
                  <c:v>-22182.107651012931</c:v>
                </c:pt>
                <c:pt idx="350">
                  <c:v>-22116.726934496368</c:v>
                </c:pt>
                <c:pt idx="351">
                  <c:v>-22046.786050757575</c:v>
                </c:pt>
                <c:pt idx="352">
                  <c:v>-21972.241783865986</c:v>
                </c:pt>
                <c:pt idx="353">
                  <c:v>-21893.048717073605</c:v>
                </c:pt>
                <c:pt idx="354">
                  <c:v>-21809.1591382886</c:v>
                </c:pt>
                <c:pt idx="355">
                  <c:v>-21720.522938445371</c:v>
                </c:pt>
                <c:pt idx="356">
                  <c:v>-21627.087502190258</c:v>
                </c:pt>
                <c:pt idx="357">
                  <c:v>-21528.797590240549</c:v>
                </c:pt>
                <c:pt idx="358">
                  <c:v>-21425.595212705437</c:v>
                </c:pt>
                <c:pt idx="359">
                  <c:v>-21317.419492580164</c:v>
                </c:pt>
                <c:pt idx="360">
                  <c:v>-21204.206518537456</c:v>
                </c:pt>
                <c:pt idx="361">
                  <c:v>-21085.88918604211</c:v>
                </c:pt>
                <c:pt idx="362">
                  <c:v>-20962.397025703704</c:v>
                </c:pt>
                <c:pt idx="363">
                  <c:v>-20833.656017656584</c:v>
                </c:pt>
                <c:pt idx="364">
                  <c:v>-20699.588390613837</c:v>
                </c:pt>
                <c:pt idx="365">
                  <c:v>-20560.1124040797</c:v>
                </c:pt>
                <c:pt idx="366">
                  <c:v>-20415.142112019887</c:v>
                </c:pt>
                <c:pt idx="367">
                  <c:v>-20264.587106078034</c:v>
                </c:pt>
                <c:pt idx="368">
                  <c:v>-20108.352236184281</c:v>
                </c:pt>
                <c:pt idx="369">
                  <c:v>-19946.33730612378</c:v>
                </c:pt>
                <c:pt idx="370">
                  <c:v>-19778.436741312566</c:v>
                </c:pt>
                <c:pt idx="371">
                  <c:v>-19604.539225658078</c:v>
                </c:pt>
                <c:pt idx="372">
                  <c:v>-19424.527303952855</c:v>
                </c:pt>
                <c:pt idx="373">
                  <c:v>-19238.276945751859</c:v>
                </c:pt>
                <c:pt idx="374">
                  <c:v>-19045.657066103271</c:v>
                </c:pt>
                <c:pt idx="375">
                  <c:v>-18846.52899782372</c:v>
                </c:pt>
                <c:pt idx="376">
                  <c:v>-18640.745909212492</c:v>
                </c:pt>
                <c:pt idx="377">
                  <c:v>-18428.152160161582</c:v>
                </c:pt>
                <c:pt idx="378">
                  <c:v>-18208.582588510337</c:v>
                </c:pt>
                <c:pt idx="379">
                  <c:v>-17981.861717179152</c:v>
                </c:pt>
                <c:pt idx="380">
                  <c:v>-17747.802871051306</c:v>
                </c:pt>
                <c:pt idx="381">
                  <c:v>-17506.207190700134</c:v>
                </c:pt>
                <c:pt idx="382">
                  <c:v>-17256.862527810201</c:v>
                </c:pt>
                <c:pt idx="383">
                  <c:v>-16999.542204428111</c:v>
                </c:pt>
                <c:pt idx="384">
                  <c:v>-16734.00361488929</c:v>
                </c:pt>
                <c:pt idx="385">
                  <c:v>-16459.986645258916</c:v>
                </c:pt>
                <c:pt idx="386">
                  <c:v>-16177.211880215797</c:v>
                </c:pt>
                <c:pt idx="387">
                  <c:v>-15885.37856126073</c:v>
                </c:pt>
                <c:pt idx="388">
                  <c:v>-15584.162252639662</c:v>
                </c:pt>
                <c:pt idx="389">
                  <c:v>-15273.21216203455</c:v>
                </c:pt>
                <c:pt idx="390">
                  <c:v>-14952.148051362414</c:v>
                </c:pt>
                <c:pt idx="391">
                  <c:v>-14620.556658232541</c:v>
                </c:pt>
                <c:pt idx="392">
                  <c:v>-14277.987529802784</c:v>
                </c:pt>
                <c:pt idx="393">
                  <c:v>-13923.948146680717</c:v>
                </c:pt>
                <c:pt idx="394">
                  <c:v>-13557.898183411224</c:v>
                </c:pt>
                <c:pt idx="395">
                  <c:v>-13179.242711620675</c:v>
                </c:pt>
                <c:pt idx="396">
                  <c:v>-12787.324098796669</c:v>
                </c:pt>
                <c:pt idx="397">
                  <c:v>-12381.412285457016</c:v>
                </c:pt>
                <c:pt idx="398">
                  <c:v>-11960.693029804579</c:v>
                </c:pt>
                <c:pt idx="399">
                  <c:v>-11524.253583069849</c:v>
                </c:pt>
                <c:pt idx="400">
                  <c:v>-11071.065088327809</c:v>
                </c:pt>
                <c:pt idx="401">
                  <c:v>-10599.960763704878</c:v>
                </c:pt>
                <c:pt idx="402">
                  <c:v>-10109.608614909715</c:v>
                </c:pt>
                <c:pt idx="403">
                  <c:v>-9598.476993768194</c:v>
                </c:pt>
                <c:pt idx="404">
                  <c:v>-9064.7907505296444</c:v>
                </c:pt>
                <c:pt idx="405">
                  <c:v>-8506.4750114104791</c:v>
                </c:pt>
                <c:pt idx="406">
                  <c:v>-7921.0828379639861</c:v>
                </c:pt>
                <c:pt idx="407">
                  <c:v>-7305.7026130631948</c:v>
                </c:pt>
                <c:pt idx="408">
                  <c:v>-6656.8424729039516</c:v>
                </c:pt>
                <c:pt idx="409">
                  <c:v>-5970.2976894430385</c:v>
                </c:pt>
                <c:pt idx="410">
                  <c:v>-5241.0409303794677</c:v>
                </c:pt>
                <c:pt idx="411">
                  <c:v>-4463.3034290223341</c:v>
                </c:pt>
                <c:pt idx="412">
                  <c:v>-3631.5196332562782</c:v>
                </c:pt>
                <c:pt idx="413">
                  <c:v>-2744.9598960180242</c:v>
                </c:pt>
                <c:pt idx="414">
                  <c:v>-1827.8159787992299</c:v>
                </c:pt>
                <c:pt idx="415">
                  <c:v>-978.31269208326125</c:v>
                </c:pt>
                <c:pt idx="416">
                  <c:v>-233.15056246805466</c:v>
                </c:pt>
                <c:pt idx="417">
                  <c:v>616.77028770505149</c:v>
                </c:pt>
                <c:pt idx="418">
                  <c:v>1851.8510083811093</c:v>
                </c:pt>
                <c:pt idx="419">
                  <c:v>3611.2048039277497</c:v>
                </c:pt>
                <c:pt idx="420">
                  <c:v>5764.2089799825471</c:v>
                </c:pt>
                <c:pt idx="421">
                  <c:v>8038.9875601098347</c:v>
                </c:pt>
                <c:pt idx="422">
                  <c:v>10291.986451224446</c:v>
                </c:pt>
                <c:pt idx="423">
                  <c:v>12486.15914848992</c:v>
                </c:pt>
                <c:pt idx="424">
                  <c:v>14615.948063451568</c:v>
                </c:pt>
                <c:pt idx="425">
                  <c:v>16684.054887258488</c:v>
                </c:pt>
                <c:pt idx="426">
                  <c:v>18695.160232054663</c:v>
                </c:pt>
                <c:pt idx="427">
                  <c:v>20654.101379312906</c:v>
                </c:pt>
                <c:pt idx="428">
                  <c:v>22565.341730352302</c:v>
                </c:pt>
                <c:pt idx="429">
                  <c:v>24432.84920132687</c:v>
                </c:pt>
                <c:pt idx="430">
                  <c:v>26260.107795392185</c:v>
                </c:pt>
                <c:pt idx="431">
                  <c:v>28050.169065375674</c:v>
                </c:pt>
                <c:pt idx="432">
                  <c:v>29805.710774943629</c:v>
                </c:pt>
                <c:pt idx="433">
                  <c:v>31529.09162406301</c:v>
                </c:pt>
                <c:pt idx="434">
                  <c:v>33222.398861586451</c:v>
                </c:pt>
                <c:pt idx="435">
                  <c:v>34887.488532501586</c:v>
                </c:pt>
                <c:pt idx="436">
                  <c:v>36526.019101491504</c:v>
                </c:pt>
                <c:pt idx="437">
                  <c:v>38139.47944202237</c:v>
                </c:pt>
                <c:pt idx="438">
                  <c:v>39729.21214925489</c:v>
                </c:pt>
                <c:pt idx="439">
                  <c:v>41296.433013335394</c:v>
                </c:pt>
                <c:pt idx="440">
                  <c:v>42842.247351221413</c:v>
                </c:pt>
                <c:pt idx="441">
                  <c:v>44367.663767532023</c:v>
                </c:pt>
                <c:pt idx="442">
                  <c:v>45873.605806162632</c:v>
                </c:pt>
                <c:pt idx="443">
                  <c:v>47360.921865119213</c:v>
                </c:pt>
                <c:pt idx="444">
                  <c:v>48830.393675036212</c:v>
                </c:pt>
                <c:pt idx="445">
                  <c:v>50282.743584285061</c:v>
                </c:pt>
                <c:pt idx="446">
                  <c:v>51718.640847705756</c:v>
                </c:pt>
                <c:pt idx="447">
                  <c:v>53138.707079430606</c:v>
                </c:pt>
                <c:pt idx="448">
                  <c:v>54543.521001071662</c:v>
                </c:pt>
                <c:pt idx="449">
                  <c:v>55933.622593155735</c:v>
                </c:pt>
                <c:pt idx="450">
                  <c:v>57309.516738886989</c:v>
                </c:pt>
                <c:pt idx="451">
                  <c:v>58671.676434134431</c:v>
                </c:pt>
                <c:pt idx="452">
                  <c:v>60020.545625229366</c:v>
                </c:pt>
                <c:pt idx="453">
                  <c:v>61356.54172612766</c:v>
                </c:pt>
                <c:pt idx="454">
                  <c:v>62680.057858283915</c:v>
                </c:pt>
                <c:pt idx="455">
                  <c:v>63991.464849837539</c:v>
                </c:pt>
                <c:pt idx="456">
                  <c:v>65291.113025140286</c:v>
                </c:pt>
                <c:pt idx="457">
                  <c:v>66579.333811035583</c:v>
                </c:pt>
                <c:pt idx="458">
                  <c:v>67856.44118245368</c:v>
                </c:pt>
                <c:pt idx="459">
                  <c:v>69122.732966670592</c:v>
                </c:pt>
                <c:pt idx="460">
                  <c:v>70378.492022879625</c:v>
                </c:pt>
                <c:pt idx="461">
                  <c:v>71623.987311449353</c:v>
                </c:pt>
                <c:pt idx="462">
                  <c:v>72859.474865318494</c:v>
                </c:pt>
                <c:pt idx="463">
                  <c:v>74085.198674345607</c:v>
                </c:pt>
                <c:pt idx="464">
                  <c:v>75301.391492040697</c:v>
                </c:pt>
                <c:pt idx="465">
                  <c:v>76508.275572918152</c:v>
                </c:pt>
                <c:pt idx="466">
                  <c:v>77706.063347691786</c:v>
                </c:pt>
                <c:pt idx="467">
                  <c:v>78894.958042657207</c:v>
                </c:pt>
                <c:pt idx="468">
                  <c:v>80075.154248851395</c:v>
                </c:pt>
                <c:pt idx="469">
                  <c:v>81246.838445926463</c:v>
                </c:pt>
                <c:pt idx="470">
                  <c:v>82410.189485108014</c:v>
                </c:pt>
                <c:pt idx="471">
                  <c:v>83565.379035115926</c:v>
                </c:pt>
                <c:pt idx="472">
                  <c:v>84712.571994496087</c:v>
                </c:pt>
                <c:pt idx="473">
                  <c:v>85851.926873436125</c:v>
                </c:pt>
                <c:pt idx="474">
                  <c:v>86983.596147809571</c:v>
                </c:pt>
                <c:pt idx="475">
                  <c:v>88107.726587903962</c:v>
                </c:pt>
                <c:pt idx="476">
                  <c:v>89224.459564034376</c:v>
                </c:pt>
                <c:pt idx="477">
                  <c:v>90333.931331019703</c:v>
                </c:pt>
                <c:pt idx="478">
                  <c:v>91436.273293300866</c:v>
                </c:pt>
                <c:pt idx="479">
                  <c:v>92531.612252304592</c:v>
                </c:pt>
                <c:pt idx="480">
                  <c:v>93620.07063750083</c:v>
                </c:pt>
                <c:pt idx="481">
                  <c:v>94701.76672246329</c:v>
                </c:pt>
                <c:pt idx="482">
                  <c:v>95776.814827119291</c:v>
                </c:pt>
                <c:pt idx="483">
                  <c:v>96845.325507264919</c:v>
                </c:pt>
                <c:pt idx="484">
                  <c:v>97907.405732323328</c:v>
                </c:pt>
                <c:pt idx="485">
                  <c:v>98963.159052235613</c:v>
                </c:pt>
                <c:pt idx="486">
                  <c:v>100012.6857542949</c:v>
                </c:pt>
                <c:pt idx="487">
                  <c:v>101056.08301066323</c:v>
                </c:pt>
                <c:pt idx="488">
                  <c:v>102093.44501724663</c:v>
                </c:pt>
                <c:pt idx="489">
                  <c:v>103124.86312454673</c:v>
                </c:pt>
                <c:pt idx="490">
                  <c:v>104150.42596105483</c:v>
                </c:pt>
                <c:pt idx="491">
                  <c:v>105170.2195497077</c:v>
                </c:pt>
                <c:pt idx="492">
                  <c:v>106184.32741788159</c:v>
                </c:pt>
                <c:pt idx="493">
                  <c:v>107192.83070136275</c:v>
                </c:pt>
                <c:pt idx="494">
                  <c:v>108195.80824269757</c:v>
                </c:pt>
                <c:pt idx="495">
                  <c:v>109193.3366842937</c:v>
                </c:pt>
                <c:pt idx="496">
                  <c:v>110185.49055661482</c:v>
                </c:pt>
                <c:pt idx="497">
                  <c:v>111172.34236178518</c:v>
                </c:pt>
                <c:pt idx="498">
                  <c:v>112153.96265289612</c:v>
                </c:pt>
                <c:pt idx="499">
                  <c:v>113130.42010928507</c:v>
                </c:pt>
                <c:pt idx="500">
                  <c:v>114101.781608037</c:v>
                </c:pt>
                <c:pt idx="501">
                  <c:v>115068.11229194059</c:v>
                </c:pt>
                <c:pt idx="502">
                  <c:v>116029.47563411423</c:v>
                </c:pt>
                <c:pt idx="503">
                  <c:v>116985.93349950151</c:v>
                </c:pt>
                <c:pt idx="504">
                  <c:v>117937.54620342195</c:v>
                </c:pt>
                <c:pt idx="505">
                  <c:v>118884.3725673498</c:v>
                </c:pt>
                <c:pt idx="506">
                  <c:v>119826.46997208138</c:v>
                </c:pt>
                <c:pt idx="507">
                  <c:v>120763.89440844096</c:v>
                </c:pt>
                <c:pt idx="508">
                  <c:v>121696.70052566465</c:v>
                </c:pt>
                <c:pt idx="509">
                  <c:v>122624.94167759268</c:v>
                </c:pt>
                <c:pt idx="510">
                  <c:v>123548.66996679164</c:v>
                </c:pt>
                <c:pt idx="511">
                  <c:v>124467.93628672052</c:v>
                </c:pt>
                <c:pt idx="512">
                  <c:v>125382.79036204671</c:v>
                </c:pt>
                <c:pt idx="513">
                  <c:v>126293.2807872116</c:v>
                </c:pt>
                <c:pt idx="514">
                  <c:v>127199.45506333878</c:v>
                </c:pt>
                <c:pt idx="515">
                  <c:v>128101.35963357255</c:v>
                </c:pt>
                <c:pt idx="516">
                  <c:v>128999.03991692809</c:v>
                </c:pt>
                <c:pt idx="517">
                  <c:v>129892.54034073073</c:v>
                </c:pt>
                <c:pt idx="518">
                  <c:v>130781.90437171599</c:v>
                </c:pt>
                <c:pt idx="519">
                  <c:v>131667.17454585855</c:v>
                </c:pt>
                <c:pt idx="520">
                  <c:v>132548.39249699365</c:v>
                </c:pt>
                <c:pt idx="521">
                  <c:v>133425.59898429117</c:v>
                </c:pt>
                <c:pt idx="522">
                  <c:v>134298.83391863856</c:v>
                </c:pt>
                <c:pt idx="523">
                  <c:v>135168.13638798604</c:v>
                </c:pt>
                <c:pt idx="524">
                  <c:v>136033.54468170388</c:v>
                </c:pt>
                <c:pt idx="525">
                  <c:v>136895.09631399947</c:v>
                </c:pt>
                <c:pt idx="526">
                  <c:v>137752.82804643828</c:v>
                </c:pt>
                <c:pt idx="527">
                  <c:v>138606.7759096112</c:v>
                </c:pt>
                <c:pt idx="528">
                  <c:v>139456.97522398751</c:v>
                </c:pt>
                <c:pt idx="529">
                  <c:v>140303.46061999182</c:v>
                </c:pt>
                <c:pt idx="530">
                  <c:v>141146.26605733953</c:v>
                </c:pt>
                <c:pt idx="531">
                  <c:v>141985.42484366521</c:v>
                </c:pt>
                <c:pt idx="532">
                  <c:v>142820.96965247532</c:v>
                </c:pt>
                <c:pt idx="533">
                  <c:v>143652.93254045534</c:v>
                </c:pt>
                <c:pt idx="534">
                  <c:v>144481.34496415989</c:v>
                </c:pt>
                <c:pt idx="535">
                  <c:v>145306.23779611307</c:v>
                </c:pt>
                <c:pt idx="536">
                  <c:v>146127.64134034424</c:v>
                </c:pt>
                <c:pt idx="537">
                  <c:v>146945.58534738384</c:v>
                </c:pt>
                <c:pt idx="538">
                  <c:v>147760.09902874238</c:v>
                </c:pt>
                <c:pt idx="539">
                  <c:v>148571.21107089409</c:v>
                </c:pt>
                <c:pt idx="540">
                  <c:v>149378.9496487866</c:v>
                </c:pt>
                <c:pt idx="541">
                  <c:v>150183.34243889598</c:v>
                </c:pt>
                <c:pt idx="542">
                  <c:v>150984.41663184608</c:v>
                </c:pt>
                <c:pt idx="543">
                  <c:v>151782.19894461011</c:v>
                </c:pt>
                <c:pt idx="544">
                  <c:v>152576.71563231142</c:v>
                </c:pt>
                <c:pt idx="545">
                  <c:v>153367.99249963966</c:v>
                </c:pt>
                <c:pt idx="546">
                  <c:v>154156.05491189761</c:v>
                </c:pt>
                <c:pt idx="547">
                  <c:v>154940.9278056937</c:v>
                </c:pt>
                <c:pt idx="548">
                  <c:v>155722.63569929387</c:v>
                </c:pt>
                <c:pt idx="549">
                  <c:v>156501.2027026462</c:v>
                </c:pt>
                <c:pt idx="550">
                  <c:v>157276.65252709115</c:v>
                </c:pt>
                <c:pt idx="551">
                  <c:v>158049.00849476946</c:v>
                </c:pt>
                <c:pt idx="552">
                  <c:v>158818.29354773925</c:v>
                </c:pt>
                <c:pt idx="553">
                  <c:v>159584.53025681336</c:v>
                </c:pt>
                <c:pt idx="554">
                  <c:v>160347.74083012767</c:v>
                </c:pt>
                <c:pt idx="555">
                  <c:v>161107.9471214503</c:v>
                </c:pt>
                <c:pt idx="556">
                  <c:v>161865.17063824122</c:v>
                </c:pt>
                <c:pt idx="557">
                  <c:v>162619.43254947194</c:v>
                </c:pt>
                <c:pt idx="558">
                  <c:v>163370.75369321357</c:v>
                </c:pt>
                <c:pt idx="559">
                  <c:v>164119.15458400192</c:v>
                </c:pt>
                <c:pt idx="560">
                  <c:v>164864.65541998786</c:v>
                </c:pt>
                <c:pt idx="561">
                  <c:v>165607.27608988018</c:v>
                </c:pt>
                <c:pt idx="562">
                  <c:v>166347.03617968885</c:v>
                </c:pt>
                <c:pt idx="563">
                  <c:v>167083.95497927547</c:v>
                </c:pt>
                <c:pt idx="564">
                  <c:v>167818.05148871787</c:v>
                </c:pt>
                <c:pt idx="565">
                  <c:v>168549.34442449507</c:v>
                </c:pt>
                <c:pt idx="566">
                  <c:v>169277.85222549908</c:v>
                </c:pt>
                <c:pt idx="567">
                  <c:v>170003.59305887957</c:v>
                </c:pt>
                <c:pt idx="568">
                  <c:v>170726.58482572678</c:v>
                </c:pt>
                <c:pt idx="569">
                  <c:v>171446.84516659856</c:v>
                </c:pt>
                <c:pt idx="570">
                  <c:v>172164.39146689657</c:v>
                </c:pt>
                <c:pt idx="571">
                  <c:v>172879.24086209686</c:v>
                </c:pt>
                <c:pt idx="572">
                  <c:v>173591.41024283951</c:v>
                </c:pt>
                <c:pt idx="573">
                  <c:v>174300.91625988213</c:v>
                </c:pt>
                <c:pt idx="574">
                  <c:v>175007.77532892171</c:v>
                </c:pt>
                <c:pt idx="575">
                  <c:v>175712.00363528906</c:v>
                </c:pt>
                <c:pt idx="576">
                  <c:v>176413.61713852012</c:v>
                </c:pt>
                <c:pt idx="577">
                  <c:v>177112.6315768077</c:v>
                </c:pt>
                <c:pt idx="578">
                  <c:v>177809.06247133829</c:v>
                </c:pt>
                <c:pt idx="579">
                  <c:v>178502.92513051661</c:v>
                </c:pt>
                <c:pt idx="580">
                  <c:v>179194.23465408251</c:v>
                </c:pt>
                <c:pt idx="581">
                  <c:v>179883.00593712254</c:v>
                </c:pt>
                <c:pt idx="582">
                  <c:v>180569.25367398042</c:v>
                </c:pt>
                <c:pt idx="583">
                  <c:v>181252.99236206911</c:v>
                </c:pt>
                <c:pt idx="584">
                  <c:v>181934.23630558737</c:v>
                </c:pt>
                <c:pt idx="585">
                  <c:v>182612.99961914422</c:v>
                </c:pt>
                <c:pt idx="586">
                  <c:v>183289.29623129376</c:v>
                </c:pt>
                <c:pt idx="587">
                  <c:v>183963.13988798318</c:v>
                </c:pt>
                <c:pt idx="588">
                  <c:v>184634.54415591658</c:v>
                </c:pt>
                <c:pt idx="589">
                  <c:v>185303.52242583717</c:v>
                </c:pt>
                <c:pt idx="590">
                  <c:v>185970.08791573026</c:v>
                </c:pt>
                <c:pt idx="591">
                  <c:v>186634.25367394937</c:v>
                </c:pt>
                <c:pt idx="592">
                  <c:v>187296.03258226774</c:v>
                </c:pt>
                <c:pt idx="593">
                  <c:v>187955.4373588576</c:v>
                </c:pt>
                <c:pt idx="594">
                  <c:v>188612.48056119884</c:v>
                </c:pt>
                <c:pt idx="595">
                  <c:v>189267.17458891976</c:v>
                </c:pt>
                <c:pt idx="596">
                  <c:v>189919.53168657134</c:v>
                </c:pt>
                <c:pt idx="597">
                  <c:v>190569.56394633732</c:v>
                </c:pt>
                <c:pt idx="598">
                  <c:v>191217.28331068164</c:v>
                </c:pt>
                <c:pt idx="599">
                  <c:v>191862.70157493517</c:v>
                </c:pt>
                <c:pt idx="600">
                  <c:v>192505.83038982336</c:v>
                </c:pt>
                <c:pt idx="601">
                  <c:v>193146.68126393654</c:v>
                </c:pt>
                <c:pt idx="602">
                  <c:v>193785.26556614458</c:v>
                </c:pt>
                <c:pt idx="603">
                  <c:v>194421.59452795709</c:v>
                </c:pt>
                <c:pt idx="604">
                  <c:v>195055.67924583115</c:v>
                </c:pt>
                <c:pt idx="605">
                  <c:v>195687.53068342753</c:v>
                </c:pt>
                <c:pt idx="606">
                  <c:v>196317.15967381728</c:v>
                </c:pt>
                <c:pt idx="607">
                  <c:v>196944.57692163959</c:v>
                </c:pt>
                <c:pt idx="608">
                  <c:v>197569.79300521262</c:v>
                </c:pt>
                <c:pt idx="609">
                  <c:v>198192.81837859831</c:v>
                </c:pt>
                <c:pt idx="610">
                  <c:v>198813.66337362255</c:v>
                </c:pt>
                <c:pt idx="611">
                  <c:v>199432.33820185179</c:v>
                </c:pt>
                <c:pt idx="612">
                  <c:v>200048.85295652735</c:v>
                </c:pt>
                <c:pt idx="613">
                  <c:v>200663.21761445847</c:v>
                </c:pt>
                <c:pt idx="614">
                  <c:v>201275.44203787515</c:v>
                </c:pt>
                <c:pt idx="615">
                  <c:v>201885.53597624213</c:v>
                </c:pt>
                <c:pt idx="616">
                  <c:v>202493.50906803436</c:v>
                </c:pt>
                <c:pt idx="617">
                  <c:v>203099.37084247576</c:v>
                </c:pt>
                <c:pt idx="618">
                  <c:v>203703.13072124164</c:v>
                </c:pt>
                <c:pt idx="619">
                  <c:v>204304.79802012595</c:v>
                </c:pt>
                <c:pt idx="620">
                  <c:v>204904.38195067414</c:v>
                </c:pt>
                <c:pt idx="621">
                  <c:v>205501.89162178268</c:v>
                </c:pt>
                <c:pt idx="622">
                  <c:v>206097.33604126581</c:v>
                </c:pt>
                <c:pt idx="623">
                  <c:v>206690.72411739064</c:v>
                </c:pt>
                <c:pt idx="624">
                  <c:v>207282.06466038123</c:v>
                </c:pt>
                <c:pt idx="625">
                  <c:v>207871.36638389231</c:v>
                </c:pt>
                <c:pt idx="626">
                  <c:v>208458.6379064536</c:v>
                </c:pt>
                <c:pt idx="627">
                  <c:v>209043.88775288546</c:v>
                </c:pt>
                <c:pt idx="628">
                  <c:v>209627.12435568642</c:v>
                </c:pt>
                <c:pt idx="629">
                  <c:v>210208.35605639315</c:v>
                </c:pt>
                <c:pt idx="630">
                  <c:v>210787.59110691413</c:v>
                </c:pt>
                <c:pt idx="631">
                  <c:v>211364.83767083683</c:v>
                </c:pt>
                <c:pt idx="632">
                  <c:v>211940.10382470986</c:v>
                </c:pt>
                <c:pt idx="633">
                  <c:v>212513.39755929986</c:v>
                </c:pt>
                <c:pt idx="634">
                  <c:v>213084.7267808246</c:v>
                </c:pt>
                <c:pt idx="635">
                  <c:v>213654.09931216206</c:v>
                </c:pt>
                <c:pt idx="636">
                  <c:v>214221.52289403661</c:v>
                </c:pt>
                <c:pt idx="637">
                  <c:v>214787.00518618265</c:v>
                </c:pt>
                <c:pt idx="638">
                  <c:v>215350.55376848596</c:v>
                </c:pt>
                <c:pt idx="639">
                  <c:v>215912.17614210391</c:v>
                </c:pt>
                <c:pt idx="640">
                  <c:v>216471.87973056437</c:v>
                </c:pt>
                <c:pt idx="641">
                  <c:v>217029.67188084414</c:v>
                </c:pt>
                <c:pt idx="642">
                  <c:v>217585.55986442743</c:v>
                </c:pt>
                <c:pt idx="643">
                  <c:v>218139.5508783446</c:v>
                </c:pt>
                <c:pt idx="644">
                  <c:v>218691.65204619183</c:v>
                </c:pt>
                <c:pt idx="645">
                  <c:v>219241.87041913197</c:v>
                </c:pt>
                <c:pt idx="646">
                  <c:v>219790.2129768772</c:v>
                </c:pt>
                <c:pt idx="647">
                  <c:v>220336.68662865373</c:v>
                </c:pt>
                <c:pt idx="648">
                  <c:v>220881.29821414905</c:v>
                </c:pt>
                <c:pt idx="649">
                  <c:v>221424.05450444197</c:v>
                </c:pt>
                <c:pt idx="650">
                  <c:v>221964.96220291613</c:v>
                </c:pt>
                <c:pt idx="651">
                  <c:v>222504.02794615703</c:v>
                </c:pt>
                <c:pt idx="652">
                  <c:v>223041.25830483297</c:v>
                </c:pt>
                <c:pt idx="653">
                  <c:v>223576.65978456062</c:v>
                </c:pt>
                <c:pt idx="654">
                  <c:v>224110.238826755</c:v>
                </c:pt>
                <c:pt idx="655">
                  <c:v>224642.00180946465</c:v>
                </c:pt>
                <c:pt idx="656">
                  <c:v>225171.95504819218</c:v>
                </c:pt>
                <c:pt idx="657">
                  <c:v>225700.1047967003</c:v>
                </c:pt>
                <c:pt idx="658">
                  <c:v>226226.45724780404</c:v>
                </c:pt>
                <c:pt idx="659">
                  <c:v>226751.01853414919</c:v>
                </c:pt>
                <c:pt idx="660">
                  <c:v>227273.79472897714</c:v>
                </c:pt>
                <c:pt idx="661">
                  <c:v>227794.79184687682</c:v>
                </c:pt>
                <c:pt idx="662">
                  <c:v>228314.0158445235</c:v>
                </c:pt>
                <c:pt idx="663">
                  <c:v>228831.47262140526</c:v>
                </c:pt>
                <c:pt idx="664">
                  <c:v>229347.16802053695</c:v>
                </c:pt>
                <c:pt idx="665">
                  <c:v>229861.10782916209</c:v>
                </c:pt>
                <c:pt idx="666">
                  <c:v>230373.297779443</c:v>
                </c:pt>
                <c:pt idx="667">
                  <c:v>230883.74354913921</c:v>
                </c:pt>
                <c:pt idx="668">
                  <c:v>231392.45076227465</c:v>
                </c:pt>
                <c:pt idx="669">
                  <c:v>231899.42498979374</c:v>
                </c:pt>
                <c:pt idx="670">
                  <c:v>232404.67175020638</c:v>
                </c:pt>
                <c:pt idx="671">
                  <c:v>232908.19651022257</c:v>
                </c:pt>
                <c:pt idx="672">
                  <c:v>233410.00468537631</c:v>
                </c:pt>
                <c:pt idx="673">
                  <c:v>233910.10164063942</c:v>
                </c:pt>
                <c:pt idx="674">
                  <c:v>234408.49269102531</c:v>
                </c:pt>
                <c:pt idx="675">
                  <c:v>234905.18310218275</c:v>
                </c:pt>
                <c:pt idx="676">
                  <c:v>235400.17809098025</c:v>
                </c:pt>
                <c:pt idx="677">
                  <c:v>235893.48282608076</c:v>
                </c:pt>
                <c:pt idx="678">
                  <c:v>236385.10242850732</c:v>
                </c:pt>
                <c:pt idx="679">
                  <c:v>236875.04197219943</c:v>
                </c:pt>
                <c:pt idx="680">
                  <c:v>237363.3064845606</c:v>
                </c:pt>
                <c:pt idx="681">
                  <c:v>237849.90094699725</c:v>
                </c:pt>
                <c:pt idx="682">
                  <c:v>238334.83029544889</c:v>
                </c:pt>
                <c:pt idx="683">
                  <c:v>238818.09942091012</c:v>
                </c:pt>
                <c:pt idx="684">
                  <c:v>239299.71316994409</c:v>
                </c:pt>
                <c:pt idx="685">
                  <c:v>239779.67634518826</c:v>
                </c:pt>
                <c:pt idx="686">
                  <c:v>240257.99370585184</c:v>
                </c:pt>
                <c:pt idx="687">
                  <c:v>240734.66996820588</c:v>
                </c:pt>
                <c:pt idx="688">
                  <c:v>241209.70980606545</c:v>
                </c:pt>
                <c:pt idx="689">
                  <c:v>241683.1178512644</c:v>
                </c:pt>
                <c:pt idx="690">
                  <c:v>242154.89869412279</c:v>
                </c:pt>
                <c:pt idx="691">
                  <c:v>242625.05688390727</c:v>
                </c:pt>
                <c:pt idx="692">
                  <c:v>243093.59692928413</c:v>
                </c:pt>
                <c:pt idx="693">
                  <c:v>243560.52329876565</c:v>
                </c:pt>
                <c:pt idx="694">
                  <c:v>244025.84042114957</c:v>
                </c:pt>
                <c:pt idx="695">
                  <c:v>244489.55268595181</c:v>
                </c:pt>
                <c:pt idx="696">
                  <c:v>244951.66444383279</c:v>
                </c:pt>
                <c:pt idx="697">
                  <c:v>245412.18000701722</c:v>
                </c:pt>
                <c:pt idx="698">
                  <c:v>245871.10364970745</c:v>
                </c:pt>
                <c:pt idx="699">
                  <c:v>246328.43960849103</c:v>
                </c:pt>
                <c:pt idx="700">
                  <c:v>246784.19208274165</c:v>
                </c:pt>
                <c:pt idx="701">
                  <c:v>247238.36523501459</c:v>
                </c:pt>
                <c:pt idx="702">
                  <c:v>247690.96319143591</c:v>
                </c:pt>
                <c:pt idx="703">
                  <c:v>248141.99004208614</c:v>
                </c:pt>
                <c:pt idx="704">
                  <c:v>248591.44984137817</c:v>
                </c:pt>
                <c:pt idx="705">
                  <c:v>249039.34660842977</c:v>
                </c:pt>
                <c:pt idx="706">
                  <c:v>249485.6843274303</c:v>
                </c:pt>
                <c:pt idx="707">
                  <c:v>249930.46694800249</c:v>
                </c:pt>
                <c:pt idx="708">
                  <c:v>250373.69838555853</c:v>
                </c:pt>
                <c:pt idx="709">
                  <c:v>250815.38252165139</c:v>
                </c:pt>
                <c:pt idx="710">
                  <c:v>251255.52320432072</c:v>
                </c:pt>
                <c:pt idx="711">
                  <c:v>251694.12424843389</c:v>
                </c:pt>
                <c:pt idx="712">
                  <c:v>252131.18943602222</c:v>
                </c:pt>
                <c:pt idx="713">
                  <c:v>252566.72251661218</c:v>
                </c:pt>
                <c:pt idx="714">
                  <c:v>253000.727207552</c:v>
                </c:pt>
                <c:pt idx="715">
                  <c:v>253433.20719433369</c:v>
                </c:pt>
                <c:pt idx="716">
                  <c:v>253864.16613091016</c:v>
                </c:pt>
                <c:pt idx="717">
                  <c:v>254293.60764000818</c:v>
                </c:pt>
                <c:pt idx="718">
                  <c:v>254721.53531343685</c:v>
                </c:pt>
                <c:pt idx="719">
                  <c:v>255147.95271239147</c:v>
                </c:pt>
                <c:pt idx="720">
                  <c:v>255572.86336775354</c:v>
                </c:pt>
                <c:pt idx="721">
                  <c:v>255996.27078038617</c:v>
                </c:pt>
                <c:pt idx="722">
                  <c:v>256418.17842142563</c:v>
                </c:pt>
                <c:pt idx="723">
                  <c:v>256838.58973256874</c:v>
                </c:pt>
                <c:pt idx="724">
                  <c:v>257257.5081263562</c:v>
                </c:pt>
                <c:pt idx="725">
                  <c:v>257674.93698645211</c:v>
                </c:pt>
                <c:pt idx="726">
                  <c:v>258090.87966791957</c:v>
                </c:pt>
                <c:pt idx="727">
                  <c:v>258505.33949749244</c:v>
                </c:pt>
                <c:pt idx="728">
                  <c:v>258918.31977384348</c:v>
                </c:pt>
                <c:pt idx="729">
                  <c:v>259329.82376784866</c:v>
                </c:pt>
                <c:pt idx="730">
                  <c:v>259739.85472284799</c:v>
                </c:pt>
                <c:pt idx="731">
                  <c:v>260148.41585490273</c:v>
                </c:pt>
                <c:pt idx="732">
                  <c:v>260555.51035304912</c:v>
                </c:pt>
                <c:pt idx="733">
                  <c:v>260961.14137954859</c:v>
                </c:pt>
                <c:pt idx="734">
                  <c:v>261365.31207013474</c:v>
                </c:pt>
                <c:pt idx="735">
                  <c:v>261768.02553425689</c:v>
                </c:pt>
                <c:pt idx="736">
                  <c:v>262169.28485532029</c:v>
                </c:pt>
                <c:pt idx="737">
                  <c:v>262569.09309092315</c:v>
                </c:pt>
                <c:pt idx="738">
                  <c:v>262967.45327309071</c:v>
                </c:pt>
                <c:pt idx="739">
                  <c:v>263364.3684085058</c:v>
                </c:pt>
                <c:pt idx="740">
                  <c:v>263759.84147873661</c:v>
                </c:pt>
                <c:pt idx="741">
                  <c:v>264153.87544046127</c:v>
                </c:pt>
                <c:pt idx="742">
                  <c:v>264546.47322568967</c:v>
                </c:pt>
                <c:pt idx="743">
                  <c:v>264937.63774198189</c:v>
                </c:pt>
                <c:pt idx="744">
                  <c:v>265327.37187266449</c:v>
                </c:pt>
                <c:pt idx="745">
                  <c:v>265715.67847704311</c:v>
                </c:pt>
                <c:pt idx="746">
                  <c:v>266102.56039061298</c:v>
                </c:pt>
                <c:pt idx="747">
                  <c:v>266488.02042526612</c:v>
                </c:pt>
                <c:pt idx="748">
                  <c:v>266872.06136949634</c:v>
                </c:pt>
                <c:pt idx="749">
                  <c:v>267254.68598860101</c:v>
                </c:pt>
                <c:pt idx="750">
                  <c:v>267635.8970248808</c:v>
                </c:pt>
                <c:pt idx="751">
                  <c:v>268015.69719783636</c:v>
                </c:pt>
                <c:pt idx="752">
                  <c:v>268394.08920436259</c:v>
                </c:pt>
                <c:pt idx="753">
                  <c:v>268771.07571894058</c:v>
                </c:pt>
                <c:pt idx="754">
                  <c:v>269146.65939382679</c:v>
                </c:pt>
                <c:pt idx="755">
                  <c:v>269520.8428592399</c:v>
                </c:pt>
                <c:pt idx="756">
                  <c:v>269893.62872354547</c:v>
                </c:pt>
                <c:pt idx="757">
                  <c:v>270265.01957343781</c:v>
                </c:pt>
                <c:pt idx="758">
                  <c:v>270635.01797411987</c:v>
                </c:pt>
                <c:pt idx="759">
                  <c:v>271003.62646948069</c:v>
                </c:pt>
                <c:pt idx="760">
                  <c:v>271370.84758227074</c:v>
                </c:pt>
                <c:pt idx="761">
                  <c:v>271736.68381427479</c:v>
                </c:pt>
                <c:pt idx="762">
                  <c:v>272101.13764648256</c:v>
                </c:pt>
                <c:pt idx="763">
                  <c:v>272464.21153925767</c:v>
                </c:pt>
                <c:pt idx="764">
                  <c:v>272825.90793250396</c:v>
                </c:pt>
                <c:pt idx="765">
                  <c:v>273186.22924582992</c:v>
                </c:pt>
                <c:pt idx="766">
                  <c:v>273545.17787871085</c:v>
                </c:pt>
                <c:pt idx="767">
                  <c:v>273902.7562106495</c:v>
                </c:pt>
                <c:pt idx="768">
                  <c:v>274258.96660133405</c:v>
                </c:pt>
                <c:pt idx="769">
                  <c:v>274613.81139079441</c:v>
                </c:pt>
                <c:pt idx="770">
                  <c:v>274967.29289955681</c:v>
                </c:pt>
                <c:pt idx="771">
                  <c:v>275319.41342879587</c:v>
                </c:pt>
                <c:pt idx="772">
                  <c:v>275670.17526048532</c:v>
                </c:pt>
                <c:pt idx="773">
                  <c:v>276019.5806575467</c:v>
                </c:pt>
                <c:pt idx="774">
                  <c:v>276367.6318639958</c:v>
                </c:pt>
                <c:pt idx="775">
                  <c:v>276714.33110508812</c:v>
                </c:pt>
                <c:pt idx="776">
                  <c:v>277059.68058746168</c:v>
                </c:pt>
                <c:pt idx="777">
                  <c:v>277403.68249927851</c:v>
                </c:pt>
                <c:pt idx="778">
                  <c:v>277746.33901036438</c:v>
                </c:pt>
                <c:pt idx="779">
                  <c:v>278087.6522723466</c:v>
                </c:pt>
                <c:pt idx="780">
                  <c:v>278427.62441879057</c:v>
                </c:pt>
                <c:pt idx="781">
                  <c:v>278766.25756533386</c:v>
                </c:pt>
                <c:pt idx="782">
                  <c:v>279103.55380981963</c:v>
                </c:pt>
                <c:pt idx="783">
                  <c:v>279439.51523242763</c:v>
                </c:pt>
                <c:pt idx="784">
                  <c:v>279774.14389580378</c:v>
                </c:pt>
                <c:pt idx="785">
                  <c:v>280107.44184518862</c:v>
                </c:pt>
                <c:pt idx="786">
                  <c:v>280439.41110854351</c:v>
                </c:pt>
                <c:pt idx="787">
                  <c:v>280770.05369667581</c:v>
                </c:pt>
                <c:pt idx="788">
                  <c:v>281099.37160336232</c:v>
                </c:pt>
                <c:pt idx="789">
                  <c:v>281427.36680547125</c:v>
                </c:pt>
                <c:pt idx="790">
                  <c:v>281754.04126308247</c:v>
                </c:pt>
                <c:pt idx="791">
                  <c:v>282079.39691960689</c:v>
                </c:pt>
                <c:pt idx="792">
                  <c:v>282403.43570190395</c:v>
                </c:pt>
                <c:pt idx="793">
                  <c:v>282726.1595203976</c:v>
                </c:pt>
                <c:pt idx="794">
                  <c:v>283047.57026919123</c:v>
                </c:pt>
                <c:pt idx="795">
                  <c:v>283367.66982618091</c:v>
                </c:pt>
                <c:pt idx="796">
                  <c:v>283686.46005316754</c:v>
                </c:pt>
                <c:pt idx="797">
                  <c:v>284003.94279596739</c:v>
                </c:pt>
                <c:pt idx="798">
                  <c:v>284320.11988452141</c:v>
                </c:pt>
                <c:pt idx="799">
                  <c:v>284634.9931330033</c:v>
                </c:pt>
                <c:pt idx="800">
                  <c:v>284948.56433992612</c:v>
                </c:pt>
                <c:pt idx="801">
                  <c:v>285260.83528824785</c:v>
                </c:pt>
                <c:pt idx="802">
                  <c:v>285571.80774547532</c:v>
                </c:pt>
                <c:pt idx="803">
                  <c:v>285881.48346376733</c:v>
                </c:pt>
                <c:pt idx="804">
                  <c:v>286189.8641800363</c:v>
                </c:pt>
                <c:pt idx="805">
                  <c:v>286496.95161604852</c:v>
                </c:pt>
                <c:pt idx="806">
                  <c:v>286802.74747852364</c:v>
                </c:pt>
                <c:pt idx="807">
                  <c:v>287107.25345923251</c:v>
                </c:pt>
                <c:pt idx="808">
                  <c:v>287410.47123509436</c:v>
                </c:pt>
                <c:pt idx="809">
                  <c:v>287712.40246827214</c:v>
                </c:pt>
                <c:pt idx="810">
                  <c:v>288013.04880626744</c:v>
                </c:pt>
                <c:pt idx="811">
                  <c:v>288312.41188201372</c:v>
                </c:pt>
                <c:pt idx="812">
                  <c:v>288610.49331396876</c:v>
                </c:pt>
                <c:pt idx="813">
                  <c:v>288907.29470620595</c:v>
                </c:pt>
                <c:pt idx="814">
                  <c:v>289202.81764850422</c:v>
                </c:pt>
                <c:pt idx="815">
                  <c:v>289497.06371643732</c:v>
                </c:pt>
                <c:pt idx="816">
                  <c:v>289790.03447146178</c:v>
                </c:pt>
                <c:pt idx="817">
                  <c:v>290081.73146100377</c:v>
                </c:pt>
                <c:pt idx="818">
                  <c:v>290372.15621854505</c:v>
                </c:pt>
                <c:pt idx="819">
                  <c:v>290661.31026370788</c:v>
                </c:pt>
                <c:pt idx="820">
                  <c:v>290949.19510233891</c:v>
                </c:pt>
                <c:pt idx="821">
                  <c:v>291235.81222659216</c:v>
                </c:pt>
                <c:pt idx="822">
                  <c:v>291521.16311501071</c:v>
                </c:pt>
                <c:pt idx="823">
                  <c:v>291805.24923260766</c:v>
                </c:pt>
                <c:pt idx="824">
                  <c:v>292088.0720309462</c:v>
                </c:pt>
                <c:pt idx="825">
                  <c:v>292369.63294821844</c:v>
                </c:pt>
                <c:pt idx="826">
                  <c:v>292649.93340932345</c:v>
                </c:pt>
                <c:pt idx="827">
                  <c:v>292928.97482594464</c:v>
                </c:pt>
                <c:pt idx="828">
                  <c:v>293206.75859662559</c:v>
                </c:pt>
                <c:pt idx="829">
                  <c:v>293483.28610684554</c:v>
                </c:pt>
                <c:pt idx="830">
                  <c:v>293758.55872909375</c:v>
                </c:pt>
                <c:pt idx="831">
                  <c:v>294032.57782294287</c:v>
                </c:pt>
                <c:pt idx="832">
                  <c:v>294305.3447351217</c:v>
                </c:pt>
                <c:pt idx="833">
                  <c:v>294576.86079958681</c:v>
                </c:pt>
                <c:pt idx="834">
                  <c:v>294847.12733759347</c:v>
                </c:pt>
                <c:pt idx="835">
                  <c:v>295116.14565776556</c:v>
                </c:pt>
                <c:pt idx="836">
                  <c:v>295383.91705616494</c:v>
                </c:pt>
                <c:pt idx="837">
                  <c:v>295650.44281635963</c:v>
                </c:pt>
                <c:pt idx="838">
                  <c:v>295915.7242094914</c:v>
                </c:pt>
                <c:pt idx="839">
                  <c:v>296179.76249434252</c:v>
                </c:pt>
                <c:pt idx="840">
                  <c:v>296442.55891740147</c:v>
                </c:pt>
                <c:pt idx="841">
                  <c:v>296704.11471292825</c:v>
                </c:pt>
                <c:pt idx="842">
                  <c:v>296964.43110301864</c:v>
                </c:pt>
                <c:pt idx="843">
                  <c:v>297223.50929766765</c:v>
                </c:pt>
                <c:pt idx="844">
                  <c:v>297481.35049483238</c:v>
                </c:pt>
                <c:pt idx="845">
                  <c:v>297737.95588049397</c:v>
                </c:pt>
                <c:pt idx="846">
                  <c:v>297993.32662871882</c:v>
                </c:pt>
                <c:pt idx="847">
                  <c:v>298247.46390171914</c:v>
                </c:pt>
                <c:pt idx="848">
                  <c:v>298500.36884991272</c:v>
                </c:pt>
                <c:pt idx="849">
                  <c:v>298752.0426119818</c:v>
                </c:pt>
                <c:pt idx="850">
                  <c:v>299002.48631493159</c:v>
                </c:pt>
                <c:pt idx="851">
                  <c:v>299251.70107414777</c:v>
                </c:pt>
                <c:pt idx="852">
                  <c:v>299499.68799345323</c:v>
                </c:pt>
                <c:pt idx="853">
                  <c:v>299746.44816516433</c:v>
                </c:pt>
                <c:pt idx="854">
                  <c:v>299991.98267014645</c:v>
                </c:pt>
                <c:pt idx="855">
                  <c:v>300236.29257786879</c:v>
                </c:pt>
                <c:pt idx="856">
                  <c:v>300479.37894645822</c:v>
                </c:pt>
                <c:pt idx="857">
                  <c:v>300721.24282275309</c:v>
                </c:pt>
                <c:pt idx="858">
                  <c:v>300961.88524235558</c:v>
                </c:pt>
                <c:pt idx="859">
                  <c:v>301201.30722968426</c:v>
                </c:pt>
                <c:pt idx="860">
                  <c:v>301439.50979802507</c:v>
                </c:pt>
                <c:pt idx="861">
                  <c:v>301676.49394958239</c:v>
                </c:pt>
                <c:pt idx="862">
                  <c:v>301912.26067552931</c:v>
                </c:pt>
                <c:pt idx="863">
                  <c:v>302146.81095605675</c:v>
                </c:pt>
                <c:pt idx="864">
                  <c:v>302380.14576042281</c:v>
                </c:pt>
                <c:pt idx="865">
                  <c:v>302612.26604700065</c:v>
                </c:pt>
                <c:pt idx="866">
                  <c:v>302843.17276332644</c:v>
                </c:pt>
                <c:pt idx="867">
                  <c:v>303072.86684614612</c:v>
                </c:pt>
                <c:pt idx="868">
                  <c:v>303301.34922146209</c:v>
                </c:pt>
                <c:pt idx="869">
                  <c:v>303528.62080457888</c:v>
                </c:pt>
                <c:pt idx="870">
                  <c:v>303754.68250014842</c:v>
                </c:pt>
                <c:pt idx="871">
                  <c:v>303979.53520221479</c:v>
                </c:pt>
                <c:pt idx="872">
                  <c:v>304203.17979425809</c:v>
                </c:pt>
                <c:pt idx="873">
                  <c:v>304425.61714923813</c:v>
                </c:pt>
                <c:pt idx="874">
                  <c:v>304646.84812963707</c:v>
                </c:pt>
                <c:pt idx="875">
                  <c:v>304866.87358750211</c:v>
                </c:pt>
                <c:pt idx="876">
                  <c:v>305085.6943644869</c:v>
                </c:pt>
                <c:pt idx="877">
                  <c:v>305303.31129189307</c:v>
                </c:pt>
                <c:pt idx="878">
                  <c:v>305519.7251907108</c:v>
                </c:pt>
                <c:pt idx="879">
                  <c:v>305734.93687165884</c:v>
                </c:pt>
                <c:pt idx="880">
                  <c:v>305948.94713522412</c:v>
                </c:pt>
                <c:pt idx="881">
                  <c:v>306161.75677170092</c:v>
                </c:pt>
                <c:pt idx="882">
                  <c:v>306373.36656122911</c:v>
                </c:pt>
                <c:pt idx="883">
                  <c:v>306583.77727383235</c:v>
                </c:pt>
                <c:pt idx="884">
                  <c:v>306792.98966945545</c:v>
                </c:pt>
                <c:pt idx="885">
                  <c:v>307001.00449800136</c:v>
                </c:pt>
                <c:pt idx="886">
                  <c:v>307207.82249936735</c:v>
                </c:pt>
                <c:pt idx="887">
                  <c:v>307413.44440348115</c:v>
                </c:pt>
                <c:pt idx="888">
                  <c:v>307617.87093033618</c:v>
                </c:pt>
                <c:pt idx="889">
                  <c:v>307821.10279002663</c:v>
                </c:pt>
                <c:pt idx="890">
                  <c:v>308023.14068278146</c:v>
                </c:pt>
                <c:pt idx="891">
                  <c:v>308223.98529899865</c:v>
                </c:pt>
                <c:pt idx="892">
                  <c:v>308423.6373192785</c:v>
                </c:pt>
                <c:pt idx="893">
                  <c:v>308622.09741445631</c:v>
                </c:pt>
                <c:pt idx="894">
                  <c:v>308819.36624563503</c:v>
                </c:pt>
                <c:pt idx="895">
                  <c:v>309015.44446421717</c:v>
                </c:pt>
                <c:pt idx="896">
                  <c:v>309210.33271193609</c:v>
                </c:pt>
                <c:pt idx="897">
                  <c:v>309404.03162088722</c:v>
                </c:pt>
                <c:pt idx="898">
                  <c:v>309596.54181355826</c:v>
                </c:pt>
                <c:pt idx="899">
                  <c:v>309787.86390285951</c:v>
                </c:pt>
                <c:pt idx="900">
                  <c:v>309977.9984921533</c:v>
                </c:pt>
                <c:pt idx="901">
                  <c:v>310166.94617528317</c:v>
                </c:pt>
                <c:pt idx="902">
                  <c:v>310354.70753660239</c:v>
                </c:pt>
                <c:pt idx="903">
                  <c:v>310541.28315100237</c:v>
                </c:pt>
                <c:pt idx="904">
                  <c:v>310726.67358394025</c:v>
                </c:pt>
                <c:pt idx="905">
                  <c:v>310910.87939146633</c:v>
                </c:pt>
                <c:pt idx="906">
                  <c:v>311093.90112025081</c:v>
                </c:pt>
                <c:pt idx="907">
                  <c:v>311275.73930761026</c:v>
                </c:pt>
                <c:pt idx="908">
                  <c:v>311456.39448153361</c:v>
                </c:pt>
                <c:pt idx="909">
                  <c:v>311635.86716070771</c:v>
                </c:pt>
                <c:pt idx="910">
                  <c:v>311814.15785454237</c:v>
                </c:pt>
                <c:pt idx="911">
                  <c:v>311991.26706319524</c:v>
                </c:pt>
                <c:pt idx="912">
                  <c:v>312167.19527759578</c:v>
                </c:pt>
                <c:pt idx="913">
                  <c:v>312341.9429794692</c:v>
                </c:pt>
                <c:pt idx="914">
                  <c:v>312515.51064136002</c:v>
                </c:pt>
                <c:pt idx="915">
                  <c:v>312687.89872665482</c:v>
                </c:pt>
                <c:pt idx="916">
                  <c:v>312859.10768960492</c:v>
                </c:pt>
                <c:pt idx="917">
                  <c:v>313029.13797534868</c:v>
                </c:pt>
                <c:pt idx="918">
                  <c:v>313197.99001993291</c:v>
                </c:pt>
                <c:pt idx="919">
                  <c:v>313365.66425033461</c:v>
                </c:pt>
                <c:pt idx="920">
                  <c:v>313532.16108448146</c:v>
                </c:pt>
                <c:pt idx="921">
                  <c:v>313697.48093127261</c:v>
                </c:pt>
                <c:pt idx="922">
                  <c:v>313861.6241905989</c:v>
                </c:pt>
                <c:pt idx="923">
                  <c:v>314024.59125336236</c:v>
                </c:pt>
                <c:pt idx="924">
                  <c:v>314186.38250149548</c:v>
                </c:pt>
                <c:pt idx="925">
                  <c:v>314346.99830798042</c:v>
                </c:pt>
                <c:pt idx="926">
                  <c:v>314506.43903686735</c:v>
                </c:pt>
                <c:pt idx="927">
                  <c:v>314664.70504329255</c:v>
                </c:pt>
                <c:pt idx="928">
                  <c:v>314821.79667349637</c:v>
                </c:pt>
                <c:pt idx="929">
                  <c:v>314977.71426484024</c:v>
                </c:pt>
                <c:pt idx="930">
                  <c:v>315132.45814582397</c:v>
                </c:pt>
                <c:pt idx="931">
                  <c:v>315286.02863610233</c:v>
                </c:pt>
                <c:pt idx="932">
                  <c:v>315438.42604650097</c:v>
                </c:pt>
                <c:pt idx="933">
                  <c:v>315589.65067903249</c:v>
                </c:pt>
                <c:pt idx="934">
                  <c:v>315739.70282691187</c:v>
                </c:pt>
                <c:pt idx="935">
                  <c:v>315888.58277457149</c:v>
                </c:pt>
                <c:pt idx="936">
                  <c:v>316036.29079767584</c:v>
                </c:pt>
                <c:pt idx="937">
                  <c:v>316182.82716313575</c:v>
                </c:pt>
                <c:pt idx="938">
                  <c:v>316328.19212912256</c:v>
                </c:pt>
                <c:pt idx="939">
                  <c:v>316472.38594508148</c:v>
                </c:pt>
                <c:pt idx="940">
                  <c:v>316615.40885174496</c:v>
                </c:pt>
                <c:pt idx="941">
                  <c:v>316757.26108114532</c:v>
                </c:pt>
                <c:pt idx="942">
                  <c:v>316897.94285662752</c:v>
                </c:pt>
                <c:pt idx="943">
                  <c:v>317037.45439286105</c:v>
                </c:pt>
                <c:pt idx="944">
                  <c:v>317175.79589585174</c:v>
                </c:pt>
                <c:pt idx="945">
                  <c:v>317312.96756295313</c:v>
                </c:pt>
                <c:pt idx="946">
                  <c:v>317448.96958287759</c:v>
                </c:pt>
                <c:pt idx="947">
                  <c:v>317583.80213570682</c:v>
                </c:pt>
                <c:pt idx="948">
                  <c:v>317717.46539290226</c:v>
                </c:pt>
                <c:pt idx="949">
                  <c:v>317849.95951731509</c:v>
                </c:pt>
                <c:pt idx="950">
                  <c:v>317981.28466319561</c:v>
                </c:pt>
                <c:pt idx="951">
                  <c:v>318111.44097620272</c:v>
                </c:pt>
                <c:pt idx="952">
                  <c:v>318240.42859341274</c:v>
                </c:pt>
                <c:pt idx="953">
                  <c:v>318368.24764332781</c:v>
                </c:pt>
                <c:pt idx="954">
                  <c:v>318494.89824588411</c:v>
                </c:pt>
                <c:pt idx="955">
                  <c:v>318620.3805124599</c:v>
                </c:pt>
                <c:pt idx="956">
                  <c:v>318744.69454588275</c:v>
                </c:pt>
                <c:pt idx="957">
                  <c:v>318867.84044043667</c:v>
                </c:pt>
                <c:pt idx="958">
                  <c:v>318989.81828186911</c:v>
                </c:pt>
                <c:pt idx="959">
                  <c:v>319110.62814739719</c:v>
                </c:pt>
                <c:pt idx="960">
                  <c:v>319230.27010571375</c:v>
                </c:pt>
                <c:pt idx="961">
                  <c:v>319348.74421699322</c:v>
                </c:pt>
                <c:pt idx="962">
                  <c:v>319466.05053289706</c:v>
                </c:pt>
                <c:pt idx="963">
                  <c:v>319582.18909657869</c:v>
                </c:pt>
                <c:pt idx="964">
                  <c:v>319697.15994268807</c:v>
                </c:pt>
                <c:pt idx="965">
                  <c:v>319810.96309737634</c:v>
                </c:pt>
                <c:pt idx="966">
                  <c:v>319923.59857829974</c:v>
                </c:pt>
                <c:pt idx="967">
                  <c:v>320035.06639462314</c:v>
                </c:pt>
                <c:pt idx="968">
                  <c:v>320145.36654702347</c:v>
                </c:pt>
                <c:pt idx="969">
                  <c:v>320254.49902769289</c:v>
                </c:pt>
                <c:pt idx="970">
                  <c:v>320362.4638203411</c:v>
                </c:pt>
                <c:pt idx="971">
                  <c:v>320469.26090019784</c:v>
                </c:pt>
                <c:pt idx="972">
                  <c:v>320574.89023401489</c:v>
                </c:pt>
                <c:pt idx="973">
                  <c:v>320679.35178006761</c:v>
                </c:pt>
                <c:pt idx="974">
                  <c:v>320782.6454881563</c:v>
                </c:pt>
                <c:pt idx="975">
                  <c:v>320884.77129960706</c:v>
                </c:pt>
                <c:pt idx="976">
                  <c:v>320985.72914727253</c:v>
                </c:pt>
                <c:pt idx="977">
                  <c:v>321085.518955532</c:v>
                </c:pt>
                <c:pt idx="978">
                  <c:v>321184.14064029144</c:v>
                </c:pt>
                <c:pt idx="979">
                  <c:v>321281.59410898312</c:v>
                </c:pt>
                <c:pt idx="980">
                  <c:v>321377.87926056486</c:v>
                </c:pt>
                <c:pt idx="981">
                  <c:v>321472.99598551885</c:v>
                </c:pt>
                <c:pt idx="982">
                  <c:v>321566.94416585029</c:v>
                </c:pt>
                <c:pt idx="983">
                  <c:v>321659.72367508564</c:v>
                </c:pt>
                <c:pt idx="984">
                  <c:v>321751.33437827049</c:v>
                </c:pt>
                <c:pt idx="985">
                  <c:v>321841.77613196726</c:v>
                </c:pt>
                <c:pt idx="986">
                  <c:v>321931.0487842522</c:v>
                </c:pt>
                <c:pt idx="987">
                  <c:v>322019.15217471245</c:v>
                </c:pt>
                <c:pt idx="988">
                  <c:v>322106.08613444242</c:v>
                </c:pt>
                <c:pt idx="989">
                  <c:v>322191.85048604023</c:v>
                </c:pt>
                <c:pt idx="990">
                  <c:v>322276.44504360342</c:v>
                </c:pt>
                <c:pt idx="991">
                  <c:v>322359.86961272446</c:v>
                </c:pt>
                <c:pt idx="992">
                  <c:v>322442.12399048608</c:v>
                </c:pt>
                <c:pt idx="993">
                  <c:v>322523.20796545589</c:v>
                </c:pt>
                <c:pt idx="994">
                  <c:v>322603.12131768116</c:v>
                </c:pt>
                <c:pt idx="995">
                  <c:v>322681.86381868279</c:v>
                </c:pt>
                <c:pt idx="996">
                  <c:v>322759.43523144926</c:v>
                </c:pt>
                <c:pt idx="997">
                  <c:v>322835.83531043003</c:v>
                </c:pt>
                <c:pt idx="998">
                  <c:v>322911.06380152871</c:v>
                </c:pt>
                <c:pt idx="999">
                  <c:v>322985.12044209579</c:v>
                </c:pt>
                <c:pt idx="1000">
                  <c:v>323058.00496092136</c:v>
                </c:pt>
              </c:numCache>
            </c:numRef>
          </c:xVal>
          <c:yVal>
            <c:numRef>
              <c:f>Calculs!$X$6:$X$1006</c:f>
              <c:numCache>
                <c:formatCode>0.000</c:formatCode>
                <c:ptCount val="1001"/>
                <c:pt idx="0" formatCode="0">
                  <c:v>0</c:v>
                </c:pt>
                <c:pt idx="1">
                  <c:v>203.28646208806327</c:v>
                </c:pt>
                <c:pt idx="2">
                  <c:v>818.13493598587661</c:v>
                </c:pt>
                <c:pt idx="3">
                  <c:v>1863.6559014325958</c:v>
                </c:pt>
                <c:pt idx="4">
                  <c:v>3374.1183778560016</c:v>
                </c:pt>
                <c:pt idx="5">
                  <c:v>5388.1952022096611</c:v>
                </c:pt>
                <c:pt idx="6">
                  <c:v>7923.391182338376</c:v>
                </c:pt>
                <c:pt idx="7">
                  <c:v>10920.359341864738</c:v>
                </c:pt>
                <c:pt idx="8">
                  <c:v>14159.814634409866</c:v>
                </c:pt>
                <c:pt idx="9">
                  <c:v>17253.809917195529</c:v>
                </c:pt>
                <c:pt idx="10">
                  <c:v>19813.203588024291</c:v>
                </c:pt>
                <c:pt idx="11">
                  <c:v>21616.146998172459</c:v>
                </c:pt>
                <c:pt idx="12">
                  <c:v>22593.514804545273</c:v>
                </c:pt>
                <c:pt idx="13">
                  <c:v>22737.114320872639</c:v>
                </c:pt>
                <c:pt idx="14">
                  <c:v>22045.75005367825</c:v>
                </c:pt>
                <c:pt idx="15">
                  <c:v>20510.290379123126</c:v>
                </c:pt>
                <c:pt idx="16">
                  <c:v>18125.729496599775</c:v>
                </c:pt>
                <c:pt idx="17">
                  <c:v>14943.173392715129</c:v>
                </c:pt>
                <c:pt idx="18">
                  <c:v>11178.679041821182</c:v>
                </c:pt>
                <c:pt idx="19">
                  <c:v>7265.6698629774564</c:v>
                </c:pt>
                <c:pt idx="20">
                  <c:v>3640.8609580394232</c:v>
                </c:pt>
                <c:pt idx="21">
                  <c:v>489.04687714943844</c:v>
                </c:pt>
                <c:pt idx="22">
                  <c:v>-2226.2301738748388</c:v>
                </c:pt>
                <c:pt idx="23">
                  <c:v>-4621.498527056634</c:v>
                </c:pt>
                <c:pt idx="24">
                  <c:v>-6821.573393015542</c:v>
                </c:pt>
                <c:pt idx="25">
                  <c:v>-8928.3389995395137</c:v>
                </c:pt>
                <c:pt idx="26">
                  <c:v>-10997.718100834732</c:v>
                </c:pt>
                <c:pt idx="27">
                  <c:v>-13016.846940151587</c:v>
                </c:pt>
                <c:pt idx="28">
                  <c:v>-14887.226363585973</c:v>
                </c:pt>
                <c:pt idx="29">
                  <c:v>-16434.619309622536</c:v>
                </c:pt>
                <c:pt idx="30">
                  <c:v>-17462.370443813561</c:v>
                </c:pt>
                <c:pt idx="31">
                  <c:v>-17820.930815070966</c:v>
                </c:pt>
                <c:pt idx="32">
                  <c:v>-17442.735327070404</c:v>
                </c:pt>
                <c:pt idx="33">
                  <c:v>-16335.005920702997</c:v>
                </c:pt>
                <c:pt idx="34">
                  <c:v>-14559.533748503287</c:v>
                </c:pt>
                <c:pt idx="35">
                  <c:v>-12212.934107707753</c:v>
                </c:pt>
                <c:pt idx="36">
                  <c:v>-9398.7887687842504</c:v>
                </c:pt>
                <c:pt idx="37">
                  <c:v>-6189.7999121712537</c:v>
                </c:pt>
                <c:pt idx="38">
                  <c:v>-2601.5285898746347</c:v>
                </c:pt>
                <c:pt idx="39">
                  <c:v>1404.1251534411358</c:v>
                </c:pt>
                <c:pt idx="40">
                  <c:v>5892.7226908851135</c:v>
                </c:pt>
                <c:pt idx="41">
                  <c:v>10894.009180325418</c:v>
                </c:pt>
                <c:pt idx="42">
                  <c:v>16239.888561926624</c:v>
                </c:pt>
                <c:pt idx="43">
                  <c:v>21421.710122630342</c:v>
                </c:pt>
                <c:pt idx="44">
                  <c:v>25866.616497232637</c:v>
                </c:pt>
                <c:pt idx="45">
                  <c:v>29330.075271684618</c:v>
                </c:pt>
                <c:pt idx="46">
                  <c:v>31840.417076435919</c:v>
                </c:pt>
                <c:pt idx="47">
                  <c:v>33488.344745002018</c:v>
                </c:pt>
                <c:pt idx="48">
                  <c:v>34348.53241945945</c:v>
                </c:pt>
                <c:pt idx="49">
                  <c:v>34467.665985141874</c:v>
                </c:pt>
                <c:pt idx="50">
                  <c:v>33866.176907092427</c:v>
                </c:pt>
                <c:pt idx="51">
                  <c:v>32540.39360775665</c:v>
                </c:pt>
                <c:pt idx="52">
                  <c:v>30462.875125076571</c:v>
                </c:pt>
                <c:pt idx="53">
                  <c:v>27581.678263011523</c:v>
                </c:pt>
                <c:pt idx="54">
                  <c:v>23823.378159088024</c:v>
                </c:pt>
                <c:pt idx="55">
                  <c:v>19119.752962305061</c:v>
                </c:pt>
                <c:pt idx="56">
                  <c:v>13519.988099397751</c:v>
                </c:pt>
                <c:pt idx="57">
                  <c:v>7410.6501163878993</c:v>
                </c:pt>
                <c:pt idx="58">
                  <c:v>1419.7236415733018</c:v>
                </c:pt>
                <c:pt idx="59">
                  <c:v>-4085.9374525479316</c:v>
                </c:pt>
                <c:pt idx="60">
                  <c:v>-9110.3227808954543</c:v>
                </c:pt>
                <c:pt idx="61">
                  <c:v>-13753.736234596214</c:v>
                </c:pt>
                <c:pt idx="62">
                  <c:v>-18007.133151123177</c:v>
                </c:pt>
                <c:pt idx="63">
                  <c:v>-21665.672343282607</c:v>
                </c:pt>
                <c:pt idx="64">
                  <c:v>-24519.752457813185</c:v>
                </c:pt>
                <c:pt idx="65">
                  <c:v>-26535.664466984639</c:v>
                </c:pt>
                <c:pt idx="66">
                  <c:v>-27783.70361877948</c:v>
                </c:pt>
                <c:pt idx="67">
                  <c:v>-28341.342149015436</c:v>
                </c:pt>
                <c:pt idx="68">
                  <c:v>-28265.706341012301</c:v>
                </c:pt>
                <c:pt idx="69">
                  <c:v>-27592.45565066599</c:v>
                </c:pt>
                <c:pt idx="70">
                  <c:v>-26339.168541462222</c:v>
                </c:pt>
                <c:pt idx="71">
                  <c:v>-24508.671951444823</c:v>
                </c:pt>
                <c:pt idx="72">
                  <c:v>-22093.020546283366</c:v>
                </c:pt>
                <c:pt idx="73">
                  <c:v>-19082.462147203732</c:v>
                </c:pt>
                <c:pt idx="74">
                  <c:v>-15491.023809522014</c:v>
                </c:pt>
                <c:pt idx="75">
                  <c:v>-11414.581308572133</c:v>
                </c:pt>
                <c:pt idx="76">
                  <c:v>-7066.9125271245348</c:v>
                </c:pt>
                <c:pt idx="77">
                  <c:v>-2631.4324563300734</c:v>
                </c:pt>
                <c:pt idx="78">
                  <c:v>1923.9893896404412</c:v>
                </c:pt>
                <c:pt idx="79">
                  <c:v>6781.3531146247333</c:v>
                </c:pt>
                <c:pt idx="80">
                  <c:v>12072.58293223783</c:v>
                </c:pt>
                <c:pt idx="81">
                  <c:v>17606.256415601383</c:v>
                </c:pt>
                <c:pt idx="82">
                  <c:v>22797.575212912099</c:v>
                </c:pt>
                <c:pt idx="83">
                  <c:v>27209.100633033966</c:v>
                </c:pt>
                <c:pt idx="84">
                  <c:v>30836.318731298168</c:v>
                </c:pt>
                <c:pt idx="85">
                  <c:v>33818.729497649772</c:v>
                </c:pt>
                <c:pt idx="86">
                  <c:v>36277.076611277414</c:v>
                </c:pt>
                <c:pt idx="87">
                  <c:v>38297.316415394045</c:v>
                </c:pt>
                <c:pt idx="88">
                  <c:v>39939.741382976361</c:v>
                </c:pt>
                <c:pt idx="89">
                  <c:v>41247.350171295184</c:v>
                </c:pt>
                <c:pt idx="90">
                  <c:v>42251.348246556758</c:v>
                </c:pt>
                <c:pt idx="91">
                  <c:v>42974.607773241762</c:v>
                </c:pt>
                <c:pt idx="92">
                  <c:v>43433.858551129459</c:v>
                </c:pt>
                <c:pt idx="93">
                  <c:v>43641.092971154416</c:v>
                </c:pt>
                <c:pt idx="94">
                  <c:v>43604.467792994394</c:v>
                </c:pt>
                <c:pt idx="95">
                  <c:v>43328.866344872527</c:v>
                </c:pt>
                <c:pt idx="96">
                  <c:v>42816.214078227895</c:v>
                </c:pt>
                <c:pt idx="97">
                  <c:v>42065.596095159213</c:v>
                </c:pt>
                <c:pt idx="98">
                  <c:v>41073.194007926337</c:v>
                </c:pt>
                <c:pt idx="99">
                  <c:v>39832.032757850749</c:v>
                </c:pt>
                <c:pt idx="100">
                  <c:v>38331.49898410077</c:v>
                </c:pt>
                <c:pt idx="101">
                  <c:v>36556.553643212501</c:v>
                </c:pt>
                <c:pt idx="102">
                  <c:v>34486.502119217956</c:v>
                </c:pt>
                <c:pt idx="103">
                  <c:v>32093.088757401125</c:v>
                </c:pt>
                <c:pt idx="104">
                  <c:v>29337.53078555414</c:v>
                </c:pt>
                <c:pt idx="105">
                  <c:v>26165.924463924719</c:v>
                </c:pt>
                <c:pt idx="106">
                  <c:v>22502.661736356473</c:v>
                </c:pt>
                <c:pt idx="107">
                  <c:v>18245.350134400072</c:v>
                </c:pt>
                <c:pt idx="108">
                  <c:v>13294.330499481048</c:v>
                </c:pt>
                <c:pt idx="109">
                  <c:v>7762.6557465568076</c:v>
                </c:pt>
                <c:pt idx="110">
                  <c:v>2185.7427261724333</c:v>
                </c:pt>
                <c:pt idx="111">
                  <c:v>-2955.4373493769681</c:v>
                </c:pt>
                <c:pt idx="112">
                  <c:v>-7677.0215896906348</c:v>
                </c:pt>
                <c:pt idx="113">
                  <c:v>-12229.278045539633</c:v>
                </c:pt>
                <c:pt idx="114">
                  <c:v>-16671.747544172897</c:v>
                </c:pt>
                <c:pt idx="115">
                  <c:v>-20813.594533366584</c:v>
                </c:pt>
                <c:pt idx="116">
                  <c:v>-24533.915787791979</c:v>
                </c:pt>
                <c:pt idx="117">
                  <c:v>-27854.236737971871</c:v>
                </c:pt>
                <c:pt idx="118">
                  <c:v>-30825.898162229347</c:v>
                </c:pt>
                <c:pt idx="119">
                  <c:v>-33494.001092657709</c:v>
                </c:pt>
                <c:pt idx="120">
                  <c:v>-35893.668401982002</c:v>
                </c:pt>
                <c:pt idx="121">
                  <c:v>-38051.857545812323</c:v>
                </c:pt>
                <c:pt idx="122">
                  <c:v>-39989.426135544039</c:v>
                </c:pt>
                <c:pt idx="123">
                  <c:v>-41722.701953680582</c:v>
                </c:pt>
                <c:pt idx="124">
                  <c:v>-43264.593739672055</c:v>
                </c:pt>
                <c:pt idx="125">
                  <c:v>-44625.370110247859</c:v>
                </c:pt>
                <c:pt idx="126">
                  <c:v>-45813.210084422644</c:v>
                </c:pt>
                <c:pt idx="127">
                  <c:v>-46834.596474971899</c:v>
                </c:pt>
                <c:pt idx="128">
                  <c:v>-47694.599352373261</c:v>
                </c:pt>
                <c:pt idx="129">
                  <c:v>-48397.080682397107</c:v>
                </c:pt>
                <c:pt idx="130">
                  <c:v>-48944.840688481185</c:v>
                </c:pt>
                <c:pt idx="131">
                  <c:v>-49339.719512233831</c:v>
                </c:pt>
                <c:pt idx="132">
                  <c:v>-49582.663001061046</c:v>
                </c:pt>
                <c:pt idx="133">
                  <c:v>-49673.758076194761</c:v>
                </c:pt>
                <c:pt idx="134">
                  <c:v>-49612.240560776336</c:v>
                </c:pt>
                <c:pt idx="135">
                  <c:v>-49396.476181447666</c:v>
                </c:pt>
                <c:pt idx="136">
                  <c:v>-49023.913387783476</c:v>
                </c:pt>
                <c:pt idx="137">
                  <c:v>-48491.004368515343</c:v>
                </c:pt>
                <c:pt idx="138">
                  <c:v>-47793.087840244232</c:v>
                </c:pt>
                <c:pt idx="139">
                  <c:v>-46924.223369994637</c:v>
                </c:pt>
                <c:pt idx="140">
                  <c:v>-45876.961431355201</c:v>
                </c:pt>
                <c:pt idx="141">
                  <c:v>-44642.024852526913</c:v>
                </c:pt>
                <c:pt idx="142">
                  <c:v>-43207.863620273536</c:v>
                </c:pt>
                <c:pt idx="143">
                  <c:v>-41560.02215774764</c:v>
                </c:pt>
                <c:pt idx="144">
                  <c:v>-39680.218543445764</c:v>
                </c:pt>
                <c:pt idx="145">
                  <c:v>-37544.963508081724</c:v>
                </c:pt>
                <c:pt idx="146">
                  <c:v>-35123.412621399875</c:v>
                </c:pt>
                <c:pt idx="147">
                  <c:v>-32373.886339576009</c:v>
                </c:pt>
                <c:pt idx="148">
                  <c:v>-29238.008475013703</c:v>
                </c:pt>
                <c:pt idx="149">
                  <c:v>-25630.757248859132</c:v>
                </c:pt>
                <c:pt idx="150">
                  <c:v>-21426.447476268524</c:v>
                </c:pt>
                <c:pt idx="151">
                  <c:v>-16470.371289604234</c:v>
                </c:pt>
                <c:pt idx="152">
                  <c:v>-10783.084941093117</c:v>
                </c:pt>
                <c:pt idx="153">
                  <c:v>-4662.8441890915483</c:v>
                </c:pt>
                <c:pt idx="154">
                  <c:v>1774.2680936374406</c:v>
                </c:pt>
                <c:pt idx="155">
                  <c:v>8682.965962581191</c:v>
                </c:pt>
                <c:pt idx="156">
                  <c:v>16001.03908711413</c:v>
                </c:pt>
                <c:pt idx="157">
                  <c:v>23156.838478136244</c:v>
                </c:pt>
                <c:pt idx="158">
                  <c:v>29594.827362373057</c:v>
                </c:pt>
                <c:pt idx="159">
                  <c:v>35270.013405376099</c:v>
                </c:pt>
                <c:pt idx="160">
                  <c:v>40331.852027463668</c:v>
                </c:pt>
                <c:pt idx="161">
                  <c:v>44909.816233220758</c:v>
                </c:pt>
                <c:pt idx="162">
                  <c:v>49095.629207185986</c:v>
                </c:pt>
                <c:pt idx="163">
                  <c:v>52954.135016581095</c:v>
                </c:pt>
                <c:pt idx="164">
                  <c:v>56532.530246686991</c:v>
                </c:pt>
                <c:pt idx="165">
                  <c:v>59866.262691420328</c:v>
                </c:pt>
                <c:pt idx="166">
                  <c:v>62982.710149150327</c:v>
                </c:pt>
                <c:pt idx="167">
                  <c:v>65903.525485714563</c:v>
                </c:pt>
                <c:pt idx="168">
                  <c:v>68646.178907414025</c:v>
                </c:pt>
                <c:pt idx="169">
                  <c:v>71225.004428878179</c:v>
                </c:pt>
                <c:pt idx="170">
                  <c:v>73651.930575905964</c:v>
                </c:pt>
                <c:pt idx="171">
                  <c:v>75937.003830588408</c:v>
                </c:pt>
                <c:pt idx="172">
                  <c:v>78088.772191063705</c:v>
                </c:pt>
                <c:pt idx="173">
                  <c:v>80114.571901571602</c:v>
                </c:pt>
                <c:pt idx="174">
                  <c:v>82020.745615110456</c:v>
                </c:pt>
                <c:pt idx="175">
                  <c:v>83812.810999418929</c:v>
                </c:pt>
                <c:pt idx="176">
                  <c:v>85495.592860413046</c:v>
                </c:pt>
                <c:pt idx="177">
                  <c:v>87073.327956552923</c:v>
                </c:pt>
                <c:pt idx="178">
                  <c:v>88549.74905853589</c:v>
                </c:pt>
                <c:pt idx="179">
                  <c:v>89928.153014942436</c:v>
                </c:pt>
                <c:pt idx="180">
                  <c:v>91211.456333429262</c:v>
                </c:pt>
                <c:pt idx="181">
                  <c:v>92402.240899884011</c:v>
                </c:pt>
                <c:pt idx="182">
                  <c:v>93502.791819052873</c:v>
                </c:pt>
                <c:pt idx="183">
                  <c:v>94515.128893434405</c:v>
                </c:pt>
                <c:pt idx="184">
                  <c:v>95441.032911718532</c:v>
                </c:pt>
                <c:pt idx="185">
                  <c:v>96282.067659024746</c:v>
                </c:pt>
                <c:pt idx="186">
                  <c:v>97039.598364654245</c:v>
                </c:pt>
                <c:pt idx="187">
                  <c:v>97714.807152186753</c:v>
                </c:pt>
                <c:pt idx="188">
                  <c:v>98308.705939554988</c:v>
                </c:pt>
                <c:pt idx="189">
                  <c:v>98822.147144601273</c:v>
                </c:pt>
                <c:pt idx="190">
                  <c:v>99255.832478270182</c:v>
                </c:pt>
                <c:pt idx="191">
                  <c:v>99610.320048368012</c:v>
                </c:pt>
                <c:pt idx="192">
                  <c:v>99886.029948235315</c:v>
                </c:pt>
                <c:pt idx="193">
                  <c:v>100083.24846407177</c:v>
                </c:pt>
                <c:pt idx="194">
                  <c:v>100202.1309999552</c:v>
                </c:pt>
                <c:pt idx="195">
                  <c:v>100242.70378916098</c:v>
                </c:pt>
                <c:pt idx="196">
                  <c:v>100204.86443285841</c:v>
                </c:pt>
                <c:pt idx="197">
                  <c:v>100088.38128147788</c:v>
                </c:pt>
                <c:pt idx="198">
                  <c:v>99892.891648962235</c:v>
                </c:pt>
                <c:pt idx="199">
                  <c:v>99617.89882474333</c:v>
                </c:pt>
                <c:pt idx="200">
                  <c:v>99262.767821611487</c:v>
                </c:pt>
                <c:pt idx="201">
                  <c:v>98826.719768584298</c:v>
                </c:pt>
                <c:pt idx="202">
                  <c:v>98308.824825198142</c:v>
                </c:pt>
                <c:pt idx="203">
                  <c:v>97707.993455873599</c:v>
                </c:pt>
                <c:pt idx="204">
                  <c:v>97022.965858339929</c:v>
                </c:pt>
                <c:pt idx="205">
                  <c:v>96252.29928626187</c:v>
                </c:pt>
                <c:pt idx="206">
                  <c:v>95394.352940248282</c:v>
                </c:pt>
                <c:pt idx="207">
                  <c:v>94447.270019464253</c:v>
                </c:pt>
                <c:pt idx="208">
                  <c:v>93408.956422958479</c:v>
                </c:pt>
                <c:pt idx="209">
                  <c:v>92277.055458587405</c:v>
                </c:pt>
                <c:pt idx="210">
                  <c:v>91048.917748541542</c:v>
                </c:pt>
                <c:pt idx="211">
                  <c:v>89721.565300773422</c:v>
                </c:pt>
                <c:pt idx="212">
                  <c:v>88291.648426616768</c:v>
                </c:pt>
                <c:pt idx="213">
                  <c:v>86755.393800347214</c:v>
                </c:pt>
                <c:pt idx="214">
                  <c:v>85108.541438632717</c:v>
                </c:pt>
                <c:pt idx="215">
                  <c:v>83346.267671672133</c:v>
                </c:pt>
                <c:pt idx="216">
                  <c:v>81463.09020166751</c:v>
                </c:pt>
                <c:pt idx="217">
                  <c:v>79452.749975055718</c:v>
                </c:pt>
                <c:pt idx="218">
                  <c:v>77308.062643862519</c:v>
                </c:pt>
                <c:pt idx="219">
                  <c:v>75020.729563496265</c:v>
                </c:pt>
                <c:pt idx="220">
                  <c:v>72581.09409832205</c:v>
                </c:pt>
                <c:pt idx="221">
                  <c:v>69977.82271443597</c:v>
                </c:pt>
                <c:pt idx="222">
                  <c:v>67197.480649559919</c:v>
                </c:pt>
                <c:pt idx="223">
                  <c:v>64223.956672527536</c:v>
                </c:pt>
                <c:pt idx="224">
                  <c:v>61037.666746298499</c:v>
                </c:pt>
                <c:pt idx="225">
                  <c:v>57614.425437249105</c:v>
                </c:pt>
                <c:pt idx="226">
                  <c:v>53923.804261360579</c:v>
                </c:pt>
                <c:pt idx="227">
                  <c:v>49926.675575310946</c:v>
                </c:pt>
                <c:pt idx="228">
                  <c:v>45571.432386172011</c:v>
                </c:pt>
                <c:pt idx="229">
                  <c:v>40788.040091168965</c:v>
                </c:pt>
                <c:pt idx="230">
                  <c:v>35478.732390904865</c:v>
                </c:pt>
                <c:pt idx="231">
                  <c:v>29505.237692822189</c:v>
                </c:pt>
                <c:pt idx="232">
                  <c:v>22685.402625416045</c:v>
                </c:pt>
                <c:pt idx="233">
                  <c:v>14893.497634394938</c:v>
                </c:pt>
                <c:pt idx="234">
                  <c:v>6463.1875239652663</c:v>
                </c:pt>
                <c:pt idx="235">
                  <c:v>-1877.207558922579</c:v>
                </c:pt>
                <c:pt idx="236">
                  <c:v>-9787.7808638123188</c:v>
                </c:pt>
                <c:pt idx="237">
                  <c:v>-17352.064059363191</c:v>
                </c:pt>
                <c:pt idx="238">
                  <c:v>-24427.236367242913</c:v>
                </c:pt>
                <c:pt idx="239">
                  <c:v>-30778.920017896024</c:v>
                </c:pt>
                <c:pt idx="240">
                  <c:v>-36458.809243219563</c:v>
                </c:pt>
                <c:pt idx="241">
                  <c:v>-41627.334642204769</c:v>
                </c:pt>
                <c:pt idx="242">
                  <c:v>-46401.536928283844</c:v>
                </c:pt>
                <c:pt idx="243">
                  <c:v>-50859.308434470302</c:v>
                </c:pt>
                <c:pt idx="244">
                  <c:v>-55054.380666291821</c:v>
                </c:pt>
                <c:pt idx="245">
                  <c:v>-59025.56210810646</c:v>
                </c:pt>
                <c:pt idx="246">
                  <c:v>-62802.015207794117</c:v>
                </c:pt>
                <c:pt idx="247">
                  <c:v>-66406.370780448429</c:v>
                </c:pt>
                <c:pt idx="248">
                  <c:v>-69856.654989564966</c:v>
                </c:pt>
                <c:pt idx="249">
                  <c:v>-73167.536191338921</c:v>
                </c:pt>
                <c:pt idx="250">
                  <c:v>-76351.163876946855</c:v>
                </c:pt>
                <c:pt idx="251">
                  <c:v>-79417.752403015998</c:v>
                </c:pt>
                <c:pt idx="252">
                  <c:v>-82375.998973282651</c:v>
                </c:pt>
                <c:pt idx="253">
                  <c:v>-85233.390416872891</c:v>
                </c:pt>
                <c:pt idx="254">
                  <c:v>-87996.433216381847</c:v>
                </c:pt>
                <c:pt idx="255">
                  <c:v>-90670.829237453785</c:v>
                </c:pt>
                <c:pt idx="256">
                  <c:v>-93261.61219912066</c:v>
                </c:pt>
                <c:pt idx="257">
                  <c:v>-95773.255207505979</c:v>
                </c:pt>
                <c:pt idx="258">
                  <c:v>-98209.756593350452</c:v>
                </c:pt>
                <c:pt idx="259">
                  <c:v>-100574.7092312684</c:v>
                </c:pt>
                <c:pt idx="260">
                  <c:v>-102871.35710861186</c:v>
                </c:pt>
                <c:pt idx="261">
                  <c:v>-105102.64192913251</c:v>
                </c:pt>
                <c:pt idx="262">
                  <c:v>-107271.24183972938</c:v>
                </c:pt>
                <c:pt idx="263">
                  <c:v>-109379.60386645136</c:v>
                </c:pt>
                <c:pt idx="264">
                  <c:v>-111429.97127887665</c:v>
                </c:pt>
                <c:pt idx="265">
                  <c:v>-113424.40683010717</c:v>
                </c:pt>
                <c:pt idx="266">
                  <c:v>-115364.81261575618</c:v>
                </c:pt>
                <c:pt idx="267">
                  <c:v>-117252.94714072901</c:v>
                </c:pt>
                <c:pt idx="268">
                  <c:v>-119090.44006416309</c:v>
                </c:pt>
                <c:pt idx="269">
                  <c:v>-120878.80500127701</c:v>
                </c:pt>
                <c:pt idx="270">
                  <c:v>-122619.45068936818</c:v>
                </c:pt>
                <c:pt idx="271">
                  <c:v>-124313.69076891623</c:v>
                </c:pt>
                <c:pt idx="272">
                  <c:v>-125962.75238610373</c:v>
                </c:pt>
                <c:pt idx="273">
                  <c:v>-127567.78378739316</c:v>
                </c:pt>
                <c:pt idx="274">
                  <c:v>-129129.86104809832</c:v>
                </c:pt>
                <c:pt idx="275">
                  <c:v>-130649.99405364918</c:v>
                </c:pt>
                <c:pt idx="276">
                  <c:v>-132129.13183331612</c:v>
                </c:pt>
                <c:pt idx="277">
                  <c:v>-133568.16733064773</c:v>
                </c:pt>
                <c:pt idx="278">
                  <c:v>-134967.94168209669</c:v>
                </c:pt>
                <c:pt idx="279">
                  <c:v>-136329.24806472711</c:v>
                </c:pt>
                <c:pt idx="280">
                  <c:v>-137652.83516509199</c:v>
                </c:pt>
                <c:pt idx="281">
                  <c:v>-138939.41031400923</c:v>
                </c:pt>
                <c:pt idx="282">
                  <c:v>-140189.64232578539</c:v>
                </c:pt>
                <c:pt idx="283">
                  <c:v>-141404.16407522588</c:v>
                </c:pt>
                <c:pt idx="284">
                  <c:v>-142583.57484136004</c:v>
                </c:pt>
                <c:pt idx="285">
                  <c:v>-143728.44244306188</c:v>
                </c:pt>
                <c:pt idx="286">
                  <c:v>-144839.30518855105</c:v>
                </c:pt>
                <c:pt idx="287">
                  <c:v>-145916.67365802289</c:v>
                </c:pt>
                <c:pt idx="288">
                  <c:v>-146961.03233630865</c:v>
                </c:pt>
                <c:pt idx="289">
                  <c:v>-147972.84111044236</c:v>
                </c:pt>
                <c:pt idx="290">
                  <c:v>-148952.53664526349</c:v>
                </c:pt>
                <c:pt idx="291">
                  <c:v>-149900.53364866864</c:v>
                </c:pt>
                <c:pt idx="292">
                  <c:v>-150817.22603680898</c:v>
                </c:pt>
                <c:pt idx="293">
                  <c:v>-151702.98800838215</c:v>
                </c:pt>
                <c:pt idx="294">
                  <c:v>-152558.17503616406</c:v>
                </c:pt>
                <c:pt idx="295">
                  <c:v>-153383.12478304785</c:v>
                </c:pt>
                <c:pt idx="296">
                  <c:v>-154178.15794908471</c:v>
                </c:pt>
                <c:pt idx="297">
                  <c:v>-154943.57905534207</c:v>
                </c:pt>
                <c:pt idx="298">
                  <c:v>-155679.67716979492</c:v>
                </c:pt>
                <c:pt idx="299">
                  <c:v>-156386.72657993485</c:v>
                </c:pt>
                <c:pt idx="300">
                  <c:v>-157064.98741631169</c:v>
                </c:pt>
                <c:pt idx="301">
                  <c:v>-157714.70623080427</c:v>
                </c:pt>
                <c:pt idx="302">
                  <c:v>-158336.11653304426</c:v>
                </c:pt>
                <c:pt idx="303">
                  <c:v>-158929.43928808524</c:v>
                </c:pt>
                <c:pt idx="304">
                  <c:v>-159494.8833781115</c:v>
                </c:pt>
                <c:pt idx="305">
                  <c:v>-160032.64603071523</c:v>
                </c:pt>
                <c:pt idx="306">
                  <c:v>-160542.9132160306</c:v>
                </c:pt>
                <c:pt idx="307">
                  <c:v>-161025.86001479841</c:v>
                </c:pt>
                <c:pt idx="308">
                  <c:v>-161481.65095924007</c:v>
                </c:pt>
                <c:pt idx="309">
                  <c:v>-161910.44034844419</c:v>
                </c:pt>
                <c:pt idx="310">
                  <c:v>-162312.37253980915</c:v>
                </c:pt>
                <c:pt idx="311">
                  <c:v>-162687.58221794013</c:v>
                </c:pt>
                <c:pt idx="312">
                  <c:v>-163036.19464226734</c:v>
                </c:pt>
                <c:pt idx="313">
                  <c:v>-163358.32587453103</c:v>
                </c:pt>
                <c:pt idx="314">
                  <c:v>-163654.08298716834</c:v>
                </c:pt>
                <c:pt idx="315">
                  <c:v>-163923.5642535355</c:v>
                </c:pt>
                <c:pt idx="316">
                  <c:v>-164166.859320805</c:v>
                </c:pt>
                <c:pt idx="317">
                  <c:v>-164384.04936629048</c:v>
                </c:pt>
                <c:pt idx="318">
                  <c:v>-164575.20723787136</c:v>
                </c:pt>
                <c:pt idx="319">
                  <c:v>-164740.39757911421</c:v>
                </c:pt>
                <c:pt idx="320">
                  <c:v>-164879.67693961691</c:v>
                </c:pt>
                <c:pt idx="321">
                  <c:v>-164993.09387103558</c:v>
                </c:pt>
                <c:pt idx="322">
                  <c:v>-165080.68900919132</c:v>
                </c:pt>
                <c:pt idx="323">
                  <c:v>-165142.49514259369</c:v>
                </c:pt>
                <c:pt idx="324">
                  <c:v>-165178.53726766101</c:v>
                </c:pt>
                <c:pt idx="325">
                  <c:v>-165188.83263086196</c:v>
                </c:pt>
                <c:pt idx="326">
                  <c:v>-165173.39075794964</c:v>
                </c:pt>
                <c:pt idx="327">
                  <c:v>-165132.2134704073</c:v>
                </c:pt>
                <c:pt idx="328">
                  <c:v>-165065.29488917277</c:v>
                </c:pt>
                <c:pt idx="329">
                  <c:v>-164972.62142565913</c:v>
                </c:pt>
                <c:pt idx="330">
                  <c:v>-164854.17176003678</c:v>
                </c:pt>
                <c:pt idx="331">
                  <c:v>-164709.91680669278</c:v>
                </c:pt>
                <c:pt idx="332">
                  <c:v>-164539.81966673062</c:v>
                </c:pt>
                <c:pt idx="333">
                  <c:v>-164343.83556732131</c:v>
                </c:pt>
                <c:pt idx="334">
                  <c:v>-164121.91178766324</c:v>
                </c:pt>
                <c:pt idx="335">
                  <c:v>-163873.9875712519</c:v>
                </c:pt>
                <c:pt idx="336">
                  <c:v>-163599.99402410278</c:v>
                </c:pt>
                <c:pt idx="337">
                  <c:v>-163299.85399851025</c:v>
                </c:pt>
                <c:pt idx="338">
                  <c:v>-162973.48196186157</c:v>
                </c:pt>
                <c:pt idx="339">
                  <c:v>-162620.78384995682</c:v>
                </c:pt>
                <c:pt idx="340">
                  <c:v>-162241.65690421514</c:v>
                </c:pt>
                <c:pt idx="341">
                  <c:v>-161835.98949206964</c:v>
                </c:pt>
                <c:pt idx="342">
                  <c:v>-161403.66090977172</c:v>
                </c:pt>
                <c:pt idx="343">
                  <c:v>-160944.54116673709</c:v>
                </c:pt>
                <c:pt idx="344">
                  <c:v>-160458.49075046933</c:v>
                </c:pt>
                <c:pt idx="345">
                  <c:v>-159945.36037099315</c:v>
                </c:pt>
                <c:pt idx="346">
                  <c:v>-159404.99068361684</c:v>
                </c:pt>
                <c:pt idx="347">
                  <c:v>-158837.21198871857</c:v>
                </c:pt>
                <c:pt idx="348">
                  <c:v>-158241.84390711735</c:v>
                </c:pt>
                <c:pt idx="349">
                  <c:v>-157618.69502943975</c:v>
                </c:pt>
                <c:pt idx="350">
                  <c:v>-156967.56253773061</c:v>
                </c:pt>
                <c:pt idx="351">
                  <c:v>-156288.2317973754</c:v>
                </c:pt>
                <c:pt idx="352">
                  <c:v>-155580.47591720242</c:v>
                </c:pt>
                <c:pt idx="353">
                  <c:v>-154844.05527541178</c:v>
                </c:pt>
                <c:pt idx="354">
                  <c:v>-154078.71700873275</c:v>
                </c:pt>
                <c:pt idx="355">
                  <c:v>-153284.19446193712</c:v>
                </c:pt>
                <c:pt idx="356">
                  <c:v>-152460.20659453119</c:v>
                </c:pt>
                <c:pt idx="357">
                  <c:v>-151606.45734110824</c:v>
                </c:pt>
                <c:pt idx="358">
                  <c:v>-150722.63492145992</c:v>
                </c:pt>
                <c:pt idx="359">
                  <c:v>-149808.41109611656</c:v>
                </c:pt>
                <c:pt idx="360">
                  <c:v>-148863.44036250236</c:v>
                </c:pt>
                <c:pt idx="361">
                  <c:v>-147887.35908634661</c:v>
                </c:pt>
                <c:pt idx="362">
                  <c:v>-146879.78456237537</c:v>
                </c:pt>
                <c:pt idx="363">
                  <c:v>-145840.31399760974</c:v>
                </c:pt>
                <c:pt idx="364">
                  <c:v>-144768.52340980357</c:v>
                </c:pt>
                <c:pt idx="365">
                  <c:v>-143663.96643264958</c:v>
                </c:pt>
                <c:pt idx="366">
                  <c:v>-142526.17301835254</c:v>
                </c:pt>
                <c:pt idx="367">
                  <c:v>-141354.64802698721</c:v>
                </c:pt>
                <c:pt idx="368">
                  <c:v>-140148.86969070564</c:v>
                </c:pt>
                <c:pt idx="369">
                  <c:v>-138908.28793929963</c:v>
                </c:pt>
                <c:pt idx="370">
                  <c:v>-137632.32257182687</c:v>
                </c:pt>
                <c:pt idx="371">
                  <c:v>-136320.36125692914</c:v>
                </c:pt>
                <c:pt idx="372">
                  <c:v>-134971.75734205486</c:v>
                </c:pt>
                <c:pt idx="373">
                  <c:v>-133585.82744898615</c:v>
                </c:pt>
                <c:pt idx="374">
                  <c:v>-132161.84882978429</c:v>
                </c:pt>
                <c:pt idx="375">
                  <c:v>-130699.05645341295</c:v>
                </c:pt>
                <c:pt idx="376">
                  <c:v>-129196.63978876401</c:v>
                </c:pt>
                <c:pt idx="377">
                  <c:v>-127653.73924445311</c:v>
                </c:pt>
                <c:pt idx="378">
                  <c:v>-126069.4422193987</c:v>
                </c:pt>
                <c:pt idx="379">
                  <c:v>-124442.77871063018</c:v>
                </c:pt>
                <c:pt idx="380">
                  <c:v>-122772.71641571965</c:v>
                </c:pt>
                <c:pt idx="381">
                  <c:v>-121058.15525635269</c:v>
                </c:pt>
                <c:pt idx="382">
                  <c:v>-119297.92123641832</c:v>
                </c:pt>
                <c:pt idx="383">
                  <c:v>-117490.75953205336</c:v>
                </c:pt>
                <c:pt idx="384">
                  <c:v>-115635.32669161966</c:v>
                </c:pt>
                <c:pt idx="385">
                  <c:v>-113730.18179971135</c:v>
                </c:pt>
                <c:pt idx="386">
                  <c:v>-111773.77642980238</c:v>
                </c:pt>
                <c:pt idx="387">
                  <c:v>-109764.4431734981</c:v>
                </c:pt>
                <c:pt idx="388">
                  <c:v>-107700.38248850204</c:v>
                </c:pt>
                <c:pt idx="389">
                  <c:v>-105579.64754961364</c:v>
                </c:pt>
                <c:pt idx="390">
                  <c:v>-103400.12671365941</c:v>
                </c:pt>
                <c:pt idx="391">
                  <c:v>-101159.52311522712</c:v>
                </c:pt>
                <c:pt idx="392">
                  <c:v>-98855.330788548337</c:v>
                </c:pt>
                <c:pt idx="393">
                  <c:v>-96484.80655230867</c:v>
                </c:pt>
                <c:pt idx="394">
                  <c:v>-94044.936685110995</c:v>
                </c:pt>
                <c:pt idx="395">
                  <c:v>-91532.39714059759</c:v>
                </c:pt>
                <c:pt idx="396">
                  <c:v>-88943.505675092762</c:v>
                </c:pt>
                <c:pt idx="397">
                  <c:v>-86274.163746247374</c:v>
                </c:pt>
                <c:pt idx="398">
                  <c:v>-83519.785327508886</c:v>
                </c:pt>
                <c:pt idx="399">
                  <c:v>-80675.20877729154</c:v>
                </c:pt>
                <c:pt idx="400">
                  <c:v>-77734.586458814738</c:v>
                </c:pt>
                <c:pt idx="401">
                  <c:v>-74691.244696609589</c:v>
                </c:pt>
                <c:pt idx="402">
                  <c:v>-71537.503503492335</c:v>
                </c:pt>
                <c:pt idx="403">
                  <c:v>-68264.440688737915</c:v>
                </c:pt>
                <c:pt idx="404">
                  <c:v>-64861.577378601112</c:v>
                </c:pt>
                <c:pt idx="405">
                  <c:v>-61316.449705558276</c:v>
                </c:pt>
                <c:pt idx="406">
                  <c:v>-57614.010860928604</c:v>
                </c:pt>
                <c:pt idx="407">
                  <c:v>-53735.771930714684</c:v>
                </c:pt>
                <c:pt idx="408">
                  <c:v>-49658.525016217769</c:v>
                </c:pt>
                <c:pt idx="409">
                  <c:v>-45352.368909791803</c:v>
                </c:pt>
                <c:pt idx="410">
                  <c:v>-40777.513358158765</c:v>
                </c:pt>
                <c:pt idx="411">
                  <c:v>-35878.842474203077</c:v>
                </c:pt>
                <c:pt idx="412">
                  <c:v>-30576.286662905142</c:v>
                </c:pt>
                <c:pt idx="413">
                  <c:v>-24748.466245437026</c:v>
                </c:pt>
                <c:pt idx="414">
                  <c:v>-18221.398075829755</c:v>
                </c:pt>
                <c:pt idx="415">
                  <c:v>-10910.734821340993</c:v>
                </c:pt>
                <c:pt idx="416">
                  <c:v>-3103.4069516545906</c:v>
                </c:pt>
                <c:pt idx="417">
                  <c:v>4977.110694277636</c:v>
                </c:pt>
                <c:pt idx="418">
                  <c:v>13449.221489529946</c:v>
                </c:pt>
                <c:pt idx="419">
                  <c:v>22107.249856027407</c:v>
                </c:pt>
                <c:pt idx="420">
                  <c:v>30237.117516592523</c:v>
                </c:pt>
                <c:pt idx="421">
                  <c:v>37422.032036220255</c:v>
                </c:pt>
                <c:pt idx="422">
                  <c:v>43804.267535106366</c:v>
                </c:pt>
                <c:pt idx="423">
                  <c:v>49593.666295593554</c:v>
                </c:pt>
                <c:pt idx="424">
                  <c:v>54936.263981709431</c:v>
                </c:pt>
                <c:pt idx="425">
                  <c:v>59929.02310892284</c:v>
                </c:pt>
                <c:pt idx="426">
                  <c:v>64638.562499843487</c:v>
                </c:pt>
                <c:pt idx="427">
                  <c:v>69112.588592702697</c:v>
                </c:pt>
                <c:pt idx="428">
                  <c:v>73386.542294186554</c:v>
                </c:pt>
                <c:pt idx="429">
                  <c:v>77487.576002431728</c:v>
                </c:pt>
                <c:pt idx="430">
                  <c:v>81437.032215402229</c:v>
                </c:pt>
                <c:pt idx="431">
                  <c:v>85252.050587499893</c:v>
                </c:pt>
                <c:pt idx="432">
                  <c:v>88946.647434376689</c:v>
                </c:pt>
                <c:pt idx="433">
                  <c:v>92532.463681529844</c:v>
                </c:pt>
                <c:pt idx="434">
                  <c:v>96019.297272317024</c:v>
                </c:pt>
                <c:pt idx="435">
                  <c:v>99415.491193294525</c:v>
                </c:pt>
                <c:pt idx="436">
                  <c:v>102728.22218675145</c:v>
                </c:pt>
                <c:pt idx="437">
                  <c:v>105963.71953012884</c:v>
                </c:pt>
                <c:pt idx="438">
                  <c:v>109127.43353305392</c:v>
                </c:pt>
                <c:pt idx="439">
                  <c:v>112224.16720161415</c:v>
                </c:pt>
                <c:pt idx="440">
                  <c:v>115258.18046756463</c:v>
                </c:pt>
                <c:pt idx="441">
                  <c:v>118233.27367246026</c:v>
                </c:pt>
                <c:pt idx="442">
                  <c:v>121152.85515014213</c:v>
                </c:pt>
                <c:pt idx="443">
                  <c:v>124019.99646825276</c:v>
                </c:pt>
                <c:pt idx="444">
                  <c:v>126837.47798324563</c:v>
                </c:pt>
                <c:pt idx="445">
                  <c:v>129607.82671323325</c:v>
                </c:pt>
                <c:pt idx="446">
                  <c:v>132333.34805998742</c:v>
                </c:pt>
                <c:pt idx="447">
                  <c:v>135016.15256272739</c:v>
                </c:pt>
                <c:pt idx="448">
                  <c:v>137658.17860621671</c:v>
                </c:pt>
                <c:pt idx="449">
                  <c:v>140261.21180947602</c:v>
                </c:pt>
                <c:pt idx="450">
                  <c:v>142826.9016718787</c:v>
                </c:pt>
                <c:pt idx="451">
                  <c:v>145356.775938326</c:v>
                </c:pt>
                <c:pt idx="452">
                  <c:v>147852.25305586142</c:v>
                </c:pt>
                <c:pt idx="453">
                  <c:v>150314.6530241404</c:v>
                </c:pt>
                <c:pt idx="454">
                  <c:v>152745.20688698292</c:v>
                </c:pt>
                <c:pt idx="455">
                  <c:v>155145.06506836842</c:v>
                </c:pt>
                <c:pt idx="456">
                  <c:v>157515.30472112147</c:v>
                </c:pt>
                <c:pt idx="457">
                  <c:v>159856.93622825018</c:v>
                </c:pt>
                <c:pt idx="458">
                  <c:v>162170.90897397214</c:v>
                </c:pt>
                <c:pt idx="459">
                  <c:v>164458.11648276937</c:v>
                </c:pt>
                <c:pt idx="460">
                  <c:v>166719.40100948993</c:v>
                </c:pt>
                <c:pt idx="461">
                  <c:v>168955.5576508852</c:v>
                </c:pt>
                <c:pt idx="462">
                  <c:v>171167.33803851486</c:v>
                </c:pt>
                <c:pt idx="463">
                  <c:v>173355.45366424942</c:v>
                </c:pt>
                <c:pt idx="464">
                  <c:v>175520.5788823271</c:v>
                </c:pt>
                <c:pt idx="465">
                  <c:v>177663.35362581912</c:v>
                </c:pt>
                <c:pt idx="466">
                  <c:v>179784.38587021129</c:v>
                </c:pt>
                <c:pt idx="467">
                  <c:v>181884.25387245847</c:v>
                </c:pt>
                <c:pt idx="468">
                  <c:v>183963.50821017203</c:v>
                </c:pt>
                <c:pt idx="469">
                  <c:v>186022.67364245059</c:v>
                </c:pt>
                <c:pt idx="470">
                  <c:v>188062.25081117108</c:v>
                </c:pt>
                <c:pt idx="471">
                  <c:v>190082.71779924593</c:v>
                </c:pt>
                <c:pt idx="472">
                  <c:v>192084.53156036479</c:v>
                </c:pt>
                <c:pt idx="473">
                  <c:v>194068.12923302094</c:v>
                </c:pt>
                <c:pt idx="474">
                  <c:v>196033.92935013838</c:v>
                </c:pt>
                <c:pt idx="475">
                  <c:v>197982.33295432469</c:v>
                </c:pt>
                <c:pt idx="476">
                  <c:v>199913.72462765226</c:v>
                </c:pt>
                <c:pt idx="477">
                  <c:v>201828.47344389083</c:v>
                </c:pt>
                <c:pt idx="478">
                  <c:v>203726.93385025748</c:v>
                </c:pt>
                <c:pt idx="479">
                  <c:v>205609.44648499813</c:v>
                </c:pt>
                <c:pt idx="480">
                  <c:v>207476.33893645438</c:v>
                </c:pt>
                <c:pt idx="481">
                  <c:v>209327.92644868803</c:v>
                </c:pt>
                <c:pt idx="482">
                  <c:v>211164.51257822092</c:v>
                </c:pt>
                <c:pt idx="483">
                  <c:v>212986.38980599475</c:v>
                </c:pt>
                <c:pt idx="484">
                  <c:v>214793.84010825143</c:v>
                </c:pt>
                <c:pt idx="485">
                  <c:v>216587.13548967763</c:v>
                </c:pt>
                <c:pt idx="486">
                  <c:v>218366.53848183891</c:v>
                </c:pt>
                <c:pt idx="487">
                  <c:v>220132.30260964454</c:v>
                </c:pt>
                <c:pt idx="488">
                  <c:v>221884.6728283313</c:v>
                </c:pt>
                <c:pt idx="489">
                  <c:v>223623.88593322763</c:v>
                </c:pt>
                <c:pt idx="490">
                  <c:v>225350.17094435636</c:v>
                </c:pt>
                <c:pt idx="491">
                  <c:v>227063.74946775235</c:v>
                </c:pt>
                <c:pt idx="492">
                  <c:v>228764.83603520691</c:v>
                </c:pt>
                <c:pt idx="493">
                  <c:v>230453.63842400425</c:v>
                </c:pt>
                <c:pt idx="494">
                  <c:v>232130.35795808097</c:v>
                </c:pt>
                <c:pt idx="495">
                  <c:v>233795.18979192121</c:v>
                </c:pt>
                <c:pt idx="496">
                  <c:v>235448.32317838958</c:v>
                </c:pt>
                <c:pt idx="497">
                  <c:v>237089.94172160764</c:v>
                </c:pt>
                <c:pt idx="498">
                  <c:v>238720.22361588883</c:v>
                </c:pt>
                <c:pt idx="499">
                  <c:v>240339.34187166716</c:v>
                </c:pt>
                <c:pt idx="500">
                  <c:v>241947.46452928078</c:v>
                </c:pt>
                <c:pt idx="501">
                  <c:v>243544.7548614048</c:v>
                </c:pt>
                <c:pt idx="502">
                  <c:v>245131.37156486663</c:v>
                </c:pt>
                <c:pt idx="503">
                  <c:v>246707.46894252195</c:v>
                </c:pt>
                <c:pt idx="504">
                  <c:v>248273.19707581805</c:v>
                </c:pt>
                <c:pt idx="505">
                  <c:v>249828.70198862487</c:v>
                </c:pt>
                <c:pt idx="506">
                  <c:v>251374.12580287253</c:v>
                </c:pt>
                <c:pt idx="507">
                  <c:v>252909.60688649365</c:v>
                </c:pt>
                <c:pt idx="508">
                  <c:v>254435.27999413453</c:v>
                </c:pt>
                <c:pt idx="509">
                  <c:v>255951.27640106529</c:v>
                </c:pt>
                <c:pt idx="510">
                  <c:v>257457.72403068989</c:v>
                </c:pt>
                <c:pt idx="511">
                  <c:v>258954.74757602857</c:v>
                </c:pt>
                <c:pt idx="512">
                  <c:v>260442.46861552025</c:v>
                </c:pt>
                <c:pt idx="513">
                  <c:v>261921.00572346806</c:v>
                </c:pt>
                <c:pt idx="514">
                  <c:v>263390.47457543085</c:v>
                </c:pt>
                <c:pt idx="515">
                  <c:v>264850.98804884224</c:v>
                </c:pt>
                <c:pt idx="516">
                  <c:v>266302.65631912067</c:v>
                </c:pt>
                <c:pt idx="517">
                  <c:v>267745.58695151721</c:v>
                </c:pt>
                <c:pt idx="518">
                  <c:v>269179.8849889313</c:v>
                </c:pt>
                <c:pt idx="519">
                  <c:v>270605.65303591103</c:v>
                </c:pt>
                <c:pt idx="520">
                  <c:v>272022.99133903912</c:v>
                </c:pt>
                <c:pt idx="521">
                  <c:v>273431.99786389561</c:v>
                </c:pt>
                <c:pt idx="522">
                  <c:v>274832.76836877427</c:v>
                </c:pt>
                <c:pt idx="523">
                  <c:v>276225.39647532016</c:v>
                </c:pt>
                <c:pt idx="524">
                  <c:v>277609.97373624524</c:v>
                </c:pt>
                <c:pt idx="525">
                  <c:v>278986.58970026992</c:v>
                </c:pt>
                <c:pt idx="526">
                  <c:v>280355.33197442861</c:v>
                </c:pt>
                <c:pt idx="527">
                  <c:v>281716.28628387069</c:v>
                </c:pt>
                <c:pt idx="528">
                  <c:v>283069.53652927914</c:v>
                </c:pt>
                <c:pt idx="529">
                  <c:v>284415.16484202322</c:v>
                </c:pt>
                <c:pt idx="530">
                  <c:v>285753.25163715449</c:v>
                </c:pt>
                <c:pt idx="531">
                  <c:v>287083.87566434848</c:v>
                </c:pt>
                <c:pt idx="532">
                  <c:v>288407.11405689019</c:v>
                </c:pt>
                <c:pt idx="533">
                  <c:v>289723.04237879463</c:v>
                </c:pt>
                <c:pt idx="534">
                  <c:v>291031.73467014928</c:v>
                </c:pt>
                <c:pt idx="535">
                  <c:v>292333.2634907607</c:v>
                </c:pt>
                <c:pt idx="536">
                  <c:v>293627.6999621822</c:v>
                </c:pt>
                <c:pt idx="537">
                  <c:v>294915.11380819685</c:v>
                </c:pt>
                <c:pt idx="538">
                  <c:v>296195.57339382428</c:v>
                </c:pt>
                <c:pt idx="539">
                  <c:v>297469.14576291782</c:v>
                </c:pt>
                <c:pt idx="540">
                  <c:v>298735.89667441387</c:v>
                </c:pt>
                <c:pt idx="541">
                  <c:v>299995.89063729258</c:v>
                </c:pt>
                <c:pt idx="542">
                  <c:v>301249.19094430626</c:v>
                </c:pt>
                <c:pt idx="543">
                  <c:v>302495.85970452777</c:v>
                </c:pt>
                <c:pt idx="544">
                  <c:v>303735.95787477039</c:v>
                </c:pt>
                <c:pt idx="545">
                  <c:v>304969.54528992646</c:v>
                </c:pt>
                <c:pt idx="546">
                  <c:v>306196.68069227011</c:v>
                </c:pt>
                <c:pt idx="547">
                  <c:v>307417.4217597681</c:v>
                </c:pt>
                <c:pt idx="548">
                  <c:v>308631.82513343892</c:v>
                </c:pt>
                <c:pt idx="549">
                  <c:v>309839.94644380006</c:v>
                </c:pt>
                <c:pt idx="550">
                  <c:v>311041.84033644025</c:v>
                </c:pt>
                <c:pt idx="551">
                  <c:v>312237.56049675192</c:v>
                </c:pt>
                <c:pt idx="552">
                  <c:v>313427.15967385814</c:v>
                </c:pt>
                <c:pt idx="553">
                  <c:v>314610.68970376591</c:v>
                </c:pt>
                <c:pt idx="554">
                  <c:v>315788.20153177594</c:v>
                </c:pt>
                <c:pt idx="555">
                  <c:v>316959.74523417925</c:v>
                </c:pt>
                <c:pt idx="556">
                  <c:v>318125.370039267</c:v>
                </c:pt>
                <c:pt idx="557">
                  <c:v>319285.12434768135</c:v>
                </c:pt>
                <c:pt idx="558">
                  <c:v>320439.0557521318</c:v>
                </c:pt>
                <c:pt idx="559">
                  <c:v>321587.21105650195</c:v>
                </c:pt>
                <c:pt idx="560">
                  <c:v>322729.63629436895</c:v>
                </c:pt>
                <c:pt idx="561">
                  <c:v>323866.37674695859</c:v>
                </c:pt>
                <c:pt idx="562">
                  <c:v>324997.47696055635</c:v>
                </c:pt>
                <c:pt idx="563">
                  <c:v>326122.98076339526</c:v>
                </c:pt>
                <c:pt idx="564">
                  <c:v>327242.93128203903</c:v>
                </c:pt>
                <c:pt idx="565">
                  <c:v>328357.37095727975</c:v>
                </c:pt>
                <c:pt idx="566">
                  <c:v>329466.34155956731</c:v>
                </c:pt>
                <c:pt idx="567">
                  <c:v>330569.88420398731</c:v>
                </c:pt>
                <c:pt idx="568">
                  <c:v>331668.03936480422</c:v>
                </c:pt>
                <c:pt idx="569">
                  <c:v>332760.8468895845</c:v>
                </c:pt>
                <c:pt idx="570">
                  <c:v>333848.34601291531</c:v>
                </c:pt>
                <c:pt idx="571">
                  <c:v>334930.57536973216</c:v>
                </c:pt>
                <c:pt idx="572">
                  <c:v>336007.57300827006</c:v>
                </c:pt>
                <c:pt idx="573">
                  <c:v>337079.37640265044</c:v>
                </c:pt>
                <c:pt idx="574">
                  <c:v>338146.02246511675</c:v>
                </c:pt>
                <c:pt idx="575">
                  <c:v>339207.54755793069</c:v>
                </c:pt>
                <c:pt idx="576">
                  <c:v>340263.98750494083</c:v>
                </c:pt>
                <c:pt idx="577">
                  <c:v>341315.37760283396</c:v>
                </c:pt>
                <c:pt idx="578">
                  <c:v>342361.75263208098</c:v>
                </c:pt>
                <c:pt idx="579">
                  <c:v>343403.1468675863</c:v>
                </c:pt>
                <c:pt idx="580">
                  <c:v>344439.59408905124</c:v>
                </c:pt>
                <c:pt idx="581">
                  <c:v>345471.12759106106</c:v>
                </c:pt>
                <c:pt idx="582">
                  <c:v>346497.78019290388</c:v>
                </c:pt>
                <c:pt idx="583">
                  <c:v>347519.58424813102</c:v>
                </c:pt>
                <c:pt idx="584">
                  <c:v>348536.5716538665</c:v>
                </c:pt>
                <c:pt idx="585">
                  <c:v>349548.77385987423</c:v>
                </c:pt>
                <c:pt idx="586">
                  <c:v>350556.22187739011</c:v>
                </c:pt>
                <c:pt idx="587">
                  <c:v>351558.94628772739</c:v>
                </c:pt>
                <c:pt idx="588">
                  <c:v>352556.97725066118</c:v>
                </c:pt>
                <c:pt idx="589">
                  <c:v>353550.34451260004</c:v>
                </c:pt>
                <c:pt idx="590">
                  <c:v>354539.07741455123</c:v>
                </c:pt>
                <c:pt idx="591">
                  <c:v>355523.20489988505</c:v>
                </c:pt>
                <c:pt idx="592">
                  <c:v>356502.75552190602</c:v>
                </c:pt>
                <c:pt idx="593">
                  <c:v>357477.75745123532</c:v>
                </c:pt>
                <c:pt idx="594">
                  <c:v>358448.23848301102</c:v>
                </c:pt>
                <c:pt idx="595">
                  <c:v>359414.22604391177</c:v>
                </c:pt>
                <c:pt idx="596">
                  <c:v>360375.74719900859</c:v>
                </c:pt>
                <c:pt idx="597">
                  <c:v>361332.82865845045</c:v>
                </c:pt>
                <c:pt idx="598">
                  <c:v>362285.49678398861</c:v>
                </c:pt>
                <c:pt idx="599">
                  <c:v>363233.77759534394</c:v>
                </c:pt>
                <c:pt idx="600">
                  <c:v>364177.69677642256</c:v>
                </c:pt>
                <c:pt idx="601">
                  <c:v>365117.27968138363</c:v>
                </c:pt>
                <c:pt idx="602">
                  <c:v>366052.5513405641</c:v>
                </c:pt>
                <c:pt idx="603">
                  <c:v>366983.53646626411</c:v>
                </c:pt>
                <c:pt idx="604">
                  <c:v>367910.2594583974</c:v>
                </c:pt>
                <c:pt idx="605">
                  <c:v>368832.74441001052</c:v>
                </c:pt>
                <c:pt idx="606">
                  <c:v>369751.01511267433</c:v>
                </c:pt>
                <c:pt idx="607">
                  <c:v>370665.09506175155</c:v>
                </c:pt>
                <c:pt idx="608">
                  <c:v>371575.0074615443</c:v>
                </c:pt>
                <c:pt idx="609">
                  <c:v>372480.7752303243</c:v>
                </c:pt>
                <c:pt idx="610">
                  <c:v>373382.42100524908</c:v>
                </c:pt>
                <c:pt idx="611">
                  <c:v>374279.96714716824</c:v>
                </c:pt>
                <c:pt idx="612">
                  <c:v>375173.43574532139</c:v>
                </c:pt>
                <c:pt idx="613">
                  <c:v>376062.84862193209</c:v>
                </c:pt>
                <c:pt idx="614">
                  <c:v>376948.22733669943</c:v>
                </c:pt>
                <c:pt idx="615">
                  <c:v>377829.59319119132</c:v>
                </c:pt>
                <c:pt idx="616">
                  <c:v>378706.96723314095</c:v>
                </c:pt>
                <c:pt idx="617">
                  <c:v>379580.37026064959</c:v>
                </c:pt>
                <c:pt idx="618">
                  <c:v>380449.82282629836</c:v>
                </c:pt>
                <c:pt idx="619">
                  <c:v>381315.34524117113</c:v>
                </c:pt>
                <c:pt idx="620">
                  <c:v>382176.95757879084</c:v>
                </c:pt>
                <c:pt idx="621">
                  <c:v>383034.67967897182</c:v>
                </c:pt>
                <c:pt idx="622">
                  <c:v>383888.53115159017</c:v>
                </c:pt>
                <c:pt idx="623">
                  <c:v>384738.53138027422</c:v>
                </c:pt>
                <c:pt idx="624">
                  <c:v>385584.69952601724</c:v>
                </c:pt>
                <c:pt idx="625">
                  <c:v>386427.05453071446</c:v>
                </c:pt>
                <c:pt idx="626">
                  <c:v>387265.61512062646</c:v>
                </c:pt>
                <c:pt idx="627">
                  <c:v>388100.39980977023</c:v>
                </c:pt>
                <c:pt idx="628">
                  <c:v>388931.42690324073</c:v>
                </c:pt>
                <c:pt idx="629">
                  <c:v>389758.71450046368</c:v>
                </c:pt>
                <c:pt idx="630">
                  <c:v>390582.28049838194</c:v>
                </c:pt>
                <c:pt idx="631">
                  <c:v>391402.14259457693</c:v>
                </c:pt>
                <c:pt idx="632">
                  <c:v>392218.31829032715</c:v>
                </c:pt>
                <c:pt idx="633">
                  <c:v>393030.82489360432</c:v>
                </c:pt>
                <c:pt idx="634">
                  <c:v>393839.67952200992</c:v>
                </c:pt>
                <c:pt idx="635">
                  <c:v>394644.8991056527</c:v>
                </c:pt>
                <c:pt idx="636">
                  <c:v>395446.50038996915</c:v>
                </c:pt>
                <c:pt idx="637">
                  <c:v>396244.49993848783</c:v>
                </c:pt>
                <c:pt idx="638">
                  <c:v>397038.91413553944</c:v>
                </c:pt>
                <c:pt idx="639">
                  <c:v>397829.75918891368</c:v>
                </c:pt>
                <c:pt idx="640">
                  <c:v>398617.05113246397</c:v>
                </c:pt>
                <c:pt idx="641">
                  <c:v>399400.80582866195</c:v>
                </c:pt>
                <c:pt idx="642">
                  <c:v>400181.03897110187</c:v>
                </c:pt>
                <c:pt idx="643">
                  <c:v>400957.76608695736</c:v>
                </c:pt>
                <c:pt idx="644">
                  <c:v>401731.00253939064</c:v>
                </c:pt>
                <c:pt idx="645">
                  <c:v>402500.76352991589</c:v>
                </c:pt>
                <c:pt idx="646">
                  <c:v>403267.06410071749</c:v>
                </c:pt>
                <c:pt idx="647">
                  <c:v>404029.91913692455</c:v>
                </c:pt>
                <c:pt idx="648">
                  <c:v>404789.34336884227</c:v>
                </c:pt>
                <c:pt idx="649">
                  <c:v>405545.35137414187</c:v>
                </c:pt>
                <c:pt idx="650">
                  <c:v>406297.95758000913</c:v>
                </c:pt>
                <c:pt idx="651">
                  <c:v>407047.1762652531</c:v>
                </c:pt>
                <c:pt idx="652">
                  <c:v>407793.02156237577</c:v>
                </c:pt>
                <c:pt idx="653">
                  <c:v>408535.50745960342</c:v>
                </c:pt>
                <c:pt idx="654">
                  <c:v>409274.64780288091</c:v>
                </c:pt>
                <c:pt idx="655">
                  <c:v>410010.45629782905</c:v>
                </c:pt>
                <c:pt idx="656">
                  <c:v>410742.94651166676</c:v>
                </c:pt>
                <c:pt idx="657">
                  <c:v>411472.13187509798</c:v>
                </c:pt>
                <c:pt idx="658">
                  <c:v>412198.02568416455</c:v>
                </c:pt>
                <c:pt idx="659">
                  <c:v>412920.64110206609</c:v>
                </c:pt>
                <c:pt idx="660">
                  <c:v>413639.99116094672</c:v>
                </c:pt>
                <c:pt idx="661">
                  <c:v>414356.08876365027</c:v>
                </c:pt>
                <c:pt idx="662">
                  <c:v>415068.9466854441</c:v>
                </c:pt>
                <c:pt idx="663">
                  <c:v>415778.57757571252</c:v>
                </c:pt>
                <c:pt idx="664">
                  <c:v>416484.99395962042</c:v>
                </c:pt>
                <c:pt idx="665">
                  <c:v>417188.20823974739</c:v>
                </c:pt>
                <c:pt idx="666">
                  <c:v>417888.23269769334</c:v>
                </c:pt>
                <c:pt idx="667">
                  <c:v>418585.07949565654</c:v>
                </c:pt>
                <c:pt idx="668">
                  <c:v>419278.76067798375</c:v>
                </c:pt>
                <c:pt idx="669">
                  <c:v>419969.28817269386</c:v>
                </c:pt>
                <c:pt idx="670">
                  <c:v>420656.67379297508</c:v>
                </c:pt>
                <c:pt idx="671">
                  <c:v>421340.92923865677</c:v>
                </c:pt>
                <c:pt idx="672">
                  <c:v>422022.06609765592</c:v>
                </c:pt>
                <c:pt idx="673">
                  <c:v>422700.09584739897</c:v>
                </c:pt>
                <c:pt idx="674">
                  <c:v>423375.0298562196</c:v>
                </c:pt>
                <c:pt idx="675">
                  <c:v>424046.87938473281</c:v>
                </c:pt>
                <c:pt idx="676">
                  <c:v>424715.65558718634</c:v>
                </c:pt>
                <c:pt idx="677">
                  <c:v>425381.36951278872</c:v>
                </c:pt>
                <c:pt idx="678">
                  <c:v>426044.03210701572</c:v>
                </c:pt>
                <c:pt idx="679">
                  <c:v>426703.65421289497</c:v>
                </c:pt>
                <c:pt idx="680">
                  <c:v>427360.24657226895</c:v>
                </c:pt>
                <c:pt idx="681">
                  <c:v>428013.81982703751</c:v>
                </c:pt>
                <c:pt idx="682">
                  <c:v>428664.38452038</c:v>
                </c:pt>
                <c:pt idx="683">
                  <c:v>429311.95109795692</c:v>
                </c:pt>
                <c:pt idx="684">
                  <c:v>429956.52990909253</c:v>
                </c:pt>
                <c:pt idx="685">
                  <c:v>430598.13120793767</c:v>
                </c:pt>
                <c:pt idx="686">
                  <c:v>431236.76515461423</c:v>
                </c:pt>
                <c:pt idx="687">
                  <c:v>431872.44181634084</c:v>
                </c:pt>
                <c:pt idx="688">
                  <c:v>432505.1711685406</c:v>
                </c:pt>
                <c:pt idx="689">
                  <c:v>433134.96309593081</c:v>
                </c:pt>
                <c:pt idx="690">
                  <c:v>433761.82739359571</c:v>
                </c:pt>
                <c:pt idx="691">
                  <c:v>434385.77376804169</c:v>
                </c:pt>
                <c:pt idx="692">
                  <c:v>435006.81183823629</c:v>
                </c:pt>
                <c:pt idx="693">
                  <c:v>435624.95113663009</c:v>
                </c:pt>
                <c:pt idx="694">
                  <c:v>436240.20111016324</c:v>
                </c:pt>
                <c:pt idx="695">
                  <c:v>436852.57112125558</c:v>
                </c:pt>
                <c:pt idx="696">
                  <c:v>437462.07044878189</c:v>
                </c:pt>
                <c:pt idx="697">
                  <c:v>438068.70828903129</c:v>
                </c:pt>
                <c:pt idx="698">
                  <c:v>438672.49375665223</c:v>
                </c:pt>
                <c:pt idx="699">
                  <c:v>439273.43588558253</c:v>
                </c:pt>
                <c:pt idx="700">
                  <c:v>439871.54362996551</c:v>
                </c:pt>
                <c:pt idx="701">
                  <c:v>440466.82586505148</c:v>
                </c:pt>
                <c:pt idx="702">
                  <c:v>441059.29138808593</c:v>
                </c:pt>
                <c:pt idx="703">
                  <c:v>441648.94891918375</c:v>
                </c:pt>
                <c:pt idx="704">
                  <c:v>442235.80710219039</c:v>
                </c:pt>
                <c:pt idx="705">
                  <c:v>442819.87450553</c:v>
                </c:pt>
                <c:pt idx="706">
                  <c:v>443401.15962304053</c:v>
                </c:pt>
                <c:pt idx="707">
                  <c:v>443979.67087479652</c:v>
                </c:pt>
                <c:pt idx="708">
                  <c:v>444555.41660791921</c:v>
                </c:pt>
                <c:pt idx="709">
                  <c:v>445128.40509737493</c:v>
                </c:pt>
                <c:pt idx="710">
                  <c:v>445698.64454676112</c:v>
                </c:pt>
                <c:pt idx="711">
                  <c:v>446266.14308908116</c:v>
                </c:pt>
                <c:pt idx="712">
                  <c:v>446830.90878750721</c:v>
                </c:pt>
                <c:pt idx="713">
                  <c:v>447392.9496361324</c:v>
                </c:pt>
                <c:pt idx="714">
                  <c:v>447952.27356071112</c:v>
                </c:pt>
                <c:pt idx="715">
                  <c:v>448508.88841938932</c:v>
                </c:pt>
                <c:pt idx="716">
                  <c:v>449062.80200342333</c:v>
                </c:pt>
                <c:pt idx="717">
                  <c:v>449614.02203788905</c:v>
                </c:pt>
                <c:pt idx="718">
                  <c:v>450162.55618237983</c:v>
                </c:pt>
                <c:pt idx="719">
                  <c:v>450708.41203169519</c:v>
                </c:pt>
                <c:pt idx="720">
                  <c:v>451251.59711651882</c:v>
                </c:pt>
                <c:pt idx="721">
                  <c:v>451792.11890408752</c:v>
                </c:pt>
                <c:pt idx="722">
                  <c:v>452329.98479884979</c:v>
                </c:pt>
                <c:pt idx="723">
                  <c:v>452865.20214311563</c:v>
                </c:pt>
                <c:pt idx="724">
                  <c:v>453397.77821769676</c:v>
                </c:pt>
                <c:pt idx="725">
                  <c:v>453927.72024253762</c:v>
                </c:pt>
                <c:pt idx="726">
                  <c:v>454455.03537733771</c:v>
                </c:pt>
                <c:pt idx="727">
                  <c:v>454979.73072216491</c:v>
                </c:pt>
                <c:pt idx="728">
                  <c:v>455501.81331806042</c:v>
                </c:pt>
                <c:pt idx="729">
                  <c:v>456021.29014763475</c:v>
                </c:pt>
                <c:pt idx="730">
                  <c:v>456538.16813565564</c:v>
                </c:pt>
                <c:pt idx="731">
                  <c:v>457052.454149628</c:v>
                </c:pt>
                <c:pt idx="732">
                  <c:v>457564.15500036511</c:v>
                </c:pt>
                <c:pt idx="733">
                  <c:v>458073.27744255256</c:v>
                </c:pt>
                <c:pt idx="734">
                  <c:v>458579.82817530382</c:v>
                </c:pt>
                <c:pt idx="735">
                  <c:v>459083.81384270871</c:v>
                </c:pt>
                <c:pt idx="736">
                  <c:v>459585.24103437376</c:v>
                </c:pt>
                <c:pt idx="737">
                  <c:v>460084.11628595548</c:v>
                </c:pt>
                <c:pt idx="738">
                  <c:v>460580.44607968611</c:v>
                </c:pt>
                <c:pt idx="739">
                  <c:v>461074.2368448925</c:v>
                </c:pt>
                <c:pt idx="740">
                  <c:v>461565.49495850754</c:v>
                </c:pt>
                <c:pt idx="741">
                  <c:v>462054.22674557491</c:v>
                </c:pt>
                <c:pt idx="742">
                  <c:v>462540.43847974687</c:v>
                </c:pt>
                <c:pt idx="743">
                  <c:v>463024.13638377545</c:v>
                </c:pt>
                <c:pt idx="744">
                  <c:v>463505.32662999677</c:v>
                </c:pt>
                <c:pt idx="745">
                  <c:v>463984.01534080907</c:v>
                </c:pt>
                <c:pt idx="746">
                  <c:v>464460.20858914434</c:v>
                </c:pt>
                <c:pt idx="747">
                  <c:v>464933.91239893355</c:v>
                </c:pt>
                <c:pt idx="748">
                  <c:v>465405.13274556556</c:v>
                </c:pt>
                <c:pt idx="749">
                  <c:v>465873.87555634027</c:v>
                </c:pt>
                <c:pt idx="750">
                  <c:v>466340.14671091543</c:v>
                </c:pt>
                <c:pt idx="751">
                  <c:v>466803.95204174775</c:v>
                </c:pt>
                <c:pt idx="752">
                  <c:v>467265.297334528</c:v>
                </c:pt>
                <c:pt idx="753">
                  <c:v>467724.18832861056</c:v>
                </c:pt>
                <c:pt idx="754">
                  <c:v>468180.63071743731</c:v>
                </c:pt>
                <c:pt idx="755">
                  <c:v>468634.63014895574</c:v>
                </c:pt>
                <c:pt idx="756">
                  <c:v>469086.19222603197</c:v>
                </c:pt>
                <c:pt idx="757">
                  <c:v>469535.32250685809</c:v>
                </c:pt>
                <c:pt idx="758">
                  <c:v>469982.02650535438</c:v>
                </c:pt>
                <c:pt idx="759">
                  <c:v>470426.30969156622</c:v>
                </c:pt>
                <c:pt idx="760">
                  <c:v>470868.17749205581</c:v>
                </c:pt>
                <c:pt idx="761">
                  <c:v>471307.63529028906</c:v>
                </c:pt>
                <c:pt idx="762">
                  <c:v>471744.68842701724</c:v>
                </c:pt>
                <c:pt idx="763">
                  <c:v>472179.3422006538</c:v>
                </c:pt>
                <c:pt idx="764">
                  <c:v>472611.60186764662</c:v>
                </c:pt>
                <c:pt idx="765">
                  <c:v>473041.47264284512</c:v>
                </c:pt>
                <c:pt idx="766">
                  <c:v>473468.95969986299</c:v>
                </c:pt>
                <c:pt idx="767">
                  <c:v>473894.06817143597</c:v>
                </c:pt>
                <c:pt idx="768">
                  <c:v>474316.80314977543</c:v>
                </c:pt>
                <c:pt idx="769">
                  <c:v>474737.16968691739</c:v>
                </c:pt>
                <c:pt idx="770">
                  <c:v>475155.1727950669</c:v>
                </c:pt>
                <c:pt idx="771">
                  <c:v>475570.81744693848</c:v>
                </c:pt>
                <c:pt idx="772">
                  <c:v>475984.10857609176</c:v>
                </c:pt>
                <c:pt idx="773">
                  <c:v>476395.05107726355</c:v>
                </c:pt>
                <c:pt idx="774">
                  <c:v>476803.649806695</c:v>
                </c:pt>
                <c:pt idx="775">
                  <c:v>477209.90958245547</c:v>
                </c:pt>
                <c:pt idx="776">
                  <c:v>477613.83518476161</c:v>
                </c:pt>
                <c:pt idx="777">
                  <c:v>478015.43135629303</c:v>
                </c:pt>
                <c:pt idx="778">
                  <c:v>478414.70280250377</c:v>
                </c:pt>
                <c:pt idx="779">
                  <c:v>478811.65419192996</c:v>
                </c:pt>
                <c:pt idx="780">
                  <c:v>479206.29015649372</c:v>
                </c:pt>
                <c:pt idx="781">
                  <c:v>479598.61529180332</c:v>
                </c:pt>
                <c:pt idx="782">
                  <c:v>479988.63415744941</c:v>
                </c:pt>
                <c:pt idx="783">
                  <c:v>480376.35127729806</c:v>
                </c:pt>
                <c:pt idx="784">
                  <c:v>480761.77113977971</c:v>
                </c:pt>
                <c:pt idx="785">
                  <c:v>481144.89819817507</c:v>
                </c:pt>
                <c:pt idx="786">
                  <c:v>481525.736870897</c:v>
                </c:pt>
                <c:pt idx="787">
                  <c:v>481904.29154176929</c:v>
                </c:pt>
                <c:pt idx="788">
                  <c:v>482280.56656030216</c:v>
                </c:pt>
                <c:pt idx="789">
                  <c:v>482654.56624196406</c:v>
                </c:pt>
                <c:pt idx="790">
                  <c:v>483026.29486845026</c:v>
                </c:pt>
                <c:pt idx="791">
                  <c:v>483395.75668794854</c:v>
                </c:pt>
                <c:pt idx="792">
                  <c:v>483762.95591540111</c:v>
                </c:pt>
                <c:pt idx="793">
                  <c:v>484127.89673276374</c:v>
                </c:pt>
                <c:pt idx="794">
                  <c:v>484490.58328926179</c:v>
                </c:pt>
                <c:pt idx="795">
                  <c:v>484851.01970164292</c:v>
                </c:pt>
                <c:pt idx="796">
                  <c:v>485209.21005442692</c:v>
                </c:pt>
                <c:pt idx="797">
                  <c:v>485565.15840015269</c:v>
                </c:pt>
                <c:pt idx="798">
                  <c:v>485918.86875962175</c:v>
                </c:pt>
                <c:pt idx="799">
                  <c:v>486270.34512213949</c:v>
                </c:pt>
                <c:pt idx="800">
                  <c:v>486619.59144575312</c:v>
                </c:pt>
                <c:pt idx="801">
                  <c:v>486966.611657487</c:v>
                </c:pt>
                <c:pt idx="802">
                  <c:v>487311.40965357481</c:v>
                </c:pt>
                <c:pt idx="803">
                  <c:v>487653.98929968965</c:v>
                </c:pt>
                <c:pt idx="804">
                  <c:v>487994.35443117062</c:v>
                </c:pt>
                <c:pt idx="805">
                  <c:v>488332.50885324716</c:v>
                </c:pt>
                <c:pt idx="806">
                  <c:v>488668.45634126087</c:v>
                </c:pt>
                <c:pt idx="807">
                  <c:v>489002.20064088429</c:v>
                </c:pt>
                <c:pt idx="808">
                  <c:v>489333.74546833744</c:v>
                </c:pt>
                <c:pt idx="809">
                  <c:v>489663.0945106016</c:v>
                </c:pt>
                <c:pt idx="810">
                  <c:v>489990.25142563082</c:v>
                </c:pt>
                <c:pt idx="811">
                  <c:v>490315.21984256053</c:v>
                </c:pt>
                <c:pt idx="812">
                  <c:v>490638.00336191413</c:v>
                </c:pt>
                <c:pt idx="813">
                  <c:v>490958.60555580712</c:v>
                </c:pt>
                <c:pt idx="814">
                  <c:v>491277.02996814845</c:v>
                </c:pt>
                <c:pt idx="815">
                  <c:v>491593.2801148399</c:v>
                </c:pt>
                <c:pt idx="816">
                  <c:v>491907.35948397312</c:v>
                </c:pt>
                <c:pt idx="817">
                  <c:v>492219.27153602417</c:v>
                </c:pt>
                <c:pt idx="818">
                  <c:v>492529.01970404573</c:v>
                </c:pt>
                <c:pt idx="819">
                  <c:v>492836.60739385762</c:v>
                </c:pt>
                <c:pt idx="820">
                  <c:v>493142.03798423428</c:v>
                </c:pt>
                <c:pt idx="821">
                  <c:v>493445.31482709094</c:v>
                </c:pt>
                <c:pt idx="822">
                  <c:v>493746.44124766695</c:v>
                </c:pt>
                <c:pt idx="823">
                  <c:v>494045.42054470722</c:v>
                </c:pt>
                <c:pt idx="824">
                  <c:v>494342.25599064166</c:v>
                </c:pt>
                <c:pt idx="825">
                  <c:v>494636.95083176257</c:v>
                </c:pt>
                <c:pt idx="826">
                  <c:v>494929.50828839967</c:v>
                </c:pt>
                <c:pt idx="827">
                  <c:v>495219.9315550935</c:v>
                </c:pt>
                <c:pt idx="828">
                  <c:v>495508.22380076634</c:v>
                </c:pt>
                <c:pt idx="829">
                  <c:v>495794.38816889183</c:v>
                </c:pt>
                <c:pt idx="830">
                  <c:v>496078.42777766206</c:v>
                </c:pt>
                <c:pt idx="831">
                  <c:v>496360.34572015278</c:v>
                </c:pt>
                <c:pt idx="832">
                  <c:v>496640.14506448718</c:v>
                </c:pt>
                <c:pt idx="833">
                  <c:v>496917.82885399717</c:v>
                </c:pt>
                <c:pt idx="834">
                  <c:v>497193.40010738332</c:v>
                </c:pt>
                <c:pt idx="835">
                  <c:v>497466.86181887263</c:v>
                </c:pt>
                <c:pt idx="836">
                  <c:v>497738.2169583746</c:v>
                </c:pt>
                <c:pt idx="837">
                  <c:v>498007.46847163554</c:v>
                </c:pt>
                <c:pt idx="838">
                  <c:v>498274.61928039102</c:v>
                </c:pt>
                <c:pt idx="839">
                  <c:v>498539.67228251672</c:v>
                </c:pt>
                <c:pt idx="840">
                  <c:v>498802.63035217737</c:v>
                </c:pt>
                <c:pt idx="841">
                  <c:v>499063.49633997405</c:v>
                </c:pt>
                <c:pt idx="842">
                  <c:v>499322.27307309001</c:v>
                </c:pt>
                <c:pt idx="843">
                  <c:v>499578.96335543442</c:v>
                </c:pt>
                <c:pt idx="844">
                  <c:v>499833.56996778463</c:v>
                </c:pt>
                <c:pt idx="845">
                  <c:v>500086.09566792712</c:v>
                </c:pt>
                <c:pt idx="846">
                  <c:v>500336.54319079634</c:v>
                </c:pt>
                <c:pt idx="847">
                  <c:v>500584.91524861229</c:v>
                </c:pt>
                <c:pt idx="848">
                  <c:v>500831.21453101636</c:v>
                </c:pt>
                <c:pt idx="849">
                  <c:v>501075.44370520563</c:v>
                </c:pt>
                <c:pt idx="850">
                  <c:v>501317.6054160659</c:v>
                </c:pt>
                <c:pt idx="851">
                  <c:v>501557.70228630258</c:v>
                </c:pt>
                <c:pt idx="852">
                  <c:v>501795.73691657075</c:v>
                </c:pt>
                <c:pt idx="853">
                  <c:v>502031.71188560349</c:v>
                </c:pt>
                <c:pt idx="854">
                  <c:v>502265.62975033844</c:v>
                </c:pt>
                <c:pt idx="855">
                  <c:v>502497.49304604338</c:v>
                </c:pt>
                <c:pt idx="856">
                  <c:v>502727.30428643996</c:v>
                </c:pt>
                <c:pt idx="857">
                  <c:v>502955.06596382632</c:v>
                </c:pt>
                <c:pt idx="858">
                  <c:v>503180.78054919821</c:v>
                </c:pt>
                <c:pt idx="859">
                  <c:v>503404.45049236843</c:v>
                </c:pt>
                <c:pt idx="860">
                  <c:v>503626.07822208549</c:v>
                </c:pt>
                <c:pt idx="861">
                  <c:v>503845.66614615032</c:v>
                </c:pt>
                <c:pt idx="862">
                  <c:v>504063.21665153193</c:v>
                </c:pt>
                <c:pt idx="863">
                  <c:v>504278.73210448172</c:v>
                </c:pt>
                <c:pt idx="864">
                  <c:v>504492.21485064639</c:v>
                </c:pt>
                <c:pt idx="865">
                  <c:v>504703.66721517959</c:v>
                </c:pt>
                <c:pt idx="866">
                  <c:v>504913.09150285233</c:v>
                </c:pt>
                <c:pt idx="867">
                  <c:v>505120.48999816191</c:v>
                </c:pt>
                <c:pt idx="868">
                  <c:v>505325.86496543989</c:v>
                </c:pt>
                <c:pt idx="869">
                  <c:v>505529.21864895849</c:v>
                </c:pt>
                <c:pt idx="870">
                  <c:v>505730.55327303614</c:v>
                </c:pt>
                <c:pt idx="871">
                  <c:v>505929.87104214134</c:v>
                </c:pt>
                <c:pt idx="872">
                  <c:v>506127.17414099572</c:v>
                </c:pt>
                <c:pt idx="873">
                  <c:v>506322.46473467548</c:v>
                </c:pt>
                <c:pt idx="874">
                  <c:v>506515.74496871216</c:v>
                </c:pt>
                <c:pt idx="875">
                  <c:v>506707.01696919184</c:v>
                </c:pt>
                <c:pt idx="876">
                  <c:v>506896.28284285316</c:v>
                </c:pt>
                <c:pt idx="877">
                  <c:v>507083.54467718466</c:v>
                </c:pt>
                <c:pt idx="878">
                  <c:v>507268.8045405203</c:v>
                </c:pt>
                <c:pt idx="879">
                  <c:v>507452.0644821343</c:v>
                </c:pt>
                <c:pt idx="880">
                  <c:v>507633.32653233485</c:v>
                </c:pt>
                <c:pt idx="881">
                  <c:v>507812.5927025564</c:v>
                </c:pt>
                <c:pt idx="882">
                  <c:v>507989.86498545134</c:v>
                </c:pt>
                <c:pt idx="883">
                  <c:v>508165.14535498008</c:v>
                </c:pt>
                <c:pt idx="884">
                  <c:v>508338.43576650042</c:v>
                </c:pt>
                <c:pt idx="885">
                  <c:v>508509.73815685575</c:v>
                </c:pt>
                <c:pt idx="886">
                  <c:v>508679.054444462</c:v>
                </c:pt>
                <c:pt idx="887">
                  <c:v>508846.38652939402</c:v>
                </c:pt>
                <c:pt idx="888">
                  <c:v>509011.73629347025</c:v>
                </c:pt>
                <c:pt idx="889">
                  <c:v>509175.10560033703</c:v>
                </c:pt>
                <c:pt idx="890">
                  <c:v>509336.49629555159</c:v>
                </c:pt>
                <c:pt idx="891">
                  <c:v>509495.91020666383</c:v>
                </c:pt>
                <c:pt idx="892">
                  <c:v>509653.34914329747</c:v>
                </c:pt>
                <c:pt idx="893">
                  <c:v>509808.81489723019</c:v>
                </c:pt>
                <c:pt idx="894">
                  <c:v>509962.30924247234</c:v>
                </c:pt>
                <c:pt idx="895">
                  <c:v>510113.83393534529</c:v>
                </c:pt>
                <c:pt idx="896">
                  <c:v>510263.39071455842</c:v>
                </c:pt>
                <c:pt idx="897">
                  <c:v>510410.98130128527</c:v>
                </c:pt>
                <c:pt idx="898">
                  <c:v>510556.60739923868</c:v>
                </c:pt>
                <c:pt idx="899">
                  <c:v>510700.27069474524</c:v>
                </c:pt>
                <c:pt idx="900">
                  <c:v>510841.97285681847</c:v>
                </c:pt>
                <c:pt idx="901">
                  <c:v>510981.7155372313</c:v>
                </c:pt>
                <c:pt idx="902">
                  <c:v>511119.50037058769</c:v>
                </c:pt>
                <c:pt idx="903">
                  <c:v>511255.32897439296</c:v>
                </c:pt>
                <c:pt idx="904">
                  <c:v>511389.20294912381</c:v>
                </c:pt>
                <c:pt idx="905">
                  <c:v>511521.12387829699</c:v>
                </c:pt>
                <c:pt idx="906">
                  <c:v>511651.09332853724</c:v>
                </c:pt>
                <c:pt idx="907">
                  <c:v>511779.11284964444</c:v>
                </c:pt>
                <c:pt idx="908">
                  <c:v>511905.18397465965</c:v>
                </c:pt>
                <c:pt idx="909">
                  <c:v>512029.3082199308</c:v>
                </c:pt>
                <c:pt idx="910">
                  <c:v>512151.48708517669</c:v>
                </c:pt>
                <c:pt idx="911">
                  <c:v>512271.72205355117</c:v>
                </c:pt>
                <c:pt idx="912">
                  <c:v>512390.01459170558</c:v>
                </c:pt>
                <c:pt idx="913">
                  <c:v>512506.36614985077</c:v>
                </c:pt>
                <c:pt idx="914">
                  <c:v>512620.77816181857</c:v>
                </c:pt>
                <c:pt idx="915">
                  <c:v>512733.25204512163</c:v>
                </c:pt>
                <c:pt idx="916">
                  <c:v>512843.78920101345</c:v>
                </c:pt>
                <c:pt idx="917">
                  <c:v>512952.3910145468</c:v>
                </c:pt>
                <c:pt idx="918">
                  <c:v>513059.05885463161</c:v>
                </c:pt>
                <c:pt idx="919">
                  <c:v>513163.79407409235</c:v>
                </c:pt>
                <c:pt idx="920">
                  <c:v>513266.59800972417</c:v>
                </c:pt>
                <c:pt idx="921">
                  <c:v>513367.47198234865</c:v>
                </c:pt>
                <c:pt idx="922">
                  <c:v>513466.41729686828</c:v>
                </c:pt>
                <c:pt idx="923">
                  <c:v>513563.43524232082</c:v>
                </c:pt>
                <c:pt idx="924">
                  <c:v>513658.52709193237</c:v>
                </c:pt>
                <c:pt idx="925">
                  <c:v>513751.69410316978</c:v>
                </c:pt>
                <c:pt idx="926">
                  <c:v>513842.93751779274</c:v>
                </c:pt>
                <c:pt idx="927">
                  <c:v>513932.25856190437</c:v>
                </c:pt>
                <c:pt idx="928">
                  <c:v>514019.6584460017</c:v>
                </c:pt>
                <c:pt idx="929">
                  <c:v>514105.13836502517</c:v>
                </c:pt>
                <c:pt idx="930">
                  <c:v>514188.69949840748</c:v>
                </c:pt>
                <c:pt idx="931">
                  <c:v>514270.34301012143</c:v>
                </c:pt>
                <c:pt idx="932">
                  <c:v>514350.07004872739</c:v>
                </c:pt>
                <c:pt idx="933">
                  <c:v>514427.88174742006</c:v>
                </c:pt>
                <c:pt idx="934">
                  <c:v>514503.7792240741</c:v>
                </c:pt>
                <c:pt idx="935">
                  <c:v>514577.76358128944</c:v>
                </c:pt>
                <c:pt idx="936">
                  <c:v>514649.83590643597</c:v>
                </c:pt>
                <c:pt idx="937">
                  <c:v>514719.9972716971</c:v>
                </c:pt>
                <c:pt idx="938">
                  <c:v>514788.24873411283</c:v>
                </c:pt>
                <c:pt idx="939">
                  <c:v>514854.59133562236</c:v>
                </c:pt>
                <c:pt idx="940">
                  <c:v>514919.02610310569</c:v>
                </c:pt>
                <c:pt idx="941">
                  <c:v>514981.55404842476</c:v>
                </c:pt>
                <c:pt idx="942">
                  <c:v>515042.17616846366</c:v>
                </c:pt>
                <c:pt idx="943">
                  <c:v>515100.89344516856</c:v>
                </c:pt>
                <c:pt idx="944">
                  <c:v>515157.70684558648</c:v>
                </c:pt>
                <c:pt idx="945">
                  <c:v>515212.61732190388</c:v>
                </c:pt>
                <c:pt idx="946">
                  <c:v>515265.62581148418</c:v>
                </c:pt>
                <c:pt idx="947">
                  <c:v>515316.73323690484</c:v>
                </c:pt>
                <c:pt idx="948">
                  <c:v>515365.94050599379</c:v>
                </c:pt>
                <c:pt idx="949">
                  <c:v>515413.24851186527</c:v>
                </c:pt>
                <c:pt idx="950">
                  <c:v>515458.65813295468</c:v>
                </c:pt>
                <c:pt idx="951">
                  <c:v>515502.17023305327</c:v>
                </c:pt>
                <c:pt idx="952">
                  <c:v>515543.78566134174</c:v>
                </c:pt>
                <c:pt idx="953">
                  <c:v>515583.50525242346</c:v>
                </c:pt>
                <c:pt idx="954">
                  <c:v>515621.32982635719</c:v>
                </c:pt>
                <c:pt idx="955">
                  <c:v>515657.26018868864</c:v>
                </c:pt>
                <c:pt idx="956">
                  <c:v>515691.29713048204</c:v>
                </c:pt>
                <c:pt idx="957">
                  <c:v>515723.44142835069</c:v>
                </c:pt>
                <c:pt idx="958">
                  <c:v>515753.69384448702</c:v>
                </c:pt>
                <c:pt idx="959">
                  <c:v>515782.05512669182</c:v>
                </c:pt>
                <c:pt idx="960">
                  <c:v>515808.52600840339</c:v>
                </c:pt>
                <c:pt idx="961">
                  <c:v>515833.10720872547</c:v>
                </c:pt>
                <c:pt idx="962">
                  <c:v>515855.79943245475</c:v>
                </c:pt>
                <c:pt idx="963">
                  <c:v>515876.603370108</c:v>
                </c:pt>
                <c:pt idx="964">
                  <c:v>515895.51969794842</c:v>
                </c:pt>
                <c:pt idx="965">
                  <c:v>515912.54907801136</c:v>
                </c:pt>
                <c:pt idx="966">
                  <c:v>515927.69215812942</c:v>
                </c:pt>
                <c:pt idx="967">
                  <c:v>515940.94957195711</c:v>
                </c:pt>
                <c:pt idx="968">
                  <c:v>515952.32193899475</c:v>
                </c:pt>
                <c:pt idx="969">
                  <c:v>515961.80986461183</c:v>
                </c:pt>
                <c:pt idx="970">
                  <c:v>515969.41394006991</c:v>
                </c:pt>
                <c:pt idx="971">
                  <c:v>515975.13474254456</c:v>
                </c:pt>
                <c:pt idx="972">
                  <c:v>515978.97283514729</c:v>
                </c:pt>
                <c:pt idx="973">
                  <c:v>515980.92876694637</c:v>
                </c:pt>
                <c:pt idx="974">
                  <c:v>515981.00307298719</c:v>
                </c:pt>
                <c:pt idx="975">
                  <c:v>515979.19627431239</c:v>
                </c:pt>
                <c:pt idx="976">
                  <c:v>515975.50887798093</c:v>
                </c:pt>
                <c:pt idx="977">
                  <c:v>515969.9413770868</c:v>
                </c:pt>
                <c:pt idx="978">
                  <c:v>515962.49425077729</c:v>
                </c:pt>
                <c:pt idx="979">
                  <c:v>515953.16796427034</c:v>
                </c:pt>
                <c:pt idx="980">
                  <c:v>515941.96296887175</c:v>
                </c:pt>
                <c:pt idx="981">
                  <c:v>515928.87970199139</c:v>
                </c:pt>
                <c:pt idx="982">
                  <c:v>515913.91858715907</c:v>
                </c:pt>
                <c:pt idx="983">
                  <c:v>515897.08003403997</c:v>
                </c:pt>
                <c:pt idx="984">
                  <c:v>515878.36443844927</c:v>
                </c:pt>
                <c:pt idx="985">
                  <c:v>515857.77218236623</c:v>
                </c:pt>
                <c:pt idx="986">
                  <c:v>515835.30363394774</c:v>
                </c:pt>
                <c:pt idx="987">
                  <c:v>515810.95914754149</c:v>
                </c:pt>
                <c:pt idx="988">
                  <c:v>515784.73906369839</c:v>
                </c:pt>
                <c:pt idx="989">
                  <c:v>515756.64370918431</c:v>
                </c:pt>
                <c:pt idx="990">
                  <c:v>515726.67339699162</c:v>
                </c:pt>
                <c:pt idx="991">
                  <c:v>515694.82842634997</c:v>
                </c:pt>
                <c:pt idx="992">
                  <c:v>515661.10908273625</c:v>
                </c:pt>
                <c:pt idx="993">
                  <c:v>515625.51563788461</c:v>
                </c:pt>
                <c:pt idx="994">
                  <c:v>515588.04834979528</c:v>
                </c:pt>
                <c:pt idx="995">
                  <c:v>515548.70746274345</c:v>
                </c:pt>
                <c:pt idx="996">
                  <c:v>515507.49320728687</c:v>
                </c:pt>
                <c:pt idx="997">
                  <c:v>515464.40580027364</c:v>
                </c:pt>
                <c:pt idx="998">
                  <c:v>515419.44544484897</c:v>
                </c:pt>
                <c:pt idx="999">
                  <c:v>515372.61233046162</c:v>
                </c:pt>
                <c:pt idx="1000">
                  <c:v>515323.90663286962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23-45F2-ACB4-730A2A7FB068}"/>
            </c:ext>
          </c:extLst>
        </c:ser>
        <c:ser>
          <c:idx val="4"/>
          <c:order val="4"/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Calculs!$AO$6:$AO$1005</c:f>
              <c:numCache>
                <c:formatCode>0.000</c:formatCode>
                <c:ptCount val="1000"/>
                <c:pt idx="0">
                  <c:v>12498.857713672935</c:v>
                </c:pt>
                <c:pt idx="1">
                  <c:v>12495.431202643218</c:v>
                </c:pt>
                <c:pt idx="2">
                  <c:v>12489.721510659303</c:v>
                </c:pt>
                <c:pt idx="3">
                  <c:v>12481.730376948683</c:v>
                </c:pt>
                <c:pt idx="4">
                  <c:v>12471.460235688091</c:v>
                </c:pt>
                <c:pt idx="5">
                  <c:v>12458.91421526205</c:v>
                </c:pt>
                <c:pt idx="6">
                  <c:v>12444.096137309916</c:v>
                </c:pt>
                <c:pt idx="7">
                  <c:v>12427.010515561778</c:v>
                </c:pt>
                <c:pt idx="8">
                  <c:v>12407.662554463534</c:v>
                </c:pt>
                <c:pt idx="9">
                  <c:v>12386.058147591561</c:v>
                </c:pt>
                <c:pt idx="10">
                  <c:v>12362.20387585748</c:v>
                </c:pt>
                <c:pt idx="11">
                  <c:v>12336.107005503542</c:v>
                </c:pt>
                <c:pt idx="12">
                  <c:v>12307.775485889264</c:v>
                </c:pt>
                <c:pt idx="13">
                  <c:v>12277.217947069974</c:v>
                </c:pt>
                <c:pt idx="14">
                  <c:v>12244.443697168012</c:v>
                </c:pt>
                <c:pt idx="15">
                  <c:v>12209.462719537391</c:v>
                </c:pt>
                <c:pt idx="16">
                  <c:v>12172.285669722765</c:v>
                </c:pt>
                <c:pt idx="17">
                  <c:v>12132.923872213651</c:v>
                </c:pt>
                <c:pt idx="18">
                  <c:v>12091.389316994875</c:v>
                </c:pt>
                <c:pt idx="19">
                  <c:v>12047.694655894313</c:v>
                </c:pt>
                <c:pt idx="20">
                  <c:v>12001.853198729013</c:v>
                </c:pt>
                <c:pt idx="21">
                  <c:v>11953.878909250907</c:v>
                </c:pt>
                <c:pt idx="22">
                  <c:v>11903.786400893303</c:v>
                </c:pt>
                <c:pt idx="23">
                  <c:v>11851.590932319506</c:v>
                </c:pt>
                <c:pt idx="24">
                  <c:v>11797.308402774874</c:v>
                </c:pt>
                <c:pt idx="25">
                  <c:v>11740.955347243753</c:v>
                </c:pt>
                <c:pt idx="26">
                  <c:v>11682.548931412759</c:v>
                </c:pt>
                <c:pt idx="27">
                  <c:v>11622.106946441952</c:v>
                </c:pt>
                <c:pt idx="28">
                  <c:v>11559.647803545467</c:v>
                </c:pt>
                <c:pt idx="29">
                  <c:v>11495.190528383289</c:v>
                </c:pt>
                <c:pt idx="30">
                  <c:v>11428.754755265843</c:v>
                </c:pt>
                <c:pt idx="31">
                  <c:v>11360.360721173194</c:v>
                </c:pt>
                <c:pt idx="32">
                  <c:v>11290.029259590679</c:v>
                </c:pt>
                <c:pt idx="33">
                  <c:v>11217.781794162813</c:v>
                </c:pt>
                <c:pt idx="34">
                  <c:v>11143.640332167439</c:v>
                </c:pt>
                <c:pt idx="35">
                  <c:v>11067.627457812105</c:v>
                </c:pt>
                <c:pt idx="36">
                  <c:v>10989.766325354696</c:v>
                </c:pt>
                <c:pt idx="37">
                  <c:v>10910.080652050416</c:v>
                </c:pt>
                <c:pt idx="38">
                  <c:v>10828.594710927282</c:v>
                </c:pt>
                <c:pt idx="39">
                  <c:v>10745.333323392335</c:v>
                </c:pt>
                <c:pt idx="40">
                  <c:v>10660.321851670791</c:v>
                </c:pt>
                <c:pt idx="41">
                  <c:v>10573.586191080456</c:v>
                </c:pt>
                <c:pt idx="42">
                  <c:v>10485.152762143778</c:v>
                </c:pt>
                <c:pt idx="43">
                  <c:v>10395.048502539885</c:v>
                </c:pt>
                <c:pt idx="44">
                  <c:v>10303.300858899107</c:v>
                </c:pt>
                <c:pt idx="45">
                  <c:v>10209.93777844248</c:v>
                </c:pt>
                <c:pt idx="46">
                  <c:v>10114.987700468739</c:v>
                </c:pt>
                <c:pt idx="47">
                  <c:v>10018.479547691437</c:v>
                </c:pt>
                <c:pt idx="48">
                  <c:v>9920.4427174288048</c:v>
                </c:pt>
                <c:pt idx="49">
                  <c:v>9820.9070726490463</c:v>
                </c:pt>
                <c:pt idx="50">
                  <c:v>9719.9029328737815</c:v>
                </c:pt>
                <c:pt idx="51">
                  <c:v>9617.4610649424376</c:v>
                </c:pt>
                <c:pt idx="52">
                  <c:v>9513.6126736403639</c:v>
                </c:pt>
                <c:pt idx="53">
                  <c:v>9408.3893921935487</c:v>
                </c:pt>
                <c:pt idx="54">
                  <c:v>9301.8232726328461</c:v>
                </c:pt>
                <c:pt idx="55">
                  <c:v>9193.9467760305997</c:v>
                </c:pt>
                <c:pt idx="56">
                  <c:v>9084.7927626127039</c:v>
                </c:pt>
                <c:pt idx="57">
                  <c:v>8974.3944817490374</c:v>
                </c:pt>
                <c:pt idx="58">
                  <c:v>8862.7855618254071</c:v>
                </c:pt>
                <c:pt idx="59">
                  <c:v>8750</c:v>
                </c:pt>
                <c:pt idx="60">
                  <c:v>8636.0721518475293</c:v>
                </c:pt>
                <c:pt idx="61">
                  <c:v>8521.0367208941825</c:v>
                </c:pt>
                <c:pt idx="62">
                  <c:v>8404.928748046601</c:v>
                </c:pt>
                <c:pt idx="63">
                  <c:v>8287.783600918081</c:v>
                </c:pt>
                <c:pt idx="64">
                  <c:v>8169.6369630552454</c:v>
                </c:pt>
                <c:pt idx="65">
                  <c:v>8050.5248230685011</c:v>
                </c:pt>
                <c:pt idx="66">
                  <c:v>7930.4834636695541</c:v>
                </c:pt>
                <c:pt idx="67">
                  <c:v>7809.549450619339</c:v>
                </c:pt>
                <c:pt idx="68">
                  <c:v>7687.7596215897529</c:v>
                </c:pt>
                <c:pt idx="69">
                  <c:v>7565.1510749425161</c:v>
                </c:pt>
                <c:pt idx="70">
                  <c:v>7441.7611584286751</c:v>
                </c:pt>
                <c:pt idx="71">
                  <c:v>7317.6274578121065</c:v>
                </c:pt>
                <c:pt idx="72">
                  <c:v>7192.7877854205253</c:v>
                </c:pt>
                <c:pt idx="73">
                  <c:v>7067.2801686274943</c:v>
                </c:pt>
                <c:pt idx="74">
                  <c:v>6941.1428382689055</c:v>
                </c:pt>
                <c:pt idx="75">
                  <c:v>6814.4142169975094</c:v>
                </c:pt>
                <c:pt idx="76">
                  <c:v>6687.1329075789872</c:v>
                </c:pt>
                <c:pt idx="77">
                  <c:v>6559.3376811331964</c:v>
                </c:pt>
                <c:pt idx="78">
                  <c:v>6431.0674653240867</c:v>
                </c:pt>
                <c:pt idx="79">
                  <c:v>6302.3613325019778</c:v>
                </c:pt>
                <c:pt idx="80">
                  <c:v>6173.2584878017315</c:v>
                </c:pt>
                <c:pt idx="81">
                  <c:v>6043.798257200493</c:v>
                </c:pt>
                <c:pt idx="82">
                  <c:v>5914.0200755386059</c:v>
                </c:pt>
                <c:pt idx="83">
                  <c:v>5783.9634745074009</c:v>
                </c:pt>
                <c:pt idx="84">
                  <c:v>5653.6680706074358</c:v>
                </c:pt>
                <c:pt idx="85">
                  <c:v>5523.173553080941</c:v>
                </c:pt>
                <c:pt idx="86">
                  <c:v>5392.5196718220795</c:v>
                </c:pt>
                <c:pt idx="87">
                  <c:v>5261.7462252687583</c:v>
                </c:pt>
                <c:pt idx="88">
                  <c:v>5130.893048279625</c:v>
                </c:pt>
                <c:pt idx="89">
                  <c:v>5000.0000000000009</c:v>
                </c:pt>
                <c:pt idx="90">
                  <c:v>4869.1069517203741</c:v>
                </c:pt>
                <c:pt idx="91">
                  <c:v>4738.2537747312444</c:v>
                </c:pt>
                <c:pt idx="92">
                  <c:v>4607.4803281779232</c:v>
                </c:pt>
                <c:pt idx="93">
                  <c:v>4476.8264469190599</c:v>
                </c:pt>
                <c:pt idx="94">
                  <c:v>4346.3319293925633</c:v>
                </c:pt>
                <c:pt idx="95">
                  <c:v>4216.0365254926</c:v>
                </c:pt>
                <c:pt idx="96">
                  <c:v>4085.9799244613946</c:v>
                </c:pt>
                <c:pt idx="97">
                  <c:v>3956.2017427995097</c:v>
                </c:pt>
                <c:pt idx="98">
                  <c:v>3826.7415121982672</c:v>
                </c:pt>
                <c:pt idx="99">
                  <c:v>3697.6386674980226</c:v>
                </c:pt>
                <c:pt idx="100">
                  <c:v>3568.9325346759142</c:v>
                </c:pt>
                <c:pt idx="101">
                  <c:v>3440.6623188668063</c:v>
                </c:pt>
                <c:pt idx="102">
                  <c:v>3312.8670924210137</c:v>
                </c:pt>
                <c:pt idx="103">
                  <c:v>3185.5857830024916</c:v>
                </c:pt>
                <c:pt idx="104">
                  <c:v>3058.8571617310936</c:v>
                </c:pt>
                <c:pt idx="105">
                  <c:v>2932.7198313725071</c:v>
                </c:pt>
                <c:pt idx="106">
                  <c:v>2807.2122145794751</c:v>
                </c:pt>
                <c:pt idx="107">
                  <c:v>2682.3725421878949</c:v>
                </c:pt>
                <c:pt idx="108">
                  <c:v>2558.2388415713267</c:v>
                </c:pt>
                <c:pt idx="109">
                  <c:v>2434.8489250574848</c:v>
                </c:pt>
                <c:pt idx="110">
                  <c:v>2312.240378410248</c:v>
                </c:pt>
                <c:pt idx="111">
                  <c:v>2190.4505493806596</c:v>
                </c:pt>
                <c:pt idx="112">
                  <c:v>2069.5165363304482</c:v>
                </c:pt>
                <c:pt idx="113">
                  <c:v>1949.4751769314998</c:v>
                </c:pt>
                <c:pt idx="114">
                  <c:v>1830.3630369447551</c:v>
                </c:pt>
                <c:pt idx="115">
                  <c:v>1712.2163990819186</c:v>
                </c:pt>
                <c:pt idx="116">
                  <c:v>1595.0712519534</c:v>
                </c:pt>
                <c:pt idx="117">
                  <c:v>1478.9632791058211</c:v>
                </c:pt>
                <c:pt idx="118">
                  <c:v>1363.9278481524725</c:v>
                </c:pt>
                <c:pt idx="119">
                  <c:v>1250.0000000000018</c:v>
                </c:pt>
                <c:pt idx="120">
                  <c:v>1137.2144381745929</c:v>
                </c:pt>
                <c:pt idx="121">
                  <c:v>1025.605518250964</c:v>
                </c:pt>
                <c:pt idx="122">
                  <c:v>915.20723738729703</c:v>
                </c:pt>
                <c:pt idx="123">
                  <c:v>806.05322396940028</c:v>
                </c:pt>
                <c:pt idx="124">
                  <c:v>698.17672736715667</c:v>
                </c:pt>
                <c:pt idx="125">
                  <c:v>591.61060780645221</c:v>
                </c:pt>
                <c:pt idx="126">
                  <c:v>486.38732635963697</c:v>
                </c:pt>
                <c:pt idx="127">
                  <c:v>382.53893505756241</c:v>
                </c:pt>
                <c:pt idx="128">
                  <c:v>280.09706712622028</c:v>
                </c:pt>
                <c:pt idx="129">
                  <c:v>179.0929273509546</c:v>
                </c:pt>
                <c:pt idx="130">
                  <c:v>79.557282571193355</c:v>
                </c:pt>
                <c:pt idx="131">
                  <c:v>-18.479547691436892</c:v>
                </c:pt>
                <c:pt idx="132">
                  <c:v>-114.98770046873778</c:v>
                </c:pt>
                <c:pt idx="133">
                  <c:v>-209.93777844247779</c:v>
                </c:pt>
                <c:pt idx="134">
                  <c:v>-303.30085889910606</c:v>
                </c:pt>
                <c:pt idx="135">
                  <c:v>-395.04850253988388</c:v>
                </c:pt>
                <c:pt idx="136">
                  <c:v>-485.15276214377809</c:v>
                </c:pt>
                <c:pt idx="137">
                  <c:v>-573.58619108045514</c:v>
                </c:pt>
                <c:pt idx="138">
                  <c:v>-660.32185167079024</c:v>
                </c:pt>
                <c:pt idx="139">
                  <c:v>-745.33332339233402</c:v>
                </c:pt>
                <c:pt idx="140">
                  <c:v>-828.59471092728018</c:v>
                </c:pt>
                <c:pt idx="141">
                  <c:v>-910.08065205041385</c:v>
                </c:pt>
                <c:pt idx="142">
                  <c:v>-989.76632535469707</c:v>
                </c:pt>
                <c:pt idx="143">
                  <c:v>-1067.6274578121047</c:v>
                </c:pt>
                <c:pt idx="144">
                  <c:v>-1143.640332167437</c:v>
                </c:pt>
                <c:pt idx="145">
                  <c:v>-1217.7817941628118</c:v>
                </c:pt>
                <c:pt idx="146">
                  <c:v>-1290.0292595906812</c:v>
                </c:pt>
                <c:pt idx="147">
                  <c:v>-1360.3607211731951</c:v>
                </c:pt>
                <c:pt idx="148">
                  <c:v>-1428.7547552658416</c:v>
                </c:pt>
                <c:pt idx="149">
                  <c:v>-1495.1905283832903</c:v>
                </c:pt>
                <c:pt idx="150">
                  <c:v>-1559.6478035454684</c:v>
                </c:pt>
                <c:pt idx="151">
                  <c:v>-1622.1069464419506</c:v>
                </c:pt>
                <c:pt idx="152">
                  <c:v>-1682.5489314127581</c:v>
                </c:pt>
                <c:pt idx="153">
                  <c:v>-1740.9553472437528</c:v>
                </c:pt>
                <c:pt idx="154">
                  <c:v>-1797.3084027748746</c:v>
                </c:pt>
                <c:pt idx="155">
                  <c:v>-1851.5909323195056</c:v>
                </c:pt>
                <c:pt idx="156">
                  <c:v>-1903.7864008933011</c:v>
                </c:pt>
                <c:pt idx="157">
                  <c:v>-1953.8789092509051</c:v>
                </c:pt>
                <c:pt idx="158">
                  <c:v>-2001.8531987290135</c:v>
                </c:pt>
                <c:pt idx="159">
                  <c:v>-2047.6946558943127</c:v>
                </c:pt>
                <c:pt idx="160">
                  <c:v>-2091.3893169948751</c:v>
                </c:pt>
                <c:pt idx="161">
                  <c:v>-2132.9238722136515</c:v>
                </c:pt>
                <c:pt idx="162">
                  <c:v>-2172.2856697227662</c:v>
                </c:pt>
                <c:pt idx="163">
                  <c:v>-2209.4627195373896</c:v>
                </c:pt>
                <c:pt idx="164">
                  <c:v>-2244.4436971680116</c:v>
                </c:pt>
                <c:pt idx="165">
                  <c:v>-2277.2179470699739</c:v>
                </c:pt>
                <c:pt idx="166">
                  <c:v>-2307.775485889264</c:v>
                </c:pt>
                <c:pt idx="167">
                  <c:v>-2336.1070055035425</c:v>
                </c:pt>
                <c:pt idx="168">
                  <c:v>-2362.2038758574799</c:v>
                </c:pt>
                <c:pt idx="169">
                  <c:v>-2386.0581475915606</c:v>
                </c:pt>
                <c:pt idx="170">
                  <c:v>-2407.6625544635326</c:v>
                </c:pt>
                <c:pt idx="171">
                  <c:v>-2427.0105155617766</c:v>
                </c:pt>
                <c:pt idx="172">
                  <c:v>-2444.0961373099153</c:v>
                </c:pt>
                <c:pt idx="173">
                  <c:v>-2458.9142152620498</c:v>
                </c:pt>
                <c:pt idx="174">
                  <c:v>-2471.4602356880914</c:v>
                </c:pt>
                <c:pt idx="175">
                  <c:v>-2481.7303769486816</c:v>
                </c:pt>
                <c:pt idx="176">
                  <c:v>-2489.7215106593039</c:v>
                </c:pt>
                <c:pt idx="177">
                  <c:v>-2495.4312026432181</c:v>
                </c:pt>
                <c:pt idx="178">
                  <c:v>-2498.8577136729346</c:v>
                </c:pt>
                <c:pt idx="179">
                  <c:v>-2500</c:v>
                </c:pt>
                <c:pt idx="180">
                  <c:v>-2498.8577136729346</c:v>
                </c:pt>
                <c:pt idx="181">
                  <c:v>-2495.4312026432181</c:v>
                </c:pt>
                <c:pt idx="182">
                  <c:v>-2489.7215106593039</c:v>
                </c:pt>
                <c:pt idx="183">
                  <c:v>-2481.7303769486825</c:v>
                </c:pt>
                <c:pt idx="184">
                  <c:v>-2471.4602356880914</c:v>
                </c:pt>
                <c:pt idx="185">
                  <c:v>-2458.9142152620507</c:v>
                </c:pt>
                <c:pt idx="186">
                  <c:v>-2444.0961373099153</c:v>
                </c:pt>
                <c:pt idx="187">
                  <c:v>-2427.0105155617766</c:v>
                </c:pt>
                <c:pt idx="188">
                  <c:v>-2407.6625544635335</c:v>
                </c:pt>
                <c:pt idx="189">
                  <c:v>-2386.0581475915606</c:v>
                </c:pt>
                <c:pt idx="190">
                  <c:v>-2362.2038758574799</c:v>
                </c:pt>
                <c:pt idx="191">
                  <c:v>-2336.1070055035425</c:v>
                </c:pt>
                <c:pt idx="192">
                  <c:v>-2307.775485889264</c:v>
                </c:pt>
                <c:pt idx="193">
                  <c:v>-2277.2179470699739</c:v>
                </c:pt>
                <c:pt idx="194">
                  <c:v>-2244.4436971680134</c:v>
                </c:pt>
                <c:pt idx="195">
                  <c:v>-2209.4627195373914</c:v>
                </c:pt>
                <c:pt idx="196">
                  <c:v>-2172.2856697227662</c:v>
                </c:pt>
                <c:pt idx="197">
                  <c:v>-2132.9238722136515</c:v>
                </c:pt>
                <c:pt idx="198">
                  <c:v>-2091.3893169948751</c:v>
                </c:pt>
                <c:pt idx="199">
                  <c:v>-2047.6946558943137</c:v>
                </c:pt>
                <c:pt idx="200">
                  <c:v>-2001.8531987290135</c:v>
                </c:pt>
                <c:pt idx="201">
                  <c:v>-1953.878909250906</c:v>
                </c:pt>
                <c:pt idx="202">
                  <c:v>-1903.7864008933029</c:v>
                </c:pt>
                <c:pt idx="203">
                  <c:v>-1851.5909323195083</c:v>
                </c:pt>
                <c:pt idx="204">
                  <c:v>-1797.3084027748755</c:v>
                </c:pt>
                <c:pt idx="205">
                  <c:v>-1740.9553472437537</c:v>
                </c:pt>
                <c:pt idx="206">
                  <c:v>-1682.5489314127608</c:v>
                </c:pt>
                <c:pt idx="207">
                  <c:v>-1622.1069464419515</c:v>
                </c:pt>
                <c:pt idx="208">
                  <c:v>-1559.6478035454693</c:v>
                </c:pt>
                <c:pt idx="209">
                  <c:v>-1495.1905283832893</c:v>
                </c:pt>
                <c:pt idx="210">
                  <c:v>-1428.7547552658425</c:v>
                </c:pt>
                <c:pt idx="211">
                  <c:v>-1360.3607211731951</c:v>
                </c:pt>
                <c:pt idx="212">
                  <c:v>-1290.0292595906803</c:v>
                </c:pt>
                <c:pt idx="213">
                  <c:v>-1217.7817941628136</c:v>
                </c:pt>
                <c:pt idx="214">
                  <c:v>-1143.6403321674397</c:v>
                </c:pt>
                <c:pt idx="215">
                  <c:v>-1067.6274578121065</c:v>
                </c:pt>
                <c:pt idx="216">
                  <c:v>-989.76632535469798</c:v>
                </c:pt>
                <c:pt idx="217">
                  <c:v>-910.08065205041657</c:v>
                </c:pt>
                <c:pt idx="218">
                  <c:v>-828.59471092728108</c:v>
                </c:pt>
                <c:pt idx="219">
                  <c:v>-745.33332339233493</c:v>
                </c:pt>
                <c:pt idx="220">
                  <c:v>-660.32185167078933</c:v>
                </c:pt>
                <c:pt idx="221">
                  <c:v>-573.58619108045696</c:v>
                </c:pt>
                <c:pt idx="222">
                  <c:v>-485.152762143779</c:v>
                </c:pt>
                <c:pt idx="223">
                  <c:v>-395.04850253988297</c:v>
                </c:pt>
                <c:pt idx="224">
                  <c:v>-303.30085889910788</c:v>
                </c:pt>
                <c:pt idx="225">
                  <c:v>-209.93777844248234</c:v>
                </c:pt>
                <c:pt idx="226">
                  <c:v>-114.98770046874233</c:v>
                </c:pt>
                <c:pt idx="227">
                  <c:v>-18.479547691438711</c:v>
                </c:pt>
                <c:pt idx="228">
                  <c:v>79.557282571193355</c:v>
                </c:pt>
                <c:pt idx="229">
                  <c:v>179.09292735095369</c:v>
                </c:pt>
                <c:pt idx="230">
                  <c:v>280.09706712622119</c:v>
                </c:pt>
                <c:pt idx="231">
                  <c:v>382.53893505756423</c:v>
                </c:pt>
                <c:pt idx="232">
                  <c:v>486.38732635963788</c:v>
                </c:pt>
                <c:pt idx="233">
                  <c:v>591.61060780645039</c:v>
                </c:pt>
                <c:pt idx="234">
                  <c:v>698.17672736715213</c:v>
                </c:pt>
                <c:pt idx="235">
                  <c:v>806.05322396939573</c:v>
                </c:pt>
                <c:pt idx="236">
                  <c:v>915.20723738729748</c:v>
                </c:pt>
                <c:pt idx="237">
                  <c:v>1025.6055182509626</c:v>
                </c:pt>
                <c:pt idx="238">
                  <c:v>1137.2144381745911</c:v>
                </c:pt>
                <c:pt idx="239">
                  <c:v>1249.9999999999968</c:v>
                </c:pt>
                <c:pt idx="240">
                  <c:v>1363.9278481524739</c:v>
                </c:pt>
                <c:pt idx="241">
                  <c:v>1478.9632791058193</c:v>
                </c:pt>
                <c:pt idx="242">
                  <c:v>1595.0712519533981</c:v>
                </c:pt>
                <c:pt idx="243">
                  <c:v>1712.2163990819172</c:v>
                </c:pt>
                <c:pt idx="244">
                  <c:v>1830.3630369447505</c:v>
                </c:pt>
                <c:pt idx="245">
                  <c:v>1949.4751769314994</c:v>
                </c:pt>
                <c:pt idx="246">
                  <c:v>2069.5165363304463</c:v>
                </c:pt>
                <c:pt idx="247">
                  <c:v>2190.4505493806578</c:v>
                </c:pt>
                <c:pt idx="248">
                  <c:v>2312.2403784102448</c:v>
                </c:pt>
                <c:pt idx="249">
                  <c:v>2434.8489250574798</c:v>
                </c:pt>
                <c:pt idx="250">
                  <c:v>2558.2388415713253</c:v>
                </c:pt>
                <c:pt idx="251">
                  <c:v>2682.3725421878935</c:v>
                </c:pt>
                <c:pt idx="252">
                  <c:v>2807.2122145794719</c:v>
                </c:pt>
                <c:pt idx="253">
                  <c:v>2932.7198313725085</c:v>
                </c:pt>
                <c:pt idx="254">
                  <c:v>3058.8571617310954</c:v>
                </c:pt>
                <c:pt idx="255">
                  <c:v>3185.5857830024916</c:v>
                </c:pt>
                <c:pt idx="256">
                  <c:v>3312.8670924210105</c:v>
                </c:pt>
                <c:pt idx="257">
                  <c:v>3440.6623188668018</c:v>
                </c:pt>
                <c:pt idx="258">
                  <c:v>3568.9325346759088</c:v>
                </c:pt>
                <c:pt idx="259">
                  <c:v>3697.6386674980222</c:v>
                </c:pt>
                <c:pt idx="260">
                  <c:v>3826.7415121982672</c:v>
                </c:pt>
                <c:pt idx="261">
                  <c:v>3956.2017427995129</c:v>
                </c:pt>
                <c:pt idx="262">
                  <c:v>4085.979924461396</c:v>
                </c:pt>
                <c:pt idx="263">
                  <c:v>4216.0365254926</c:v>
                </c:pt>
                <c:pt idx="264">
                  <c:v>4346.3319293925633</c:v>
                </c:pt>
                <c:pt idx="265">
                  <c:v>4476.8264469190581</c:v>
                </c:pt>
                <c:pt idx="266">
                  <c:v>4607.4803281779177</c:v>
                </c:pt>
                <c:pt idx="267">
                  <c:v>4738.2537747312381</c:v>
                </c:pt>
                <c:pt idx="268">
                  <c:v>4869.1069517203741</c:v>
                </c:pt>
                <c:pt idx="269">
                  <c:v>4999.9999999999982</c:v>
                </c:pt>
                <c:pt idx="270">
                  <c:v>5130.8930482796231</c:v>
                </c:pt>
                <c:pt idx="271">
                  <c:v>5261.7462252687592</c:v>
                </c:pt>
                <c:pt idx="272">
                  <c:v>5392.5196718220795</c:v>
                </c:pt>
                <c:pt idx="273">
                  <c:v>5523.1735530809392</c:v>
                </c:pt>
                <c:pt idx="274">
                  <c:v>5653.6680706074339</c:v>
                </c:pt>
                <c:pt idx="275">
                  <c:v>5783.9634745073972</c:v>
                </c:pt>
                <c:pt idx="276">
                  <c:v>5914.0200755386077</c:v>
                </c:pt>
                <c:pt idx="277">
                  <c:v>6043.7982572004912</c:v>
                </c:pt>
                <c:pt idx="278">
                  <c:v>6173.2584878017296</c:v>
                </c:pt>
                <c:pt idx="279">
                  <c:v>6302.3613325019751</c:v>
                </c:pt>
                <c:pt idx="280">
                  <c:v>6431.0674653240821</c:v>
                </c:pt>
                <c:pt idx="281">
                  <c:v>6559.3376811331891</c:v>
                </c:pt>
                <c:pt idx="282">
                  <c:v>6687.1329075789872</c:v>
                </c:pt>
                <c:pt idx="283">
                  <c:v>6814.4142169975057</c:v>
                </c:pt>
                <c:pt idx="284">
                  <c:v>6941.1428382689082</c:v>
                </c:pt>
                <c:pt idx="285">
                  <c:v>7067.2801686274952</c:v>
                </c:pt>
                <c:pt idx="286">
                  <c:v>7192.7877854205253</c:v>
                </c:pt>
                <c:pt idx="287">
                  <c:v>7317.6274578121047</c:v>
                </c:pt>
                <c:pt idx="288">
                  <c:v>7441.7611584286724</c:v>
                </c:pt>
                <c:pt idx="289">
                  <c:v>7565.1510749425106</c:v>
                </c:pt>
                <c:pt idx="290">
                  <c:v>7687.7596215897465</c:v>
                </c:pt>
                <c:pt idx="291">
                  <c:v>7809.549450619339</c:v>
                </c:pt>
                <c:pt idx="292">
                  <c:v>7930.4834636695514</c:v>
                </c:pt>
                <c:pt idx="293">
                  <c:v>8050.5248230685047</c:v>
                </c:pt>
                <c:pt idx="294">
                  <c:v>8169.6369630552472</c:v>
                </c:pt>
                <c:pt idx="295">
                  <c:v>8287.783600918081</c:v>
                </c:pt>
                <c:pt idx="296">
                  <c:v>8404.9287480465991</c:v>
                </c:pt>
                <c:pt idx="297">
                  <c:v>8521.0367208941789</c:v>
                </c:pt>
                <c:pt idx="298">
                  <c:v>8636.0721518475239</c:v>
                </c:pt>
                <c:pt idx="299">
                  <c:v>8750</c:v>
                </c:pt>
                <c:pt idx="300">
                  <c:v>8862.7855618254071</c:v>
                </c:pt>
                <c:pt idx="301">
                  <c:v>8974.3944817490355</c:v>
                </c:pt>
                <c:pt idx="302">
                  <c:v>9084.7927626127002</c:v>
                </c:pt>
                <c:pt idx="303">
                  <c:v>9193.9467760305961</c:v>
                </c:pt>
                <c:pt idx="304">
                  <c:v>9301.8232726328461</c:v>
                </c:pt>
                <c:pt idx="305">
                  <c:v>9408.3893921935469</c:v>
                </c:pt>
                <c:pt idx="306">
                  <c:v>9513.6126736403603</c:v>
                </c:pt>
                <c:pt idx="307">
                  <c:v>9617.4610649424394</c:v>
                </c:pt>
                <c:pt idx="308">
                  <c:v>9719.9029328737815</c:v>
                </c:pt>
                <c:pt idx="309">
                  <c:v>9820.9070726490445</c:v>
                </c:pt>
                <c:pt idx="310">
                  <c:v>9920.442717428803</c:v>
                </c:pt>
                <c:pt idx="311">
                  <c:v>10018.479547691433</c:v>
                </c:pt>
                <c:pt idx="312">
                  <c:v>10114.987700468735</c:v>
                </c:pt>
                <c:pt idx="313">
                  <c:v>10209.937778442474</c:v>
                </c:pt>
                <c:pt idx="314">
                  <c:v>10303.300858899105</c:v>
                </c:pt>
                <c:pt idx="315">
                  <c:v>10395.048502539881</c:v>
                </c:pt>
                <c:pt idx="316">
                  <c:v>10485.15276214378</c:v>
                </c:pt>
                <c:pt idx="317">
                  <c:v>10573.586191080456</c:v>
                </c:pt>
                <c:pt idx="318">
                  <c:v>10660.321851670789</c:v>
                </c:pt>
                <c:pt idx="319">
                  <c:v>10745.333323392333</c:v>
                </c:pt>
                <c:pt idx="320">
                  <c:v>10828.594710927278</c:v>
                </c:pt>
                <c:pt idx="321">
                  <c:v>10910.080652050412</c:v>
                </c:pt>
                <c:pt idx="322">
                  <c:v>10989.766325354696</c:v>
                </c:pt>
                <c:pt idx="323">
                  <c:v>11067.627457812105</c:v>
                </c:pt>
                <c:pt idx="324">
                  <c:v>11143.640332167437</c:v>
                </c:pt>
                <c:pt idx="325">
                  <c:v>11217.781794162811</c:v>
                </c:pt>
                <c:pt idx="326">
                  <c:v>11290.029259590679</c:v>
                </c:pt>
                <c:pt idx="327">
                  <c:v>11360.360721173191</c:v>
                </c:pt>
                <c:pt idx="328">
                  <c:v>11428.75475526584</c:v>
                </c:pt>
                <c:pt idx="329">
                  <c:v>11495.190528383288</c:v>
                </c:pt>
                <c:pt idx="330">
                  <c:v>11559.647803545469</c:v>
                </c:pt>
                <c:pt idx="331">
                  <c:v>11622.106946441952</c:v>
                </c:pt>
                <c:pt idx="332">
                  <c:v>11682.548931412759</c:v>
                </c:pt>
                <c:pt idx="333">
                  <c:v>11740.955347243755</c:v>
                </c:pt>
                <c:pt idx="334">
                  <c:v>11797.308402774874</c:v>
                </c:pt>
                <c:pt idx="335">
                  <c:v>11851.590932319508</c:v>
                </c:pt>
                <c:pt idx="336">
                  <c:v>11903.786400893299</c:v>
                </c:pt>
                <c:pt idx="337">
                  <c:v>11953.878909250905</c:v>
                </c:pt>
                <c:pt idx="338">
                  <c:v>12001.853198729012</c:v>
                </c:pt>
                <c:pt idx="339">
                  <c:v>12047.694655894313</c:v>
                </c:pt>
                <c:pt idx="340">
                  <c:v>12091.389316994875</c:v>
                </c:pt>
                <c:pt idx="341">
                  <c:v>12132.923872213651</c:v>
                </c:pt>
                <c:pt idx="342">
                  <c:v>12172.285669722767</c:v>
                </c:pt>
                <c:pt idx="343">
                  <c:v>12209.462719537391</c:v>
                </c:pt>
                <c:pt idx="344">
                  <c:v>12244.443697168012</c:v>
                </c:pt>
                <c:pt idx="345">
                  <c:v>12277.217947069974</c:v>
                </c:pt>
                <c:pt idx="346">
                  <c:v>12307.775485889262</c:v>
                </c:pt>
                <c:pt idx="347">
                  <c:v>12336.107005503542</c:v>
                </c:pt>
                <c:pt idx="348">
                  <c:v>12362.20387585748</c:v>
                </c:pt>
                <c:pt idx="349">
                  <c:v>12386.058147591561</c:v>
                </c:pt>
                <c:pt idx="350">
                  <c:v>12407.662554463532</c:v>
                </c:pt>
                <c:pt idx="351">
                  <c:v>12427.010515561777</c:v>
                </c:pt>
                <c:pt idx="352">
                  <c:v>12444.096137309916</c:v>
                </c:pt>
                <c:pt idx="353">
                  <c:v>12458.91421526205</c:v>
                </c:pt>
                <c:pt idx="354">
                  <c:v>12471.460235688091</c:v>
                </c:pt>
                <c:pt idx="355">
                  <c:v>12481.730376948683</c:v>
                </c:pt>
                <c:pt idx="356">
                  <c:v>12489.721510659303</c:v>
                </c:pt>
                <c:pt idx="357">
                  <c:v>12495.431202643218</c:v>
                </c:pt>
                <c:pt idx="358">
                  <c:v>12498.857713672935</c:v>
                </c:pt>
                <c:pt idx="359">
                  <c:v>12500</c:v>
                </c:pt>
                <c:pt idx="360">
                  <c:v>12498.857713672935</c:v>
                </c:pt>
                <c:pt idx="361">
                  <c:v>12495.431202643218</c:v>
                </c:pt>
                <c:pt idx="362">
                  <c:v>12489.721510659303</c:v>
                </c:pt>
                <c:pt idx="363">
                  <c:v>12481.730376948683</c:v>
                </c:pt>
                <c:pt idx="364">
                  <c:v>12471.46023568809</c:v>
                </c:pt>
                <c:pt idx="365">
                  <c:v>12458.914215262052</c:v>
                </c:pt>
                <c:pt idx="366">
                  <c:v>12444.096137309916</c:v>
                </c:pt>
                <c:pt idx="367">
                  <c:v>12427.010515561778</c:v>
                </c:pt>
                <c:pt idx="368">
                  <c:v>12407.662554463534</c:v>
                </c:pt>
                <c:pt idx="369">
                  <c:v>12386.058147591561</c:v>
                </c:pt>
                <c:pt idx="370">
                  <c:v>12362.203875857478</c:v>
                </c:pt>
                <c:pt idx="371">
                  <c:v>12336.107005503543</c:v>
                </c:pt>
                <c:pt idx="372">
                  <c:v>12307.775485889264</c:v>
                </c:pt>
                <c:pt idx="373">
                  <c:v>12277.217947069974</c:v>
                </c:pt>
                <c:pt idx="374">
                  <c:v>12244.443697168013</c:v>
                </c:pt>
                <c:pt idx="375">
                  <c:v>12209.462719537391</c:v>
                </c:pt>
                <c:pt idx="376">
                  <c:v>12172.285669722765</c:v>
                </c:pt>
                <c:pt idx="377">
                  <c:v>12132.923872213652</c:v>
                </c:pt>
                <c:pt idx="378">
                  <c:v>12091.389316994877</c:v>
                </c:pt>
                <c:pt idx="379">
                  <c:v>12047.694655894313</c:v>
                </c:pt>
                <c:pt idx="380">
                  <c:v>12001.853198729015</c:v>
                </c:pt>
                <c:pt idx="381">
                  <c:v>11953.878909250907</c:v>
                </c:pt>
                <c:pt idx="382">
                  <c:v>11903.786400893307</c:v>
                </c:pt>
                <c:pt idx="383">
                  <c:v>11851.590932319508</c:v>
                </c:pt>
                <c:pt idx="384">
                  <c:v>11797.308402774874</c:v>
                </c:pt>
                <c:pt idx="385">
                  <c:v>11740.955347243753</c:v>
                </c:pt>
                <c:pt idx="386">
                  <c:v>11682.548931412757</c:v>
                </c:pt>
                <c:pt idx="387">
                  <c:v>11622.106946441954</c:v>
                </c:pt>
                <c:pt idx="388">
                  <c:v>11559.647803545467</c:v>
                </c:pt>
                <c:pt idx="389">
                  <c:v>11495.190528383293</c:v>
                </c:pt>
                <c:pt idx="390">
                  <c:v>11428.754755265843</c:v>
                </c:pt>
                <c:pt idx="391">
                  <c:v>11360.360721173196</c:v>
                </c:pt>
                <c:pt idx="392">
                  <c:v>11290.029259590683</c:v>
                </c:pt>
                <c:pt idx="393">
                  <c:v>11217.781794162816</c:v>
                </c:pt>
                <c:pt idx="394">
                  <c:v>11143.640332167439</c:v>
                </c:pt>
                <c:pt idx="395">
                  <c:v>11067.627457812103</c:v>
                </c:pt>
                <c:pt idx="396">
                  <c:v>10989.7663253547</c:v>
                </c:pt>
                <c:pt idx="397">
                  <c:v>10910.080652050414</c:v>
                </c:pt>
                <c:pt idx="398">
                  <c:v>10828.594710927286</c:v>
                </c:pt>
                <c:pt idx="399">
                  <c:v>10745.333323392337</c:v>
                </c:pt>
                <c:pt idx="400">
                  <c:v>10660.321851670793</c:v>
                </c:pt>
                <c:pt idx="401">
                  <c:v>10573.586191080456</c:v>
                </c:pt>
                <c:pt idx="402">
                  <c:v>10485.152762143782</c:v>
                </c:pt>
                <c:pt idx="403">
                  <c:v>10395.048502539885</c:v>
                </c:pt>
                <c:pt idx="404">
                  <c:v>10303.300858899112</c:v>
                </c:pt>
                <c:pt idx="405">
                  <c:v>10209.937778442483</c:v>
                </c:pt>
                <c:pt idx="406">
                  <c:v>10114.987700468737</c:v>
                </c:pt>
                <c:pt idx="407">
                  <c:v>10018.479547691441</c:v>
                </c:pt>
                <c:pt idx="408">
                  <c:v>9920.4427174288066</c:v>
                </c:pt>
                <c:pt idx="409">
                  <c:v>9820.9070726490463</c:v>
                </c:pt>
                <c:pt idx="410">
                  <c:v>9719.9029328737779</c:v>
                </c:pt>
                <c:pt idx="411">
                  <c:v>9617.4610649424412</c:v>
                </c:pt>
                <c:pt idx="412">
                  <c:v>9513.6126736403639</c:v>
                </c:pt>
                <c:pt idx="413">
                  <c:v>9408.389392193556</c:v>
                </c:pt>
                <c:pt idx="414">
                  <c:v>9301.8232726328497</c:v>
                </c:pt>
                <c:pt idx="415">
                  <c:v>9193.9467760305997</c:v>
                </c:pt>
                <c:pt idx="416">
                  <c:v>9084.7927626127021</c:v>
                </c:pt>
                <c:pt idx="417">
                  <c:v>8974.3944817490374</c:v>
                </c:pt>
                <c:pt idx="418">
                  <c:v>8862.7855618254089</c:v>
                </c:pt>
                <c:pt idx="419">
                  <c:v>8749.9999999999982</c:v>
                </c:pt>
                <c:pt idx="420">
                  <c:v>8636.072151847533</c:v>
                </c:pt>
                <c:pt idx="421">
                  <c:v>8521.0367208941825</c:v>
                </c:pt>
                <c:pt idx="422">
                  <c:v>8404.9287480466028</c:v>
                </c:pt>
                <c:pt idx="423">
                  <c:v>8287.7836009180828</c:v>
                </c:pt>
                <c:pt idx="424">
                  <c:v>8169.6369630552508</c:v>
                </c:pt>
                <c:pt idx="425">
                  <c:v>8050.5248230685011</c:v>
                </c:pt>
                <c:pt idx="426">
                  <c:v>7930.4834636695487</c:v>
                </c:pt>
                <c:pt idx="427">
                  <c:v>7809.5494506193427</c:v>
                </c:pt>
                <c:pt idx="428">
                  <c:v>7687.7596215897502</c:v>
                </c:pt>
                <c:pt idx="429">
                  <c:v>7565.1510749425215</c:v>
                </c:pt>
                <c:pt idx="430">
                  <c:v>7441.7611584286751</c:v>
                </c:pt>
                <c:pt idx="431">
                  <c:v>7317.6274578121083</c:v>
                </c:pt>
                <c:pt idx="432">
                  <c:v>7192.7877854205226</c:v>
                </c:pt>
                <c:pt idx="433">
                  <c:v>7067.2801686274988</c:v>
                </c:pt>
                <c:pt idx="434">
                  <c:v>6941.1428382689055</c:v>
                </c:pt>
                <c:pt idx="435">
                  <c:v>6814.4142169975157</c:v>
                </c:pt>
                <c:pt idx="436">
                  <c:v>6687.1329075789909</c:v>
                </c:pt>
                <c:pt idx="437">
                  <c:v>6559.3376811331927</c:v>
                </c:pt>
                <c:pt idx="438">
                  <c:v>6431.0674653240922</c:v>
                </c:pt>
                <c:pt idx="439">
                  <c:v>6302.3613325019778</c:v>
                </c:pt>
                <c:pt idx="440">
                  <c:v>6173.2584878017333</c:v>
                </c:pt>
                <c:pt idx="441">
                  <c:v>6043.7982572004876</c:v>
                </c:pt>
                <c:pt idx="442">
                  <c:v>5914.0200755386113</c:v>
                </c:pt>
                <c:pt idx="443">
                  <c:v>5783.9634745074009</c:v>
                </c:pt>
                <c:pt idx="444">
                  <c:v>5653.6680706074449</c:v>
                </c:pt>
                <c:pt idx="445">
                  <c:v>5523.1735530809428</c:v>
                </c:pt>
                <c:pt idx="446">
                  <c:v>5392.5196718220832</c:v>
                </c:pt>
                <c:pt idx="447">
                  <c:v>5261.7462252687565</c:v>
                </c:pt>
                <c:pt idx="448">
                  <c:v>5130.8930482796268</c:v>
                </c:pt>
                <c:pt idx="449">
                  <c:v>5000.0000000000027</c:v>
                </c:pt>
                <c:pt idx="450">
                  <c:v>4869.1069517203705</c:v>
                </c:pt>
                <c:pt idx="451">
                  <c:v>4738.2537747312481</c:v>
                </c:pt>
                <c:pt idx="452">
                  <c:v>4607.4803281779214</c:v>
                </c:pt>
                <c:pt idx="453">
                  <c:v>4476.8264469190681</c:v>
                </c:pt>
                <c:pt idx="454">
                  <c:v>4346.331929392567</c:v>
                </c:pt>
                <c:pt idx="455">
                  <c:v>4216.0365254926037</c:v>
                </c:pt>
                <c:pt idx="456">
                  <c:v>4085.9799244613932</c:v>
                </c:pt>
                <c:pt idx="457">
                  <c:v>3956.201742799517</c:v>
                </c:pt>
                <c:pt idx="458">
                  <c:v>3826.7415121982776</c:v>
                </c:pt>
                <c:pt idx="459">
                  <c:v>3697.6386674980258</c:v>
                </c:pt>
                <c:pt idx="460">
                  <c:v>3568.9325346759124</c:v>
                </c:pt>
                <c:pt idx="461">
                  <c:v>3440.6623188667986</c:v>
                </c:pt>
                <c:pt idx="462">
                  <c:v>3312.8670924210141</c:v>
                </c:pt>
                <c:pt idx="463">
                  <c:v>3185.5857830024888</c:v>
                </c:pt>
                <c:pt idx="464">
                  <c:v>3058.8571617310986</c:v>
                </c:pt>
                <c:pt idx="465">
                  <c:v>2932.7198313725053</c:v>
                </c:pt>
                <c:pt idx="466">
                  <c:v>2807.2122145794815</c:v>
                </c:pt>
                <c:pt idx="467">
                  <c:v>2682.3725421878967</c:v>
                </c:pt>
                <c:pt idx="468">
                  <c:v>2558.2388415713349</c:v>
                </c:pt>
                <c:pt idx="469">
                  <c:v>2434.8489250574899</c:v>
                </c:pt>
                <c:pt idx="470">
                  <c:v>2312.240378410248</c:v>
                </c:pt>
                <c:pt idx="471">
                  <c:v>2190.4505493806673</c:v>
                </c:pt>
                <c:pt idx="472">
                  <c:v>2069.5165363304495</c:v>
                </c:pt>
                <c:pt idx="473">
                  <c:v>1949.4751769314967</c:v>
                </c:pt>
                <c:pt idx="474">
                  <c:v>1830.3630369447596</c:v>
                </c:pt>
                <c:pt idx="475">
                  <c:v>1712.2163990819204</c:v>
                </c:pt>
                <c:pt idx="476">
                  <c:v>1595.0712519533954</c:v>
                </c:pt>
                <c:pt idx="477">
                  <c:v>1478.9632791058225</c:v>
                </c:pt>
                <c:pt idx="478">
                  <c:v>1363.9278481524711</c:v>
                </c:pt>
                <c:pt idx="479">
                  <c:v>1250.0000000000059</c:v>
                </c:pt>
                <c:pt idx="480">
                  <c:v>1137.2144381745948</c:v>
                </c:pt>
                <c:pt idx="481">
                  <c:v>1025.6055182509599</c:v>
                </c:pt>
                <c:pt idx="482">
                  <c:v>915.20723738730112</c:v>
                </c:pt>
                <c:pt idx="483">
                  <c:v>806.05322396939846</c:v>
                </c:pt>
                <c:pt idx="484">
                  <c:v>698.17672736716031</c:v>
                </c:pt>
                <c:pt idx="485">
                  <c:v>591.61060780645312</c:v>
                </c:pt>
                <c:pt idx="486">
                  <c:v>486.38732635964607</c:v>
                </c:pt>
                <c:pt idx="487">
                  <c:v>382.53893505756696</c:v>
                </c:pt>
                <c:pt idx="488">
                  <c:v>280.09706712621937</c:v>
                </c:pt>
                <c:pt idx="489">
                  <c:v>179.09292735096187</c:v>
                </c:pt>
                <c:pt idx="490">
                  <c:v>79.557282571197902</c:v>
                </c:pt>
                <c:pt idx="491">
                  <c:v>-18.479547691438711</c:v>
                </c:pt>
                <c:pt idx="492">
                  <c:v>-114.98770046874324</c:v>
                </c:pt>
                <c:pt idx="493">
                  <c:v>-209.9377784424787</c:v>
                </c:pt>
                <c:pt idx="494">
                  <c:v>-303.3008588991097</c:v>
                </c:pt>
                <c:pt idx="495">
                  <c:v>-395.04850253988025</c:v>
                </c:pt>
                <c:pt idx="496">
                  <c:v>-485.152762143779</c:v>
                </c:pt>
                <c:pt idx="497">
                  <c:v>-573.5861910804515</c:v>
                </c:pt>
                <c:pt idx="498">
                  <c:v>-660.32185167078842</c:v>
                </c:pt>
                <c:pt idx="499">
                  <c:v>-745.33332339232948</c:v>
                </c:pt>
                <c:pt idx="500">
                  <c:v>-828.59471092727836</c:v>
                </c:pt>
                <c:pt idx="501">
                  <c:v>-910.08065205041476</c:v>
                </c:pt>
                <c:pt idx="502">
                  <c:v>-989.76632535469162</c:v>
                </c:pt>
                <c:pt idx="503">
                  <c:v>-1067.6274578121038</c:v>
                </c:pt>
                <c:pt idx="504">
                  <c:v>-1143.6403321674325</c:v>
                </c:pt>
                <c:pt idx="505">
                  <c:v>-1217.78179416281</c:v>
                </c:pt>
                <c:pt idx="506">
                  <c:v>-1290.0292595906803</c:v>
                </c:pt>
                <c:pt idx="507">
                  <c:v>-1360.3607211731969</c:v>
                </c:pt>
                <c:pt idx="508">
                  <c:v>-1428.7547552658407</c:v>
                </c:pt>
                <c:pt idx="509">
                  <c:v>-1495.1905283832912</c:v>
                </c:pt>
                <c:pt idx="510">
                  <c:v>-1559.6478035454656</c:v>
                </c:pt>
                <c:pt idx="511">
                  <c:v>-1622.1069464419515</c:v>
                </c:pt>
                <c:pt idx="512">
                  <c:v>-1682.5489314127608</c:v>
                </c:pt>
                <c:pt idx="513">
                  <c:v>-1740.9553472437501</c:v>
                </c:pt>
                <c:pt idx="514">
                  <c:v>-1797.3084027748755</c:v>
                </c:pt>
                <c:pt idx="515">
                  <c:v>-1851.5909323195037</c:v>
                </c:pt>
                <c:pt idx="516">
                  <c:v>-1903.786400893302</c:v>
                </c:pt>
                <c:pt idx="517">
                  <c:v>-1953.8789092509014</c:v>
                </c:pt>
                <c:pt idx="518">
                  <c:v>-2001.8531987290116</c:v>
                </c:pt>
                <c:pt idx="519">
                  <c:v>-2047.6946558943137</c:v>
                </c:pt>
                <c:pt idx="520">
                  <c:v>-2091.3893169948742</c:v>
                </c:pt>
                <c:pt idx="521">
                  <c:v>-2132.9238722136506</c:v>
                </c:pt>
                <c:pt idx="522">
                  <c:v>-2172.2856697227662</c:v>
                </c:pt>
                <c:pt idx="523">
                  <c:v>-2209.4627195373932</c:v>
                </c:pt>
                <c:pt idx="524">
                  <c:v>-2244.4436971680125</c:v>
                </c:pt>
                <c:pt idx="525">
                  <c:v>-2277.2179470699748</c:v>
                </c:pt>
                <c:pt idx="526">
                  <c:v>-2307.7754858892631</c:v>
                </c:pt>
                <c:pt idx="527">
                  <c:v>-2336.1070055035425</c:v>
                </c:pt>
                <c:pt idx="528">
                  <c:v>-2362.2038758574781</c:v>
                </c:pt>
                <c:pt idx="529">
                  <c:v>-2386.0581475915606</c:v>
                </c:pt>
                <c:pt idx="530">
                  <c:v>-2407.6625544635317</c:v>
                </c:pt>
                <c:pt idx="531">
                  <c:v>-2427.0105155617766</c:v>
                </c:pt>
                <c:pt idx="532">
                  <c:v>-2444.0961373099144</c:v>
                </c:pt>
                <c:pt idx="533">
                  <c:v>-2458.9142152620498</c:v>
                </c:pt>
                <c:pt idx="534">
                  <c:v>-2471.4602356880914</c:v>
                </c:pt>
                <c:pt idx="535">
                  <c:v>-2481.7303769486816</c:v>
                </c:pt>
                <c:pt idx="536">
                  <c:v>-2489.7215106593039</c:v>
                </c:pt>
                <c:pt idx="537">
                  <c:v>-2495.4312026432181</c:v>
                </c:pt>
                <c:pt idx="538">
                  <c:v>-2498.8577136729346</c:v>
                </c:pt>
                <c:pt idx="539">
                  <c:v>-2500</c:v>
                </c:pt>
                <c:pt idx="540">
                  <c:v>-2498.8577136729346</c:v>
                </c:pt>
                <c:pt idx="541">
                  <c:v>-2495.4312026432181</c:v>
                </c:pt>
                <c:pt idx="542">
                  <c:v>-2489.7215106593039</c:v>
                </c:pt>
                <c:pt idx="543">
                  <c:v>-2481.7303769486816</c:v>
                </c:pt>
                <c:pt idx="544">
                  <c:v>-2471.4602356880914</c:v>
                </c:pt>
                <c:pt idx="545">
                  <c:v>-2458.9142152620498</c:v>
                </c:pt>
                <c:pt idx="546">
                  <c:v>-2444.0961373099153</c:v>
                </c:pt>
                <c:pt idx="547">
                  <c:v>-2427.0105155617775</c:v>
                </c:pt>
                <c:pt idx="548">
                  <c:v>-2407.6625544635344</c:v>
                </c:pt>
                <c:pt idx="549">
                  <c:v>-2386.0581475915606</c:v>
                </c:pt>
                <c:pt idx="550">
                  <c:v>-2362.2038758574827</c:v>
                </c:pt>
                <c:pt idx="551">
                  <c:v>-2336.1070055035434</c:v>
                </c:pt>
                <c:pt idx="552">
                  <c:v>-2307.775485889264</c:v>
                </c:pt>
                <c:pt idx="553">
                  <c:v>-2277.217947069973</c:v>
                </c:pt>
                <c:pt idx="554">
                  <c:v>-2244.4436971680097</c:v>
                </c:pt>
                <c:pt idx="555">
                  <c:v>-2209.4627195373914</c:v>
                </c:pt>
                <c:pt idx="556">
                  <c:v>-2172.2856697227653</c:v>
                </c:pt>
                <c:pt idx="557">
                  <c:v>-2132.9238722136524</c:v>
                </c:pt>
                <c:pt idx="558">
                  <c:v>-2091.3893169948751</c:v>
                </c:pt>
                <c:pt idx="559">
                  <c:v>-2047.6946558943146</c:v>
                </c:pt>
                <c:pt idx="560">
                  <c:v>-2001.8531987290135</c:v>
                </c:pt>
                <c:pt idx="561">
                  <c:v>-1953.8789092509087</c:v>
                </c:pt>
                <c:pt idx="562">
                  <c:v>-1903.7864008933038</c:v>
                </c:pt>
                <c:pt idx="563">
                  <c:v>-1851.5909323195119</c:v>
                </c:pt>
                <c:pt idx="564">
                  <c:v>-1797.3084027748782</c:v>
                </c:pt>
                <c:pt idx="565">
                  <c:v>-1740.9553472437528</c:v>
                </c:pt>
                <c:pt idx="566">
                  <c:v>-1682.5489314127635</c:v>
                </c:pt>
                <c:pt idx="567">
                  <c:v>-1622.1069464419543</c:v>
                </c:pt>
                <c:pt idx="568">
                  <c:v>-1559.6478035454684</c:v>
                </c:pt>
                <c:pt idx="569">
                  <c:v>-1495.1905283832866</c:v>
                </c:pt>
                <c:pt idx="570">
                  <c:v>-1428.7547552658434</c:v>
                </c:pt>
                <c:pt idx="571">
                  <c:v>-1360.3607211731933</c:v>
                </c:pt>
                <c:pt idx="572">
                  <c:v>-1290.0292595906831</c:v>
                </c:pt>
                <c:pt idx="573">
                  <c:v>-1217.7817941628127</c:v>
                </c:pt>
                <c:pt idx="574">
                  <c:v>-1143.6403321674434</c:v>
                </c:pt>
                <c:pt idx="575">
                  <c:v>-1067.6274578121074</c:v>
                </c:pt>
                <c:pt idx="576">
                  <c:v>-989.76632535469525</c:v>
                </c:pt>
                <c:pt idx="577">
                  <c:v>-910.08065205041839</c:v>
                </c:pt>
                <c:pt idx="578">
                  <c:v>-828.59471092728199</c:v>
                </c:pt>
                <c:pt idx="579">
                  <c:v>-745.3333233923413</c:v>
                </c:pt>
                <c:pt idx="580">
                  <c:v>-660.32185167079297</c:v>
                </c:pt>
                <c:pt idx="581">
                  <c:v>-573.58619108046423</c:v>
                </c:pt>
                <c:pt idx="582">
                  <c:v>-485.15276214378355</c:v>
                </c:pt>
                <c:pt idx="583">
                  <c:v>-395.04850253988479</c:v>
                </c:pt>
                <c:pt idx="584">
                  <c:v>-303.30085889910333</c:v>
                </c:pt>
                <c:pt idx="585">
                  <c:v>-209.93777844248234</c:v>
                </c:pt>
                <c:pt idx="586">
                  <c:v>-114.98770046873869</c:v>
                </c:pt>
                <c:pt idx="587">
                  <c:v>-18.479547691432344</c:v>
                </c:pt>
                <c:pt idx="588">
                  <c:v>79.557282571193355</c:v>
                </c:pt>
                <c:pt idx="589">
                  <c:v>179.09292735095732</c:v>
                </c:pt>
                <c:pt idx="590">
                  <c:v>280.09706712621573</c:v>
                </c:pt>
                <c:pt idx="591">
                  <c:v>382.53893505756241</c:v>
                </c:pt>
                <c:pt idx="592">
                  <c:v>486.38732635963152</c:v>
                </c:pt>
                <c:pt idx="593">
                  <c:v>591.61060780644857</c:v>
                </c:pt>
                <c:pt idx="594">
                  <c:v>698.17672736714576</c:v>
                </c:pt>
                <c:pt idx="595">
                  <c:v>806.05322396939391</c:v>
                </c:pt>
                <c:pt idx="596">
                  <c:v>915.2072373872852</c:v>
                </c:pt>
                <c:pt idx="597">
                  <c:v>1025.6055182509549</c:v>
                </c:pt>
                <c:pt idx="598">
                  <c:v>1137.2144381745907</c:v>
                </c:pt>
                <c:pt idx="599">
                  <c:v>1250.0000000000014</c:v>
                </c:pt>
                <c:pt idx="600">
                  <c:v>1363.927848152478</c:v>
                </c:pt>
                <c:pt idx="601">
                  <c:v>1478.9632791058175</c:v>
                </c:pt>
                <c:pt idx="602">
                  <c:v>1595.0712519534022</c:v>
                </c:pt>
                <c:pt idx="603">
                  <c:v>1712.2163990819154</c:v>
                </c:pt>
                <c:pt idx="604">
                  <c:v>1830.3630369447546</c:v>
                </c:pt>
                <c:pt idx="605">
                  <c:v>1949.4751769314912</c:v>
                </c:pt>
                <c:pt idx="606">
                  <c:v>2069.5165363304445</c:v>
                </c:pt>
                <c:pt idx="607">
                  <c:v>2190.45054938065</c:v>
                </c:pt>
                <c:pt idx="608">
                  <c:v>2312.240378410243</c:v>
                </c:pt>
                <c:pt idx="609">
                  <c:v>2434.8489250574844</c:v>
                </c:pt>
                <c:pt idx="610">
                  <c:v>2558.2388415713172</c:v>
                </c:pt>
                <c:pt idx="611">
                  <c:v>2682.3725421878912</c:v>
                </c:pt>
                <c:pt idx="612">
                  <c:v>2807.2122145794638</c:v>
                </c:pt>
                <c:pt idx="613">
                  <c:v>2932.7198313725003</c:v>
                </c:pt>
                <c:pt idx="614">
                  <c:v>3058.8571617310931</c:v>
                </c:pt>
                <c:pt idx="615">
                  <c:v>3185.5857830024961</c:v>
                </c:pt>
                <c:pt idx="616">
                  <c:v>3312.8670924210087</c:v>
                </c:pt>
                <c:pt idx="617">
                  <c:v>3440.6623188668063</c:v>
                </c:pt>
                <c:pt idx="618">
                  <c:v>3568.9325346759201</c:v>
                </c:pt>
                <c:pt idx="619">
                  <c:v>3697.6386674980204</c:v>
                </c:pt>
                <c:pt idx="620">
                  <c:v>3826.7415121982722</c:v>
                </c:pt>
                <c:pt idx="621">
                  <c:v>3956.2017427995047</c:v>
                </c:pt>
                <c:pt idx="622">
                  <c:v>4085.9799244613946</c:v>
                </c:pt>
                <c:pt idx="623">
                  <c:v>4216.036525492591</c:v>
                </c:pt>
                <c:pt idx="624">
                  <c:v>4346.3319293925615</c:v>
                </c:pt>
                <c:pt idx="625">
                  <c:v>4476.8264469190499</c:v>
                </c:pt>
                <c:pt idx="626">
                  <c:v>4607.4803281779159</c:v>
                </c:pt>
                <c:pt idx="627">
                  <c:v>4738.253774731229</c:v>
                </c:pt>
                <c:pt idx="628">
                  <c:v>4869.106951720365</c:v>
                </c:pt>
                <c:pt idx="629">
                  <c:v>4999.9999999999964</c:v>
                </c:pt>
                <c:pt idx="630">
                  <c:v>5130.8930482796286</c:v>
                </c:pt>
                <c:pt idx="631">
                  <c:v>5261.746225268751</c:v>
                </c:pt>
                <c:pt idx="632">
                  <c:v>5392.5196718220777</c:v>
                </c:pt>
                <c:pt idx="633">
                  <c:v>5523.1735530809437</c:v>
                </c:pt>
                <c:pt idx="634">
                  <c:v>5653.6680706074321</c:v>
                </c:pt>
                <c:pt idx="635">
                  <c:v>5783.9634745074018</c:v>
                </c:pt>
                <c:pt idx="636">
                  <c:v>5914.0200755385995</c:v>
                </c:pt>
                <c:pt idx="637">
                  <c:v>6043.7982572004894</c:v>
                </c:pt>
                <c:pt idx="638">
                  <c:v>6173.2584878017215</c:v>
                </c:pt>
                <c:pt idx="639">
                  <c:v>6302.3613325019724</c:v>
                </c:pt>
                <c:pt idx="640">
                  <c:v>6431.0674653240867</c:v>
                </c:pt>
                <c:pt idx="641">
                  <c:v>6559.3376811331873</c:v>
                </c:pt>
                <c:pt idx="642">
                  <c:v>6687.1329075789854</c:v>
                </c:pt>
                <c:pt idx="643">
                  <c:v>6814.4142169974975</c:v>
                </c:pt>
                <c:pt idx="644">
                  <c:v>6941.142838268901</c:v>
                </c:pt>
                <c:pt idx="645">
                  <c:v>7067.2801686274943</c:v>
                </c:pt>
                <c:pt idx="646">
                  <c:v>7192.7877854205299</c:v>
                </c:pt>
                <c:pt idx="647">
                  <c:v>7317.6274578121029</c:v>
                </c:pt>
                <c:pt idx="648">
                  <c:v>7441.7611584286769</c:v>
                </c:pt>
                <c:pt idx="649">
                  <c:v>7565.1510749425097</c:v>
                </c:pt>
                <c:pt idx="650">
                  <c:v>7687.7596215897511</c:v>
                </c:pt>
                <c:pt idx="651">
                  <c:v>7809.5494506193318</c:v>
                </c:pt>
                <c:pt idx="652">
                  <c:v>7930.4834636695614</c:v>
                </c:pt>
                <c:pt idx="653">
                  <c:v>8050.5248230685029</c:v>
                </c:pt>
                <c:pt idx="654">
                  <c:v>8169.6369630552399</c:v>
                </c:pt>
                <c:pt idx="655">
                  <c:v>8287.7836009180664</c:v>
                </c:pt>
                <c:pt idx="656">
                  <c:v>8404.9287480466046</c:v>
                </c:pt>
                <c:pt idx="657">
                  <c:v>8521.0367208941771</c:v>
                </c:pt>
                <c:pt idx="658">
                  <c:v>8636.0721518475166</c:v>
                </c:pt>
                <c:pt idx="659">
                  <c:v>8749.9999999999927</c:v>
                </c:pt>
                <c:pt idx="660">
                  <c:v>8862.7855618254034</c:v>
                </c:pt>
                <c:pt idx="661">
                  <c:v>8974.3944817490392</c:v>
                </c:pt>
                <c:pt idx="662">
                  <c:v>9084.7927626126984</c:v>
                </c:pt>
                <c:pt idx="663">
                  <c:v>9193.9467760305997</c:v>
                </c:pt>
                <c:pt idx="664">
                  <c:v>9301.8232726328497</c:v>
                </c:pt>
                <c:pt idx="665">
                  <c:v>9408.3893921935451</c:v>
                </c:pt>
                <c:pt idx="666">
                  <c:v>9513.612673640353</c:v>
                </c:pt>
                <c:pt idx="667">
                  <c:v>9617.461064942443</c:v>
                </c:pt>
                <c:pt idx="668">
                  <c:v>9719.9029328737797</c:v>
                </c:pt>
                <c:pt idx="669">
                  <c:v>9820.907072649039</c:v>
                </c:pt>
                <c:pt idx="670">
                  <c:v>9920.4427174287921</c:v>
                </c:pt>
                <c:pt idx="671">
                  <c:v>10018.479547691437</c:v>
                </c:pt>
                <c:pt idx="672">
                  <c:v>10114.987700468733</c:v>
                </c:pt>
                <c:pt idx="673">
                  <c:v>10209.937778442469</c:v>
                </c:pt>
                <c:pt idx="674">
                  <c:v>10303.300858899109</c:v>
                </c:pt>
                <c:pt idx="675">
                  <c:v>10395.048502539879</c:v>
                </c:pt>
                <c:pt idx="676">
                  <c:v>10485.152762143778</c:v>
                </c:pt>
                <c:pt idx="677">
                  <c:v>10573.586191080452</c:v>
                </c:pt>
                <c:pt idx="678">
                  <c:v>10660.321851670789</c:v>
                </c:pt>
                <c:pt idx="679">
                  <c:v>10745.333323392337</c:v>
                </c:pt>
                <c:pt idx="680">
                  <c:v>10828.594710927278</c:v>
                </c:pt>
                <c:pt idx="681">
                  <c:v>10910.080652050405</c:v>
                </c:pt>
                <c:pt idx="682">
                  <c:v>10989.7663253547</c:v>
                </c:pt>
                <c:pt idx="683">
                  <c:v>11067.627457812105</c:v>
                </c:pt>
                <c:pt idx="684">
                  <c:v>11143.640332167432</c:v>
                </c:pt>
                <c:pt idx="685">
                  <c:v>11217.781794162816</c:v>
                </c:pt>
                <c:pt idx="686">
                  <c:v>11290.029259590679</c:v>
                </c:pt>
                <c:pt idx="687">
                  <c:v>11360.360721173191</c:v>
                </c:pt>
                <c:pt idx="688">
                  <c:v>11428.754755265833</c:v>
                </c:pt>
                <c:pt idx="689">
                  <c:v>11495.190528383289</c:v>
                </c:pt>
                <c:pt idx="690">
                  <c:v>11559.647803545464</c:v>
                </c:pt>
                <c:pt idx="691">
                  <c:v>11622.106946441951</c:v>
                </c:pt>
                <c:pt idx="692">
                  <c:v>11682.548931412755</c:v>
                </c:pt>
                <c:pt idx="693">
                  <c:v>11740.955347243751</c:v>
                </c:pt>
                <c:pt idx="694">
                  <c:v>11797.308402774874</c:v>
                </c:pt>
                <c:pt idx="695">
                  <c:v>11851.590932319503</c:v>
                </c:pt>
                <c:pt idx="696">
                  <c:v>11903.786400893307</c:v>
                </c:pt>
                <c:pt idx="697">
                  <c:v>11953.878909250907</c:v>
                </c:pt>
                <c:pt idx="698">
                  <c:v>12001.853198729012</c:v>
                </c:pt>
                <c:pt idx="699">
                  <c:v>12047.694655894309</c:v>
                </c:pt>
                <c:pt idx="700">
                  <c:v>12091.389316994877</c:v>
                </c:pt>
                <c:pt idx="701">
                  <c:v>12132.923872213651</c:v>
                </c:pt>
                <c:pt idx="702">
                  <c:v>12172.285669722762</c:v>
                </c:pt>
                <c:pt idx="703">
                  <c:v>12209.462719537391</c:v>
                </c:pt>
                <c:pt idx="704">
                  <c:v>12244.443697168012</c:v>
                </c:pt>
                <c:pt idx="705">
                  <c:v>12277.21794706997</c:v>
                </c:pt>
                <c:pt idx="706">
                  <c:v>12307.775485889262</c:v>
                </c:pt>
                <c:pt idx="707">
                  <c:v>12336.107005503542</c:v>
                </c:pt>
                <c:pt idx="708">
                  <c:v>12362.203875857478</c:v>
                </c:pt>
                <c:pt idx="709">
                  <c:v>12386.058147591561</c:v>
                </c:pt>
                <c:pt idx="710">
                  <c:v>12407.662554463532</c:v>
                </c:pt>
                <c:pt idx="711">
                  <c:v>12427.010515561778</c:v>
                </c:pt>
                <c:pt idx="712">
                  <c:v>12444.096137309916</c:v>
                </c:pt>
                <c:pt idx="713">
                  <c:v>12458.914215262048</c:v>
                </c:pt>
                <c:pt idx="714">
                  <c:v>12471.460235688093</c:v>
                </c:pt>
                <c:pt idx="715">
                  <c:v>12481.730376948683</c:v>
                </c:pt>
                <c:pt idx="716">
                  <c:v>12489.721510659303</c:v>
                </c:pt>
                <c:pt idx="717">
                  <c:v>12495.431202643216</c:v>
                </c:pt>
                <c:pt idx="718">
                  <c:v>12498.857713672935</c:v>
                </c:pt>
                <c:pt idx="719">
                  <c:v>12500</c:v>
                </c:pt>
                <c:pt idx="720">
                  <c:v>12498.857713672935</c:v>
                </c:pt>
                <c:pt idx="721">
                  <c:v>12495.431202643218</c:v>
                </c:pt>
                <c:pt idx="722">
                  <c:v>12489.721510659303</c:v>
                </c:pt>
                <c:pt idx="723">
                  <c:v>12481.730376948683</c:v>
                </c:pt>
                <c:pt idx="724">
                  <c:v>12471.460235688091</c:v>
                </c:pt>
                <c:pt idx="725">
                  <c:v>12458.91421526205</c:v>
                </c:pt>
                <c:pt idx="726">
                  <c:v>12444.096137309916</c:v>
                </c:pt>
                <c:pt idx="727">
                  <c:v>12427.010515561778</c:v>
                </c:pt>
                <c:pt idx="728">
                  <c:v>12407.662554463535</c:v>
                </c:pt>
                <c:pt idx="729">
                  <c:v>12386.058147591561</c:v>
                </c:pt>
                <c:pt idx="730">
                  <c:v>12362.20387585748</c:v>
                </c:pt>
                <c:pt idx="731">
                  <c:v>12336.107005503545</c:v>
                </c:pt>
                <c:pt idx="732">
                  <c:v>12307.775485889268</c:v>
                </c:pt>
                <c:pt idx="733">
                  <c:v>12277.217947069974</c:v>
                </c:pt>
                <c:pt idx="734">
                  <c:v>12244.443697168015</c:v>
                </c:pt>
                <c:pt idx="735">
                  <c:v>12209.462719537394</c:v>
                </c:pt>
                <c:pt idx="736">
                  <c:v>12172.285669722765</c:v>
                </c:pt>
                <c:pt idx="737">
                  <c:v>12132.923872213654</c:v>
                </c:pt>
                <c:pt idx="738">
                  <c:v>12091.389316994875</c:v>
                </c:pt>
                <c:pt idx="739">
                  <c:v>12047.694655894315</c:v>
                </c:pt>
                <c:pt idx="740">
                  <c:v>12001.853198729013</c:v>
                </c:pt>
                <c:pt idx="741">
                  <c:v>11953.878909250903</c:v>
                </c:pt>
                <c:pt idx="742">
                  <c:v>11903.786400893305</c:v>
                </c:pt>
                <c:pt idx="743">
                  <c:v>11851.590932319512</c:v>
                </c:pt>
                <c:pt idx="744">
                  <c:v>11797.308402774872</c:v>
                </c:pt>
                <c:pt idx="745">
                  <c:v>11740.955347243755</c:v>
                </c:pt>
                <c:pt idx="746">
                  <c:v>11682.548931412763</c:v>
                </c:pt>
                <c:pt idx="747">
                  <c:v>11622.106946441949</c:v>
                </c:pt>
                <c:pt idx="748">
                  <c:v>11559.647803545469</c:v>
                </c:pt>
                <c:pt idx="749">
                  <c:v>11495.190528383293</c:v>
                </c:pt>
                <c:pt idx="750">
                  <c:v>11428.754755265851</c:v>
                </c:pt>
                <c:pt idx="751">
                  <c:v>11360.360721173194</c:v>
                </c:pt>
                <c:pt idx="752">
                  <c:v>11290.029259590683</c:v>
                </c:pt>
                <c:pt idx="753">
                  <c:v>11217.781794162813</c:v>
                </c:pt>
                <c:pt idx="754">
                  <c:v>11143.640332167444</c:v>
                </c:pt>
                <c:pt idx="755">
                  <c:v>11067.627457812108</c:v>
                </c:pt>
                <c:pt idx="756">
                  <c:v>10989.766325354696</c:v>
                </c:pt>
                <c:pt idx="757">
                  <c:v>10910.080652050419</c:v>
                </c:pt>
                <c:pt idx="758">
                  <c:v>10828.594710927282</c:v>
                </c:pt>
                <c:pt idx="759">
                  <c:v>10745.333323392333</c:v>
                </c:pt>
                <c:pt idx="760">
                  <c:v>10660.321851670793</c:v>
                </c:pt>
                <c:pt idx="761">
                  <c:v>10573.586191080465</c:v>
                </c:pt>
                <c:pt idx="762">
                  <c:v>10485.152762143774</c:v>
                </c:pt>
                <c:pt idx="763">
                  <c:v>10395.048502539885</c:v>
                </c:pt>
                <c:pt idx="764">
                  <c:v>10303.300858899114</c:v>
                </c:pt>
                <c:pt idx="765">
                  <c:v>10209.937778442492</c:v>
                </c:pt>
                <c:pt idx="766">
                  <c:v>10114.987700468739</c:v>
                </c:pt>
                <c:pt idx="767">
                  <c:v>10018.479547691442</c:v>
                </c:pt>
                <c:pt idx="768">
                  <c:v>9920.4427174288066</c:v>
                </c:pt>
                <c:pt idx="769">
                  <c:v>9820.9070726490427</c:v>
                </c:pt>
                <c:pt idx="770">
                  <c:v>9719.9029328737852</c:v>
                </c:pt>
                <c:pt idx="771">
                  <c:v>9617.4610649424376</c:v>
                </c:pt>
                <c:pt idx="772">
                  <c:v>9513.6126736403694</c:v>
                </c:pt>
                <c:pt idx="773">
                  <c:v>9408.3893921935414</c:v>
                </c:pt>
                <c:pt idx="774">
                  <c:v>9301.8232726328442</c:v>
                </c:pt>
                <c:pt idx="775">
                  <c:v>9193.946776030607</c:v>
                </c:pt>
                <c:pt idx="776">
                  <c:v>9084.7927626127166</c:v>
                </c:pt>
                <c:pt idx="777">
                  <c:v>8974.3944817490337</c:v>
                </c:pt>
                <c:pt idx="778">
                  <c:v>8862.7855618254107</c:v>
                </c:pt>
                <c:pt idx="779">
                  <c:v>8750.0000000000109</c:v>
                </c:pt>
                <c:pt idx="780">
                  <c:v>8636.072151847522</c:v>
                </c:pt>
                <c:pt idx="781">
                  <c:v>8521.0367208941825</c:v>
                </c:pt>
                <c:pt idx="782">
                  <c:v>8404.9287480466101</c:v>
                </c:pt>
                <c:pt idx="783">
                  <c:v>8287.7836009180864</c:v>
                </c:pt>
                <c:pt idx="784">
                  <c:v>8169.6369630552463</c:v>
                </c:pt>
                <c:pt idx="785">
                  <c:v>8050.5248230685092</c:v>
                </c:pt>
                <c:pt idx="786">
                  <c:v>7930.4834636695559</c:v>
                </c:pt>
                <c:pt idx="787">
                  <c:v>7809.5494506193509</c:v>
                </c:pt>
                <c:pt idx="788">
                  <c:v>7687.7596215897447</c:v>
                </c:pt>
                <c:pt idx="789">
                  <c:v>7565.1510749425161</c:v>
                </c:pt>
                <c:pt idx="790">
                  <c:v>7441.7611584286842</c:v>
                </c:pt>
                <c:pt idx="791">
                  <c:v>7317.6274578120965</c:v>
                </c:pt>
                <c:pt idx="792">
                  <c:v>7192.7877854205244</c:v>
                </c:pt>
                <c:pt idx="793">
                  <c:v>7067.2801686275006</c:v>
                </c:pt>
                <c:pt idx="794">
                  <c:v>6941.142838268921</c:v>
                </c:pt>
                <c:pt idx="795">
                  <c:v>6814.4142169975048</c:v>
                </c:pt>
                <c:pt idx="796">
                  <c:v>6687.1329075789927</c:v>
                </c:pt>
                <c:pt idx="797">
                  <c:v>6559.3376811332073</c:v>
                </c:pt>
                <c:pt idx="798">
                  <c:v>6431.067465324094</c:v>
                </c:pt>
                <c:pt idx="799">
                  <c:v>6302.3613325019796</c:v>
                </c:pt>
                <c:pt idx="800">
                  <c:v>6173.2584878017424</c:v>
                </c:pt>
                <c:pt idx="801">
                  <c:v>6043.7982572004967</c:v>
                </c:pt>
                <c:pt idx="802">
                  <c:v>5914.0200755386068</c:v>
                </c:pt>
                <c:pt idx="803">
                  <c:v>5783.9634745073963</c:v>
                </c:pt>
                <c:pt idx="804">
                  <c:v>5653.6680706074394</c:v>
                </c:pt>
                <c:pt idx="805">
                  <c:v>5523.173553080951</c:v>
                </c:pt>
                <c:pt idx="806">
                  <c:v>5392.5196718220723</c:v>
                </c:pt>
                <c:pt idx="807">
                  <c:v>5261.7462252687583</c:v>
                </c:pt>
                <c:pt idx="808">
                  <c:v>5130.8930482796359</c:v>
                </c:pt>
                <c:pt idx="809">
                  <c:v>5000.0000000000173</c:v>
                </c:pt>
                <c:pt idx="810">
                  <c:v>4869.1069517203723</c:v>
                </c:pt>
                <c:pt idx="811">
                  <c:v>4738.2537747312499</c:v>
                </c:pt>
                <c:pt idx="812">
                  <c:v>4607.4803281779368</c:v>
                </c:pt>
                <c:pt idx="813">
                  <c:v>4476.8264469190572</c:v>
                </c:pt>
                <c:pt idx="814">
                  <c:v>4346.3319293925688</c:v>
                </c:pt>
                <c:pt idx="815">
                  <c:v>4216.0365254926119</c:v>
                </c:pt>
                <c:pt idx="816">
                  <c:v>4085.9799244614019</c:v>
                </c:pt>
                <c:pt idx="817">
                  <c:v>3956.201742799512</c:v>
                </c:pt>
                <c:pt idx="818">
                  <c:v>3826.7415121982658</c:v>
                </c:pt>
                <c:pt idx="819">
                  <c:v>3697.6386674980276</c:v>
                </c:pt>
                <c:pt idx="820">
                  <c:v>3568.9325346759274</c:v>
                </c:pt>
                <c:pt idx="821">
                  <c:v>3440.6623188668004</c:v>
                </c:pt>
                <c:pt idx="822">
                  <c:v>3312.8670924210155</c:v>
                </c:pt>
                <c:pt idx="823">
                  <c:v>3185.5857830025034</c:v>
                </c:pt>
                <c:pt idx="824">
                  <c:v>3058.8571617310881</c:v>
                </c:pt>
                <c:pt idx="825">
                  <c:v>2932.7198313725071</c:v>
                </c:pt>
                <c:pt idx="826">
                  <c:v>2807.2122145794833</c:v>
                </c:pt>
                <c:pt idx="827">
                  <c:v>2682.3725421879112</c:v>
                </c:pt>
                <c:pt idx="828">
                  <c:v>2558.238841571324</c:v>
                </c:pt>
                <c:pt idx="829">
                  <c:v>2434.8489250574912</c:v>
                </c:pt>
                <c:pt idx="830">
                  <c:v>2312.2403784102498</c:v>
                </c:pt>
                <c:pt idx="831">
                  <c:v>2190.4505493806569</c:v>
                </c:pt>
                <c:pt idx="832">
                  <c:v>2069.5165363304513</c:v>
                </c:pt>
                <c:pt idx="833">
                  <c:v>1949.4751769314985</c:v>
                </c:pt>
                <c:pt idx="834">
                  <c:v>1830.3630369447615</c:v>
                </c:pt>
                <c:pt idx="835">
                  <c:v>1712.2163990819222</c:v>
                </c:pt>
                <c:pt idx="836">
                  <c:v>1595.0712519533968</c:v>
                </c:pt>
                <c:pt idx="837">
                  <c:v>1478.9632791058243</c:v>
                </c:pt>
                <c:pt idx="838">
                  <c:v>1363.9278481524843</c:v>
                </c:pt>
                <c:pt idx="839">
                  <c:v>1249.9999999999959</c:v>
                </c:pt>
                <c:pt idx="840">
                  <c:v>1137.2144381745961</c:v>
                </c:pt>
                <c:pt idx="841">
                  <c:v>1025.6055182509722</c:v>
                </c:pt>
                <c:pt idx="842">
                  <c:v>915.20723738729112</c:v>
                </c:pt>
                <c:pt idx="843">
                  <c:v>806.05322396940028</c:v>
                </c:pt>
                <c:pt idx="844">
                  <c:v>698.17672736716213</c:v>
                </c:pt>
                <c:pt idx="845">
                  <c:v>591.61060780645494</c:v>
                </c:pt>
                <c:pt idx="846">
                  <c:v>486.38732635963697</c:v>
                </c:pt>
                <c:pt idx="847">
                  <c:v>382.53893505756878</c:v>
                </c:pt>
                <c:pt idx="848">
                  <c:v>280.09706712622028</c:v>
                </c:pt>
                <c:pt idx="849">
                  <c:v>179.09292735096278</c:v>
                </c:pt>
                <c:pt idx="850">
                  <c:v>79.557282571199721</c:v>
                </c:pt>
                <c:pt idx="851">
                  <c:v>-18.479547691436892</c:v>
                </c:pt>
                <c:pt idx="852">
                  <c:v>-114.98770046873233</c:v>
                </c:pt>
                <c:pt idx="853">
                  <c:v>-209.93777844248689</c:v>
                </c:pt>
                <c:pt idx="854">
                  <c:v>-303.30085889910879</c:v>
                </c:pt>
                <c:pt idx="855">
                  <c:v>-395.04850253987934</c:v>
                </c:pt>
                <c:pt idx="856">
                  <c:v>-485.152762143769</c:v>
                </c:pt>
                <c:pt idx="857">
                  <c:v>-573.58619108046059</c:v>
                </c:pt>
                <c:pt idx="858">
                  <c:v>-660.32185167078751</c:v>
                </c:pt>
                <c:pt idx="859">
                  <c:v>-745.33332339232766</c:v>
                </c:pt>
                <c:pt idx="860">
                  <c:v>-828.59471092727745</c:v>
                </c:pt>
                <c:pt idx="861">
                  <c:v>-910.08065205041385</c:v>
                </c:pt>
                <c:pt idx="862">
                  <c:v>-989.76632535469071</c:v>
                </c:pt>
                <c:pt idx="863">
                  <c:v>-1067.6274578121038</c:v>
                </c:pt>
                <c:pt idx="864">
                  <c:v>-1143.6403321674388</c:v>
                </c:pt>
                <c:pt idx="865">
                  <c:v>-1217.7817941628164</c:v>
                </c:pt>
                <c:pt idx="866">
                  <c:v>-1290.0292595906785</c:v>
                </c:pt>
                <c:pt idx="867">
                  <c:v>-1360.3607211731896</c:v>
                </c:pt>
                <c:pt idx="868">
                  <c:v>-1428.7547552658471</c:v>
                </c:pt>
                <c:pt idx="869">
                  <c:v>-1495.1905283832893</c:v>
                </c:pt>
                <c:pt idx="870">
                  <c:v>-1559.6478035454647</c:v>
                </c:pt>
                <c:pt idx="871">
                  <c:v>-1622.1069464419443</c:v>
                </c:pt>
                <c:pt idx="872">
                  <c:v>-1682.5489314127599</c:v>
                </c:pt>
                <c:pt idx="873">
                  <c:v>-1740.9553472437492</c:v>
                </c:pt>
                <c:pt idx="874">
                  <c:v>-1797.3084027748691</c:v>
                </c:pt>
                <c:pt idx="875">
                  <c:v>-1851.5909323195083</c:v>
                </c:pt>
                <c:pt idx="876">
                  <c:v>-1903.7864008933011</c:v>
                </c:pt>
                <c:pt idx="877">
                  <c:v>-1953.8789092509005</c:v>
                </c:pt>
                <c:pt idx="878">
                  <c:v>-2001.8531987290107</c:v>
                </c:pt>
                <c:pt idx="879">
                  <c:v>-2047.6946558943127</c:v>
                </c:pt>
                <c:pt idx="880">
                  <c:v>-2091.3893169948769</c:v>
                </c:pt>
                <c:pt idx="881">
                  <c:v>-2132.9238722136506</c:v>
                </c:pt>
                <c:pt idx="882">
                  <c:v>-2172.2856697227626</c:v>
                </c:pt>
                <c:pt idx="883">
                  <c:v>-2209.4627195373932</c:v>
                </c:pt>
                <c:pt idx="884">
                  <c:v>-2244.4436971680116</c:v>
                </c:pt>
                <c:pt idx="885">
                  <c:v>-2277.2179470699712</c:v>
                </c:pt>
                <c:pt idx="886">
                  <c:v>-2307.7754858892658</c:v>
                </c:pt>
                <c:pt idx="887">
                  <c:v>-2336.1070055035425</c:v>
                </c:pt>
                <c:pt idx="888">
                  <c:v>-2362.2038758574781</c:v>
                </c:pt>
                <c:pt idx="889">
                  <c:v>-2386.0581475915578</c:v>
                </c:pt>
                <c:pt idx="890">
                  <c:v>-2407.6625544635335</c:v>
                </c:pt>
                <c:pt idx="891">
                  <c:v>-2427.0105155617766</c:v>
                </c:pt>
                <c:pt idx="892">
                  <c:v>-2444.0961373099135</c:v>
                </c:pt>
                <c:pt idx="893">
                  <c:v>-2458.9142152620489</c:v>
                </c:pt>
                <c:pt idx="894">
                  <c:v>-2471.4602356880905</c:v>
                </c:pt>
                <c:pt idx="895">
                  <c:v>-2481.7303769486825</c:v>
                </c:pt>
                <c:pt idx="896">
                  <c:v>-2489.7215106593039</c:v>
                </c:pt>
                <c:pt idx="897">
                  <c:v>-2495.4312026432181</c:v>
                </c:pt>
                <c:pt idx="898">
                  <c:v>-2498.8577136729346</c:v>
                </c:pt>
                <c:pt idx="899">
                  <c:v>-2500</c:v>
                </c:pt>
                <c:pt idx="900">
                  <c:v>-2498.8577136729346</c:v>
                </c:pt>
                <c:pt idx="901">
                  <c:v>-2495.4312026432171</c:v>
                </c:pt>
                <c:pt idx="902">
                  <c:v>-2489.7215106593048</c:v>
                </c:pt>
                <c:pt idx="903">
                  <c:v>-2481.7303769486825</c:v>
                </c:pt>
                <c:pt idx="904">
                  <c:v>-2471.4602356880932</c:v>
                </c:pt>
                <c:pt idx="905">
                  <c:v>-2458.9142152620498</c:v>
                </c:pt>
                <c:pt idx="906">
                  <c:v>-2444.0961373099162</c:v>
                </c:pt>
                <c:pt idx="907">
                  <c:v>-2427.0105155617794</c:v>
                </c:pt>
                <c:pt idx="908">
                  <c:v>-2407.6625544635326</c:v>
                </c:pt>
                <c:pt idx="909">
                  <c:v>-2386.0581475915615</c:v>
                </c:pt>
                <c:pt idx="910">
                  <c:v>-2362.2038758574799</c:v>
                </c:pt>
                <c:pt idx="911">
                  <c:v>-2336.1070055035443</c:v>
                </c:pt>
                <c:pt idx="912">
                  <c:v>-2307.7754858892649</c:v>
                </c:pt>
                <c:pt idx="913">
                  <c:v>-2277.2179470699739</c:v>
                </c:pt>
                <c:pt idx="914">
                  <c:v>-2244.4436971680143</c:v>
                </c:pt>
                <c:pt idx="915">
                  <c:v>-2209.462719537396</c:v>
                </c:pt>
                <c:pt idx="916">
                  <c:v>-2172.2856697227689</c:v>
                </c:pt>
                <c:pt idx="917">
                  <c:v>-2132.923872213657</c:v>
                </c:pt>
                <c:pt idx="918">
                  <c:v>-2091.3893169948751</c:v>
                </c:pt>
                <c:pt idx="919">
                  <c:v>-2047.6946558943155</c:v>
                </c:pt>
                <c:pt idx="920">
                  <c:v>-2001.8531987290089</c:v>
                </c:pt>
                <c:pt idx="921">
                  <c:v>-1953.8789092509051</c:v>
                </c:pt>
                <c:pt idx="922">
                  <c:v>-1903.7864008933047</c:v>
                </c:pt>
                <c:pt idx="923">
                  <c:v>-1851.5909323195019</c:v>
                </c:pt>
                <c:pt idx="924">
                  <c:v>-1797.3084027748728</c:v>
                </c:pt>
                <c:pt idx="925">
                  <c:v>-1740.9553472437537</c:v>
                </c:pt>
                <c:pt idx="926">
                  <c:v>-1682.5489314127644</c:v>
                </c:pt>
                <c:pt idx="927">
                  <c:v>-1622.1069464419488</c:v>
                </c:pt>
                <c:pt idx="928">
                  <c:v>-1559.6478035454693</c:v>
                </c:pt>
                <c:pt idx="929">
                  <c:v>-1495.1905283832948</c:v>
                </c:pt>
                <c:pt idx="930">
                  <c:v>-1428.754755265838</c:v>
                </c:pt>
                <c:pt idx="931">
                  <c:v>-1360.3607211731942</c:v>
                </c:pt>
                <c:pt idx="932">
                  <c:v>-1290.029259590684</c:v>
                </c:pt>
                <c:pt idx="933">
                  <c:v>-1217.7817941628209</c:v>
                </c:pt>
                <c:pt idx="934">
                  <c:v>-1143.640332167437</c:v>
                </c:pt>
                <c:pt idx="935">
                  <c:v>-1067.6274578121083</c:v>
                </c:pt>
                <c:pt idx="936">
                  <c:v>-989.76632535470344</c:v>
                </c:pt>
                <c:pt idx="937">
                  <c:v>-910.08065205042749</c:v>
                </c:pt>
                <c:pt idx="938">
                  <c:v>-828.59471092728381</c:v>
                </c:pt>
                <c:pt idx="939">
                  <c:v>-745.33332339234221</c:v>
                </c:pt>
                <c:pt idx="940">
                  <c:v>-660.32185167080297</c:v>
                </c:pt>
                <c:pt idx="941">
                  <c:v>-573.58619108045696</c:v>
                </c:pt>
                <c:pt idx="942">
                  <c:v>-485.15276214378446</c:v>
                </c:pt>
                <c:pt idx="943">
                  <c:v>-395.0485025398948</c:v>
                </c:pt>
                <c:pt idx="944">
                  <c:v>-303.30085889912425</c:v>
                </c:pt>
                <c:pt idx="945">
                  <c:v>-209.93777844248416</c:v>
                </c:pt>
                <c:pt idx="946">
                  <c:v>-114.98770046874961</c:v>
                </c:pt>
                <c:pt idx="947">
                  <c:v>-18.479547691433254</c:v>
                </c:pt>
                <c:pt idx="948">
                  <c:v>79.557282571192445</c:v>
                </c:pt>
                <c:pt idx="949">
                  <c:v>179.0929273509455</c:v>
                </c:pt>
                <c:pt idx="950">
                  <c:v>280.09706712622392</c:v>
                </c:pt>
                <c:pt idx="951">
                  <c:v>382.5389350575615</c:v>
                </c:pt>
                <c:pt idx="952">
                  <c:v>486.3873263596297</c:v>
                </c:pt>
                <c:pt idx="953">
                  <c:v>591.61060780645857</c:v>
                </c:pt>
                <c:pt idx="954">
                  <c:v>698.17672736715485</c:v>
                </c:pt>
                <c:pt idx="955">
                  <c:v>806.05322396939209</c:v>
                </c:pt>
                <c:pt idx="956">
                  <c:v>915.20723738730612</c:v>
                </c:pt>
                <c:pt idx="957">
                  <c:v>1025.6055182509649</c:v>
                </c:pt>
                <c:pt idx="958">
                  <c:v>1137.2144381745888</c:v>
                </c:pt>
                <c:pt idx="959">
                  <c:v>1249.9999999999882</c:v>
                </c:pt>
                <c:pt idx="960">
                  <c:v>1363.9278481524761</c:v>
                </c:pt>
                <c:pt idx="961">
                  <c:v>1478.9632791058161</c:v>
                </c:pt>
                <c:pt idx="962">
                  <c:v>1595.0712519533886</c:v>
                </c:pt>
                <c:pt idx="963">
                  <c:v>1712.2163990819258</c:v>
                </c:pt>
                <c:pt idx="964">
                  <c:v>1830.3630369447528</c:v>
                </c:pt>
                <c:pt idx="965">
                  <c:v>1949.4751769314898</c:v>
                </c:pt>
                <c:pt idx="966">
                  <c:v>2069.5165363304309</c:v>
                </c:pt>
                <c:pt idx="967">
                  <c:v>2190.4505493806605</c:v>
                </c:pt>
                <c:pt idx="968">
                  <c:v>2312.2403784102412</c:v>
                </c:pt>
                <c:pt idx="969">
                  <c:v>2434.8489250574703</c:v>
                </c:pt>
                <c:pt idx="970">
                  <c:v>2558.2388415713281</c:v>
                </c:pt>
                <c:pt idx="971">
                  <c:v>2682.3725421878894</c:v>
                </c:pt>
                <c:pt idx="972">
                  <c:v>2807.2122145794619</c:v>
                </c:pt>
                <c:pt idx="973">
                  <c:v>2932.7198313724857</c:v>
                </c:pt>
                <c:pt idx="974">
                  <c:v>3058.8571617310918</c:v>
                </c:pt>
                <c:pt idx="975">
                  <c:v>3185.5857830024815</c:v>
                </c:pt>
                <c:pt idx="976">
                  <c:v>3312.8670924209937</c:v>
                </c:pt>
                <c:pt idx="977">
                  <c:v>3440.6623188668045</c:v>
                </c:pt>
                <c:pt idx="978">
                  <c:v>3568.9325346759051</c:v>
                </c:pt>
                <c:pt idx="979">
                  <c:v>3697.6386674980058</c:v>
                </c:pt>
                <c:pt idx="980">
                  <c:v>3826.7415121982704</c:v>
                </c:pt>
                <c:pt idx="981">
                  <c:v>3956.2017427995024</c:v>
                </c:pt>
                <c:pt idx="982">
                  <c:v>4085.979924461406</c:v>
                </c:pt>
                <c:pt idx="983">
                  <c:v>4216.0365254926028</c:v>
                </c:pt>
                <c:pt idx="984">
                  <c:v>4346.3319293925597</c:v>
                </c:pt>
                <c:pt idx="985">
                  <c:v>4476.8264469190744</c:v>
                </c:pt>
                <c:pt idx="986">
                  <c:v>4607.4803281779277</c:v>
                </c:pt>
                <c:pt idx="987">
                  <c:v>4738.2537747312408</c:v>
                </c:pt>
                <c:pt idx="988">
                  <c:v>4869.1069517203632</c:v>
                </c:pt>
                <c:pt idx="989">
                  <c:v>5000.0000000000082</c:v>
                </c:pt>
                <c:pt idx="990">
                  <c:v>5130.8930482796268</c:v>
                </c:pt>
                <c:pt idx="991">
                  <c:v>5261.7462252687492</c:v>
                </c:pt>
                <c:pt idx="992">
                  <c:v>5392.5196718220895</c:v>
                </c:pt>
                <c:pt idx="993">
                  <c:v>5523.1735530809419</c:v>
                </c:pt>
                <c:pt idx="994">
                  <c:v>5653.6680706074303</c:v>
                </c:pt>
                <c:pt idx="995">
                  <c:v>5783.9634745073872</c:v>
                </c:pt>
                <c:pt idx="996">
                  <c:v>5914.0200755386104</c:v>
                </c:pt>
                <c:pt idx="997">
                  <c:v>6043.7982572004876</c:v>
                </c:pt>
                <c:pt idx="998">
                  <c:v>6173.2584878017196</c:v>
                </c:pt>
                <c:pt idx="999">
                  <c:v>6302.3613325019578</c:v>
                </c:pt>
              </c:numCache>
            </c:numRef>
          </c:xVal>
          <c:yVal>
            <c:numRef>
              <c:f>Calculs!$AP$6:$AP$1005</c:f>
              <c:numCache>
                <c:formatCode>0.000</c:formatCode>
                <c:ptCount val="1000"/>
                <c:pt idx="0">
                  <c:v>15130.893048279626</c:v>
                </c:pt>
                <c:pt idx="1">
                  <c:v>15261.746225268756</c:v>
                </c:pt>
                <c:pt idx="2">
                  <c:v>15392.51967182208</c:v>
                </c:pt>
                <c:pt idx="3">
                  <c:v>15523.17355308094</c:v>
                </c:pt>
                <c:pt idx="4">
                  <c:v>15653.668070607437</c:v>
                </c:pt>
                <c:pt idx="5">
                  <c:v>15783.963474507402</c:v>
                </c:pt>
                <c:pt idx="6">
                  <c:v>15914.020075538607</c:v>
                </c:pt>
                <c:pt idx="7">
                  <c:v>16043.798257200491</c:v>
                </c:pt>
                <c:pt idx="8">
                  <c:v>16173.258487801731</c:v>
                </c:pt>
                <c:pt idx="9">
                  <c:v>16302.361332501978</c:v>
                </c:pt>
                <c:pt idx="10">
                  <c:v>16431.067465324086</c:v>
                </c:pt>
                <c:pt idx="11">
                  <c:v>16559.337681133195</c:v>
                </c:pt>
                <c:pt idx="12">
                  <c:v>16687.132907578987</c:v>
                </c:pt>
                <c:pt idx="13">
                  <c:v>16814.414216997509</c:v>
                </c:pt>
                <c:pt idx="14">
                  <c:v>16941.142838268905</c:v>
                </c:pt>
                <c:pt idx="15">
                  <c:v>17067.280168627494</c:v>
                </c:pt>
                <c:pt idx="16">
                  <c:v>17192.787785420525</c:v>
                </c:pt>
                <c:pt idx="17">
                  <c:v>17317.627457812105</c:v>
                </c:pt>
                <c:pt idx="18">
                  <c:v>17441.761158428675</c:v>
                </c:pt>
                <c:pt idx="19">
                  <c:v>17565.151074942514</c:v>
                </c:pt>
                <c:pt idx="20">
                  <c:v>17687.75962158975</c:v>
                </c:pt>
                <c:pt idx="21">
                  <c:v>17809.549450619339</c:v>
                </c:pt>
                <c:pt idx="22">
                  <c:v>17930.483463669552</c:v>
                </c:pt>
                <c:pt idx="23">
                  <c:v>18050.524823068503</c:v>
                </c:pt>
                <c:pt idx="24">
                  <c:v>18169.636963055247</c:v>
                </c:pt>
                <c:pt idx="25">
                  <c:v>18287.783600918079</c:v>
                </c:pt>
                <c:pt idx="26">
                  <c:v>18404.928748046601</c:v>
                </c:pt>
                <c:pt idx="27">
                  <c:v>18521.036720894183</c:v>
                </c:pt>
                <c:pt idx="28">
                  <c:v>18636.072151847529</c:v>
                </c:pt>
                <c:pt idx="29">
                  <c:v>18750</c:v>
                </c:pt>
                <c:pt idx="30">
                  <c:v>18862.785561825407</c:v>
                </c:pt>
                <c:pt idx="31">
                  <c:v>18974.394481749037</c:v>
                </c:pt>
                <c:pt idx="32">
                  <c:v>19084.792762612702</c:v>
                </c:pt>
                <c:pt idx="33">
                  <c:v>19193.9467760306</c:v>
                </c:pt>
                <c:pt idx="34">
                  <c:v>19301.823272632846</c:v>
                </c:pt>
                <c:pt idx="35">
                  <c:v>19408.389392193549</c:v>
                </c:pt>
                <c:pt idx="36">
                  <c:v>19513.61267364036</c:v>
                </c:pt>
                <c:pt idx="37">
                  <c:v>19617.461064942436</c:v>
                </c:pt>
                <c:pt idx="38">
                  <c:v>19719.902932873782</c:v>
                </c:pt>
                <c:pt idx="39">
                  <c:v>19820.907072649046</c:v>
                </c:pt>
                <c:pt idx="40">
                  <c:v>19920.442717428803</c:v>
                </c:pt>
                <c:pt idx="41">
                  <c:v>20018.479547691437</c:v>
                </c:pt>
                <c:pt idx="42">
                  <c:v>20114.987700468737</c:v>
                </c:pt>
                <c:pt idx="43">
                  <c:v>20209.93777844248</c:v>
                </c:pt>
                <c:pt idx="44">
                  <c:v>20303.300858899107</c:v>
                </c:pt>
                <c:pt idx="45">
                  <c:v>20395.048502539881</c:v>
                </c:pt>
                <c:pt idx="46">
                  <c:v>20485.152762143778</c:v>
                </c:pt>
                <c:pt idx="47">
                  <c:v>20573.586191080456</c:v>
                </c:pt>
                <c:pt idx="48">
                  <c:v>20660.321851670789</c:v>
                </c:pt>
                <c:pt idx="49">
                  <c:v>20745.333323392333</c:v>
                </c:pt>
                <c:pt idx="50">
                  <c:v>20828.594710927282</c:v>
                </c:pt>
                <c:pt idx="51">
                  <c:v>20910.080652050416</c:v>
                </c:pt>
                <c:pt idx="52">
                  <c:v>20989.766325354696</c:v>
                </c:pt>
                <c:pt idx="53">
                  <c:v>21067.627457812105</c:v>
                </c:pt>
                <c:pt idx="54">
                  <c:v>21143.640332167437</c:v>
                </c:pt>
                <c:pt idx="55">
                  <c:v>21217.781794162813</c:v>
                </c:pt>
                <c:pt idx="56">
                  <c:v>21290.029259590679</c:v>
                </c:pt>
                <c:pt idx="57">
                  <c:v>21360.360721173194</c:v>
                </c:pt>
                <c:pt idx="58">
                  <c:v>21428.754755265843</c:v>
                </c:pt>
                <c:pt idx="59">
                  <c:v>21495.190528383289</c:v>
                </c:pt>
                <c:pt idx="60">
                  <c:v>21559.647803545467</c:v>
                </c:pt>
                <c:pt idx="61">
                  <c:v>21622.106946441952</c:v>
                </c:pt>
                <c:pt idx="62">
                  <c:v>21682.548931412759</c:v>
                </c:pt>
                <c:pt idx="63">
                  <c:v>21740.955347243755</c:v>
                </c:pt>
                <c:pt idx="64">
                  <c:v>21797.308402774874</c:v>
                </c:pt>
                <c:pt idx="65">
                  <c:v>21851.590932319508</c:v>
                </c:pt>
                <c:pt idx="66">
                  <c:v>21903.786400893303</c:v>
                </c:pt>
                <c:pt idx="67">
                  <c:v>21953.878909250907</c:v>
                </c:pt>
                <c:pt idx="68">
                  <c:v>22001.853198729012</c:v>
                </c:pt>
                <c:pt idx="69">
                  <c:v>22047.694655894313</c:v>
                </c:pt>
                <c:pt idx="70">
                  <c:v>22091.389316994875</c:v>
                </c:pt>
                <c:pt idx="71">
                  <c:v>22132.923872213651</c:v>
                </c:pt>
                <c:pt idx="72">
                  <c:v>22172.285669722765</c:v>
                </c:pt>
                <c:pt idx="73">
                  <c:v>22209.462719537391</c:v>
                </c:pt>
                <c:pt idx="74">
                  <c:v>22244.443697168012</c:v>
                </c:pt>
                <c:pt idx="75">
                  <c:v>22277.217947069974</c:v>
                </c:pt>
                <c:pt idx="76">
                  <c:v>22307.775485889266</c:v>
                </c:pt>
                <c:pt idx="77">
                  <c:v>22336.107005503542</c:v>
                </c:pt>
                <c:pt idx="78">
                  <c:v>22362.203875857478</c:v>
                </c:pt>
                <c:pt idx="79">
                  <c:v>22386.058147591561</c:v>
                </c:pt>
                <c:pt idx="80">
                  <c:v>22407.662554463532</c:v>
                </c:pt>
                <c:pt idx="81">
                  <c:v>22427.010515561778</c:v>
                </c:pt>
                <c:pt idx="82">
                  <c:v>22444.096137309916</c:v>
                </c:pt>
                <c:pt idx="83">
                  <c:v>22458.914215262048</c:v>
                </c:pt>
                <c:pt idx="84">
                  <c:v>22471.460235688093</c:v>
                </c:pt>
                <c:pt idx="85">
                  <c:v>22481.730376948683</c:v>
                </c:pt>
                <c:pt idx="86">
                  <c:v>22489.721510659303</c:v>
                </c:pt>
                <c:pt idx="87">
                  <c:v>22495.431202643216</c:v>
                </c:pt>
                <c:pt idx="88">
                  <c:v>22498.857713672936</c:v>
                </c:pt>
                <c:pt idx="89">
                  <c:v>22500</c:v>
                </c:pt>
                <c:pt idx="90">
                  <c:v>22498.857713672936</c:v>
                </c:pt>
                <c:pt idx="91">
                  <c:v>22495.431202643216</c:v>
                </c:pt>
                <c:pt idx="92">
                  <c:v>22489.721510659303</c:v>
                </c:pt>
                <c:pt idx="93">
                  <c:v>22481.730376948683</c:v>
                </c:pt>
                <c:pt idx="94">
                  <c:v>22471.460235688093</c:v>
                </c:pt>
                <c:pt idx="95">
                  <c:v>22458.914215262052</c:v>
                </c:pt>
                <c:pt idx="96">
                  <c:v>22444.096137309916</c:v>
                </c:pt>
                <c:pt idx="97">
                  <c:v>22427.010515561778</c:v>
                </c:pt>
                <c:pt idx="98">
                  <c:v>22407.662554463532</c:v>
                </c:pt>
                <c:pt idx="99">
                  <c:v>22386.058147591561</c:v>
                </c:pt>
                <c:pt idx="100">
                  <c:v>22362.203875857478</c:v>
                </c:pt>
                <c:pt idx="101">
                  <c:v>22336.107005503542</c:v>
                </c:pt>
                <c:pt idx="102">
                  <c:v>22307.775485889266</c:v>
                </c:pt>
                <c:pt idx="103">
                  <c:v>22277.217947069974</c:v>
                </c:pt>
                <c:pt idx="104">
                  <c:v>22244.443697168012</c:v>
                </c:pt>
                <c:pt idx="105">
                  <c:v>22209.462719537391</c:v>
                </c:pt>
                <c:pt idx="106">
                  <c:v>22172.285669722765</c:v>
                </c:pt>
                <c:pt idx="107">
                  <c:v>22132.923872213651</c:v>
                </c:pt>
                <c:pt idx="108">
                  <c:v>22091.389316994875</c:v>
                </c:pt>
                <c:pt idx="109">
                  <c:v>22047.694655894313</c:v>
                </c:pt>
                <c:pt idx="110">
                  <c:v>22001.853198729012</c:v>
                </c:pt>
                <c:pt idx="111">
                  <c:v>21953.878909250907</c:v>
                </c:pt>
                <c:pt idx="112">
                  <c:v>21903.786400893303</c:v>
                </c:pt>
                <c:pt idx="113">
                  <c:v>21851.590932319508</c:v>
                </c:pt>
                <c:pt idx="114">
                  <c:v>21797.308402774877</c:v>
                </c:pt>
                <c:pt idx="115">
                  <c:v>21740.955347243751</c:v>
                </c:pt>
                <c:pt idx="116">
                  <c:v>21682.548931412759</c:v>
                </c:pt>
                <c:pt idx="117">
                  <c:v>21622.106946441952</c:v>
                </c:pt>
                <c:pt idx="118">
                  <c:v>21559.647803545471</c:v>
                </c:pt>
                <c:pt idx="119">
                  <c:v>21495.190528383289</c:v>
                </c:pt>
                <c:pt idx="120">
                  <c:v>21428.754755265843</c:v>
                </c:pt>
                <c:pt idx="121">
                  <c:v>21360.360721173194</c:v>
                </c:pt>
                <c:pt idx="122">
                  <c:v>21290.029259590679</c:v>
                </c:pt>
                <c:pt idx="123">
                  <c:v>21217.781794162813</c:v>
                </c:pt>
                <c:pt idx="124">
                  <c:v>21143.640332167441</c:v>
                </c:pt>
                <c:pt idx="125">
                  <c:v>21067.627457812105</c:v>
                </c:pt>
                <c:pt idx="126">
                  <c:v>20989.766325354696</c:v>
                </c:pt>
                <c:pt idx="127">
                  <c:v>20910.080652050416</c:v>
                </c:pt>
                <c:pt idx="128">
                  <c:v>20828.594710927282</c:v>
                </c:pt>
                <c:pt idx="129">
                  <c:v>20745.333323392333</c:v>
                </c:pt>
                <c:pt idx="130">
                  <c:v>20660.321851670789</c:v>
                </c:pt>
                <c:pt idx="131">
                  <c:v>20573.586191080456</c:v>
                </c:pt>
                <c:pt idx="132">
                  <c:v>20485.152762143778</c:v>
                </c:pt>
                <c:pt idx="133">
                  <c:v>20395.048502539885</c:v>
                </c:pt>
                <c:pt idx="134">
                  <c:v>20303.300858899107</c:v>
                </c:pt>
                <c:pt idx="135">
                  <c:v>20209.93777844248</c:v>
                </c:pt>
                <c:pt idx="136">
                  <c:v>20114.987700468741</c:v>
                </c:pt>
                <c:pt idx="137">
                  <c:v>20018.479547691437</c:v>
                </c:pt>
                <c:pt idx="138">
                  <c:v>19920.442717428807</c:v>
                </c:pt>
                <c:pt idx="139">
                  <c:v>19820.907072649046</c:v>
                </c:pt>
                <c:pt idx="140">
                  <c:v>19719.902932873782</c:v>
                </c:pt>
                <c:pt idx="141">
                  <c:v>19617.461064942436</c:v>
                </c:pt>
                <c:pt idx="142">
                  <c:v>19513.61267364036</c:v>
                </c:pt>
                <c:pt idx="143">
                  <c:v>19408.389392193549</c:v>
                </c:pt>
                <c:pt idx="144">
                  <c:v>19301.82327263285</c:v>
                </c:pt>
                <c:pt idx="145">
                  <c:v>19193.9467760306</c:v>
                </c:pt>
                <c:pt idx="146">
                  <c:v>19084.792762612702</c:v>
                </c:pt>
                <c:pt idx="147">
                  <c:v>18974.394481749037</c:v>
                </c:pt>
                <c:pt idx="148">
                  <c:v>18862.785561825407</c:v>
                </c:pt>
                <c:pt idx="149">
                  <c:v>18750</c:v>
                </c:pt>
                <c:pt idx="150">
                  <c:v>18636.072151847529</c:v>
                </c:pt>
                <c:pt idx="151">
                  <c:v>18521.036720894183</c:v>
                </c:pt>
                <c:pt idx="152">
                  <c:v>18404.928748046601</c:v>
                </c:pt>
                <c:pt idx="153">
                  <c:v>18287.783600918079</c:v>
                </c:pt>
                <c:pt idx="154">
                  <c:v>18169.636963055247</c:v>
                </c:pt>
                <c:pt idx="155">
                  <c:v>18050.524823068503</c:v>
                </c:pt>
                <c:pt idx="156">
                  <c:v>17930.483463669556</c:v>
                </c:pt>
                <c:pt idx="157">
                  <c:v>17809.549450619343</c:v>
                </c:pt>
                <c:pt idx="158">
                  <c:v>17687.75962158975</c:v>
                </c:pt>
                <c:pt idx="159">
                  <c:v>17565.151074942518</c:v>
                </c:pt>
                <c:pt idx="160">
                  <c:v>17441.761158428679</c:v>
                </c:pt>
                <c:pt idx="161">
                  <c:v>17317.627457812108</c:v>
                </c:pt>
                <c:pt idx="162">
                  <c:v>17192.787785420529</c:v>
                </c:pt>
                <c:pt idx="163">
                  <c:v>17067.280168627498</c:v>
                </c:pt>
                <c:pt idx="164">
                  <c:v>16941.142838268908</c:v>
                </c:pt>
                <c:pt idx="165">
                  <c:v>16814.414216997509</c:v>
                </c:pt>
                <c:pt idx="166">
                  <c:v>16687.132907578987</c:v>
                </c:pt>
                <c:pt idx="167">
                  <c:v>16559.337681133195</c:v>
                </c:pt>
                <c:pt idx="168">
                  <c:v>16431.067465324086</c:v>
                </c:pt>
                <c:pt idx="169">
                  <c:v>16302.361332501978</c:v>
                </c:pt>
                <c:pt idx="170">
                  <c:v>16173.258487801733</c:v>
                </c:pt>
                <c:pt idx="171">
                  <c:v>16043.798257200493</c:v>
                </c:pt>
                <c:pt idx="172">
                  <c:v>15914.020075538607</c:v>
                </c:pt>
                <c:pt idx="173">
                  <c:v>15783.963474507404</c:v>
                </c:pt>
                <c:pt idx="174">
                  <c:v>15653.66807060744</c:v>
                </c:pt>
                <c:pt idx="175">
                  <c:v>15523.173553080942</c:v>
                </c:pt>
                <c:pt idx="176">
                  <c:v>15392.519671822078</c:v>
                </c:pt>
                <c:pt idx="177">
                  <c:v>15261.746225268755</c:v>
                </c:pt>
                <c:pt idx="178">
                  <c:v>15130.893048279626</c:v>
                </c:pt>
                <c:pt idx="179">
                  <c:v>15000.000000000002</c:v>
                </c:pt>
                <c:pt idx="180">
                  <c:v>14869.106951720376</c:v>
                </c:pt>
                <c:pt idx="181">
                  <c:v>14738.253774731244</c:v>
                </c:pt>
                <c:pt idx="182">
                  <c:v>14607.480328177924</c:v>
                </c:pt>
                <c:pt idx="183">
                  <c:v>14476.826446919064</c:v>
                </c:pt>
                <c:pt idx="184">
                  <c:v>14346.331929392565</c:v>
                </c:pt>
                <c:pt idx="185">
                  <c:v>14216.036525492602</c:v>
                </c:pt>
                <c:pt idx="186">
                  <c:v>14085.979924461391</c:v>
                </c:pt>
                <c:pt idx="187">
                  <c:v>13956.201742799509</c:v>
                </c:pt>
                <c:pt idx="188">
                  <c:v>13826.74151219827</c:v>
                </c:pt>
                <c:pt idx="189">
                  <c:v>13697.638667498022</c:v>
                </c:pt>
                <c:pt idx="190">
                  <c:v>13568.932534675914</c:v>
                </c:pt>
                <c:pt idx="191">
                  <c:v>13440.662318866807</c:v>
                </c:pt>
                <c:pt idx="192">
                  <c:v>13312.867092421013</c:v>
                </c:pt>
                <c:pt idx="193">
                  <c:v>13185.585783002494</c:v>
                </c:pt>
                <c:pt idx="194">
                  <c:v>13058.857161731097</c:v>
                </c:pt>
                <c:pt idx="195">
                  <c:v>12932.719831372508</c:v>
                </c:pt>
                <c:pt idx="196">
                  <c:v>12807.212214579476</c:v>
                </c:pt>
                <c:pt idx="197">
                  <c:v>12682.372542187892</c:v>
                </c:pt>
                <c:pt idx="198">
                  <c:v>12558.238841571325</c:v>
                </c:pt>
                <c:pt idx="199">
                  <c:v>12434.848925057486</c:v>
                </c:pt>
                <c:pt idx="200">
                  <c:v>12312.240378410246</c:v>
                </c:pt>
                <c:pt idx="201">
                  <c:v>12190.450549380661</c:v>
                </c:pt>
                <c:pt idx="202">
                  <c:v>12069.516536330448</c:v>
                </c:pt>
                <c:pt idx="203">
                  <c:v>11949.475176931501</c:v>
                </c:pt>
                <c:pt idx="204">
                  <c:v>11830.363036944756</c:v>
                </c:pt>
                <c:pt idx="205">
                  <c:v>11712.216399081923</c:v>
                </c:pt>
                <c:pt idx="206">
                  <c:v>11595.071251953403</c:v>
                </c:pt>
                <c:pt idx="207">
                  <c:v>11478.963279105817</c:v>
                </c:pt>
                <c:pt idx="208">
                  <c:v>11363.927848152473</c:v>
                </c:pt>
                <c:pt idx="209">
                  <c:v>11250</c:v>
                </c:pt>
                <c:pt idx="210">
                  <c:v>11137.214438174593</c:v>
                </c:pt>
                <c:pt idx="211">
                  <c:v>11025.605518250964</c:v>
                </c:pt>
                <c:pt idx="212">
                  <c:v>10915.207237387298</c:v>
                </c:pt>
                <c:pt idx="213">
                  <c:v>10806.0532239694</c:v>
                </c:pt>
                <c:pt idx="214">
                  <c:v>10698.176727367158</c:v>
                </c:pt>
                <c:pt idx="215">
                  <c:v>10591.610607806451</c:v>
                </c:pt>
                <c:pt idx="216">
                  <c:v>10486.38732635964</c:v>
                </c:pt>
                <c:pt idx="217">
                  <c:v>10382.538935057566</c:v>
                </c:pt>
                <c:pt idx="218">
                  <c:v>10280.097067126218</c:v>
                </c:pt>
                <c:pt idx="219">
                  <c:v>10179.092927350956</c:v>
                </c:pt>
                <c:pt idx="220">
                  <c:v>10079.557282571193</c:v>
                </c:pt>
                <c:pt idx="221">
                  <c:v>9981.5204523085631</c:v>
                </c:pt>
                <c:pt idx="222">
                  <c:v>9885.0122995312631</c:v>
                </c:pt>
                <c:pt idx="223">
                  <c:v>9790.0622215575204</c:v>
                </c:pt>
                <c:pt idx="224">
                  <c:v>9696.699141100893</c:v>
                </c:pt>
                <c:pt idx="225">
                  <c:v>9604.9514974601188</c:v>
                </c:pt>
                <c:pt idx="226">
                  <c:v>9514.8472378562237</c:v>
                </c:pt>
                <c:pt idx="227">
                  <c:v>9426.413808919544</c:v>
                </c:pt>
                <c:pt idx="228">
                  <c:v>9339.6781483292125</c:v>
                </c:pt>
                <c:pt idx="229">
                  <c:v>9254.6666766076669</c:v>
                </c:pt>
                <c:pt idx="230">
                  <c:v>9171.4052890727162</c:v>
                </c:pt>
                <c:pt idx="231">
                  <c:v>9089.9193479495843</c:v>
                </c:pt>
                <c:pt idx="232">
                  <c:v>9010.2336746453038</c:v>
                </c:pt>
                <c:pt idx="233">
                  <c:v>8932.3725421878953</c:v>
                </c:pt>
                <c:pt idx="234">
                  <c:v>8856.359667832563</c:v>
                </c:pt>
                <c:pt idx="235">
                  <c:v>8782.2182058371891</c:v>
                </c:pt>
                <c:pt idx="236">
                  <c:v>8709.9707404093206</c:v>
                </c:pt>
                <c:pt idx="237">
                  <c:v>8639.6392788268058</c:v>
                </c:pt>
                <c:pt idx="238">
                  <c:v>8571.2452447341602</c:v>
                </c:pt>
                <c:pt idx="239">
                  <c:v>8504.8094716167125</c:v>
                </c:pt>
                <c:pt idx="240">
                  <c:v>8440.3521964545307</c:v>
                </c:pt>
                <c:pt idx="241">
                  <c:v>8377.8930535580475</c:v>
                </c:pt>
                <c:pt idx="242">
                  <c:v>8317.451068587241</c:v>
                </c:pt>
                <c:pt idx="243">
                  <c:v>8259.044652756249</c:v>
                </c:pt>
                <c:pt idx="244">
                  <c:v>8202.6915972251263</c:v>
                </c:pt>
                <c:pt idx="245">
                  <c:v>8148.4090676804926</c:v>
                </c:pt>
                <c:pt idx="246">
                  <c:v>8096.213599106698</c:v>
                </c:pt>
                <c:pt idx="247">
                  <c:v>8046.1210907490949</c:v>
                </c:pt>
                <c:pt idx="248">
                  <c:v>7998.1468012709875</c:v>
                </c:pt>
                <c:pt idx="249">
                  <c:v>7952.3053441056882</c:v>
                </c:pt>
                <c:pt idx="250">
                  <c:v>7908.610683005124</c:v>
                </c:pt>
                <c:pt idx="251">
                  <c:v>7867.0761277863485</c:v>
                </c:pt>
                <c:pt idx="252">
                  <c:v>7827.7143302772347</c:v>
                </c:pt>
                <c:pt idx="253">
                  <c:v>7790.5372804626077</c:v>
                </c:pt>
                <c:pt idx="254">
                  <c:v>7755.5563028319875</c:v>
                </c:pt>
                <c:pt idx="255">
                  <c:v>7722.7820529300261</c:v>
                </c:pt>
                <c:pt idx="256">
                  <c:v>7692.2245141107369</c:v>
                </c:pt>
                <c:pt idx="257">
                  <c:v>7663.8929944964584</c:v>
                </c:pt>
                <c:pt idx="258">
                  <c:v>7637.796124142521</c:v>
                </c:pt>
                <c:pt idx="259">
                  <c:v>7613.9418524084394</c:v>
                </c:pt>
                <c:pt idx="260">
                  <c:v>7592.3374455364674</c:v>
                </c:pt>
                <c:pt idx="261">
                  <c:v>7572.9894844382225</c:v>
                </c:pt>
                <c:pt idx="262">
                  <c:v>7555.9038626900847</c:v>
                </c:pt>
                <c:pt idx="263">
                  <c:v>7541.0857847379493</c:v>
                </c:pt>
                <c:pt idx="264">
                  <c:v>7528.5397643119086</c:v>
                </c:pt>
                <c:pt idx="265">
                  <c:v>7518.2696230513184</c:v>
                </c:pt>
                <c:pt idx="266">
                  <c:v>7510.2784893406961</c:v>
                </c:pt>
                <c:pt idx="267">
                  <c:v>7504.5687973567829</c:v>
                </c:pt>
                <c:pt idx="268">
                  <c:v>7501.1422863270654</c:v>
                </c:pt>
                <c:pt idx="269">
                  <c:v>7500</c:v>
                </c:pt>
                <c:pt idx="270">
                  <c:v>7501.1422863270654</c:v>
                </c:pt>
                <c:pt idx="271">
                  <c:v>7504.5687973567819</c:v>
                </c:pt>
                <c:pt idx="272">
                  <c:v>7510.2784893406961</c:v>
                </c:pt>
                <c:pt idx="273">
                  <c:v>7518.2696230513175</c:v>
                </c:pt>
                <c:pt idx="274">
                  <c:v>7528.5397643119086</c:v>
                </c:pt>
                <c:pt idx="275">
                  <c:v>7541.0857847379493</c:v>
                </c:pt>
                <c:pt idx="276">
                  <c:v>7555.9038626900847</c:v>
                </c:pt>
                <c:pt idx="277">
                  <c:v>7572.9894844382225</c:v>
                </c:pt>
                <c:pt idx="278">
                  <c:v>7592.3374455364665</c:v>
                </c:pt>
                <c:pt idx="279">
                  <c:v>7613.9418524084394</c:v>
                </c:pt>
                <c:pt idx="280">
                  <c:v>7637.7961241425191</c:v>
                </c:pt>
                <c:pt idx="281">
                  <c:v>7663.8929944964566</c:v>
                </c:pt>
                <c:pt idx="282">
                  <c:v>7692.224514110736</c:v>
                </c:pt>
                <c:pt idx="283">
                  <c:v>7722.7820529300252</c:v>
                </c:pt>
                <c:pt idx="284">
                  <c:v>7755.5563028319884</c:v>
                </c:pt>
                <c:pt idx="285">
                  <c:v>7790.5372804626095</c:v>
                </c:pt>
                <c:pt idx="286">
                  <c:v>7827.7143302772338</c:v>
                </c:pt>
                <c:pt idx="287">
                  <c:v>7867.0761277863476</c:v>
                </c:pt>
                <c:pt idx="288">
                  <c:v>7908.6106830051231</c:v>
                </c:pt>
                <c:pt idx="289">
                  <c:v>7952.3053441056863</c:v>
                </c:pt>
                <c:pt idx="290">
                  <c:v>7998.1468012709847</c:v>
                </c:pt>
                <c:pt idx="291">
                  <c:v>8046.121090749094</c:v>
                </c:pt>
                <c:pt idx="292">
                  <c:v>8096.2135991066962</c:v>
                </c:pt>
                <c:pt idx="293">
                  <c:v>8148.4090676804944</c:v>
                </c:pt>
                <c:pt idx="294">
                  <c:v>8202.6915972251263</c:v>
                </c:pt>
                <c:pt idx="295">
                  <c:v>8259.0446527562472</c:v>
                </c:pt>
                <c:pt idx="296">
                  <c:v>8317.451068587241</c:v>
                </c:pt>
                <c:pt idx="297">
                  <c:v>8377.8930535580475</c:v>
                </c:pt>
                <c:pt idx="298">
                  <c:v>8440.3521964545289</c:v>
                </c:pt>
                <c:pt idx="299">
                  <c:v>8504.8094716167107</c:v>
                </c:pt>
                <c:pt idx="300">
                  <c:v>8571.2452447341566</c:v>
                </c:pt>
                <c:pt idx="301">
                  <c:v>8639.639278826804</c:v>
                </c:pt>
                <c:pt idx="302">
                  <c:v>8709.9707404093169</c:v>
                </c:pt>
                <c:pt idx="303">
                  <c:v>8782.2182058371836</c:v>
                </c:pt>
                <c:pt idx="304">
                  <c:v>8856.3596678325612</c:v>
                </c:pt>
                <c:pt idx="305">
                  <c:v>8932.3725421878935</c:v>
                </c:pt>
                <c:pt idx="306">
                  <c:v>9010.233674645302</c:v>
                </c:pt>
                <c:pt idx="307">
                  <c:v>9089.9193479495862</c:v>
                </c:pt>
                <c:pt idx="308">
                  <c:v>9171.405289072718</c:v>
                </c:pt>
                <c:pt idx="309">
                  <c:v>9254.6666766076632</c:v>
                </c:pt>
                <c:pt idx="310">
                  <c:v>9339.678148329207</c:v>
                </c:pt>
                <c:pt idx="311">
                  <c:v>9426.4138089195403</c:v>
                </c:pt>
                <c:pt idx="312">
                  <c:v>9514.8472378562183</c:v>
                </c:pt>
                <c:pt idx="313">
                  <c:v>9604.9514974601116</c:v>
                </c:pt>
                <c:pt idx="314">
                  <c:v>9696.699141100893</c:v>
                </c:pt>
                <c:pt idx="315">
                  <c:v>9790.0622215575168</c:v>
                </c:pt>
                <c:pt idx="316">
                  <c:v>9885.0122995312631</c:v>
                </c:pt>
                <c:pt idx="317">
                  <c:v>9981.5204523085631</c:v>
                </c:pt>
                <c:pt idx="318">
                  <c:v>10079.557282571193</c:v>
                </c:pt>
                <c:pt idx="319">
                  <c:v>10179.092927350954</c:v>
                </c:pt>
                <c:pt idx="320">
                  <c:v>10280.097067126217</c:v>
                </c:pt>
                <c:pt idx="321">
                  <c:v>10382.538935057559</c:v>
                </c:pt>
                <c:pt idx="322">
                  <c:v>10486.387326359638</c:v>
                </c:pt>
                <c:pt idx="323">
                  <c:v>10591.610607806449</c:v>
                </c:pt>
                <c:pt idx="324">
                  <c:v>10698.17672736715</c:v>
                </c:pt>
                <c:pt idx="325">
                  <c:v>10806.053223969395</c:v>
                </c:pt>
                <c:pt idx="326">
                  <c:v>10915.207237387298</c:v>
                </c:pt>
                <c:pt idx="327">
                  <c:v>11025.605518250957</c:v>
                </c:pt>
                <c:pt idx="328">
                  <c:v>11137.214438174591</c:v>
                </c:pt>
                <c:pt idx="329">
                  <c:v>11249.999999999996</c:v>
                </c:pt>
                <c:pt idx="330">
                  <c:v>11363.927848152474</c:v>
                </c:pt>
                <c:pt idx="331">
                  <c:v>11478.963279105819</c:v>
                </c:pt>
                <c:pt idx="332">
                  <c:v>11595.071251953397</c:v>
                </c:pt>
                <c:pt idx="333">
                  <c:v>11712.216399081923</c:v>
                </c:pt>
                <c:pt idx="334">
                  <c:v>11830.363036944749</c:v>
                </c:pt>
                <c:pt idx="335">
                  <c:v>11949.475176931499</c:v>
                </c:pt>
                <c:pt idx="336">
                  <c:v>12069.51653633044</c:v>
                </c:pt>
                <c:pt idx="337">
                  <c:v>12190.450549380657</c:v>
                </c:pt>
                <c:pt idx="338">
                  <c:v>12312.240378410244</c:v>
                </c:pt>
                <c:pt idx="339">
                  <c:v>12434.848925057486</c:v>
                </c:pt>
                <c:pt idx="340">
                  <c:v>12558.238841571318</c:v>
                </c:pt>
                <c:pt idx="341">
                  <c:v>12682.372542187893</c:v>
                </c:pt>
                <c:pt idx="342">
                  <c:v>12807.212214579478</c:v>
                </c:pt>
                <c:pt idx="343">
                  <c:v>12932.719831372502</c:v>
                </c:pt>
                <c:pt idx="344">
                  <c:v>13058.857161731095</c:v>
                </c:pt>
                <c:pt idx="345">
                  <c:v>13185.585783002491</c:v>
                </c:pt>
                <c:pt idx="346">
                  <c:v>13312.867092421009</c:v>
                </c:pt>
                <c:pt idx="347">
                  <c:v>13440.662318866802</c:v>
                </c:pt>
                <c:pt idx="348">
                  <c:v>13568.932534675914</c:v>
                </c:pt>
                <c:pt idx="349">
                  <c:v>13697.638667498015</c:v>
                </c:pt>
                <c:pt idx="350">
                  <c:v>13826.741512198267</c:v>
                </c:pt>
                <c:pt idx="351">
                  <c:v>13956.201742799505</c:v>
                </c:pt>
                <c:pt idx="352">
                  <c:v>14085.97992446139</c:v>
                </c:pt>
                <c:pt idx="353">
                  <c:v>14216.0365254926</c:v>
                </c:pt>
                <c:pt idx="354">
                  <c:v>14346.331929392563</c:v>
                </c:pt>
                <c:pt idx="355">
                  <c:v>14476.826446919064</c:v>
                </c:pt>
                <c:pt idx="356">
                  <c:v>14607.480328177917</c:v>
                </c:pt>
                <c:pt idx="357">
                  <c:v>14738.253774731244</c:v>
                </c:pt>
                <c:pt idx="358">
                  <c:v>14869.106951720367</c:v>
                </c:pt>
                <c:pt idx="359">
                  <c:v>14999.999999999998</c:v>
                </c:pt>
                <c:pt idx="360">
                  <c:v>15130.893048279622</c:v>
                </c:pt>
                <c:pt idx="361">
                  <c:v>15261.746225268753</c:v>
                </c:pt>
                <c:pt idx="362">
                  <c:v>15392.51967182208</c:v>
                </c:pt>
                <c:pt idx="363">
                  <c:v>15523.173553080938</c:v>
                </c:pt>
                <c:pt idx="364">
                  <c:v>15653.66807060744</c:v>
                </c:pt>
                <c:pt idx="365">
                  <c:v>15783.963474507396</c:v>
                </c:pt>
                <c:pt idx="366">
                  <c:v>15914.020075538607</c:v>
                </c:pt>
                <c:pt idx="367">
                  <c:v>16043.798257200484</c:v>
                </c:pt>
                <c:pt idx="368">
                  <c:v>16173.25848780173</c:v>
                </c:pt>
                <c:pt idx="369">
                  <c:v>16302.361332501974</c:v>
                </c:pt>
                <c:pt idx="370">
                  <c:v>16431.067465324089</c:v>
                </c:pt>
                <c:pt idx="371">
                  <c:v>16559.337681133187</c:v>
                </c:pt>
                <c:pt idx="372">
                  <c:v>16687.132907578987</c:v>
                </c:pt>
                <c:pt idx="373">
                  <c:v>16814.414216997513</c:v>
                </c:pt>
                <c:pt idx="374">
                  <c:v>16941.142838268901</c:v>
                </c:pt>
                <c:pt idx="375">
                  <c:v>17067.280168627494</c:v>
                </c:pt>
                <c:pt idx="376">
                  <c:v>17192.787785420525</c:v>
                </c:pt>
                <c:pt idx="377">
                  <c:v>17317.627457812105</c:v>
                </c:pt>
                <c:pt idx="378">
                  <c:v>17441.761158428671</c:v>
                </c:pt>
                <c:pt idx="379">
                  <c:v>17565.151074942518</c:v>
                </c:pt>
                <c:pt idx="380">
                  <c:v>17687.759621589747</c:v>
                </c:pt>
                <c:pt idx="381">
                  <c:v>17809.549450619339</c:v>
                </c:pt>
                <c:pt idx="382">
                  <c:v>17930.483463669545</c:v>
                </c:pt>
                <c:pt idx="383">
                  <c:v>18050.524823068499</c:v>
                </c:pt>
                <c:pt idx="384">
                  <c:v>18169.636963055247</c:v>
                </c:pt>
                <c:pt idx="385">
                  <c:v>18287.783600918079</c:v>
                </c:pt>
                <c:pt idx="386">
                  <c:v>18404.928748046605</c:v>
                </c:pt>
                <c:pt idx="387">
                  <c:v>18521.036720894179</c:v>
                </c:pt>
                <c:pt idx="388">
                  <c:v>18636.072151847529</c:v>
                </c:pt>
                <c:pt idx="389">
                  <c:v>18749.999999999993</c:v>
                </c:pt>
                <c:pt idx="390">
                  <c:v>18862.785561825403</c:v>
                </c:pt>
                <c:pt idx="391">
                  <c:v>18974.394481749034</c:v>
                </c:pt>
                <c:pt idx="392">
                  <c:v>19084.792762612698</c:v>
                </c:pt>
                <c:pt idx="393">
                  <c:v>19193.946776030596</c:v>
                </c:pt>
                <c:pt idx="394">
                  <c:v>19301.823272632846</c:v>
                </c:pt>
                <c:pt idx="395">
                  <c:v>19408.389392193552</c:v>
                </c:pt>
                <c:pt idx="396">
                  <c:v>19513.61267364036</c:v>
                </c:pt>
                <c:pt idx="397">
                  <c:v>19617.461064942436</c:v>
                </c:pt>
                <c:pt idx="398">
                  <c:v>19719.902932873774</c:v>
                </c:pt>
                <c:pt idx="399">
                  <c:v>19820.907072649043</c:v>
                </c:pt>
                <c:pt idx="400">
                  <c:v>19920.442717428803</c:v>
                </c:pt>
                <c:pt idx="401">
                  <c:v>20018.479547691437</c:v>
                </c:pt>
                <c:pt idx="402">
                  <c:v>20114.987700468733</c:v>
                </c:pt>
                <c:pt idx="403">
                  <c:v>20209.93777844248</c:v>
                </c:pt>
                <c:pt idx="404">
                  <c:v>20303.3008588991</c:v>
                </c:pt>
                <c:pt idx="405">
                  <c:v>20395.048502539881</c:v>
                </c:pt>
                <c:pt idx="406">
                  <c:v>20485.152762143778</c:v>
                </c:pt>
                <c:pt idx="407">
                  <c:v>20573.586191080452</c:v>
                </c:pt>
                <c:pt idx="408">
                  <c:v>20660.321851670789</c:v>
                </c:pt>
                <c:pt idx="409">
                  <c:v>20745.333323392333</c:v>
                </c:pt>
                <c:pt idx="410">
                  <c:v>20828.594710927282</c:v>
                </c:pt>
                <c:pt idx="411">
                  <c:v>20910.080652050412</c:v>
                </c:pt>
                <c:pt idx="412">
                  <c:v>20989.766325354696</c:v>
                </c:pt>
                <c:pt idx="413">
                  <c:v>21067.627457812101</c:v>
                </c:pt>
                <c:pt idx="414">
                  <c:v>21143.640332167437</c:v>
                </c:pt>
                <c:pt idx="415">
                  <c:v>21217.781794162813</c:v>
                </c:pt>
                <c:pt idx="416">
                  <c:v>21290.029259590679</c:v>
                </c:pt>
                <c:pt idx="417">
                  <c:v>21360.360721173194</c:v>
                </c:pt>
                <c:pt idx="418">
                  <c:v>21428.75475526584</c:v>
                </c:pt>
                <c:pt idx="419">
                  <c:v>21495.190528383289</c:v>
                </c:pt>
                <c:pt idx="420">
                  <c:v>21559.647803545464</c:v>
                </c:pt>
                <c:pt idx="421">
                  <c:v>21622.106946441952</c:v>
                </c:pt>
                <c:pt idx="422">
                  <c:v>21682.548931412755</c:v>
                </c:pt>
                <c:pt idx="423">
                  <c:v>21740.955347243751</c:v>
                </c:pt>
                <c:pt idx="424">
                  <c:v>21797.308402774874</c:v>
                </c:pt>
                <c:pt idx="425">
                  <c:v>21851.590932319508</c:v>
                </c:pt>
                <c:pt idx="426">
                  <c:v>21903.786400893303</c:v>
                </c:pt>
                <c:pt idx="427">
                  <c:v>21953.878909250903</c:v>
                </c:pt>
                <c:pt idx="428">
                  <c:v>22001.853198729012</c:v>
                </c:pt>
                <c:pt idx="429">
                  <c:v>22047.694655894309</c:v>
                </c:pt>
                <c:pt idx="430">
                  <c:v>22091.389316994875</c:v>
                </c:pt>
                <c:pt idx="431">
                  <c:v>22132.923872213651</c:v>
                </c:pt>
                <c:pt idx="432">
                  <c:v>22172.285669722765</c:v>
                </c:pt>
                <c:pt idx="433">
                  <c:v>22209.462719537391</c:v>
                </c:pt>
                <c:pt idx="434">
                  <c:v>22244.443697168012</c:v>
                </c:pt>
                <c:pt idx="435">
                  <c:v>22277.21794706997</c:v>
                </c:pt>
                <c:pt idx="436">
                  <c:v>22307.775485889262</c:v>
                </c:pt>
                <c:pt idx="437">
                  <c:v>22336.107005503542</c:v>
                </c:pt>
                <c:pt idx="438">
                  <c:v>22362.203875857478</c:v>
                </c:pt>
                <c:pt idx="439">
                  <c:v>22386.058147591561</c:v>
                </c:pt>
                <c:pt idx="440">
                  <c:v>22407.662554463532</c:v>
                </c:pt>
                <c:pt idx="441">
                  <c:v>22427.010515561778</c:v>
                </c:pt>
                <c:pt idx="442">
                  <c:v>22444.096137309916</c:v>
                </c:pt>
                <c:pt idx="443">
                  <c:v>22458.914215262048</c:v>
                </c:pt>
                <c:pt idx="444">
                  <c:v>22471.46023568809</c:v>
                </c:pt>
                <c:pt idx="445">
                  <c:v>22481.730376948683</c:v>
                </c:pt>
                <c:pt idx="446">
                  <c:v>22489.721510659303</c:v>
                </c:pt>
                <c:pt idx="447">
                  <c:v>22495.431202643216</c:v>
                </c:pt>
                <c:pt idx="448">
                  <c:v>22498.857713672936</c:v>
                </c:pt>
                <c:pt idx="449">
                  <c:v>22500</c:v>
                </c:pt>
                <c:pt idx="450">
                  <c:v>22498.857713672936</c:v>
                </c:pt>
                <c:pt idx="451">
                  <c:v>22495.431202643216</c:v>
                </c:pt>
                <c:pt idx="452">
                  <c:v>22489.721510659303</c:v>
                </c:pt>
                <c:pt idx="453">
                  <c:v>22481.730376948683</c:v>
                </c:pt>
                <c:pt idx="454">
                  <c:v>22471.460235688093</c:v>
                </c:pt>
                <c:pt idx="455">
                  <c:v>22458.914215262052</c:v>
                </c:pt>
                <c:pt idx="456">
                  <c:v>22444.096137309916</c:v>
                </c:pt>
                <c:pt idx="457">
                  <c:v>22427.010515561778</c:v>
                </c:pt>
                <c:pt idx="458">
                  <c:v>22407.662554463535</c:v>
                </c:pt>
                <c:pt idx="459">
                  <c:v>22386.058147591561</c:v>
                </c:pt>
                <c:pt idx="460">
                  <c:v>22362.203875857478</c:v>
                </c:pt>
                <c:pt idx="461">
                  <c:v>22336.107005503542</c:v>
                </c:pt>
                <c:pt idx="462">
                  <c:v>22307.775485889266</c:v>
                </c:pt>
                <c:pt idx="463">
                  <c:v>22277.217947069974</c:v>
                </c:pt>
                <c:pt idx="464">
                  <c:v>22244.443697168012</c:v>
                </c:pt>
                <c:pt idx="465">
                  <c:v>22209.462719537391</c:v>
                </c:pt>
                <c:pt idx="466">
                  <c:v>22172.285669722769</c:v>
                </c:pt>
                <c:pt idx="467">
                  <c:v>22132.923872213651</c:v>
                </c:pt>
                <c:pt idx="468">
                  <c:v>22091.389316994879</c:v>
                </c:pt>
                <c:pt idx="469">
                  <c:v>22047.694655894316</c:v>
                </c:pt>
                <c:pt idx="470">
                  <c:v>22001.853198729012</c:v>
                </c:pt>
                <c:pt idx="471">
                  <c:v>21953.878909250911</c:v>
                </c:pt>
                <c:pt idx="472">
                  <c:v>21903.786400893303</c:v>
                </c:pt>
                <c:pt idx="473">
                  <c:v>21851.590932319505</c:v>
                </c:pt>
                <c:pt idx="474">
                  <c:v>21797.308402774877</c:v>
                </c:pt>
                <c:pt idx="475">
                  <c:v>21740.955347243755</c:v>
                </c:pt>
                <c:pt idx="476">
                  <c:v>21682.548931412755</c:v>
                </c:pt>
                <c:pt idx="477">
                  <c:v>21622.106946441956</c:v>
                </c:pt>
                <c:pt idx="478">
                  <c:v>21559.647803545467</c:v>
                </c:pt>
                <c:pt idx="479">
                  <c:v>21495.190528383293</c:v>
                </c:pt>
                <c:pt idx="480">
                  <c:v>21428.754755265843</c:v>
                </c:pt>
                <c:pt idx="481">
                  <c:v>21360.360721173194</c:v>
                </c:pt>
                <c:pt idx="482">
                  <c:v>21290.029259590683</c:v>
                </c:pt>
                <c:pt idx="483">
                  <c:v>21217.781794162813</c:v>
                </c:pt>
                <c:pt idx="484">
                  <c:v>21143.640332167444</c:v>
                </c:pt>
                <c:pt idx="485">
                  <c:v>21067.627457812108</c:v>
                </c:pt>
                <c:pt idx="486">
                  <c:v>20989.766325354703</c:v>
                </c:pt>
                <c:pt idx="487">
                  <c:v>20910.080652050419</c:v>
                </c:pt>
                <c:pt idx="488">
                  <c:v>20828.594710927282</c:v>
                </c:pt>
                <c:pt idx="489">
                  <c:v>20745.33332339234</c:v>
                </c:pt>
                <c:pt idx="490">
                  <c:v>20660.321851670793</c:v>
                </c:pt>
                <c:pt idx="491">
                  <c:v>20573.586191080456</c:v>
                </c:pt>
                <c:pt idx="492">
                  <c:v>20485.152762143774</c:v>
                </c:pt>
                <c:pt idx="493">
                  <c:v>20395.048502539885</c:v>
                </c:pt>
                <c:pt idx="494">
                  <c:v>20303.300858899103</c:v>
                </c:pt>
                <c:pt idx="495">
                  <c:v>20209.937778442483</c:v>
                </c:pt>
                <c:pt idx="496">
                  <c:v>20114.987700468737</c:v>
                </c:pt>
                <c:pt idx="497">
                  <c:v>20018.479547691441</c:v>
                </c:pt>
                <c:pt idx="498">
                  <c:v>19920.442717428807</c:v>
                </c:pt>
                <c:pt idx="499">
                  <c:v>19820.907072649054</c:v>
                </c:pt>
                <c:pt idx="500">
                  <c:v>19719.902932873785</c:v>
                </c:pt>
                <c:pt idx="501">
                  <c:v>19617.461064942436</c:v>
                </c:pt>
                <c:pt idx="502">
                  <c:v>19513.612673640368</c:v>
                </c:pt>
                <c:pt idx="503">
                  <c:v>19408.389392193552</c:v>
                </c:pt>
                <c:pt idx="504">
                  <c:v>19301.823272632853</c:v>
                </c:pt>
                <c:pt idx="505">
                  <c:v>19193.946776030607</c:v>
                </c:pt>
                <c:pt idx="506">
                  <c:v>19084.792762612702</c:v>
                </c:pt>
                <c:pt idx="507">
                  <c:v>18974.394481749034</c:v>
                </c:pt>
                <c:pt idx="508">
                  <c:v>18862.785561825411</c:v>
                </c:pt>
                <c:pt idx="509">
                  <c:v>18750</c:v>
                </c:pt>
                <c:pt idx="510">
                  <c:v>18636.072151847533</c:v>
                </c:pt>
                <c:pt idx="511">
                  <c:v>18521.036720894183</c:v>
                </c:pt>
                <c:pt idx="512">
                  <c:v>18404.928748046597</c:v>
                </c:pt>
                <c:pt idx="513">
                  <c:v>18287.783600918083</c:v>
                </c:pt>
                <c:pt idx="514">
                  <c:v>18169.636963055244</c:v>
                </c:pt>
                <c:pt idx="515">
                  <c:v>18050.52482306851</c:v>
                </c:pt>
                <c:pt idx="516">
                  <c:v>17930.483463669556</c:v>
                </c:pt>
                <c:pt idx="517">
                  <c:v>17809.54945061935</c:v>
                </c:pt>
                <c:pt idx="518">
                  <c:v>17687.759621589757</c:v>
                </c:pt>
                <c:pt idx="519">
                  <c:v>17565.151074942514</c:v>
                </c:pt>
                <c:pt idx="520">
                  <c:v>17441.761158428682</c:v>
                </c:pt>
                <c:pt idx="521">
                  <c:v>17317.627457812108</c:v>
                </c:pt>
                <c:pt idx="522">
                  <c:v>17192.787785420522</c:v>
                </c:pt>
                <c:pt idx="523">
                  <c:v>17067.280168627487</c:v>
                </c:pt>
                <c:pt idx="524">
                  <c:v>16941.142838268905</c:v>
                </c:pt>
                <c:pt idx="525">
                  <c:v>16814.414216997502</c:v>
                </c:pt>
                <c:pt idx="526">
                  <c:v>16687.132907578991</c:v>
                </c:pt>
                <c:pt idx="527">
                  <c:v>16559.337681133195</c:v>
                </c:pt>
                <c:pt idx="528">
                  <c:v>16431.067465324093</c:v>
                </c:pt>
                <c:pt idx="529">
                  <c:v>16302.36133250198</c:v>
                </c:pt>
                <c:pt idx="530">
                  <c:v>16173.258487801741</c:v>
                </c:pt>
                <c:pt idx="531">
                  <c:v>16043.798257200495</c:v>
                </c:pt>
                <c:pt idx="532">
                  <c:v>15914.020075538618</c:v>
                </c:pt>
                <c:pt idx="533">
                  <c:v>15783.963474507409</c:v>
                </c:pt>
                <c:pt idx="534">
                  <c:v>15653.668070607438</c:v>
                </c:pt>
                <c:pt idx="535">
                  <c:v>15523.173553080949</c:v>
                </c:pt>
                <c:pt idx="536">
                  <c:v>15392.519671822083</c:v>
                </c:pt>
                <c:pt idx="537">
                  <c:v>15261.746225268756</c:v>
                </c:pt>
                <c:pt idx="538">
                  <c:v>15130.89304827962</c:v>
                </c:pt>
                <c:pt idx="539">
                  <c:v>15000.000000000004</c:v>
                </c:pt>
                <c:pt idx="540">
                  <c:v>14869.10695172037</c:v>
                </c:pt>
                <c:pt idx="541">
                  <c:v>14738.253774731249</c:v>
                </c:pt>
                <c:pt idx="542">
                  <c:v>14607.480328177922</c:v>
                </c:pt>
                <c:pt idx="543">
                  <c:v>14476.826446919056</c:v>
                </c:pt>
                <c:pt idx="544">
                  <c:v>14346.331929392567</c:v>
                </c:pt>
                <c:pt idx="545">
                  <c:v>14216.036525492596</c:v>
                </c:pt>
                <c:pt idx="546">
                  <c:v>14085.979924461401</c:v>
                </c:pt>
                <c:pt idx="547">
                  <c:v>13956.201742799511</c:v>
                </c:pt>
                <c:pt idx="548">
                  <c:v>13826.741512198278</c:v>
                </c:pt>
                <c:pt idx="549">
                  <c:v>13697.638667498028</c:v>
                </c:pt>
                <c:pt idx="550">
                  <c:v>13568.932534675925</c:v>
                </c:pt>
                <c:pt idx="551">
                  <c:v>13440.662318866813</c:v>
                </c:pt>
                <c:pt idx="552">
                  <c:v>13312.867092421015</c:v>
                </c:pt>
                <c:pt idx="553">
                  <c:v>13185.585783002489</c:v>
                </c:pt>
                <c:pt idx="554">
                  <c:v>13058.857161731086</c:v>
                </c:pt>
                <c:pt idx="555">
                  <c:v>12932.719831372506</c:v>
                </c:pt>
                <c:pt idx="556">
                  <c:v>12807.212214579469</c:v>
                </c:pt>
                <c:pt idx="557">
                  <c:v>12682.372542187897</c:v>
                </c:pt>
                <c:pt idx="558">
                  <c:v>12558.238841571323</c:v>
                </c:pt>
                <c:pt idx="559">
                  <c:v>12434.848925057489</c:v>
                </c:pt>
                <c:pt idx="560">
                  <c:v>12312.240378410248</c:v>
                </c:pt>
                <c:pt idx="561">
                  <c:v>12190.450549380668</c:v>
                </c:pt>
                <c:pt idx="562">
                  <c:v>12069.51653633045</c:v>
                </c:pt>
                <c:pt idx="563">
                  <c:v>11949.47517693151</c:v>
                </c:pt>
                <c:pt idx="564">
                  <c:v>11830.36303694476</c:v>
                </c:pt>
                <c:pt idx="565">
                  <c:v>11712.216399081921</c:v>
                </c:pt>
                <c:pt idx="566">
                  <c:v>11595.071251953408</c:v>
                </c:pt>
                <c:pt idx="567">
                  <c:v>11478.963279105823</c:v>
                </c:pt>
                <c:pt idx="568">
                  <c:v>11363.927848152471</c:v>
                </c:pt>
                <c:pt idx="569">
                  <c:v>11249.999999999995</c:v>
                </c:pt>
                <c:pt idx="570">
                  <c:v>11137.214438174597</c:v>
                </c:pt>
                <c:pt idx="571">
                  <c:v>11025.605518250959</c:v>
                </c:pt>
                <c:pt idx="572">
                  <c:v>10915.207237387302</c:v>
                </c:pt>
                <c:pt idx="573">
                  <c:v>10806.0532239694</c:v>
                </c:pt>
                <c:pt idx="574">
                  <c:v>10698.176727367161</c:v>
                </c:pt>
                <c:pt idx="575">
                  <c:v>10591.610607806455</c:v>
                </c:pt>
                <c:pt idx="576">
                  <c:v>10486.387326359636</c:v>
                </c:pt>
                <c:pt idx="577">
                  <c:v>10382.538935057568</c:v>
                </c:pt>
                <c:pt idx="578">
                  <c:v>10280.097067126218</c:v>
                </c:pt>
                <c:pt idx="579">
                  <c:v>10179.092927350961</c:v>
                </c:pt>
                <c:pt idx="580">
                  <c:v>10079.557282571197</c:v>
                </c:pt>
                <c:pt idx="581">
                  <c:v>9981.5204523085722</c:v>
                </c:pt>
                <c:pt idx="582">
                  <c:v>9885.0122995312668</c:v>
                </c:pt>
                <c:pt idx="583">
                  <c:v>9790.0622215575204</c:v>
                </c:pt>
                <c:pt idx="584">
                  <c:v>9696.6991411008894</c:v>
                </c:pt>
                <c:pt idx="585">
                  <c:v>9604.9514974601188</c:v>
                </c:pt>
                <c:pt idx="586">
                  <c:v>9514.8472378562219</c:v>
                </c:pt>
                <c:pt idx="587">
                  <c:v>9426.4138089195403</c:v>
                </c:pt>
                <c:pt idx="588">
                  <c:v>9339.6781483292107</c:v>
                </c:pt>
                <c:pt idx="589">
                  <c:v>9254.6666766076632</c:v>
                </c:pt>
                <c:pt idx="590">
                  <c:v>9171.4052890727216</c:v>
                </c:pt>
                <c:pt idx="591">
                  <c:v>9089.9193479495862</c:v>
                </c:pt>
                <c:pt idx="592">
                  <c:v>9010.2336746453075</c:v>
                </c:pt>
                <c:pt idx="593">
                  <c:v>8932.3725421878953</c:v>
                </c:pt>
                <c:pt idx="594">
                  <c:v>8856.3596678325684</c:v>
                </c:pt>
                <c:pt idx="595">
                  <c:v>8782.2182058371909</c:v>
                </c:pt>
                <c:pt idx="596">
                  <c:v>8709.9707404093278</c:v>
                </c:pt>
                <c:pt idx="597">
                  <c:v>8639.6392788268095</c:v>
                </c:pt>
                <c:pt idx="598">
                  <c:v>8571.2452447341602</c:v>
                </c:pt>
                <c:pt idx="599">
                  <c:v>8504.8094716167107</c:v>
                </c:pt>
                <c:pt idx="600">
                  <c:v>8440.3521964545289</c:v>
                </c:pt>
                <c:pt idx="601">
                  <c:v>8377.8930535580475</c:v>
                </c:pt>
                <c:pt idx="602">
                  <c:v>8317.4510685872392</c:v>
                </c:pt>
                <c:pt idx="603">
                  <c:v>8259.044652756249</c:v>
                </c:pt>
                <c:pt idx="604">
                  <c:v>8202.6915972251245</c:v>
                </c:pt>
                <c:pt idx="605">
                  <c:v>8148.4090676804963</c:v>
                </c:pt>
                <c:pt idx="606">
                  <c:v>8096.2135991066989</c:v>
                </c:pt>
                <c:pt idx="607">
                  <c:v>8046.1210907490986</c:v>
                </c:pt>
                <c:pt idx="608">
                  <c:v>7998.1468012709884</c:v>
                </c:pt>
                <c:pt idx="609">
                  <c:v>7952.3053441056863</c:v>
                </c:pt>
                <c:pt idx="610">
                  <c:v>7908.6106830051267</c:v>
                </c:pt>
                <c:pt idx="611">
                  <c:v>7867.0761277863494</c:v>
                </c:pt>
                <c:pt idx="612">
                  <c:v>7827.7143302772374</c:v>
                </c:pt>
                <c:pt idx="613">
                  <c:v>7790.5372804626104</c:v>
                </c:pt>
                <c:pt idx="614">
                  <c:v>7755.5563028319884</c:v>
                </c:pt>
                <c:pt idx="615">
                  <c:v>7722.7820529300252</c:v>
                </c:pt>
                <c:pt idx="616">
                  <c:v>7692.2245141107369</c:v>
                </c:pt>
                <c:pt idx="617">
                  <c:v>7663.8929944964575</c:v>
                </c:pt>
                <c:pt idx="618">
                  <c:v>7637.7961241425191</c:v>
                </c:pt>
                <c:pt idx="619">
                  <c:v>7613.9418524084394</c:v>
                </c:pt>
                <c:pt idx="620">
                  <c:v>7592.3374455364665</c:v>
                </c:pt>
                <c:pt idx="621">
                  <c:v>7572.9894844382234</c:v>
                </c:pt>
                <c:pt idx="622">
                  <c:v>7555.9038626900847</c:v>
                </c:pt>
                <c:pt idx="623">
                  <c:v>7541.0857847379511</c:v>
                </c:pt>
                <c:pt idx="624">
                  <c:v>7528.5397643119086</c:v>
                </c:pt>
                <c:pt idx="625">
                  <c:v>7518.2696230513184</c:v>
                </c:pt>
                <c:pt idx="626">
                  <c:v>7510.2784893406961</c:v>
                </c:pt>
                <c:pt idx="627">
                  <c:v>7504.5687973567829</c:v>
                </c:pt>
                <c:pt idx="628">
                  <c:v>7501.1422863270654</c:v>
                </c:pt>
                <c:pt idx="629">
                  <c:v>7500</c:v>
                </c:pt>
                <c:pt idx="630">
                  <c:v>7501.1422863270654</c:v>
                </c:pt>
                <c:pt idx="631">
                  <c:v>7504.5687973567819</c:v>
                </c:pt>
                <c:pt idx="632">
                  <c:v>7510.2784893406961</c:v>
                </c:pt>
                <c:pt idx="633">
                  <c:v>7518.2696230513184</c:v>
                </c:pt>
                <c:pt idx="634">
                  <c:v>7528.5397643119086</c:v>
                </c:pt>
                <c:pt idx="635">
                  <c:v>7541.0857847379502</c:v>
                </c:pt>
                <c:pt idx="636">
                  <c:v>7555.9038626900847</c:v>
                </c:pt>
                <c:pt idx="637">
                  <c:v>7572.9894844382225</c:v>
                </c:pt>
                <c:pt idx="638">
                  <c:v>7592.3374455364656</c:v>
                </c:pt>
                <c:pt idx="639">
                  <c:v>7613.9418524084394</c:v>
                </c:pt>
                <c:pt idx="640">
                  <c:v>7637.7961241425201</c:v>
                </c:pt>
                <c:pt idx="641">
                  <c:v>7663.8929944964566</c:v>
                </c:pt>
                <c:pt idx="642">
                  <c:v>7692.2245141107351</c:v>
                </c:pt>
                <c:pt idx="643">
                  <c:v>7722.7820529300243</c:v>
                </c:pt>
                <c:pt idx="644">
                  <c:v>7755.5563028319866</c:v>
                </c:pt>
                <c:pt idx="645">
                  <c:v>7790.5372804626086</c:v>
                </c:pt>
                <c:pt idx="646">
                  <c:v>7827.7143302772347</c:v>
                </c:pt>
                <c:pt idx="647">
                  <c:v>7867.0761277863467</c:v>
                </c:pt>
                <c:pt idx="648">
                  <c:v>7908.6106830051249</c:v>
                </c:pt>
                <c:pt idx="649">
                  <c:v>7952.3053441056854</c:v>
                </c:pt>
                <c:pt idx="650">
                  <c:v>7998.1468012709865</c:v>
                </c:pt>
                <c:pt idx="651">
                  <c:v>8046.1210907490913</c:v>
                </c:pt>
                <c:pt idx="652">
                  <c:v>8096.2135991067016</c:v>
                </c:pt>
                <c:pt idx="653">
                  <c:v>8148.4090676804935</c:v>
                </c:pt>
                <c:pt idx="654">
                  <c:v>8202.6915972251227</c:v>
                </c:pt>
                <c:pt idx="655">
                  <c:v>8259.0446527562417</c:v>
                </c:pt>
                <c:pt idx="656">
                  <c:v>8317.4510685872428</c:v>
                </c:pt>
                <c:pt idx="657">
                  <c:v>8377.8930535580457</c:v>
                </c:pt>
                <c:pt idx="658">
                  <c:v>8440.3521964545253</c:v>
                </c:pt>
                <c:pt idx="659">
                  <c:v>8504.809471616707</c:v>
                </c:pt>
                <c:pt idx="660">
                  <c:v>8571.2452447341566</c:v>
                </c:pt>
                <c:pt idx="661">
                  <c:v>8639.6392788268058</c:v>
                </c:pt>
                <c:pt idx="662">
                  <c:v>8709.9707404093169</c:v>
                </c:pt>
                <c:pt idx="663">
                  <c:v>8782.2182058371873</c:v>
                </c:pt>
                <c:pt idx="664">
                  <c:v>8856.359667832563</c:v>
                </c:pt>
                <c:pt idx="665">
                  <c:v>8932.3725421878917</c:v>
                </c:pt>
                <c:pt idx="666">
                  <c:v>9010.2336746452966</c:v>
                </c:pt>
                <c:pt idx="667">
                  <c:v>9089.9193479495898</c:v>
                </c:pt>
                <c:pt idx="668">
                  <c:v>9171.405289072718</c:v>
                </c:pt>
                <c:pt idx="669">
                  <c:v>9254.6666766076596</c:v>
                </c:pt>
                <c:pt idx="670">
                  <c:v>9339.6781483291979</c:v>
                </c:pt>
                <c:pt idx="671">
                  <c:v>9426.413808919544</c:v>
                </c:pt>
                <c:pt idx="672">
                  <c:v>9514.8472378562165</c:v>
                </c:pt>
                <c:pt idx="673">
                  <c:v>9604.9514974601061</c:v>
                </c:pt>
                <c:pt idx="674">
                  <c:v>9696.6991411008967</c:v>
                </c:pt>
                <c:pt idx="675">
                  <c:v>9790.0622215575168</c:v>
                </c:pt>
                <c:pt idx="676">
                  <c:v>9885.0122995312613</c:v>
                </c:pt>
                <c:pt idx="677">
                  <c:v>9981.5204523085577</c:v>
                </c:pt>
                <c:pt idx="678">
                  <c:v>10079.557282571193</c:v>
                </c:pt>
                <c:pt idx="679">
                  <c:v>10179.092927350957</c:v>
                </c:pt>
                <c:pt idx="680">
                  <c:v>10280.097067126215</c:v>
                </c:pt>
                <c:pt idx="681">
                  <c:v>10382.538935057553</c:v>
                </c:pt>
                <c:pt idx="682">
                  <c:v>10486.387326359642</c:v>
                </c:pt>
                <c:pt idx="683">
                  <c:v>10591.610607806448</c:v>
                </c:pt>
                <c:pt idx="684">
                  <c:v>10698.176727367145</c:v>
                </c:pt>
                <c:pt idx="685">
                  <c:v>10806.053223969404</c:v>
                </c:pt>
                <c:pt idx="686">
                  <c:v>10915.207237387296</c:v>
                </c:pt>
                <c:pt idx="687">
                  <c:v>11025.605518250955</c:v>
                </c:pt>
                <c:pt idx="688">
                  <c:v>11137.214438174578</c:v>
                </c:pt>
                <c:pt idx="689">
                  <c:v>11250</c:v>
                </c:pt>
                <c:pt idx="690">
                  <c:v>11363.927848152465</c:v>
                </c:pt>
                <c:pt idx="691">
                  <c:v>11478.963279105817</c:v>
                </c:pt>
                <c:pt idx="692">
                  <c:v>11595.07125195339</c:v>
                </c:pt>
                <c:pt idx="693">
                  <c:v>11712.216399081915</c:v>
                </c:pt>
                <c:pt idx="694">
                  <c:v>11830.363036944755</c:v>
                </c:pt>
                <c:pt idx="695">
                  <c:v>11949.47517693149</c:v>
                </c:pt>
                <c:pt idx="696">
                  <c:v>12069.516536330457</c:v>
                </c:pt>
                <c:pt idx="697">
                  <c:v>12190.450549380661</c:v>
                </c:pt>
                <c:pt idx="698">
                  <c:v>12312.240378410243</c:v>
                </c:pt>
                <c:pt idx="699">
                  <c:v>12434.848925057471</c:v>
                </c:pt>
                <c:pt idx="700">
                  <c:v>12558.238841571329</c:v>
                </c:pt>
                <c:pt idx="701">
                  <c:v>12682.372542187892</c:v>
                </c:pt>
                <c:pt idx="702">
                  <c:v>12807.212214579464</c:v>
                </c:pt>
                <c:pt idx="703">
                  <c:v>12932.7198313725</c:v>
                </c:pt>
                <c:pt idx="704">
                  <c:v>13058.857161731094</c:v>
                </c:pt>
                <c:pt idx="705">
                  <c:v>13185.585783002483</c:v>
                </c:pt>
                <c:pt idx="706">
                  <c:v>13312.867092421009</c:v>
                </c:pt>
                <c:pt idx="707">
                  <c:v>13440.662318866805</c:v>
                </c:pt>
                <c:pt idx="708">
                  <c:v>13568.932534675907</c:v>
                </c:pt>
                <c:pt idx="709">
                  <c:v>13697.63866749802</c:v>
                </c:pt>
                <c:pt idx="710">
                  <c:v>13826.741512198258</c:v>
                </c:pt>
                <c:pt idx="711">
                  <c:v>13956.201742799518</c:v>
                </c:pt>
                <c:pt idx="712">
                  <c:v>14085.979924461393</c:v>
                </c:pt>
                <c:pt idx="713">
                  <c:v>14216.036525492591</c:v>
                </c:pt>
                <c:pt idx="714">
                  <c:v>14346.331929392574</c:v>
                </c:pt>
                <c:pt idx="715">
                  <c:v>14476.826446919062</c:v>
                </c:pt>
                <c:pt idx="716">
                  <c:v>14607.480328177915</c:v>
                </c:pt>
                <c:pt idx="717">
                  <c:v>14738.253774731229</c:v>
                </c:pt>
                <c:pt idx="718">
                  <c:v>14869.106951720378</c:v>
                </c:pt>
                <c:pt idx="719">
                  <c:v>14999.999999999996</c:v>
                </c:pt>
                <c:pt idx="720">
                  <c:v>15130.893048279615</c:v>
                </c:pt>
                <c:pt idx="721">
                  <c:v>15261.746225268751</c:v>
                </c:pt>
                <c:pt idx="722">
                  <c:v>15392.519671822078</c:v>
                </c:pt>
                <c:pt idx="723">
                  <c:v>15523.173553080931</c:v>
                </c:pt>
                <c:pt idx="724">
                  <c:v>15653.668070607431</c:v>
                </c:pt>
                <c:pt idx="725">
                  <c:v>15783.963474507402</c:v>
                </c:pt>
                <c:pt idx="726">
                  <c:v>15914.020075538612</c:v>
                </c:pt>
                <c:pt idx="727">
                  <c:v>16043.798257200489</c:v>
                </c:pt>
                <c:pt idx="728">
                  <c:v>16173.258487801721</c:v>
                </c:pt>
                <c:pt idx="729">
                  <c:v>16302.361332501985</c:v>
                </c:pt>
                <c:pt idx="730">
                  <c:v>16431.067465324086</c:v>
                </c:pt>
                <c:pt idx="731">
                  <c:v>16559.337681133187</c:v>
                </c:pt>
                <c:pt idx="732">
                  <c:v>16687.132907578973</c:v>
                </c:pt>
                <c:pt idx="733">
                  <c:v>16814.414216997509</c:v>
                </c:pt>
                <c:pt idx="734">
                  <c:v>16941.142838268901</c:v>
                </c:pt>
                <c:pt idx="735">
                  <c:v>17067.28016862748</c:v>
                </c:pt>
                <c:pt idx="736">
                  <c:v>17192.787785420529</c:v>
                </c:pt>
                <c:pt idx="737">
                  <c:v>17317.627457812101</c:v>
                </c:pt>
                <c:pt idx="738">
                  <c:v>17441.761158428675</c:v>
                </c:pt>
                <c:pt idx="739">
                  <c:v>17565.151074942511</c:v>
                </c:pt>
                <c:pt idx="740">
                  <c:v>17687.75962158975</c:v>
                </c:pt>
                <c:pt idx="741">
                  <c:v>17809.549450619343</c:v>
                </c:pt>
                <c:pt idx="742">
                  <c:v>17930.483463669549</c:v>
                </c:pt>
                <c:pt idx="743">
                  <c:v>18050.524823068488</c:v>
                </c:pt>
                <c:pt idx="744">
                  <c:v>18169.636963055251</c:v>
                </c:pt>
                <c:pt idx="745">
                  <c:v>18287.783600918079</c:v>
                </c:pt>
                <c:pt idx="746">
                  <c:v>18404.92874804659</c:v>
                </c:pt>
                <c:pt idx="747">
                  <c:v>18521.036720894186</c:v>
                </c:pt>
                <c:pt idx="748">
                  <c:v>18636.072151847526</c:v>
                </c:pt>
                <c:pt idx="749">
                  <c:v>18749.999999999993</c:v>
                </c:pt>
                <c:pt idx="750">
                  <c:v>18862.785561825393</c:v>
                </c:pt>
                <c:pt idx="751">
                  <c:v>18974.394481749041</c:v>
                </c:pt>
                <c:pt idx="752">
                  <c:v>19084.792762612698</c:v>
                </c:pt>
                <c:pt idx="753">
                  <c:v>19193.9467760306</c:v>
                </c:pt>
                <c:pt idx="754">
                  <c:v>19301.823272632839</c:v>
                </c:pt>
                <c:pt idx="755">
                  <c:v>19408.389392193545</c:v>
                </c:pt>
                <c:pt idx="756">
                  <c:v>19513.612673640364</c:v>
                </c:pt>
                <c:pt idx="757">
                  <c:v>19617.461064942432</c:v>
                </c:pt>
                <c:pt idx="758">
                  <c:v>19719.902932873782</c:v>
                </c:pt>
                <c:pt idx="759">
                  <c:v>19820.907072649046</c:v>
                </c:pt>
                <c:pt idx="760">
                  <c:v>19920.442717428799</c:v>
                </c:pt>
                <c:pt idx="761">
                  <c:v>20018.479547691426</c:v>
                </c:pt>
                <c:pt idx="762">
                  <c:v>20114.987700468744</c:v>
                </c:pt>
                <c:pt idx="763">
                  <c:v>20209.93777844248</c:v>
                </c:pt>
                <c:pt idx="764">
                  <c:v>20303.3008588991</c:v>
                </c:pt>
                <c:pt idx="765">
                  <c:v>20395.04850253987</c:v>
                </c:pt>
                <c:pt idx="766">
                  <c:v>20485.152762143778</c:v>
                </c:pt>
                <c:pt idx="767">
                  <c:v>20573.586191080452</c:v>
                </c:pt>
                <c:pt idx="768">
                  <c:v>20660.321851670786</c:v>
                </c:pt>
                <c:pt idx="769">
                  <c:v>20745.333323392337</c:v>
                </c:pt>
                <c:pt idx="770">
                  <c:v>20828.594710927278</c:v>
                </c:pt>
                <c:pt idx="771">
                  <c:v>20910.080652050412</c:v>
                </c:pt>
                <c:pt idx="772">
                  <c:v>20989.766325354693</c:v>
                </c:pt>
                <c:pt idx="773">
                  <c:v>21067.627457812112</c:v>
                </c:pt>
                <c:pt idx="774">
                  <c:v>21143.640332167441</c:v>
                </c:pt>
                <c:pt idx="775">
                  <c:v>21217.781794162809</c:v>
                </c:pt>
                <c:pt idx="776">
                  <c:v>21290.029259590672</c:v>
                </c:pt>
                <c:pt idx="777">
                  <c:v>21360.360721173194</c:v>
                </c:pt>
                <c:pt idx="778">
                  <c:v>21428.75475526584</c:v>
                </c:pt>
                <c:pt idx="779">
                  <c:v>21495.190528383282</c:v>
                </c:pt>
                <c:pt idx="780">
                  <c:v>21559.647803545471</c:v>
                </c:pt>
                <c:pt idx="781">
                  <c:v>21622.106946441949</c:v>
                </c:pt>
                <c:pt idx="782">
                  <c:v>21682.548931412755</c:v>
                </c:pt>
                <c:pt idx="783">
                  <c:v>21740.955347243751</c:v>
                </c:pt>
                <c:pt idx="784">
                  <c:v>21797.308402774874</c:v>
                </c:pt>
                <c:pt idx="785">
                  <c:v>21851.590932319501</c:v>
                </c:pt>
                <c:pt idx="786">
                  <c:v>21903.786400893303</c:v>
                </c:pt>
                <c:pt idx="787">
                  <c:v>21953.878909250903</c:v>
                </c:pt>
                <c:pt idx="788">
                  <c:v>22001.853198729015</c:v>
                </c:pt>
                <c:pt idx="789">
                  <c:v>22047.694655894313</c:v>
                </c:pt>
                <c:pt idx="790">
                  <c:v>22091.389316994871</c:v>
                </c:pt>
                <c:pt idx="791">
                  <c:v>22132.923872213654</c:v>
                </c:pt>
                <c:pt idx="792">
                  <c:v>22172.285669722765</c:v>
                </c:pt>
                <c:pt idx="793">
                  <c:v>22209.462719537391</c:v>
                </c:pt>
                <c:pt idx="794">
                  <c:v>22244.443697168008</c:v>
                </c:pt>
                <c:pt idx="795">
                  <c:v>22277.217947069974</c:v>
                </c:pt>
                <c:pt idx="796">
                  <c:v>22307.775485889262</c:v>
                </c:pt>
                <c:pt idx="797">
                  <c:v>22336.107005503538</c:v>
                </c:pt>
                <c:pt idx="798">
                  <c:v>22362.203875857478</c:v>
                </c:pt>
                <c:pt idx="799">
                  <c:v>22386.058147591561</c:v>
                </c:pt>
                <c:pt idx="800">
                  <c:v>22407.662554463532</c:v>
                </c:pt>
                <c:pt idx="801">
                  <c:v>22427.010515561778</c:v>
                </c:pt>
                <c:pt idx="802">
                  <c:v>22444.096137309916</c:v>
                </c:pt>
                <c:pt idx="803">
                  <c:v>22458.914215262052</c:v>
                </c:pt>
                <c:pt idx="804">
                  <c:v>22471.460235688093</c:v>
                </c:pt>
                <c:pt idx="805">
                  <c:v>22481.730376948683</c:v>
                </c:pt>
                <c:pt idx="806">
                  <c:v>22489.721510659307</c:v>
                </c:pt>
                <c:pt idx="807">
                  <c:v>22495.431202643216</c:v>
                </c:pt>
                <c:pt idx="808">
                  <c:v>22498.857713672936</c:v>
                </c:pt>
                <c:pt idx="809">
                  <c:v>22500</c:v>
                </c:pt>
                <c:pt idx="810">
                  <c:v>22498.857713672936</c:v>
                </c:pt>
                <c:pt idx="811">
                  <c:v>22495.431202643216</c:v>
                </c:pt>
                <c:pt idx="812">
                  <c:v>22489.721510659307</c:v>
                </c:pt>
                <c:pt idx="813">
                  <c:v>22481.730376948683</c:v>
                </c:pt>
                <c:pt idx="814">
                  <c:v>22471.460235688093</c:v>
                </c:pt>
                <c:pt idx="815">
                  <c:v>22458.914215262052</c:v>
                </c:pt>
                <c:pt idx="816">
                  <c:v>22444.096137309916</c:v>
                </c:pt>
                <c:pt idx="817">
                  <c:v>22427.010515561778</c:v>
                </c:pt>
                <c:pt idx="818">
                  <c:v>22407.662554463532</c:v>
                </c:pt>
                <c:pt idx="819">
                  <c:v>22386.058147591561</c:v>
                </c:pt>
                <c:pt idx="820">
                  <c:v>22362.203875857482</c:v>
                </c:pt>
                <c:pt idx="821">
                  <c:v>22336.107005503542</c:v>
                </c:pt>
                <c:pt idx="822">
                  <c:v>22307.775485889266</c:v>
                </c:pt>
                <c:pt idx="823">
                  <c:v>22277.217947069978</c:v>
                </c:pt>
                <c:pt idx="824">
                  <c:v>22244.443697168012</c:v>
                </c:pt>
                <c:pt idx="825">
                  <c:v>22209.462719537391</c:v>
                </c:pt>
                <c:pt idx="826">
                  <c:v>22172.285669722769</c:v>
                </c:pt>
                <c:pt idx="827">
                  <c:v>22132.923872213658</c:v>
                </c:pt>
                <c:pt idx="828">
                  <c:v>22091.389316994875</c:v>
                </c:pt>
                <c:pt idx="829">
                  <c:v>22047.694655894316</c:v>
                </c:pt>
                <c:pt idx="830">
                  <c:v>22001.853198729012</c:v>
                </c:pt>
                <c:pt idx="831">
                  <c:v>21953.878909250903</c:v>
                </c:pt>
                <c:pt idx="832">
                  <c:v>21903.786400893303</c:v>
                </c:pt>
                <c:pt idx="833">
                  <c:v>21851.590932319508</c:v>
                </c:pt>
                <c:pt idx="834">
                  <c:v>21797.308402774877</c:v>
                </c:pt>
                <c:pt idx="835">
                  <c:v>21740.955347243755</c:v>
                </c:pt>
                <c:pt idx="836">
                  <c:v>21682.548931412755</c:v>
                </c:pt>
                <c:pt idx="837">
                  <c:v>21622.106946441956</c:v>
                </c:pt>
                <c:pt idx="838">
                  <c:v>21559.647803545475</c:v>
                </c:pt>
                <c:pt idx="839">
                  <c:v>21495.190528383289</c:v>
                </c:pt>
                <c:pt idx="840">
                  <c:v>21428.754755265843</c:v>
                </c:pt>
                <c:pt idx="841">
                  <c:v>21360.360721173201</c:v>
                </c:pt>
                <c:pt idx="842">
                  <c:v>21290.029259590676</c:v>
                </c:pt>
                <c:pt idx="843">
                  <c:v>21217.781794162813</c:v>
                </c:pt>
                <c:pt idx="844">
                  <c:v>21143.640332167444</c:v>
                </c:pt>
                <c:pt idx="845">
                  <c:v>21067.627457812108</c:v>
                </c:pt>
                <c:pt idx="846">
                  <c:v>20989.766325354696</c:v>
                </c:pt>
                <c:pt idx="847">
                  <c:v>20910.080652050419</c:v>
                </c:pt>
                <c:pt idx="848">
                  <c:v>20828.594710927282</c:v>
                </c:pt>
                <c:pt idx="849">
                  <c:v>20745.33332339234</c:v>
                </c:pt>
                <c:pt idx="850">
                  <c:v>20660.321851670793</c:v>
                </c:pt>
                <c:pt idx="851">
                  <c:v>20573.586191080456</c:v>
                </c:pt>
                <c:pt idx="852">
                  <c:v>20485.152762143785</c:v>
                </c:pt>
                <c:pt idx="853">
                  <c:v>20395.048502539878</c:v>
                </c:pt>
                <c:pt idx="854">
                  <c:v>20303.300858899107</c:v>
                </c:pt>
                <c:pt idx="855">
                  <c:v>20209.937778442483</c:v>
                </c:pt>
                <c:pt idx="856">
                  <c:v>20114.987700468751</c:v>
                </c:pt>
                <c:pt idx="857">
                  <c:v>20018.479547691433</c:v>
                </c:pt>
                <c:pt idx="858">
                  <c:v>19920.442717428807</c:v>
                </c:pt>
                <c:pt idx="859">
                  <c:v>19820.907072649054</c:v>
                </c:pt>
                <c:pt idx="860">
                  <c:v>19719.902932873785</c:v>
                </c:pt>
                <c:pt idx="861">
                  <c:v>19617.461064942436</c:v>
                </c:pt>
                <c:pt idx="862">
                  <c:v>19513.612673640368</c:v>
                </c:pt>
                <c:pt idx="863">
                  <c:v>19408.389392193552</c:v>
                </c:pt>
                <c:pt idx="864">
                  <c:v>19301.823272632846</c:v>
                </c:pt>
                <c:pt idx="865">
                  <c:v>19193.946776030596</c:v>
                </c:pt>
                <c:pt idx="866">
                  <c:v>19084.792762612706</c:v>
                </c:pt>
                <c:pt idx="867">
                  <c:v>18974.394481749045</c:v>
                </c:pt>
                <c:pt idx="868">
                  <c:v>18862.7855618254</c:v>
                </c:pt>
                <c:pt idx="869">
                  <c:v>18750</c:v>
                </c:pt>
                <c:pt idx="870">
                  <c:v>18636.072151847537</c:v>
                </c:pt>
                <c:pt idx="871">
                  <c:v>18521.036720894197</c:v>
                </c:pt>
                <c:pt idx="872">
                  <c:v>18404.928748046601</c:v>
                </c:pt>
                <c:pt idx="873">
                  <c:v>18287.783600918086</c:v>
                </c:pt>
                <c:pt idx="874">
                  <c:v>18169.636963055258</c:v>
                </c:pt>
                <c:pt idx="875">
                  <c:v>18050.524823068496</c:v>
                </c:pt>
                <c:pt idx="876">
                  <c:v>17930.483463669556</c:v>
                </c:pt>
                <c:pt idx="877">
                  <c:v>17809.54945061935</c:v>
                </c:pt>
                <c:pt idx="878">
                  <c:v>17687.759621589757</c:v>
                </c:pt>
                <c:pt idx="879">
                  <c:v>17565.151074942518</c:v>
                </c:pt>
                <c:pt idx="880">
                  <c:v>17441.761158428671</c:v>
                </c:pt>
                <c:pt idx="881">
                  <c:v>17317.627457812108</c:v>
                </c:pt>
                <c:pt idx="882">
                  <c:v>17192.787785420536</c:v>
                </c:pt>
                <c:pt idx="883">
                  <c:v>17067.280168627487</c:v>
                </c:pt>
                <c:pt idx="884">
                  <c:v>16941.142838268908</c:v>
                </c:pt>
                <c:pt idx="885">
                  <c:v>16814.414216997517</c:v>
                </c:pt>
                <c:pt idx="886">
                  <c:v>16687.13290757898</c:v>
                </c:pt>
                <c:pt idx="887">
                  <c:v>16559.337681133195</c:v>
                </c:pt>
                <c:pt idx="888">
                  <c:v>16431.067465324093</c:v>
                </c:pt>
                <c:pt idx="889">
                  <c:v>16302.361332501994</c:v>
                </c:pt>
                <c:pt idx="890">
                  <c:v>16173.25848780173</c:v>
                </c:pt>
                <c:pt idx="891">
                  <c:v>16043.798257200497</c:v>
                </c:pt>
                <c:pt idx="892">
                  <c:v>15914.020075538619</c:v>
                </c:pt>
                <c:pt idx="893">
                  <c:v>15783.963474507411</c:v>
                </c:pt>
                <c:pt idx="894">
                  <c:v>15653.66807060744</c:v>
                </c:pt>
                <c:pt idx="895">
                  <c:v>15523.173553080938</c:v>
                </c:pt>
                <c:pt idx="896">
                  <c:v>15392.519671822085</c:v>
                </c:pt>
                <c:pt idx="897">
                  <c:v>15261.746225268758</c:v>
                </c:pt>
                <c:pt idx="898">
                  <c:v>15130.893048279622</c:v>
                </c:pt>
                <c:pt idx="899">
                  <c:v>15000.000000000005</c:v>
                </c:pt>
                <c:pt idx="900">
                  <c:v>14869.106951720387</c:v>
                </c:pt>
                <c:pt idx="901">
                  <c:v>14738.253774731236</c:v>
                </c:pt>
                <c:pt idx="902">
                  <c:v>14607.480328177924</c:v>
                </c:pt>
                <c:pt idx="903">
                  <c:v>14476.826446919071</c:v>
                </c:pt>
                <c:pt idx="904">
                  <c:v>14346.331929392582</c:v>
                </c:pt>
                <c:pt idx="905">
                  <c:v>14216.0365254926</c:v>
                </c:pt>
                <c:pt idx="906">
                  <c:v>14085.979924461402</c:v>
                </c:pt>
                <c:pt idx="907">
                  <c:v>13956.201742799525</c:v>
                </c:pt>
                <c:pt idx="908">
                  <c:v>13826.741512198267</c:v>
                </c:pt>
                <c:pt idx="909">
                  <c:v>13697.638667498028</c:v>
                </c:pt>
                <c:pt idx="910">
                  <c:v>13568.932534675914</c:v>
                </c:pt>
                <c:pt idx="911">
                  <c:v>13440.662318866815</c:v>
                </c:pt>
                <c:pt idx="912">
                  <c:v>13312.867092421016</c:v>
                </c:pt>
                <c:pt idx="913">
                  <c:v>13185.585783002491</c:v>
                </c:pt>
                <c:pt idx="914">
                  <c:v>13058.857161731101</c:v>
                </c:pt>
                <c:pt idx="915">
                  <c:v>12932.71983137252</c:v>
                </c:pt>
                <c:pt idx="916">
                  <c:v>12807.212214579484</c:v>
                </c:pt>
                <c:pt idx="917">
                  <c:v>12682.372542187912</c:v>
                </c:pt>
                <c:pt idx="918">
                  <c:v>12558.238841571325</c:v>
                </c:pt>
                <c:pt idx="919">
                  <c:v>12434.848925057491</c:v>
                </c:pt>
                <c:pt idx="920">
                  <c:v>12312.240378410239</c:v>
                </c:pt>
                <c:pt idx="921">
                  <c:v>12190.450549380657</c:v>
                </c:pt>
                <c:pt idx="922">
                  <c:v>12069.516536330451</c:v>
                </c:pt>
                <c:pt idx="923">
                  <c:v>11949.475176931486</c:v>
                </c:pt>
                <c:pt idx="924">
                  <c:v>11830.363036944749</c:v>
                </c:pt>
                <c:pt idx="925">
                  <c:v>11712.216399081923</c:v>
                </c:pt>
                <c:pt idx="926">
                  <c:v>11595.07125195341</c:v>
                </c:pt>
                <c:pt idx="927">
                  <c:v>11478.963279105812</c:v>
                </c:pt>
                <c:pt idx="928">
                  <c:v>11363.927848152474</c:v>
                </c:pt>
                <c:pt idx="929">
                  <c:v>11250.000000000007</c:v>
                </c:pt>
                <c:pt idx="930">
                  <c:v>11137.214438174586</c:v>
                </c:pt>
                <c:pt idx="931">
                  <c:v>11025.605518250963</c:v>
                </c:pt>
                <c:pt idx="932">
                  <c:v>10915.207237387302</c:v>
                </c:pt>
                <c:pt idx="933">
                  <c:v>10806.053223969411</c:v>
                </c:pt>
                <c:pt idx="934">
                  <c:v>10698.17672736715</c:v>
                </c:pt>
                <c:pt idx="935">
                  <c:v>10591.610607806455</c:v>
                </c:pt>
                <c:pt idx="936">
                  <c:v>10486.387326359647</c:v>
                </c:pt>
                <c:pt idx="937">
                  <c:v>10382.538935057579</c:v>
                </c:pt>
                <c:pt idx="938">
                  <c:v>10280.097067126222</c:v>
                </c:pt>
                <c:pt idx="939">
                  <c:v>10179.092927350963</c:v>
                </c:pt>
                <c:pt idx="940">
                  <c:v>10079.55728257121</c:v>
                </c:pt>
                <c:pt idx="941">
                  <c:v>9981.5204523085631</c:v>
                </c:pt>
                <c:pt idx="942">
                  <c:v>9885.0122995312668</c:v>
                </c:pt>
                <c:pt idx="943">
                  <c:v>9790.0622215575313</c:v>
                </c:pt>
                <c:pt idx="944">
                  <c:v>9696.6991411009112</c:v>
                </c:pt>
                <c:pt idx="945">
                  <c:v>9604.9514974601207</c:v>
                </c:pt>
                <c:pt idx="946">
                  <c:v>9514.8472378562328</c:v>
                </c:pt>
                <c:pt idx="947">
                  <c:v>9426.4138089195403</c:v>
                </c:pt>
                <c:pt idx="948">
                  <c:v>9339.6781483292125</c:v>
                </c:pt>
                <c:pt idx="949">
                  <c:v>9254.6666766076723</c:v>
                </c:pt>
                <c:pt idx="950">
                  <c:v>9171.4052890727144</c:v>
                </c:pt>
                <c:pt idx="951">
                  <c:v>9089.9193479495862</c:v>
                </c:pt>
                <c:pt idx="952">
                  <c:v>9010.2336746453093</c:v>
                </c:pt>
                <c:pt idx="953">
                  <c:v>8932.372542187888</c:v>
                </c:pt>
                <c:pt idx="954">
                  <c:v>8856.3596678325612</c:v>
                </c:pt>
                <c:pt idx="955">
                  <c:v>8782.2182058371909</c:v>
                </c:pt>
                <c:pt idx="956">
                  <c:v>8709.9707404093133</c:v>
                </c:pt>
                <c:pt idx="957">
                  <c:v>8639.639278826804</c:v>
                </c:pt>
                <c:pt idx="958">
                  <c:v>8571.2452447341602</c:v>
                </c:pt>
                <c:pt idx="959">
                  <c:v>8504.8094716167179</c:v>
                </c:pt>
                <c:pt idx="960">
                  <c:v>8440.3521964545289</c:v>
                </c:pt>
                <c:pt idx="961">
                  <c:v>8377.8930535580494</c:v>
                </c:pt>
                <c:pt idx="962">
                  <c:v>8317.4510685872465</c:v>
                </c:pt>
                <c:pt idx="963">
                  <c:v>8259.0446527562453</c:v>
                </c:pt>
                <c:pt idx="964">
                  <c:v>8202.6915972251263</c:v>
                </c:pt>
                <c:pt idx="965">
                  <c:v>8148.4090676804972</c:v>
                </c:pt>
                <c:pt idx="966">
                  <c:v>8096.2135991067044</c:v>
                </c:pt>
                <c:pt idx="967">
                  <c:v>8046.121090749094</c:v>
                </c:pt>
                <c:pt idx="968">
                  <c:v>7998.1468012709893</c:v>
                </c:pt>
                <c:pt idx="969">
                  <c:v>7952.3053441056927</c:v>
                </c:pt>
                <c:pt idx="970">
                  <c:v>7908.6106830051231</c:v>
                </c:pt>
                <c:pt idx="971">
                  <c:v>7867.0761277863494</c:v>
                </c:pt>
                <c:pt idx="972">
                  <c:v>7827.7143302772374</c:v>
                </c:pt>
                <c:pt idx="973">
                  <c:v>7790.537280462614</c:v>
                </c:pt>
                <c:pt idx="974">
                  <c:v>7755.5563028319884</c:v>
                </c:pt>
                <c:pt idx="975">
                  <c:v>7722.7820529300288</c:v>
                </c:pt>
                <c:pt idx="976">
                  <c:v>7692.2245141107396</c:v>
                </c:pt>
                <c:pt idx="977">
                  <c:v>7663.8929944964584</c:v>
                </c:pt>
                <c:pt idx="978">
                  <c:v>7637.7961241425219</c:v>
                </c:pt>
                <c:pt idx="979">
                  <c:v>7613.9418524084422</c:v>
                </c:pt>
                <c:pt idx="980">
                  <c:v>7592.3374455364665</c:v>
                </c:pt>
                <c:pt idx="981">
                  <c:v>7572.9894844382243</c:v>
                </c:pt>
                <c:pt idx="982">
                  <c:v>7555.9038626900838</c:v>
                </c:pt>
                <c:pt idx="983">
                  <c:v>7541.0857847379493</c:v>
                </c:pt>
                <c:pt idx="984">
                  <c:v>7528.5397643119095</c:v>
                </c:pt>
                <c:pt idx="985">
                  <c:v>7518.2696230513166</c:v>
                </c:pt>
                <c:pt idx="986">
                  <c:v>7510.2784893406952</c:v>
                </c:pt>
                <c:pt idx="987">
                  <c:v>7504.5687973567819</c:v>
                </c:pt>
                <c:pt idx="988">
                  <c:v>7501.1422863270654</c:v>
                </c:pt>
                <c:pt idx="989">
                  <c:v>7500</c:v>
                </c:pt>
                <c:pt idx="990">
                  <c:v>7501.1422863270654</c:v>
                </c:pt>
                <c:pt idx="991">
                  <c:v>7504.5687973567819</c:v>
                </c:pt>
                <c:pt idx="992">
                  <c:v>7510.2784893406961</c:v>
                </c:pt>
                <c:pt idx="993">
                  <c:v>7518.2696230513184</c:v>
                </c:pt>
                <c:pt idx="994">
                  <c:v>7528.5397643119086</c:v>
                </c:pt>
                <c:pt idx="995">
                  <c:v>7541.0857847379484</c:v>
                </c:pt>
                <c:pt idx="996">
                  <c:v>7555.9038626900847</c:v>
                </c:pt>
                <c:pt idx="997">
                  <c:v>7572.9894844382225</c:v>
                </c:pt>
                <c:pt idx="998">
                  <c:v>7592.3374455364647</c:v>
                </c:pt>
                <c:pt idx="999">
                  <c:v>7613.9418524084358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F3-4FEC-B42F-1AA31C90CF68}"/>
            </c:ext>
          </c:extLst>
        </c:ser>
        <c:ser>
          <c:idx val="5"/>
          <c:order val="5"/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Calculs!$AS$6:$AS$1005</c:f>
              <c:numCache>
                <c:formatCode>0.000</c:formatCode>
                <c:ptCount val="1000"/>
                <c:pt idx="0">
                  <c:v>18499.46693304737</c:v>
                </c:pt>
                <c:pt idx="1">
                  <c:v>18497.867894566836</c:v>
                </c:pt>
                <c:pt idx="2">
                  <c:v>18495.203371641008</c:v>
                </c:pt>
                <c:pt idx="3">
                  <c:v>18491.474175909385</c:v>
                </c:pt>
                <c:pt idx="4">
                  <c:v>18486.681443321111</c:v>
                </c:pt>
                <c:pt idx="5">
                  <c:v>18480.826633788958</c:v>
                </c:pt>
                <c:pt idx="6">
                  <c:v>18473.911530744626</c:v>
                </c:pt>
                <c:pt idx="7">
                  <c:v>18465.938240595497</c:v>
                </c:pt>
                <c:pt idx="8">
                  <c:v>18456.909192082981</c:v>
                </c:pt>
                <c:pt idx="9">
                  <c:v>18446.827135542728</c:v>
                </c:pt>
                <c:pt idx="10">
                  <c:v>18435.695142066823</c:v>
                </c:pt>
                <c:pt idx="11">
                  <c:v>18423.516602568321</c:v>
                </c:pt>
                <c:pt idx="12">
                  <c:v>18410.295226748323</c:v>
                </c:pt>
                <c:pt idx="13">
                  <c:v>18396.035041965988</c:v>
                </c:pt>
                <c:pt idx="14">
                  <c:v>18380.740392011739</c:v>
                </c:pt>
                <c:pt idx="15">
                  <c:v>18364.415935784116</c:v>
                </c:pt>
                <c:pt idx="16">
                  <c:v>18347.066645870626</c:v>
                </c:pt>
                <c:pt idx="17">
                  <c:v>18328.697807033037</c:v>
                </c:pt>
                <c:pt idx="18">
                  <c:v>18309.315014597611</c:v>
                </c:pt>
                <c:pt idx="19">
                  <c:v>18288.924172750681</c:v>
                </c:pt>
                <c:pt idx="20">
                  <c:v>18267.531492740207</c:v>
                </c:pt>
                <c:pt idx="21">
                  <c:v>18245.143490983755</c:v>
                </c:pt>
                <c:pt idx="22">
                  <c:v>18221.766987083542</c:v>
                </c:pt>
                <c:pt idx="23">
                  <c:v>18197.409101749105</c:v>
                </c:pt>
                <c:pt idx="24">
                  <c:v>18172.077254628275</c:v>
                </c:pt>
                <c:pt idx="25">
                  <c:v>18145.779162047085</c:v>
                </c:pt>
                <c:pt idx="26">
                  <c:v>18118.522834659288</c:v>
                </c:pt>
                <c:pt idx="27">
                  <c:v>18090.316575006244</c:v>
                </c:pt>
                <c:pt idx="28">
                  <c:v>18061.168974987886</c:v>
                </c:pt>
                <c:pt idx="29">
                  <c:v>18031.088913245534</c:v>
                </c:pt>
                <c:pt idx="30">
                  <c:v>18000.085552457393</c:v>
                </c:pt>
                <c:pt idx="31">
                  <c:v>17968.168336547489</c:v>
                </c:pt>
                <c:pt idx="32">
                  <c:v>17935.346987808985</c:v>
                </c:pt>
                <c:pt idx="33">
                  <c:v>17901.631503942644</c:v>
                </c:pt>
                <c:pt idx="34">
                  <c:v>17867.032155011471</c:v>
                </c:pt>
                <c:pt idx="35">
                  <c:v>17831.559480312317</c:v>
                </c:pt>
                <c:pt idx="36">
                  <c:v>17795.224285165525</c:v>
                </c:pt>
                <c:pt idx="37">
                  <c:v>17758.037637623529</c:v>
                </c:pt>
                <c:pt idx="38">
                  <c:v>17720.010865099397</c:v>
                </c:pt>
                <c:pt idx="39">
                  <c:v>17681.155550916425</c:v>
                </c:pt>
                <c:pt idx="40">
                  <c:v>17641.483530779704</c:v>
                </c:pt>
                <c:pt idx="41">
                  <c:v>17601.00688917088</c:v>
                </c:pt>
                <c:pt idx="42">
                  <c:v>17559.737955667097</c:v>
                </c:pt>
                <c:pt idx="43">
                  <c:v>17517.689301185281</c:v>
                </c:pt>
                <c:pt idx="44">
                  <c:v>17474.873734152916</c:v>
                </c:pt>
                <c:pt idx="45">
                  <c:v>17431.30429660649</c:v>
                </c:pt>
                <c:pt idx="46">
                  <c:v>17386.994260218744</c:v>
                </c:pt>
                <c:pt idx="47">
                  <c:v>17341.957122256004</c:v>
                </c:pt>
                <c:pt idx="48">
                  <c:v>17296.206601466776</c:v>
                </c:pt>
                <c:pt idx="49">
                  <c:v>17249.756633902889</c:v>
                </c:pt>
                <c:pt idx="50">
                  <c:v>17202.62136867443</c:v>
                </c:pt>
                <c:pt idx="51">
                  <c:v>17154.815163639803</c:v>
                </c:pt>
                <c:pt idx="52">
                  <c:v>17106.35258103217</c:v>
                </c:pt>
                <c:pt idx="53">
                  <c:v>17057.248383023656</c:v>
                </c:pt>
                <c:pt idx="54">
                  <c:v>17007.517527228661</c:v>
                </c:pt>
                <c:pt idx="55">
                  <c:v>16957.175162147614</c:v>
                </c:pt>
                <c:pt idx="56">
                  <c:v>16906.236622552595</c:v>
                </c:pt>
                <c:pt idx="57">
                  <c:v>16854.717424816215</c:v>
                </c:pt>
                <c:pt idx="58">
                  <c:v>16802.633262185191</c:v>
                </c:pt>
                <c:pt idx="59">
                  <c:v>16750</c:v>
                </c:pt>
                <c:pt idx="60">
                  <c:v>16696.833670862179</c:v>
                </c:pt>
                <c:pt idx="61">
                  <c:v>16643.150469750617</c:v>
                </c:pt>
                <c:pt idx="62">
                  <c:v>16588.966749088413</c:v>
                </c:pt>
                <c:pt idx="63">
                  <c:v>16534.299013761771</c:v>
                </c:pt>
                <c:pt idx="64">
                  <c:v>16479.16391609245</c:v>
                </c:pt>
                <c:pt idx="65">
                  <c:v>16423.578250765302</c:v>
                </c:pt>
                <c:pt idx="66">
                  <c:v>16367.558949712458</c:v>
                </c:pt>
                <c:pt idx="67">
                  <c:v>16311.123076955691</c:v>
                </c:pt>
                <c:pt idx="68">
                  <c:v>16254.287823408551</c:v>
                </c:pt>
                <c:pt idx="69">
                  <c:v>16197.070501639841</c:v>
                </c:pt>
                <c:pt idx="70">
                  <c:v>16139.488540600049</c:v>
                </c:pt>
                <c:pt idx="71">
                  <c:v>16081.559480312317</c:v>
                </c:pt>
                <c:pt idx="72">
                  <c:v>16023.300966529579</c:v>
                </c:pt>
                <c:pt idx="73">
                  <c:v>15964.730745359497</c:v>
                </c:pt>
                <c:pt idx="74">
                  <c:v>15905.866657858822</c:v>
                </c:pt>
                <c:pt idx="75">
                  <c:v>15846.726634598837</c:v>
                </c:pt>
                <c:pt idx="76">
                  <c:v>15787.328690203527</c:v>
                </c:pt>
                <c:pt idx="77">
                  <c:v>15727.690917862157</c:v>
                </c:pt>
                <c:pt idx="78">
                  <c:v>15667.831483817907</c:v>
                </c:pt>
                <c:pt idx="79">
                  <c:v>15607.768621834257</c:v>
                </c:pt>
                <c:pt idx="80">
                  <c:v>15547.520627640808</c:v>
                </c:pt>
                <c:pt idx="81">
                  <c:v>15487.10585336023</c:v>
                </c:pt>
                <c:pt idx="82">
                  <c:v>15426.542701918017</c:v>
                </c:pt>
                <c:pt idx="83">
                  <c:v>15365.849621436788</c:v>
                </c:pt>
                <c:pt idx="84">
                  <c:v>15305.045099616804</c:v>
                </c:pt>
                <c:pt idx="85">
                  <c:v>15244.147658104439</c:v>
                </c:pt>
                <c:pt idx="86">
                  <c:v>15183.175846850303</c:v>
                </c:pt>
                <c:pt idx="87">
                  <c:v>15122.148238458754</c:v>
                </c:pt>
                <c:pt idx="88">
                  <c:v>15061.083422530492</c:v>
                </c:pt>
                <c:pt idx="89">
                  <c:v>15000</c:v>
                </c:pt>
                <c:pt idx="90">
                  <c:v>14938.916577469508</c:v>
                </c:pt>
                <c:pt idx="91">
                  <c:v>14877.851761541247</c:v>
                </c:pt>
                <c:pt idx="92">
                  <c:v>14816.824153149697</c:v>
                </c:pt>
                <c:pt idx="93">
                  <c:v>14755.852341895561</c:v>
                </c:pt>
                <c:pt idx="94">
                  <c:v>14694.954900383196</c:v>
                </c:pt>
                <c:pt idx="95">
                  <c:v>14634.150378563214</c:v>
                </c:pt>
                <c:pt idx="96">
                  <c:v>14573.457298081985</c:v>
                </c:pt>
                <c:pt idx="97">
                  <c:v>14512.894146639772</c:v>
                </c:pt>
                <c:pt idx="98">
                  <c:v>14452.479372359192</c:v>
                </c:pt>
                <c:pt idx="99">
                  <c:v>14392.231378165743</c:v>
                </c:pt>
                <c:pt idx="100">
                  <c:v>14332.168516182093</c:v>
                </c:pt>
                <c:pt idx="101">
                  <c:v>14272.309082137843</c:v>
                </c:pt>
                <c:pt idx="102">
                  <c:v>14212.671309796473</c:v>
                </c:pt>
                <c:pt idx="103">
                  <c:v>14153.273365401163</c:v>
                </c:pt>
                <c:pt idx="104">
                  <c:v>14094.133342141176</c:v>
                </c:pt>
                <c:pt idx="105">
                  <c:v>14035.269254640503</c:v>
                </c:pt>
                <c:pt idx="106">
                  <c:v>13976.699033470422</c:v>
                </c:pt>
                <c:pt idx="107">
                  <c:v>13918.440519687685</c:v>
                </c:pt>
                <c:pt idx="108">
                  <c:v>13860.511459399953</c:v>
                </c:pt>
                <c:pt idx="109">
                  <c:v>13802.929498360159</c:v>
                </c:pt>
                <c:pt idx="110">
                  <c:v>13745.712176591449</c:v>
                </c:pt>
                <c:pt idx="111">
                  <c:v>13688.876923044307</c:v>
                </c:pt>
                <c:pt idx="112">
                  <c:v>13632.441050287542</c:v>
                </c:pt>
                <c:pt idx="113">
                  <c:v>13576.4217492347</c:v>
                </c:pt>
                <c:pt idx="114">
                  <c:v>13520.836083907552</c:v>
                </c:pt>
                <c:pt idx="115">
                  <c:v>13465.700986238229</c:v>
                </c:pt>
                <c:pt idx="116">
                  <c:v>13411.033250911587</c:v>
                </c:pt>
                <c:pt idx="117">
                  <c:v>13356.849530249383</c:v>
                </c:pt>
                <c:pt idx="118">
                  <c:v>13303.166329137821</c:v>
                </c:pt>
                <c:pt idx="119">
                  <c:v>13250</c:v>
                </c:pt>
                <c:pt idx="120">
                  <c:v>13197.366737814809</c:v>
                </c:pt>
                <c:pt idx="121">
                  <c:v>13145.282575183783</c:v>
                </c:pt>
                <c:pt idx="122">
                  <c:v>13093.763377447405</c:v>
                </c:pt>
                <c:pt idx="123">
                  <c:v>13042.824837852386</c:v>
                </c:pt>
                <c:pt idx="124">
                  <c:v>12992.48247277134</c:v>
                </c:pt>
                <c:pt idx="125">
                  <c:v>12942.751616976344</c:v>
                </c:pt>
                <c:pt idx="126">
                  <c:v>12893.64741896783</c:v>
                </c:pt>
                <c:pt idx="127">
                  <c:v>12845.184836360197</c:v>
                </c:pt>
                <c:pt idx="128">
                  <c:v>12797.37863132557</c:v>
                </c:pt>
                <c:pt idx="129">
                  <c:v>12750.243366097113</c:v>
                </c:pt>
                <c:pt idx="130">
                  <c:v>12703.793398533224</c:v>
                </c:pt>
                <c:pt idx="131">
                  <c:v>12658.042877743996</c:v>
                </c:pt>
                <c:pt idx="132">
                  <c:v>12613.005739781256</c:v>
                </c:pt>
                <c:pt idx="133">
                  <c:v>12568.69570339351</c:v>
                </c:pt>
                <c:pt idx="134">
                  <c:v>12525.126265847084</c:v>
                </c:pt>
                <c:pt idx="135">
                  <c:v>12482.310698814721</c:v>
                </c:pt>
                <c:pt idx="136">
                  <c:v>12440.262044332903</c:v>
                </c:pt>
                <c:pt idx="137">
                  <c:v>12398.99311082912</c:v>
                </c:pt>
                <c:pt idx="138">
                  <c:v>12358.516469220298</c:v>
                </c:pt>
                <c:pt idx="139">
                  <c:v>12318.844449083577</c:v>
                </c:pt>
                <c:pt idx="140">
                  <c:v>12279.989134900603</c:v>
                </c:pt>
                <c:pt idx="141">
                  <c:v>12241.962362376473</c:v>
                </c:pt>
                <c:pt idx="142">
                  <c:v>12204.775714834475</c:v>
                </c:pt>
                <c:pt idx="143">
                  <c:v>12168.440519687683</c:v>
                </c:pt>
                <c:pt idx="144">
                  <c:v>12132.967844988529</c:v>
                </c:pt>
                <c:pt idx="145">
                  <c:v>12098.368496057354</c:v>
                </c:pt>
                <c:pt idx="146">
                  <c:v>12064.653012191015</c:v>
                </c:pt>
                <c:pt idx="147">
                  <c:v>12031.831663452509</c:v>
                </c:pt>
                <c:pt idx="148">
                  <c:v>11999.914447542607</c:v>
                </c:pt>
                <c:pt idx="149">
                  <c:v>11968.911086754464</c:v>
                </c:pt>
                <c:pt idx="150">
                  <c:v>11938.831025012114</c:v>
                </c:pt>
                <c:pt idx="151">
                  <c:v>11909.683424993756</c:v>
                </c:pt>
                <c:pt idx="152">
                  <c:v>11881.477165340713</c:v>
                </c:pt>
                <c:pt idx="153">
                  <c:v>11854.220837952915</c:v>
                </c:pt>
                <c:pt idx="154">
                  <c:v>11827.922745371725</c:v>
                </c:pt>
                <c:pt idx="155">
                  <c:v>11802.590898250897</c:v>
                </c:pt>
                <c:pt idx="156">
                  <c:v>11778.233012916458</c:v>
                </c:pt>
                <c:pt idx="157">
                  <c:v>11754.856509016245</c:v>
                </c:pt>
                <c:pt idx="158">
                  <c:v>11732.468507259793</c:v>
                </c:pt>
                <c:pt idx="159">
                  <c:v>11711.07582724932</c:v>
                </c:pt>
                <c:pt idx="160">
                  <c:v>11690.684985402391</c:v>
                </c:pt>
                <c:pt idx="161">
                  <c:v>11671.302192966963</c:v>
                </c:pt>
                <c:pt idx="162">
                  <c:v>11652.933354129376</c:v>
                </c:pt>
                <c:pt idx="163">
                  <c:v>11635.584064215884</c:v>
                </c:pt>
                <c:pt idx="164">
                  <c:v>11619.259607988261</c:v>
                </c:pt>
                <c:pt idx="165">
                  <c:v>11603.964958034012</c:v>
                </c:pt>
                <c:pt idx="166">
                  <c:v>11589.704773251677</c:v>
                </c:pt>
                <c:pt idx="167">
                  <c:v>11576.483397431681</c:v>
                </c:pt>
                <c:pt idx="168">
                  <c:v>11564.304857933177</c:v>
                </c:pt>
                <c:pt idx="169">
                  <c:v>11553.172864457272</c:v>
                </c:pt>
                <c:pt idx="170">
                  <c:v>11543.090807917019</c:v>
                </c:pt>
                <c:pt idx="171">
                  <c:v>11534.061759404503</c:v>
                </c:pt>
                <c:pt idx="172">
                  <c:v>11526.088469255374</c:v>
                </c:pt>
                <c:pt idx="173">
                  <c:v>11519.173366211044</c:v>
                </c:pt>
                <c:pt idx="174">
                  <c:v>11513.318556678891</c:v>
                </c:pt>
                <c:pt idx="175">
                  <c:v>11508.525824090615</c:v>
                </c:pt>
                <c:pt idx="176">
                  <c:v>11504.796628358992</c:v>
                </c:pt>
                <c:pt idx="177">
                  <c:v>11502.132105433164</c:v>
                </c:pt>
                <c:pt idx="178">
                  <c:v>11500.53306695263</c:v>
                </c:pt>
                <c:pt idx="179">
                  <c:v>11500</c:v>
                </c:pt>
                <c:pt idx="180">
                  <c:v>11500.53306695263</c:v>
                </c:pt>
                <c:pt idx="181">
                  <c:v>11502.132105433164</c:v>
                </c:pt>
                <c:pt idx="182">
                  <c:v>11504.796628358992</c:v>
                </c:pt>
                <c:pt idx="183">
                  <c:v>11508.525824090615</c:v>
                </c:pt>
                <c:pt idx="184">
                  <c:v>11513.318556678891</c:v>
                </c:pt>
                <c:pt idx="185">
                  <c:v>11519.173366211044</c:v>
                </c:pt>
                <c:pt idx="186">
                  <c:v>11526.088469255374</c:v>
                </c:pt>
                <c:pt idx="187">
                  <c:v>11534.061759404503</c:v>
                </c:pt>
                <c:pt idx="188">
                  <c:v>11543.090807917019</c:v>
                </c:pt>
                <c:pt idx="189">
                  <c:v>11553.172864457272</c:v>
                </c:pt>
                <c:pt idx="190">
                  <c:v>11564.304857933177</c:v>
                </c:pt>
                <c:pt idx="191">
                  <c:v>11576.483397431681</c:v>
                </c:pt>
                <c:pt idx="192">
                  <c:v>11589.704773251677</c:v>
                </c:pt>
                <c:pt idx="193">
                  <c:v>11603.964958034012</c:v>
                </c:pt>
                <c:pt idx="194">
                  <c:v>11619.259607988261</c:v>
                </c:pt>
                <c:pt idx="195">
                  <c:v>11635.584064215884</c:v>
                </c:pt>
                <c:pt idx="196">
                  <c:v>11652.933354129374</c:v>
                </c:pt>
                <c:pt idx="197">
                  <c:v>11671.302192966963</c:v>
                </c:pt>
                <c:pt idx="198">
                  <c:v>11690.684985402391</c:v>
                </c:pt>
                <c:pt idx="199">
                  <c:v>11711.07582724932</c:v>
                </c:pt>
                <c:pt idx="200">
                  <c:v>11732.468507259793</c:v>
                </c:pt>
                <c:pt idx="201">
                  <c:v>11754.856509016245</c:v>
                </c:pt>
                <c:pt idx="202">
                  <c:v>11778.233012916458</c:v>
                </c:pt>
                <c:pt idx="203">
                  <c:v>11802.590898250895</c:v>
                </c:pt>
                <c:pt idx="204">
                  <c:v>11827.922745371725</c:v>
                </c:pt>
                <c:pt idx="205">
                  <c:v>11854.220837952915</c:v>
                </c:pt>
                <c:pt idx="206">
                  <c:v>11881.477165340712</c:v>
                </c:pt>
                <c:pt idx="207">
                  <c:v>11909.683424993756</c:v>
                </c:pt>
                <c:pt idx="208">
                  <c:v>11938.831025012114</c:v>
                </c:pt>
                <c:pt idx="209">
                  <c:v>11968.911086754466</c:v>
                </c:pt>
                <c:pt idx="210">
                  <c:v>11999.914447542607</c:v>
                </c:pt>
                <c:pt idx="211">
                  <c:v>12031.831663452509</c:v>
                </c:pt>
                <c:pt idx="212">
                  <c:v>12064.653012191016</c:v>
                </c:pt>
                <c:pt idx="213">
                  <c:v>12098.368496057354</c:v>
                </c:pt>
                <c:pt idx="214">
                  <c:v>12132.967844988529</c:v>
                </c:pt>
                <c:pt idx="215">
                  <c:v>12168.440519687683</c:v>
                </c:pt>
                <c:pt idx="216">
                  <c:v>12204.775714834475</c:v>
                </c:pt>
                <c:pt idx="217">
                  <c:v>12241.962362376473</c:v>
                </c:pt>
                <c:pt idx="218">
                  <c:v>12279.989134900603</c:v>
                </c:pt>
                <c:pt idx="219">
                  <c:v>12318.844449083577</c:v>
                </c:pt>
                <c:pt idx="220">
                  <c:v>12358.516469220298</c:v>
                </c:pt>
                <c:pt idx="221">
                  <c:v>12398.99311082912</c:v>
                </c:pt>
                <c:pt idx="222">
                  <c:v>12440.262044332903</c:v>
                </c:pt>
                <c:pt idx="223">
                  <c:v>12482.310698814721</c:v>
                </c:pt>
                <c:pt idx="224">
                  <c:v>12525.126265847084</c:v>
                </c:pt>
                <c:pt idx="225">
                  <c:v>12568.695703393509</c:v>
                </c:pt>
                <c:pt idx="226">
                  <c:v>12613.005739781254</c:v>
                </c:pt>
                <c:pt idx="227">
                  <c:v>12658.042877743996</c:v>
                </c:pt>
                <c:pt idx="228">
                  <c:v>12703.793398533224</c:v>
                </c:pt>
                <c:pt idx="229">
                  <c:v>12750.243366097111</c:v>
                </c:pt>
                <c:pt idx="230">
                  <c:v>12797.37863132557</c:v>
                </c:pt>
                <c:pt idx="231">
                  <c:v>12845.184836360197</c:v>
                </c:pt>
                <c:pt idx="232">
                  <c:v>12893.64741896783</c:v>
                </c:pt>
                <c:pt idx="233">
                  <c:v>12942.751616976344</c:v>
                </c:pt>
                <c:pt idx="234">
                  <c:v>12992.482472771339</c:v>
                </c:pt>
                <c:pt idx="235">
                  <c:v>13042.824837852384</c:v>
                </c:pt>
                <c:pt idx="236">
                  <c:v>13093.763377447405</c:v>
                </c:pt>
                <c:pt idx="237">
                  <c:v>13145.282575183783</c:v>
                </c:pt>
                <c:pt idx="238">
                  <c:v>13197.366737814809</c:v>
                </c:pt>
                <c:pt idx="239">
                  <c:v>13249.999999999998</c:v>
                </c:pt>
                <c:pt idx="240">
                  <c:v>13303.166329137821</c:v>
                </c:pt>
                <c:pt idx="241">
                  <c:v>13356.849530249383</c:v>
                </c:pt>
                <c:pt idx="242">
                  <c:v>13411.033250911585</c:v>
                </c:pt>
                <c:pt idx="243">
                  <c:v>13465.700986238227</c:v>
                </c:pt>
                <c:pt idx="244">
                  <c:v>13520.83608390755</c:v>
                </c:pt>
                <c:pt idx="245">
                  <c:v>13576.4217492347</c:v>
                </c:pt>
                <c:pt idx="246">
                  <c:v>13632.441050287542</c:v>
                </c:pt>
                <c:pt idx="247">
                  <c:v>13688.876923044307</c:v>
                </c:pt>
                <c:pt idx="248">
                  <c:v>13745.712176591447</c:v>
                </c:pt>
                <c:pt idx="249">
                  <c:v>13802.929498360158</c:v>
                </c:pt>
                <c:pt idx="250">
                  <c:v>13860.511459399951</c:v>
                </c:pt>
                <c:pt idx="251">
                  <c:v>13918.440519687683</c:v>
                </c:pt>
                <c:pt idx="252">
                  <c:v>13976.699033470421</c:v>
                </c:pt>
                <c:pt idx="253">
                  <c:v>14035.269254640503</c:v>
                </c:pt>
                <c:pt idx="254">
                  <c:v>14094.133342141178</c:v>
                </c:pt>
                <c:pt idx="255">
                  <c:v>14153.273365401163</c:v>
                </c:pt>
                <c:pt idx="256">
                  <c:v>14212.671309796471</c:v>
                </c:pt>
                <c:pt idx="257">
                  <c:v>14272.309082137841</c:v>
                </c:pt>
                <c:pt idx="258">
                  <c:v>14332.168516182091</c:v>
                </c:pt>
                <c:pt idx="259">
                  <c:v>14392.231378165743</c:v>
                </c:pt>
                <c:pt idx="260">
                  <c:v>14452.479372359192</c:v>
                </c:pt>
                <c:pt idx="261">
                  <c:v>14512.894146639772</c:v>
                </c:pt>
                <c:pt idx="262">
                  <c:v>14573.457298081985</c:v>
                </c:pt>
                <c:pt idx="263">
                  <c:v>14634.150378563214</c:v>
                </c:pt>
                <c:pt idx="264">
                  <c:v>14694.954900383196</c:v>
                </c:pt>
                <c:pt idx="265">
                  <c:v>14755.852341895561</c:v>
                </c:pt>
                <c:pt idx="266">
                  <c:v>14816.824153149695</c:v>
                </c:pt>
                <c:pt idx="267">
                  <c:v>14877.851761541244</c:v>
                </c:pt>
                <c:pt idx="268">
                  <c:v>14938.916577469508</c:v>
                </c:pt>
                <c:pt idx="269">
                  <c:v>15000</c:v>
                </c:pt>
                <c:pt idx="270">
                  <c:v>15061.083422530492</c:v>
                </c:pt>
                <c:pt idx="271">
                  <c:v>15122.148238458754</c:v>
                </c:pt>
                <c:pt idx="272">
                  <c:v>15183.175846850303</c:v>
                </c:pt>
                <c:pt idx="273">
                  <c:v>15244.147658104439</c:v>
                </c:pt>
                <c:pt idx="274">
                  <c:v>15305.045099616802</c:v>
                </c:pt>
                <c:pt idx="275">
                  <c:v>15365.849621436786</c:v>
                </c:pt>
                <c:pt idx="276">
                  <c:v>15426.542701918017</c:v>
                </c:pt>
                <c:pt idx="277">
                  <c:v>15487.10585336023</c:v>
                </c:pt>
                <c:pt idx="278">
                  <c:v>15547.520627640808</c:v>
                </c:pt>
                <c:pt idx="279">
                  <c:v>15607.768621834255</c:v>
                </c:pt>
                <c:pt idx="280">
                  <c:v>15667.831483817905</c:v>
                </c:pt>
                <c:pt idx="281">
                  <c:v>15727.690917862155</c:v>
                </c:pt>
                <c:pt idx="282">
                  <c:v>15787.328690203527</c:v>
                </c:pt>
                <c:pt idx="283">
                  <c:v>15846.726634598836</c:v>
                </c:pt>
                <c:pt idx="284">
                  <c:v>15905.866657858824</c:v>
                </c:pt>
                <c:pt idx="285">
                  <c:v>15964.730745359499</c:v>
                </c:pt>
                <c:pt idx="286">
                  <c:v>16023.300966529579</c:v>
                </c:pt>
                <c:pt idx="287">
                  <c:v>16081.559480312315</c:v>
                </c:pt>
                <c:pt idx="288">
                  <c:v>16139.488540600047</c:v>
                </c:pt>
                <c:pt idx="289">
                  <c:v>16197.070501639839</c:v>
                </c:pt>
                <c:pt idx="290">
                  <c:v>16254.287823408547</c:v>
                </c:pt>
                <c:pt idx="291">
                  <c:v>16311.123076955691</c:v>
                </c:pt>
                <c:pt idx="292">
                  <c:v>16367.558949712457</c:v>
                </c:pt>
                <c:pt idx="293">
                  <c:v>16423.578250765302</c:v>
                </c:pt>
                <c:pt idx="294">
                  <c:v>16479.16391609245</c:v>
                </c:pt>
                <c:pt idx="295">
                  <c:v>16534.299013761771</c:v>
                </c:pt>
                <c:pt idx="296">
                  <c:v>16588.966749088413</c:v>
                </c:pt>
                <c:pt idx="297">
                  <c:v>16643.150469750617</c:v>
                </c:pt>
                <c:pt idx="298">
                  <c:v>16696.833670862179</c:v>
                </c:pt>
                <c:pt idx="299">
                  <c:v>16750</c:v>
                </c:pt>
                <c:pt idx="300">
                  <c:v>16802.633262185191</c:v>
                </c:pt>
                <c:pt idx="301">
                  <c:v>16854.717424816215</c:v>
                </c:pt>
                <c:pt idx="302">
                  <c:v>16906.236622552595</c:v>
                </c:pt>
                <c:pt idx="303">
                  <c:v>16957.175162147611</c:v>
                </c:pt>
                <c:pt idx="304">
                  <c:v>17007.517527228661</c:v>
                </c:pt>
                <c:pt idx="305">
                  <c:v>17057.248383023656</c:v>
                </c:pt>
                <c:pt idx="306">
                  <c:v>17106.352581032166</c:v>
                </c:pt>
                <c:pt idx="307">
                  <c:v>17154.815163639803</c:v>
                </c:pt>
                <c:pt idx="308">
                  <c:v>17202.62136867443</c:v>
                </c:pt>
                <c:pt idx="309">
                  <c:v>17249.756633902885</c:v>
                </c:pt>
                <c:pt idx="310">
                  <c:v>17296.206601466776</c:v>
                </c:pt>
                <c:pt idx="311">
                  <c:v>17341.957122256001</c:v>
                </c:pt>
                <c:pt idx="312">
                  <c:v>17386.994260218744</c:v>
                </c:pt>
                <c:pt idx="313">
                  <c:v>17431.30429660649</c:v>
                </c:pt>
                <c:pt idx="314">
                  <c:v>17474.873734152916</c:v>
                </c:pt>
                <c:pt idx="315">
                  <c:v>17517.689301185277</c:v>
                </c:pt>
                <c:pt idx="316">
                  <c:v>17559.737955667097</c:v>
                </c:pt>
                <c:pt idx="317">
                  <c:v>17601.00688917088</c:v>
                </c:pt>
                <c:pt idx="318">
                  <c:v>17641.4835307797</c:v>
                </c:pt>
                <c:pt idx="319">
                  <c:v>17681.155550916421</c:v>
                </c:pt>
                <c:pt idx="320">
                  <c:v>17720.010865099397</c:v>
                </c:pt>
                <c:pt idx="321">
                  <c:v>17758.037637623525</c:v>
                </c:pt>
                <c:pt idx="322">
                  <c:v>17795.224285165525</c:v>
                </c:pt>
                <c:pt idx="323">
                  <c:v>17831.559480312317</c:v>
                </c:pt>
                <c:pt idx="324">
                  <c:v>17867.032155011471</c:v>
                </c:pt>
                <c:pt idx="325">
                  <c:v>17901.631503942644</c:v>
                </c:pt>
                <c:pt idx="326">
                  <c:v>17935.346987808985</c:v>
                </c:pt>
                <c:pt idx="327">
                  <c:v>17968.168336547489</c:v>
                </c:pt>
                <c:pt idx="328">
                  <c:v>18000.085552457393</c:v>
                </c:pt>
                <c:pt idx="329">
                  <c:v>18031.088913245534</c:v>
                </c:pt>
                <c:pt idx="330">
                  <c:v>18061.168974987886</c:v>
                </c:pt>
                <c:pt idx="331">
                  <c:v>18090.316575006244</c:v>
                </c:pt>
                <c:pt idx="332">
                  <c:v>18118.522834659288</c:v>
                </c:pt>
                <c:pt idx="333">
                  <c:v>18145.779162047085</c:v>
                </c:pt>
                <c:pt idx="334">
                  <c:v>18172.077254628275</c:v>
                </c:pt>
                <c:pt idx="335">
                  <c:v>18197.409101749105</c:v>
                </c:pt>
                <c:pt idx="336">
                  <c:v>18221.766987083538</c:v>
                </c:pt>
                <c:pt idx="337">
                  <c:v>18245.143490983755</c:v>
                </c:pt>
                <c:pt idx="338">
                  <c:v>18267.531492740207</c:v>
                </c:pt>
                <c:pt idx="339">
                  <c:v>18288.924172750681</c:v>
                </c:pt>
                <c:pt idx="340">
                  <c:v>18309.315014597607</c:v>
                </c:pt>
                <c:pt idx="341">
                  <c:v>18328.697807033037</c:v>
                </c:pt>
                <c:pt idx="342">
                  <c:v>18347.066645870626</c:v>
                </c:pt>
                <c:pt idx="343">
                  <c:v>18364.415935784116</c:v>
                </c:pt>
                <c:pt idx="344">
                  <c:v>18380.740392011739</c:v>
                </c:pt>
                <c:pt idx="345">
                  <c:v>18396.035041965988</c:v>
                </c:pt>
                <c:pt idx="346">
                  <c:v>18410.295226748323</c:v>
                </c:pt>
                <c:pt idx="347">
                  <c:v>18423.516602568321</c:v>
                </c:pt>
                <c:pt idx="348">
                  <c:v>18435.695142066823</c:v>
                </c:pt>
                <c:pt idx="349">
                  <c:v>18446.827135542728</c:v>
                </c:pt>
                <c:pt idx="350">
                  <c:v>18456.909192082981</c:v>
                </c:pt>
                <c:pt idx="351">
                  <c:v>18465.938240595497</c:v>
                </c:pt>
                <c:pt idx="352">
                  <c:v>18473.911530744626</c:v>
                </c:pt>
                <c:pt idx="353">
                  <c:v>18480.826633788958</c:v>
                </c:pt>
                <c:pt idx="354">
                  <c:v>18486.681443321111</c:v>
                </c:pt>
                <c:pt idx="355">
                  <c:v>18491.474175909385</c:v>
                </c:pt>
                <c:pt idx="356">
                  <c:v>18495.203371641008</c:v>
                </c:pt>
                <c:pt idx="357">
                  <c:v>18497.867894566836</c:v>
                </c:pt>
                <c:pt idx="358">
                  <c:v>18499.46693304737</c:v>
                </c:pt>
                <c:pt idx="359">
                  <c:v>18500</c:v>
                </c:pt>
                <c:pt idx="360">
                  <c:v>18499.46693304737</c:v>
                </c:pt>
                <c:pt idx="361">
                  <c:v>18497.867894566836</c:v>
                </c:pt>
                <c:pt idx="362">
                  <c:v>18495.203371641008</c:v>
                </c:pt>
                <c:pt idx="363">
                  <c:v>18491.474175909385</c:v>
                </c:pt>
                <c:pt idx="364">
                  <c:v>18486.681443321108</c:v>
                </c:pt>
                <c:pt idx="365">
                  <c:v>18480.826633788958</c:v>
                </c:pt>
                <c:pt idx="366">
                  <c:v>18473.911530744626</c:v>
                </c:pt>
                <c:pt idx="367">
                  <c:v>18465.938240595497</c:v>
                </c:pt>
                <c:pt idx="368">
                  <c:v>18456.909192082981</c:v>
                </c:pt>
                <c:pt idx="369">
                  <c:v>18446.827135542728</c:v>
                </c:pt>
                <c:pt idx="370">
                  <c:v>18435.695142066823</c:v>
                </c:pt>
                <c:pt idx="371">
                  <c:v>18423.516602568321</c:v>
                </c:pt>
                <c:pt idx="372">
                  <c:v>18410.295226748323</c:v>
                </c:pt>
                <c:pt idx="373">
                  <c:v>18396.035041965988</c:v>
                </c:pt>
                <c:pt idx="374">
                  <c:v>18380.740392011739</c:v>
                </c:pt>
                <c:pt idx="375">
                  <c:v>18364.415935784116</c:v>
                </c:pt>
                <c:pt idx="376">
                  <c:v>18347.066645870626</c:v>
                </c:pt>
                <c:pt idx="377">
                  <c:v>18328.697807033037</c:v>
                </c:pt>
                <c:pt idx="378">
                  <c:v>18309.315014597611</c:v>
                </c:pt>
                <c:pt idx="379">
                  <c:v>18288.924172750678</c:v>
                </c:pt>
                <c:pt idx="380">
                  <c:v>18267.531492740207</c:v>
                </c:pt>
                <c:pt idx="381">
                  <c:v>18245.143490983755</c:v>
                </c:pt>
                <c:pt idx="382">
                  <c:v>18221.766987083542</c:v>
                </c:pt>
                <c:pt idx="383">
                  <c:v>18197.409101749105</c:v>
                </c:pt>
                <c:pt idx="384">
                  <c:v>18172.077254628275</c:v>
                </c:pt>
                <c:pt idx="385">
                  <c:v>18145.779162047085</c:v>
                </c:pt>
                <c:pt idx="386">
                  <c:v>18118.522834659285</c:v>
                </c:pt>
                <c:pt idx="387">
                  <c:v>18090.316575006247</c:v>
                </c:pt>
                <c:pt idx="388">
                  <c:v>18061.168974987886</c:v>
                </c:pt>
                <c:pt idx="389">
                  <c:v>18031.088913245538</c:v>
                </c:pt>
                <c:pt idx="390">
                  <c:v>18000.085552457393</c:v>
                </c:pt>
                <c:pt idx="391">
                  <c:v>17968.168336547493</c:v>
                </c:pt>
                <c:pt idx="392">
                  <c:v>17935.346987808985</c:v>
                </c:pt>
                <c:pt idx="393">
                  <c:v>17901.631503942648</c:v>
                </c:pt>
                <c:pt idx="394">
                  <c:v>17867.032155011471</c:v>
                </c:pt>
                <c:pt idx="395">
                  <c:v>17831.559480312313</c:v>
                </c:pt>
                <c:pt idx="396">
                  <c:v>17795.224285165525</c:v>
                </c:pt>
                <c:pt idx="397">
                  <c:v>17758.037637623525</c:v>
                </c:pt>
                <c:pt idx="398">
                  <c:v>17720.010865099401</c:v>
                </c:pt>
                <c:pt idx="399">
                  <c:v>17681.155550916425</c:v>
                </c:pt>
                <c:pt idx="400">
                  <c:v>17641.483530779704</c:v>
                </c:pt>
                <c:pt idx="401">
                  <c:v>17601.00688917088</c:v>
                </c:pt>
                <c:pt idx="402">
                  <c:v>17559.7379556671</c:v>
                </c:pt>
                <c:pt idx="403">
                  <c:v>17517.689301185281</c:v>
                </c:pt>
                <c:pt idx="404">
                  <c:v>17474.873734152919</c:v>
                </c:pt>
                <c:pt idx="405">
                  <c:v>17431.30429660649</c:v>
                </c:pt>
                <c:pt idx="406">
                  <c:v>17386.994260218744</c:v>
                </c:pt>
                <c:pt idx="407">
                  <c:v>17341.957122256004</c:v>
                </c:pt>
                <c:pt idx="408">
                  <c:v>17296.206601466776</c:v>
                </c:pt>
                <c:pt idx="409">
                  <c:v>17249.756633902889</c:v>
                </c:pt>
                <c:pt idx="410">
                  <c:v>17202.62136867443</c:v>
                </c:pt>
                <c:pt idx="411">
                  <c:v>17154.815163639807</c:v>
                </c:pt>
                <c:pt idx="412">
                  <c:v>17106.35258103217</c:v>
                </c:pt>
                <c:pt idx="413">
                  <c:v>17057.24838302366</c:v>
                </c:pt>
                <c:pt idx="414">
                  <c:v>17007.517527228661</c:v>
                </c:pt>
                <c:pt idx="415">
                  <c:v>16957.175162147614</c:v>
                </c:pt>
                <c:pt idx="416">
                  <c:v>16906.236622552595</c:v>
                </c:pt>
                <c:pt idx="417">
                  <c:v>16854.717424816219</c:v>
                </c:pt>
                <c:pt idx="418">
                  <c:v>16802.633262185191</c:v>
                </c:pt>
                <c:pt idx="419">
                  <c:v>16750</c:v>
                </c:pt>
                <c:pt idx="420">
                  <c:v>16696.833670862183</c:v>
                </c:pt>
                <c:pt idx="421">
                  <c:v>16643.150469750617</c:v>
                </c:pt>
                <c:pt idx="422">
                  <c:v>16588.966749088413</c:v>
                </c:pt>
                <c:pt idx="423">
                  <c:v>16534.299013761771</c:v>
                </c:pt>
                <c:pt idx="424">
                  <c:v>16479.16391609245</c:v>
                </c:pt>
                <c:pt idx="425">
                  <c:v>16423.578250765302</c:v>
                </c:pt>
                <c:pt idx="426">
                  <c:v>16367.558949712457</c:v>
                </c:pt>
                <c:pt idx="427">
                  <c:v>16311.123076955693</c:v>
                </c:pt>
                <c:pt idx="428">
                  <c:v>16254.287823408549</c:v>
                </c:pt>
                <c:pt idx="429">
                  <c:v>16197.070501639842</c:v>
                </c:pt>
                <c:pt idx="430">
                  <c:v>16139.488540600049</c:v>
                </c:pt>
                <c:pt idx="431">
                  <c:v>16081.559480312317</c:v>
                </c:pt>
                <c:pt idx="432">
                  <c:v>16023.300966529578</c:v>
                </c:pt>
                <c:pt idx="433">
                  <c:v>15964.730745359499</c:v>
                </c:pt>
                <c:pt idx="434">
                  <c:v>15905.866657858822</c:v>
                </c:pt>
                <c:pt idx="435">
                  <c:v>15846.726634598841</c:v>
                </c:pt>
                <c:pt idx="436">
                  <c:v>15787.328690203529</c:v>
                </c:pt>
                <c:pt idx="437">
                  <c:v>15727.690917862157</c:v>
                </c:pt>
                <c:pt idx="438">
                  <c:v>15667.83148381791</c:v>
                </c:pt>
                <c:pt idx="439">
                  <c:v>15607.768621834257</c:v>
                </c:pt>
                <c:pt idx="440">
                  <c:v>15547.52062764081</c:v>
                </c:pt>
                <c:pt idx="441">
                  <c:v>15487.105853360228</c:v>
                </c:pt>
                <c:pt idx="442">
                  <c:v>15426.542701918019</c:v>
                </c:pt>
                <c:pt idx="443">
                  <c:v>15365.849621436788</c:v>
                </c:pt>
                <c:pt idx="444">
                  <c:v>15305.045099616807</c:v>
                </c:pt>
                <c:pt idx="445">
                  <c:v>15244.147658104441</c:v>
                </c:pt>
                <c:pt idx="446">
                  <c:v>15183.175846850305</c:v>
                </c:pt>
                <c:pt idx="447">
                  <c:v>15122.148238458753</c:v>
                </c:pt>
                <c:pt idx="448">
                  <c:v>15061.083422530493</c:v>
                </c:pt>
                <c:pt idx="449">
                  <c:v>15000.000000000002</c:v>
                </c:pt>
                <c:pt idx="450">
                  <c:v>14938.916577469507</c:v>
                </c:pt>
                <c:pt idx="451">
                  <c:v>14877.851761541249</c:v>
                </c:pt>
                <c:pt idx="452">
                  <c:v>14816.824153149697</c:v>
                </c:pt>
                <c:pt idx="453">
                  <c:v>14755.852341895565</c:v>
                </c:pt>
                <c:pt idx="454">
                  <c:v>14694.954900383198</c:v>
                </c:pt>
                <c:pt idx="455">
                  <c:v>14634.150378563216</c:v>
                </c:pt>
                <c:pt idx="456">
                  <c:v>14573.457298081983</c:v>
                </c:pt>
                <c:pt idx="457">
                  <c:v>14512.894146639774</c:v>
                </c:pt>
                <c:pt idx="458">
                  <c:v>14452.479372359196</c:v>
                </c:pt>
                <c:pt idx="459">
                  <c:v>14392.231378165745</c:v>
                </c:pt>
                <c:pt idx="460">
                  <c:v>14332.168516182093</c:v>
                </c:pt>
                <c:pt idx="461">
                  <c:v>14272.309082137839</c:v>
                </c:pt>
                <c:pt idx="462">
                  <c:v>14212.671309796473</c:v>
                </c:pt>
                <c:pt idx="463">
                  <c:v>14153.273365401161</c:v>
                </c:pt>
                <c:pt idx="464">
                  <c:v>14094.13334214118</c:v>
                </c:pt>
                <c:pt idx="465">
                  <c:v>14035.269254640503</c:v>
                </c:pt>
                <c:pt idx="466">
                  <c:v>13976.699033470424</c:v>
                </c:pt>
                <c:pt idx="467">
                  <c:v>13918.440519687685</c:v>
                </c:pt>
                <c:pt idx="468">
                  <c:v>13860.511459399957</c:v>
                </c:pt>
                <c:pt idx="469">
                  <c:v>13802.929498360161</c:v>
                </c:pt>
                <c:pt idx="470">
                  <c:v>13745.712176591449</c:v>
                </c:pt>
                <c:pt idx="471">
                  <c:v>13688.876923044312</c:v>
                </c:pt>
                <c:pt idx="472">
                  <c:v>13632.441050287543</c:v>
                </c:pt>
                <c:pt idx="473">
                  <c:v>13576.421749234698</c:v>
                </c:pt>
                <c:pt idx="474">
                  <c:v>13520.836083907554</c:v>
                </c:pt>
                <c:pt idx="475">
                  <c:v>13465.700986238229</c:v>
                </c:pt>
                <c:pt idx="476">
                  <c:v>13411.033250911585</c:v>
                </c:pt>
                <c:pt idx="477">
                  <c:v>13356.849530249383</c:v>
                </c:pt>
                <c:pt idx="478">
                  <c:v>13303.166329137821</c:v>
                </c:pt>
                <c:pt idx="479">
                  <c:v>13250.000000000004</c:v>
                </c:pt>
                <c:pt idx="480">
                  <c:v>13197.366737814811</c:v>
                </c:pt>
                <c:pt idx="481">
                  <c:v>13145.282575183781</c:v>
                </c:pt>
                <c:pt idx="482">
                  <c:v>13093.763377447407</c:v>
                </c:pt>
                <c:pt idx="483">
                  <c:v>13042.824837852386</c:v>
                </c:pt>
                <c:pt idx="484">
                  <c:v>12992.482472771342</c:v>
                </c:pt>
                <c:pt idx="485">
                  <c:v>12942.751616976344</c:v>
                </c:pt>
                <c:pt idx="486">
                  <c:v>12893.647418967836</c:v>
                </c:pt>
                <c:pt idx="487">
                  <c:v>12845.184836360198</c:v>
                </c:pt>
                <c:pt idx="488">
                  <c:v>12797.37863132557</c:v>
                </c:pt>
                <c:pt idx="489">
                  <c:v>12750.243366097115</c:v>
                </c:pt>
                <c:pt idx="490">
                  <c:v>12703.793398533226</c:v>
                </c:pt>
                <c:pt idx="491">
                  <c:v>12658.042877743996</c:v>
                </c:pt>
                <c:pt idx="492">
                  <c:v>12613.005739781252</c:v>
                </c:pt>
                <c:pt idx="493">
                  <c:v>12568.69570339351</c:v>
                </c:pt>
                <c:pt idx="494">
                  <c:v>12525.126265847082</c:v>
                </c:pt>
                <c:pt idx="495">
                  <c:v>12482.310698814723</c:v>
                </c:pt>
                <c:pt idx="496">
                  <c:v>12440.262044332903</c:v>
                </c:pt>
                <c:pt idx="497">
                  <c:v>12398.993110829122</c:v>
                </c:pt>
                <c:pt idx="498">
                  <c:v>12358.5164692203</c:v>
                </c:pt>
                <c:pt idx="499">
                  <c:v>12318.844449083579</c:v>
                </c:pt>
                <c:pt idx="500">
                  <c:v>12279.989134900603</c:v>
                </c:pt>
                <c:pt idx="501">
                  <c:v>12241.962362376473</c:v>
                </c:pt>
                <c:pt idx="502">
                  <c:v>12204.775714834477</c:v>
                </c:pt>
                <c:pt idx="503">
                  <c:v>12168.440519687685</c:v>
                </c:pt>
                <c:pt idx="504">
                  <c:v>12132.967844988532</c:v>
                </c:pt>
                <c:pt idx="505">
                  <c:v>12098.368496057356</c:v>
                </c:pt>
                <c:pt idx="506">
                  <c:v>12064.653012191016</c:v>
                </c:pt>
                <c:pt idx="507">
                  <c:v>12031.831663452507</c:v>
                </c:pt>
                <c:pt idx="508">
                  <c:v>11999.914447542607</c:v>
                </c:pt>
                <c:pt idx="509">
                  <c:v>11968.911086754464</c:v>
                </c:pt>
                <c:pt idx="510">
                  <c:v>11938.831025012116</c:v>
                </c:pt>
                <c:pt idx="511">
                  <c:v>11909.683424993756</c:v>
                </c:pt>
                <c:pt idx="512">
                  <c:v>11881.477165340712</c:v>
                </c:pt>
                <c:pt idx="513">
                  <c:v>11854.220837952917</c:v>
                </c:pt>
                <c:pt idx="514">
                  <c:v>11827.922745371725</c:v>
                </c:pt>
                <c:pt idx="515">
                  <c:v>11802.590898250899</c:v>
                </c:pt>
                <c:pt idx="516">
                  <c:v>11778.233012916458</c:v>
                </c:pt>
                <c:pt idx="517">
                  <c:v>11754.856509016246</c:v>
                </c:pt>
                <c:pt idx="518">
                  <c:v>11732.468507259795</c:v>
                </c:pt>
                <c:pt idx="519">
                  <c:v>11711.07582724932</c:v>
                </c:pt>
                <c:pt idx="520">
                  <c:v>11690.684985402393</c:v>
                </c:pt>
                <c:pt idx="521">
                  <c:v>11671.302192966963</c:v>
                </c:pt>
                <c:pt idx="522">
                  <c:v>11652.933354129374</c:v>
                </c:pt>
                <c:pt idx="523">
                  <c:v>11635.584064215884</c:v>
                </c:pt>
                <c:pt idx="524">
                  <c:v>11619.259607988261</c:v>
                </c:pt>
                <c:pt idx="525">
                  <c:v>11603.964958034012</c:v>
                </c:pt>
                <c:pt idx="526">
                  <c:v>11589.704773251677</c:v>
                </c:pt>
                <c:pt idx="527">
                  <c:v>11576.483397431681</c:v>
                </c:pt>
                <c:pt idx="528">
                  <c:v>11564.304857933177</c:v>
                </c:pt>
                <c:pt idx="529">
                  <c:v>11553.172864457272</c:v>
                </c:pt>
                <c:pt idx="530">
                  <c:v>11543.090807917019</c:v>
                </c:pt>
                <c:pt idx="531">
                  <c:v>11534.061759404503</c:v>
                </c:pt>
                <c:pt idx="532">
                  <c:v>11526.088469255374</c:v>
                </c:pt>
                <c:pt idx="533">
                  <c:v>11519.173366211044</c:v>
                </c:pt>
                <c:pt idx="534">
                  <c:v>11513.318556678891</c:v>
                </c:pt>
                <c:pt idx="535">
                  <c:v>11508.525824090615</c:v>
                </c:pt>
                <c:pt idx="536">
                  <c:v>11504.796628358992</c:v>
                </c:pt>
                <c:pt idx="537">
                  <c:v>11502.132105433164</c:v>
                </c:pt>
                <c:pt idx="538">
                  <c:v>11500.53306695263</c:v>
                </c:pt>
                <c:pt idx="539">
                  <c:v>11500</c:v>
                </c:pt>
                <c:pt idx="540">
                  <c:v>11500.53306695263</c:v>
                </c:pt>
                <c:pt idx="541">
                  <c:v>11502.132105433164</c:v>
                </c:pt>
                <c:pt idx="542">
                  <c:v>11504.796628358992</c:v>
                </c:pt>
                <c:pt idx="543">
                  <c:v>11508.525824090615</c:v>
                </c:pt>
                <c:pt idx="544">
                  <c:v>11513.318556678891</c:v>
                </c:pt>
                <c:pt idx="545">
                  <c:v>11519.173366211044</c:v>
                </c:pt>
                <c:pt idx="546">
                  <c:v>11526.088469255374</c:v>
                </c:pt>
                <c:pt idx="547">
                  <c:v>11534.061759404503</c:v>
                </c:pt>
                <c:pt idx="548">
                  <c:v>11543.090807917019</c:v>
                </c:pt>
                <c:pt idx="549">
                  <c:v>11553.172864457272</c:v>
                </c:pt>
                <c:pt idx="550">
                  <c:v>11564.304857933175</c:v>
                </c:pt>
                <c:pt idx="551">
                  <c:v>11576.483397431679</c:v>
                </c:pt>
                <c:pt idx="552">
                  <c:v>11589.704773251677</c:v>
                </c:pt>
                <c:pt idx="553">
                  <c:v>11603.964958034012</c:v>
                </c:pt>
                <c:pt idx="554">
                  <c:v>11619.259607988262</c:v>
                </c:pt>
                <c:pt idx="555">
                  <c:v>11635.584064215884</c:v>
                </c:pt>
                <c:pt idx="556">
                  <c:v>11652.933354129376</c:v>
                </c:pt>
                <c:pt idx="557">
                  <c:v>11671.302192966963</c:v>
                </c:pt>
                <c:pt idx="558">
                  <c:v>11690.684985402391</c:v>
                </c:pt>
                <c:pt idx="559">
                  <c:v>11711.07582724932</c:v>
                </c:pt>
                <c:pt idx="560">
                  <c:v>11732.468507259793</c:v>
                </c:pt>
                <c:pt idx="561">
                  <c:v>11754.856509016243</c:v>
                </c:pt>
                <c:pt idx="562">
                  <c:v>11778.233012916458</c:v>
                </c:pt>
                <c:pt idx="563">
                  <c:v>11802.590898250895</c:v>
                </c:pt>
                <c:pt idx="564">
                  <c:v>11827.922745371723</c:v>
                </c:pt>
                <c:pt idx="565">
                  <c:v>11854.220837952915</c:v>
                </c:pt>
                <c:pt idx="566">
                  <c:v>11881.477165340712</c:v>
                </c:pt>
                <c:pt idx="567">
                  <c:v>11909.683424993755</c:v>
                </c:pt>
                <c:pt idx="568">
                  <c:v>11938.831025012114</c:v>
                </c:pt>
                <c:pt idx="569">
                  <c:v>11968.911086754466</c:v>
                </c:pt>
                <c:pt idx="570">
                  <c:v>11999.914447542607</c:v>
                </c:pt>
                <c:pt idx="571">
                  <c:v>12031.831663452511</c:v>
                </c:pt>
                <c:pt idx="572">
                  <c:v>12064.653012191015</c:v>
                </c:pt>
                <c:pt idx="573">
                  <c:v>12098.368496057354</c:v>
                </c:pt>
                <c:pt idx="574">
                  <c:v>12132.967844988527</c:v>
                </c:pt>
                <c:pt idx="575">
                  <c:v>12168.440519687683</c:v>
                </c:pt>
                <c:pt idx="576">
                  <c:v>12204.775714834475</c:v>
                </c:pt>
                <c:pt idx="577">
                  <c:v>12241.962362376471</c:v>
                </c:pt>
                <c:pt idx="578">
                  <c:v>12279.989134900603</c:v>
                </c:pt>
                <c:pt idx="579">
                  <c:v>12318.844449083574</c:v>
                </c:pt>
                <c:pt idx="580">
                  <c:v>12358.516469220296</c:v>
                </c:pt>
                <c:pt idx="581">
                  <c:v>12398.993110829117</c:v>
                </c:pt>
                <c:pt idx="582">
                  <c:v>12440.262044332901</c:v>
                </c:pt>
                <c:pt idx="583">
                  <c:v>12482.310698814721</c:v>
                </c:pt>
                <c:pt idx="584">
                  <c:v>12525.126265847084</c:v>
                </c:pt>
                <c:pt idx="585">
                  <c:v>12568.695703393509</c:v>
                </c:pt>
                <c:pt idx="586">
                  <c:v>12613.005739781256</c:v>
                </c:pt>
                <c:pt idx="587">
                  <c:v>12658.042877743997</c:v>
                </c:pt>
                <c:pt idx="588">
                  <c:v>12703.793398533224</c:v>
                </c:pt>
                <c:pt idx="589">
                  <c:v>12750.243366097113</c:v>
                </c:pt>
                <c:pt idx="590">
                  <c:v>12797.378631325568</c:v>
                </c:pt>
                <c:pt idx="591">
                  <c:v>12845.184836360197</c:v>
                </c:pt>
                <c:pt idx="592">
                  <c:v>12893.647418967828</c:v>
                </c:pt>
                <c:pt idx="593">
                  <c:v>12942.751616976344</c:v>
                </c:pt>
                <c:pt idx="594">
                  <c:v>12992.482472771335</c:v>
                </c:pt>
                <c:pt idx="595">
                  <c:v>13042.824837852384</c:v>
                </c:pt>
                <c:pt idx="596">
                  <c:v>13093.7633774474</c:v>
                </c:pt>
                <c:pt idx="597">
                  <c:v>13145.282575183779</c:v>
                </c:pt>
                <c:pt idx="598">
                  <c:v>13197.366737814809</c:v>
                </c:pt>
                <c:pt idx="599">
                  <c:v>13250</c:v>
                </c:pt>
                <c:pt idx="600">
                  <c:v>13303.166329137823</c:v>
                </c:pt>
                <c:pt idx="601">
                  <c:v>13356.849530249381</c:v>
                </c:pt>
                <c:pt idx="602">
                  <c:v>13411.033250911587</c:v>
                </c:pt>
                <c:pt idx="603">
                  <c:v>13465.700986238227</c:v>
                </c:pt>
                <c:pt idx="604">
                  <c:v>13520.836083907552</c:v>
                </c:pt>
                <c:pt idx="605">
                  <c:v>13576.421749234696</c:v>
                </c:pt>
                <c:pt idx="606">
                  <c:v>13632.44105028754</c:v>
                </c:pt>
                <c:pt idx="607">
                  <c:v>13688.876923044303</c:v>
                </c:pt>
                <c:pt idx="608">
                  <c:v>13745.712176591447</c:v>
                </c:pt>
                <c:pt idx="609">
                  <c:v>13802.929498360159</c:v>
                </c:pt>
                <c:pt idx="610">
                  <c:v>13860.511459399948</c:v>
                </c:pt>
                <c:pt idx="611">
                  <c:v>13918.440519687683</c:v>
                </c:pt>
                <c:pt idx="612">
                  <c:v>13976.699033470417</c:v>
                </c:pt>
                <c:pt idx="613">
                  <c:v>14035.2692546405</c:v>
                </c:pt>
                <c:pt idx="614">
                  <c:v>14094.133342141176</c:v>
                </c:pt>
                <c:pt idx="615">
                  <c:v>14153.273365401164</c:v>
                </c:pt>
                <c:pt idx="616">
                  <c:v>14212.671309796471</c:v>
                </c:pt>
                <c:pt idx="617">
                  <c:v>14272.309082137843</c:v>
                </c:pt>
                <c:pt idx="618">
                  <c:v>14332.168516182097</c:v>
                </c:pt>
                <c:pt idx="619">
                  <c:v>14392.231378165743</c:v>
                </c:pt>
                <c:pt idx="620">
                  <c:v>14452.479372359194</c:v>
                </c:pt>
                <c:pt idx="621">
                  <c:v>14512.894146639768</c:v>
                </c:pt>
                <c:pt idx="622">
                  <c:v>14573.457298081985</c:v>
                </c:pt>
                <c:pt idx="623">
                  <c:v>14634.150378563209</c:v>
                </c:pt>
                <c:pt idx="624">
                  <c:v>14694.954900383194</c:v>
                </c:pt>
                <c:pt idx="625">
                  <c:v>14755.852341895557</c:v>
                </c:pt>
                <c:pt idx="626">
                  <c:v>14816.824153149693</c:v>
                </c:pt>
                <c:pt idx="627">
                  <c:v>14877.85176154124</c:v>
                </c:pt>
                <c:pt idx="628">
                  <c:v>14938.916577469503</c:v>
                </c:pt>
                <c:pt idx="629">
                  <c:v>14999.999999999998</c:v>
                </c:pt>
                <c:pt idx="630">
                  <c:v>15061.083422530493</c:v>
                </c:pt>
                <c:pt idx="631">
                  <c:v>15122.148238458751</c:v>
                </c:pt>
                <c:pt idx="632">
                  <c:v>15183.175846850303</c:v>
                </c:pt>
                <c:pt idx="633">
                  <c:v>15244.147658104441</c:v>
                </c:pt>
                <c:pt idx="634">
                  <c:v>15305.045099616802</c:v>
                </c:pt>
                <c:pt idx="635">
                  <c:v>15365.849621436788</c:v>
                </c:pt>
                <c:pt idx="636">
                  <c:v>15426.542701918013</c:v>
                </c:pt>
                <c:pt idx="637">
                  <c:v>15487.105853360228</c:v>
                </c:pt>
                <c:pt idx="638">
                  <c:v>15547.520627640803</c:v>
                </c:pt>
                <c:pt idx="639">
                  <c:v>15607.768621834253</c:v>
                </c:pt>
                <c:pt idx="640">
                  <c:v>15667.831483817907</c:v>
                </c:pt>
                <c:pt idx="641">
                  <c:v>15727.690917862154</c:v>
                </c:pt>
                <c:pt idx="642">
                  <c:v>15787.328690203527</c:v>
                </c:pt>
                <c:pt idx="643">
                  <c:v>15846.726634598832</c:v>
                </c:pt>
                <c:pt idx="644">
                  <c:v>15905.86665785882</c:v>
                </c:pt>
                <c:pt idx="645">
                  <c:v>15964.730745359497</c:v>
                </c:pt>
                <c:pt idx="646">
                  <c:v>16023.300966529581</c:v>
                </c:pt>
                <c:pt idx="647">
                  <c:v>16081.559480312315</c:v>
                </c:pt>
                <c:pt idx="648">
                  <c:v>16139.488540600049</c:v>
                </c:pt>
                <c:pt idx="649">
                  <c:v>16197.070501639839</c:v>
                </c:pt>
                <c:pt idx="650">
                  <c:v>16254.287823408551</c:v>
                </c:pt>
                <c:pt idx="651">
                  <c:v>16311.123076955688</c:v>
                </c:pt>
                <c:pt idx="652">
                  <c:v>16367.558949712462</c:v>
                </c:pt>
                <c:pt idx="653">
                  <c:v>16423.578250765302</c:v>
                </c:pt>
                <c:pt idx="654">
                  <c:v>16479.163916092446</c:v>
                </c:pt>
                <c:pt idx="655">
                  <c:v>16534.299013761763</c:v>
                </c:pt>
                <c:pt idx="656">
                  <c:v>16588.966749088417</c:v>
                </c:pt>
                <c:pt idx="657">
                  <c:v>16643.150469750617</c:v>
                </c:pt>
                <c:pt idx="658">
                  <c:v>16696.833670862175</c:v>
                </c:pt>
                <c:pt idx="659">
                  <c:v>16749.999999999996</c:v>
                </c:pt>
                <c:pt idx="660">
                  <c:v>16802.633262185191</c:v>
                </c:pt>
                <c:pt idx="661">
                  <c:v>16854.717424816219</c:v>
                </c:pt>
                <c:pt idx="662">
                  <c:v>16906.236622552591</c:v>
                </c:pt>
                <c:pt idx="663">
                  <c:v>16957.175162147614</c:v>
                </c:pt>
                <c:pt idx="664">
                  <c:v>17007.517527228661</c:v>
                </c:pt>
                <c:pt idx="665">
                  <c:v>17057.248383023656</c:v>
                </c:pt>
                <c:pt idx="666">
                  <c:v>17106.352581032166</c:v>
                </c:pt>
                <c:pt idx="667">
                  <c:v>17154.815163639807</c:v>
                </c:pt>
                <c:pt idx="668">
                  <c:v>17202.62136867443</c:v>
                </c:pt>
                <c:pt idx="669">
                  <c:v>17249.756633902885</c:v>
                </c:pt>
                <c:pt idx="670">
                  <c:v>17296.206601466769</c:v>
                </c:pt>
                <c:pt idx="671">
                  <c:v>17341.957122256004</c:v>
                </c:pt>
                <c:pt idx="672">
                  <c:v>17386.994260218744</c:v>
                </c:pt>
                <c:pt idx="673">
                  <c:v>17431.304296606486</c:v>
                </c:pt>
                <c:pt idx="674">
                  <c:v>17474.873734152916</c:v>
                </c:pt>
                <c:pt idx="675">
                  <c:v>17517.689301185277</c:v>
                </c:pt>
                <c:pt idx="676">
                  <c:v>17559.737955667097</c:v>
                </c:pt>
                <c:pt idx="677">
                  <c:v>17601.006889170876</c:v>
                </c:pt>
                <c:pt idx="678">
                  <c:v>17641.4835307797</c:v>
                </c:pt>
                <c:pt idx="679">
                  <c:v>17681.155550916425</c:v>
                </c:pt>
                <c:pt idx="680">
                  <c:v>17720.010865099397</c:v>
                </c:pt>
                <c:pt idx="681">
                  <c:v>17758.037637623522</c:v>
                </c:pt>
                <c:pt idx="682">
                  <c:v>17795.224285165525</c:v>
                </c:pt>
                <c:pt idx="683">
                  <c:v>17831.559480312317</c:v>
                </c:pt>
                <c:pt idx="684">
                  <c:v>17867.032155011468</c:v>
                </c:pt>
                <c:pt idx="685">
                  <c:v>17901.631503942648</c:v>
                </c:pt>
                <c:pt idx="686">
                  <c:v>17935.346987808982</c:v>
                </c:pt>
                <c:pt idx="687">
                  <c:v>17968.168336547489</c:v>
                </c:pt>
                <c:pt idx="688">
                  <c:v>18000.085552457389</c:v>
                </c:pt>
                <c:pt idx="689">
                  <c:v>18031.088913245534</c:v>
                </c:pt>
                <c:pt idx="690">
                  <c:v>18061.168974987882</c:v>
                </c:pt>
                <c:pt idx="691">
                  <c:v>18090.316575006244</c:v>
                </c:pt>
                <c:pt idx="692">
                  <c:v>18118.522834659285</c:v>
                </c:pt>
                <c:pt idx="693">
                  <c:v>18145.779162047082</c:v>
                </c:pt>
                <c:pt idx="694">
                  <c:v>18172.077254628275</c:v>
                </c:pt>
                <c:pt idx="695">
                  <c:v>18197.409101749101</c:v>
                </c:pt>
                <c:pt idx="696">
                  <c:v>18221.766987083545</c:v>
                </c:pt>
                <c:pt idx="697">
                  <c:v>18245.143490983755</c:v>
                </c:pt>
                <c:pt idx="698">
                  <c:v>18267.531492740207</c:v>
                </c:pt>
                <c:pt idx="699">
                  <c:v>18288.924172750678</c:v>
                </c:pt>
                <c:pt idx="700">
                  <c:v>18309.315014597611</c:v>
                </c:pt>
                <c:pt idx="701">
                  <c:v>18328.697807033037</c:v>
                </c:pt>
                <c:pt idx="702">
                  <c:v>18347.066645870622</c:v>
                </c:pt>
                <c:pt idx="703">
                  <c:v>18364.415935784116</c:v>
                </c:pt>
                <c:pt idx="704">
                  <c:v>18380.740392011739</c:v>
                </c:pt>
                <c:pt idx="705">
                  <c:v>18396.035041965988</c:v>
                </c:pt>
                <c:pt idx="706">
                  <c:v>18410.295226748323</c:v>
                </c:pt>
                <c:pt idx="707">
                  <c:v>18423.516602568321</c:v>
                </c:pt>
                <c:pt idx="708">
                  <c:v>18435.695142066823</c:v>
                </c:pt>
                <c:pt idx="709">
                  <c:v>18446.827135542728</c:v>
                </c:pt>
                <c:pt idx="710">
                  <c:v>18456.909192082981</c:v>
                </c:pt>
                <c:pt idx="711">
                  <c:v>18465.938240595497</c:v>
                </c:pt>
                <c:pt idx="712">
                  <c:v>18473.911530744626</c:v>
                </c:pt>
                <c:pt idx="713">
                  <c:v>18480.826633788958</c:v>
                </c:pt>
                <c:pt idx="714">
                  <c:v>18486.681443321111</c:v>
                </c:pt>
                <c:pt idx="715">
                  <c:v>18491.474175909385</c:v>
                </c:pt>
                <c:pt idx="716">
                  <c:v>18495.203371641008</c:v>
                </c:pt>
                <c:pt idx="717">
                  <c:v>18497.867894566836</c:v>
                </c:pt>
                <c:pt idx="718">
                  <c:v>18499.46693304737</c:v>
                </c:pt>
                <c:pt idx="719">
                  <c:v>18500</c:v>
                </c:pt>
                <c:pt idx="720">
                  <c:v>18499.46693304737</c:v>
                </c:pt>
                <c:pt idx="721">
                  <c:v>18497.867894566836</c:v>
                </c:pt>
                <c:pt idx="722">
                  <c:v>18495.203371641008</c:v>
                </c:pt>
                <c:pt idx="723">
                  <c:v>18491.474175909385</c:v>
                </c:pt>
                <c:pt idx="724">
                  <c:v>18486.681443321111</c:v>
                </c:pt>
                <c:pt idx="725">
                  <c:v>18480.826633788958</c:v>
                </c:pt>
                <c:pt idx="726">
                  <c:v>18473.911530744626</c:v>
                </c:pt>
                <c:pt idx="727">
                  <c:v>18465.938240595497</c:v>
                </c:pt>
                <c:pt idx="728">
                  <c:v>18456.909192082981</c:v>
                </c:pt>
                <c:pt idx="729">
                  <c:v>18446.827135542728</c:v>
                </c:pt>
                <c:pt idx="730">
                  <c:v>18435.695142066823</c:v>
                </c:pt>
                <c:pt idx="731">
                  <c:v>18423.516602568321</c:v>
                </c:pt>
                <c:pt idx="732">
                  <c:v>18410.295226748323</c:v>
                </c:pt>
                <c:pt idx="733">
                  <c:v>18396.035041965988</c:v>
                </c:pt>
                <c:pt idx="734">
                  <c:v>18380.740392011739</c:v>
                </c:pt>
                <c:pt idx="735">
                  <c:v>18364.415935784116</c:v>
                </c:pt>
                <c:pt idx="736">
                  <c:v>18347.066645870626</c:v>
                </c:pt>
                <c:pt idx="737">
                  <c:v>18328.697807033037</c:v>
                </c:pt>
                <c:pt idx="738">
                  <c:v>18309.315014597611</c:v>
                </c:pt>
                <c:pt idx="739">
                  <c:v>18288.924172750681</c:v>
                </c:pt>
                <c:pt idx="740">
                  <c:v>18267.531492740207</c:v>
                </c:pt>
                <c:pt idx="741">
                  <c:v>18245.143490983755</c:v>
                </c:pt>
                <c:pt idx="742">
                  <c:v>18221.766987083542</c:v>
                </c:pt>
                <c:pt idx="743">
                  <c:v>18197.409101749105</c:v>
                </c:pt>
                <c:pt idx="744">
                  <c:v>18172.077254628275</c:v>
                </c:pt>
                <c:pt idx="745">
                  <c:v>18145.779162047085</c:v>
                </c:pt>
                <c:pt idx="746">
                  <c:v>18118.522834659288</c:v>
                </c:pt>
                <c:pt idx="747">
                  <c:v>18090.316575006244</c:v>
                </c:pt>
                <c:pt idx="748">
                  <c:v>18061.168974987886</c:v>
                </c:pt>
                <c:pt idx="749">
                  <c:v>18031.088913245538</c:v>
                </c:pt>
                <c:pt idx="750">
                  <c:v>18000.085552457396</c:v>
                </c:pt>
                <c:pt idx="751">
                  <c:v>17968.168336547489</c:v>
                </c:pt>
                <c:pt idx="752">
                  <c:v>17935.346987808985</c:v>
                </c:pt>
                <c:pt idx="753">
                  <c:v>17901.631503942644</c:v>
                </c:pt>
                <c:pt idx="754">
                  <c:v>17867.032155011475</c:v>
                </c:pt>
                <c:pt idx="755">
                  <c:v>17831.559480312317</c:v>
                </c:pt>
                <c:pt idx="756">
                  <c:v>17795.224285165525</c:v>
                </c:pt>
                <c:pt idx="757">
                  <c:v>17758.037637623529</c:v>
                </c:pt>
                <c:pt idx="758">
                  <c:v>17720.010865099397</c:v>
                </c:pt>
                <c:pt idx="759">
                  <c:v>17681.155550916421</c:v>
                </c:pt>
                <c:pt idx="760">
                  <c:v>17641.483530779704</c:v>
                </c:pt>
                <c:pt idx="761">
                  <c:v>17601.006889170883</c:v>
                </c:pt>
                <c:pt idx="762">
                  <c:v>17559.737955667093</c:v>
                </c:pt>
                <c:pt idx="763">
                  <c:v>17517.689301185281</c:v>
                </c:pt>
                <c:pt idx="764">
                  <c:v>17474.873734152919</c:v>
                </c:pt>
                <c:pt idx="765">
                  <c:v>17431.304296606497</c:v>
                </c:pt>
                <c:pt idx="766">
                  <c:v>17386.994260218744</c:v>
                </c:pt>
                <c:pt idx="767">
                  <c:v>17341.957122256008</c:v>
                </c:pt>
                <c:pt idx="768">
                  <c:v>17296.206601466776</c:v>
                </c:pt>
                <c:pt idx="769">
                  <c:v>17249.756633902885</c:v>
                </c:pt>
                <c:pt idx="770">
                  <c:v>17202.621368674434</c:v>
                </c:pt>
                <c:pt idx="771">
                  <c:v>17154.815163639803</c:v>
                </c:pt>
                <c:pt idx="772">
                  <c:v>17106.352581032173</c:v>
                </c:pt>
                <c:pt idx="773">
                  <c:v>17057.248383023652</c:v>
                </c:pt>
                <c:pt idx="774">
                  <c:v>17007.517527228661</c:v>
                </c:pt>
                <c:pt idx="775">
                  <c:v>16957.175162147618</c:v>
                </c:pt>
                <c:pt idx="776">
                  <c:v>16906.236622552602</c:v>
                </c:pt>
                <c:pt idx="777">
                  <c:v>16854.717424816215</c:v>
                </c:pt>
                <c:pt idx="778">
                  <c:v>16802.633262185191</c:v>
                </c:pt>
                <c:pt idx="779">
                  <c:v>16750.000000000004</c:v>
                </c:pt>
                <c:pt idx="780">
                  <c:v>16696.833670862179</c:v>
                </c:pt>
                <c:pt idx="781">
                  <c:v>16643.150469750617</c:v>
                </c:pt>
                <c:pt idx="782">
                  <c:v>16588.966749088417</c:v>
                </c:pt>
                <c:pt idx="783">
                  <c:v>16534.299013761774</c:v>
                </c:pt>
                <c:pt idx="784">
                  <c:v>16479.16391609245</c:v>
                </c:pt>
                <c:pt idx="785">
                  <c:v>16423.578250765306</c:v>
                </c:pt>
                <c:pt idx="786">
                  <c:v>16367.55894971246</c:v>
                </c:pt>
                <c:pt idx="787">
                  <c:v>16311.123076955697</c:v>
                </c:pt>
                <c:pt idx="788">
                  <c:v>16254.287823408547</c:v>
                </c:pt>
                <c:pt idx="789">
                  <c:v>16197.070501639841</c:v>
                </c:pt>
                <c:pt idx="790">
                  <c:v>16139.488540600052</c:v>
                </c:pt>
                <c:pt idx="791">
                  <c:v>16081.559480312311</c:v>
                </c:pt>
                <c:pt idx="792">
                  <c:v>16023.300966529578</c:v>
                </c:pt>
                <c:pt idx="793">
                  <c:v>15964.7307453595</c:v>
                </c:pt>
                <c:pt idx="794">
                  <c:v>15905.866657858829</c:v>
                </c:pt>
                <c:pt idx="795">
                  <c:v>15846.726634598836</c:v>
                </c:pt>
                <c:pt idx="796">
                  <c:v>15787.328690203529</c:v>
                </c:pt>
                <c:pt idx="797">
                  <c:v>15727.690917862164</c:v>
                </c:pt>
                <c:pt idx="798">
                  <c:v>15667.83148381791</c:v>
                </c:pt>
                <c:pt idx="799">
                  <c:v>15607.768621834257</c:v>
                </c:pt>
                <c:pt idx="800">
                  <c:v>15547.520627640813</c:v>
                </c:pt>
                <c:pt idx="801">
                  <c:v>15487.105853360232</c:v>
                </c:pt>
                <c:pt idx="802">
                  <c:v>15426.542701918017</c:v>
                </c:pt>
                <c:pt idx="803">
                  <c:v>15365.849621436784</c:v>
                </c:pt>
                <c:pt idx="804">
                  <c:v>15305.045099616806</c:v>
                </c:pt>
                <c:pt idx="805">
                  <c:v>15244.147658104444</c:v>
                </c:pt>
                <c:pt idx="806">
                  <c:v>15183.175846850299</c:v>
                </c:pt>
                <c:pt idx="807">
                  <c:v>15122.148238458754</c:v>
                </c:pt>
                <c:pt idx="808">
                  <c:v>15061.083422530497</c:v>
                </c:pt>
                <c:pt idx="809">
                  <c:v>15000.000000000007</c:v>
                </c:pt>
                <c:pt idx="810">
                  <c:v>14938.916577469507</c:v>
                </c:pt>
                <c:pt idx="811">
                  <c:v>14877.851761541249</c:v>
                </c:pt>
                <c:pt idx="812">
                  <c:v>14816.824153149704</c:v>
                </c:pt>
                <c:pt idx="813">
                  <c:v>14755.852341895559</c:v>
                </c:pt>
                <c:pt idx="814">
                  <c:v>14694.954900383198</c:v>
                </c:pt>
                <c:pt idx="815">
                  <c:v>14634.150378563219</c:v>
                </c:pt>
                <c:pt idx="816">
                  <c:v>14573.457298081987</c:v>
                </c:pt>
                <c:pt idx="817">
                  <c:v>14512.894146639772</c:v>
                </c:pt>
                <c:pt idx="818">
                  <c:v>14452.47937235919</c:v>
                </c:pt>
                <c:pt idx="819">
                  <c:v>14392.231378165747</c:v>
                </c:pt>
                <c:pt idx="820">
                  <c:v>14332.168516182099</c:v>
                </c:pt>
                <c:pt idx="821">
                  <c:v>14272.309082137841</c:v>
                </c:pt>
                <c:pt idx="822">
                  <c:v>14212.671309796475</c:v>
                </c:pt>
                <c:pt idx="823">
                  <c:v>14153.273365401168</c:v>
                </c:pt>
                <c:pt idx="824">
                  <c:v>14094.133342141175</c:v>
                </c:pt>
                <c:pt idx="825">
                  <c:v>14035.269254640503</c:v>
                </c:pt>
                <c:pt idx="826">
                  <c:v>13976.699033470426</c:v>
                </c:pt>
                <c:pt idx="827">
                  <c:v>13918.440519687692</c:v>
                </c:pt>
                <c:pt idx="828">
                  <c:v>13860.511459399951</c:v>
                </c:pt>
                <c:pt idx="829">
                  <c:v>13802.929498360163</c:v>
                </c:pt>
                <c:pt idx="830">
                  <c:v>13745.712176591449</c:v>
                </c:pt>
                <c:pt idx="831">
                  <c:v>13688.876923044307</c:v>
                </c:pt>
                <c:pt idx="832">
                  <c:v>13632.441050287543</c:v>
                </c:pt>
                <c:pt idx="833">
                  <c:v>13576.4217492347</c:v>
                </c:pt>
                <c:pt idx="834">
                  <c:v>13520.836083907556</c:v>
                </c:pt>
                <c:pt idx="835">
                  <c:v>13465.700986238229</c:v>
                </c:pt>
                <c:pt idx="836">
                  <c:v>13411.033250911585</c:v>
                </c:pt>
                <c:pt idx="837">
                  <c:v>13356.849530249385</c:v>
                </c:pt>
                <c:pt idx="838">
                  <c:v>13303.166329137826</c:v>
                </c:pt>
                <c:pt idx="839">
                  <c:v>13249.999999999998</c:v>
                </c:pt>
                <c:pt idx="840">
                  <c:v>13197.366737814811</c:v>
                </c:pt>
                <c:pt idx="841">
                  <c:v>13145.282575183788</c:v>
                </c:pt>
                <c:pt idx="842">
                  <c:v>13093.763377447402</c:v>
                </c:pt>
                <c:pt idx="843">
                  <c:v>13042.824837852386</c:v>
                </c:pt>
                <c:pt idx="844">
                  <c:v>12992.482472771342</c:v>
                </c:pt>
                <c:pt idx="845">
                  <c:v>12942.751616976346</c:v>
                </c:pt>
                <c:pt idx="846">
                  <c:v>12893.64741896783</c:v>
                </c:pt>
                <c:pt idx="847">
                  <c:v>12845.184836360198</c:v>
                </c:pt>
                <c:pt idx="848">
                  <c:v>12797.37863132557</c:v>
                </c:pt>
                <c:pt idx="849">
                  <c:v>12750.243366097116</c:v>
                </c:pt>
                <c:pt idx="850">
                  <c:v>12703.793398533227</c:v>
                </c:pt>
                <c:pt idx="851">
                  <c:v>12658.042877743996</c:v>
                </c:pt>
                <c:pt idx="852">
                  <c:v>12613.005739781258</c:v>
                </c:pt>
                <c:pt idx="853">
                  <c:v>12568.695703393507</c:v>
                </c:pt>
                <c:pt idx="854">
                  <c:v>12525.126265847082</c:v>
                </c:pt>
                <c:pt idx="855">
                  <c:v>12482.310698814723</c:v>
                </c:pt>
                <c:pt idx="856">
                  <c:v>12440.262044332907</c:v>
                </c:pt>
                <c:pt idx="857">
                  <c:v>12398.993110829118</c:v>
                </c:pt>
                <c:pt idx="858">
                  <c:v>12358.5164692203</c:v>
                </c:pt>
                <c:pt idx="859">
                  <c:v>12318.844449083581</c:v>
                </c:pt>
                <c:pt idx="860">
                  <c:v>12279.989134900603</c:v>
                </c:pt>
                <c:pt idx="861">
                  <c:v>12241.962362376475</c:v>
                </c:pt>
                <c:pt idx="862">
                  <c:v>12204.775714834477</c:v>
                </c:pt>
                <c:pt idx="863">
                  <c:v>12168.440519687685</c:v>
                </c:pt>
                <c:pt idx="864">
                  <c:v>12132.967844988529</c:v>
                </c:pt>
                <c:pt idx="865">
                  <c:v>12098.368496057352</c:v>
                </c:pt>
                <c:pt idx="866">
                  <c:v>12064.653012191016</c:v>
                </c:pt>
                <c:pt idx="867">
                  <c:v>12031.831663452511</c:v>
                </c:pt>
                <c:pt idx="868">
                  <c:v>11999.914447542606</c:v>
                </c:pt>
                <c:pt idx="869">
                  <c:v>11968.911086754466</c:v>
                </c:pt>
                <c:pt idx="870">
                  <c:v>11938.831025012116</c:v>
                </c:pt>
                <c:pt idx="871">
                  <c:v>11909.68342499376</c:v>
                </c:pt>
                <c:pt idx="872">
                  <c:v>11881.477165340712</c:v>
                </c:pt>
                <c:pt idx="873">
                  <c:v>11854.220837952917</c:v>
                </c:pt>
                <c:pt idx="874">
                  <c:v>11827.922745371729</c:v>
                </c:pt>
                <c:pt idx="875">
                  <c:v>11802.590898250895</c:v>
                </c:pt>
                <c:pt idx="876">
                  <c:v>11778.233012916458</c:v>
                </c:pt>
                <c:pt idx="877">
                  <c:v>11754.856509016246</c:v>
                </c:pt>
                <c:pt idx="878">
                  <c:v>11732.468507259795</c:v>
                </c:pt>
                <c:pt idx="879">
                  <c:v>11711.07582724932</c:v>
                </c:pt>
                <c:pt idx="880">
                  <c:v>11690.684985402391</c:v>
                </c:pt>
                <c:pt idx="881">
                  <c:v>11671.302192966963</c:v>
                </c:pt>
                <c:pt idx="882">
                  <c:v>11652.933354129378</c:v>
                </c:pt>
                <c:pt idx="883">
                  <c:v>11635.584064215884</c:v>
                </c:pt>
                <c:pt idx="884">
                  <c:v>11619.259607988261</c:v>
                </c:pt>
                <c:pt idx="885">
                  <c:v>11603.964958034014</c:v>
                </c:pt>
                <c:pt idx="886">
                  <c:v>11589.704773251677</c:v>
                </c:pt>
                <c:pt idx="887">
                  <c:v>11576.483397431681</c:v>
                </c:pt>
                <c:pt idx="888">
                  <c:v>11564.304857933177</c:v>
                </c:pt>
                <c:pt idx="889">
                  <c:v>11553.172864457272</c:v>
                </c:pt>
                <c:pt idx="890">
                  <c:v>11543.090807917019</c:v>
                </c:pt>
                <c:pt idx="891">
                  <c:v>11534.061759404503</c:v>
                </c:pt>
                <c:pt idx="892">
                  <c:v>11526.088469255374</c:v>
                </c:pt>
                <c:pt idx="893">
                  <c:v>11519.173366211044</c:v>
                </c:pt>
                <c:pt idx="894">
                  <c:v>11513.318556678891</c:v>
                </c:pt>
                <c:pt idx="895">
                  <c:v>11508.525824090615</c:v>
                </c:pt>
                <c:pt idx="896">
                  <c:v>11504.796628358992</c:v>
                </c:pt>
                <c:pt idx="897">
                  <c:v>11502.132105433164</c:v>
                </c:pt>
                <c:pt idx="898">
                  <c:v>11500.53306695263</c:v>
                </c:pt>
                <c:pt idx="899">
                  <c:v>11500</c:v>
                </c:pt>
                <c:pt idx="900">
                  <c:v>11500.53306695263</c:v>
                </c:pt>
                <c:pt idx="901">
                  <c:v>11502.132105433166</c:v>
                </c:pt>
                <c:pt idx="902">
                  <c:v>11504.796628358992</c:v>
                </c:pt>
                <c:pt idx="903">
                  <c:v>11508.525824090615</c:v>
                </c:pt>
                <c:pt idx="904">
                  <c:v>11513.318556678889</c:v>
                </c:pt>
                <c:pt idx="905">
                  <c:v>11519.173366211044</c:v>
                </c:pt>
                <c:pt idx="906">
                  <c:v>11526.088469255372</c:v>
                </c:pt>
                <c:pt idx="907">
                  <c:v>11534.061759404503</c:v>
                </c:pt>
                <c:pt idx="908">
                  <c:v>11543.090807917019</c:v>
                </c:pt>
                <c:pt idx="909">
                  <c:v>11553.172864457272</c:v>
                </c:pt>
                <c:pt idx="910">
                  <c:v>11564.304857933177</c:v>
                </c:pt>
                <c:pt idx="911">
                  <c:v>11576.483397431679</c:v>
                </c:pt>
                <c:pt idx="912">
                  <c:v>11589.704773251677</c:v>
                </c:pt>
                <c:pt idx="913">
                  <c:v>11603.964958034012</c:v>
                </c:pt>
                <c:pt idx="914">
                  <c:v>11619.259607988261</c:v>
                </c:pt>
                <c:pt idx="915">
                  <c:v>11635.584064215882</c:v>
                </c:pt>
                <c:pt idx="916">
                  <c:v>11652.933354129374</c:v>
                </c:pt>
                <c:pt idx="917">
                  <c:v>11671.302192966959</c:v>
                </c:pt>
                <c:pt idx="918">
                  <c:v>11690.684985402391</c:v>
                </c:pt>
                <c:pt idx="919">
                  <c:v>11711.075827249319</c:v>
                </c:pt>
                <c:pt idx="920">
                  <c:v>11732.468507259797</c:v>
                </c:pt>
                <c:pt idx="921">
                  <c:v>11754.856509016245</c:v>
                </c:pt>
                <c:pt idx="922">
                  <c:v>11778.233012916458</c:v>
                </c:pt>
                <c:pt idx="923">
                  <c:v>11802.590898250899</c:v>
                </c:pt>
                <c:pt idx="924">
                  <c:v>11827.922745371725</c:v>
                </c:pt>
                <c:pt idx="925">
                  <c:v>11854.220837952915</c:v>
                </c:pt>
                <c:pt idx="926">
                  <c:v>11881.47716534071</c:v>
                </c:pt>
                <c:pt idx="927">
                  <c:v>11909.683424993756</c:v>
                </c:pt>
                <c:pt idx="928">
                  <c:v>11938.831025012114</c:v>
                </c:pt>
                <c:pt idx="929">
                  <c:v>11968.911086754462</c:v>
                </c:pt>
                <c:pt idx="930">
                  <c:v>11999.914447542609</c:v>
                </c:pt>
                <c:pt idx="931">
                  <c:v>12031.831663452509</c:v>
                </c:pt>
                <c:pt idx="932">
                  <c:v>12064.653012191015</c:v>
                </c:pt>
                <c:pt idx="933">
                  <c:v>12098.36849605735</c:v>
                </c:pt>
                <c:pt idx="934">
                  <c:v>12132.967844988529</c:v>
                </c:pt>
                <c:pt idx="935">
                  <c:v>12168.440519687683</c:v>
                </c:pt>
                <c:pt idx="936">
                  <c:v>12204.775714834472</c:v>
                </c:pt>
                <c:pt idx="937">
                  <c:v>12241.962362376467</c:v>
                </c:pt>
                <c:pt idx="938">
                  <c:v>12279.989134900601</c:v>
                </c:pt>
                <c:pt idx="939">
                  <c:v>12318.844449083574</c:v>
                </c:pt>
                <c:pt idx="940">
                  <c:v>12358.516469220292</c:v>
                </c:pt>
                <c:pt idx="941">
                  <c:v>12398.99311082912</c:v>
                </c:pt>
                <c:pt idx="942">
                  <c:v>12440.2620443329</c:v>
                </c:pt>
                <c:pt idx="943">
                  <c:v>12482.310698814716</c:v>
                </c:pt>
                <c:pt idx="944">
                  <c:v>12525.126265847075</c:v>
                </c:pt>
                <c:pt idx="945">
                  <c:v>12568.695703393507</c:v>
                </c:pt>
                <c:pt idx="946">
                  <c:v>12613.005739781251</c:v>
                </c:pt>
                <c:pt idx="947">
                  <c:v>12658.042877743997</c:v>
                </c:pt>
                <c:pt idx="948">
                  <c:v>12703.793398533224</c:v>
                </c:pt>
                <c:pt idx="949">
                  <c:v>12750.243366097107</c:v>
                </c:pt>
                <c:pt idx="950">
                  <c:v>12797.378631325571</c:v>
                </c:pt>
                <c:pt idx="951">
                  <c:v>12845.184836360195</c:v>
                </c:pt>
                <c:pt idx="952">
                  <c:v>12893.647418967827</c:v>
                </c:pt>
                <c:pt idx="953">
                  <c:v>12942.751616976348</c:v>
                </c:pt>
                <c:pt idx="954">
                  <c:v>12992.482472771339</c:v>
                </c:pt>
                <c:pt idx="955">
                  <c:v>13042.824837852382</c:v>
                </c:pt>
                <c:pt idx="956">
                  <c:v>13093.763377447409</c:v>
                </c:pt>
                <c:pt idx="957">
                  <c:v>13145.282575183785</c:v>
                </c:pt>
                <c:pt idx="958">
                  <c:v>13197.366737814807</c:v>
                </c:pt>
                <c:pt idx="959">
                  <c:v>13249.999999999995</c:v>
                </c:pt>
                <c:pt idx="960">
                  <c:v>13303.166329137823</c:v>
                </c:pt>
                <c:pt idx="961">
                  <c:v>13356.849530249381</c:v>
                </c:pt>
                <c:pt idx="962">
                  <c:v>13411.033250911581</c:v>
                </c:pt>
                <c:pt idx="963">
                  <c:v>13465.700986238233</c:v>
                </c:pt>
                <c:pt idx="964">
                  <c:v>13520.836083907552</c:v>
                </c:pt>
                <c:pt idx="965">
                  <c:v>13576.421749234694</c:v>
                </c:pt>
                <c:pt idx="966">
                  <c:v>13632.441050287534</c:v>
                </c:pt>
                <c:pt idx="967">
                  <c:v>13688.876923044309</c:v>
                </c:pt>
                <c:pt idx="968">
                  <c:v>13745.712176591445</c:v>
                </c:pt>
                <c:pt idx="969">
                  <c:v>13802.929498360152</c:v>
                </c:pt>
                <c:pt idx="970">
                  <c:v>13860.511459399953</c:v>
                </c:pt>
                <c:pt idx="971">
                  <c:v>13918.440519687681</c:v>
                </c:pt>
                <c:pt idx="972">
                  <c:v>13976.699033470415</c:v>
                </c:pt>
                <c:pt idx="973">
                  <c:v>14035.269254640494</c:v>
                </c:pt>
                <c:pt idx="974">
                  <c:v>14094.133342141176</c:v>
                </c:pt>
                <c:pt idx="975">
                  <c:v>14153.273365401157</c:v>
                </c:pt>
                <c:pt idx="976">
                  <c:v>14212.671309796464</c:v>
                </c:pt>
                <c:pt idx="977">
                  <c:v>14272.309082137843</c:v>
                </c:pt>
                <c:pt idx="978">
                  <c:v>14332.16851618209</c:v>
                </c:pt>
                <c:pt idx="979">
                  <c:v>14392.231378165736</c:v>
                </c:pt>
                <c:pt idx="980">
                  <c:v>14452.479372359192</c:v>
                </c:pt>
                <c:pt idx="981">
                  <c:v>14512.894146639768</c:v>
                </c:pt>
                <c:pt idx="982">
                  <c:v>14573.45729808199</c:v>
                </c:pt>
                <c:pt idx="983">
                  <c:v>14634.150378563214</c:v>
                </c:pt>
                <c:pt idx="984">
                  <c:v>14694.954900383194</c:v>
                </c:pt>
                <c:pt idx="985">
                  <c:v>14755.852341895568</c:v>
                </c:pt>
                <c:pt idx="986">
                  <c:v>14816.824153149699</c:v>
                </c:pt>
                <c:pt idx="987">
                  <c:v>14877.851761541246</c:v>
                </c:pt>
                <c:pt idx="988">
                  <c:v>14938.916577469503</c:v>
                </c:pt>
                <c:pt idx="989">
                  <c:v>15000.000000000004</c:v>
                </c:pt>
                <c:pt idx="990">
                  <c:v>15061.083422530492</c:v>
                </c:pt>
                <c:pt idx="991">
                  <c:v>15122.148238458749</c:v>
                </c:pt>
                <c:pt idx="992">
                  <c:v>15183.175846850309</c:v>
                </c:pt>
                <c:pt idx="993">
                  <c:v>15244.147658104439</c:v>
                </c:pt>
                <c:pt idx="994">
                  <c:v>15305.0450996168</c:v>
                </c:pt>
                <c:pt idx="995">
                  <c:v>15365.849621436781</c:v>
                </c:pt>
                <c:pt idx="996">
                  <c:v>15426.542701918019</c:v>
                </c:pt>
                <c:pt idx="997">
                  <c:v>15487.105853360228</c:v>
                </c:pt>
                <c:pt idx="998">
                  <c:v>15547.520627640803</c:v>
                </c:pt>
                <c:pt idx="999">
                  <c:v>15607.768621834248</c:v>
                </c:pt>
              </c:numCache>
            </c:numRef>
          </c:xVal>
          <c:yVal>
            <c:numRef>
              <c:f>Calculs!$AT$6:$AT$1005</c:f>
              <c:numCache>
                <c:formatCode>0.000</c:formatCode>
                <c:ptCount val="1000"/>
                <c:pt idx="0">
                  <c:v>-4938.9165774695075</c:v>
                </c:pt>
                <c:pt idx="1">
                  <c:v>-4877.8517615412466</c:v>
                </c:pt>
                <c:pt idx="2">
                  <c:v>-4816.8241531496969</c:v>
                </c:pt>
                <c:pt idx="3">
                  <c:v>-4755.852341895561</c:v>
                </c:pt>
                <c:pt idx="4">
                  <c:v>-4694.9549003831962</c:v>
                </c:pt>
                <c:pt idx="5">
                  <c:v>-4634.1503785632131</c:v>
                </c:pt>
                <c:pt idx="6">
                  <c:v>-4573.4572980819839</c:v>
                </c:pt>
                <c:pt idx="7">
                  <c:v>-4512.894146639771</c:v>
                </c:pt>
                <c:pt idx="8">
                  <c:v>-4452.479372359192</c:v>
                </c:pt>
                <c:pt idx="9">
                  <c:v>-4392.231378165744</c:v>
                </c:pt>
                <c:pt idx="10">
                  <c:v>-4332.1685161820933</c:v>
                </c:pt>
                <c:pt idx="11">
                  <c:v>-4272.3090821378428</c:v>
                </c:pt>
                <c:pt idx="12">
                  <c:v>-4212.671309796473</c:v>
                </c:pt>
                <c:pt idx="13">
                  <c:v>-4153.2733654011627</c:v>
                </c:pt>
                <c:pt idx="14">
                  <c:v>-4094.1333421411773</c:v>
                </c:pt>
                <c:pt idx="15">
                  <c:v>-4035.2692546405028</c:v>
                </c:pt>
                <c:pt idx="16">
                  <c:v>-3976.6990334704215</c:v>
                </c:pt>
                <c:pt idx="17">
                  <c:v>-3918.4405196876842</c:v>
                </c:pt>
                <c:pt idx="18">
                  <c:v>-3860.5114593999515</c:v>
                </c:pt>
                <c:pt idx="19">
                  <c:v>-3802.9294983601594</c:v>
                </c:pt>
                <c:pt idx="20">
                  <c:v>-3745.712176591449</c:v>
                </c:pt>
                <c:pt idx="21">
                  <c:v>-3688.8769230443077</c:v>
                </c:pt>
                <c:pt idx="22">
                  <c:v>-3632.4410502875417</c:v>
                </c:pt>
                <c:pt idx="23">
                  <c:v>-3576.4217492346997</c:v>
                </c:pt>
                <c:pt idx="24">
                  <c:v>-3520.8360839075522</c:v>
                </c:pt>
                <c:pt idx="25">
                  <c:v>-3465.7009862382292</c:v>
                </c:pt>
                <c:pt idx="26">
                  <c:v>-3411.0332509115865</c:v>
                </c:pt>
                <c:pt idx="27">
                  <c:v>-3356.849530249382</c:v>
                </c:pt>
                <c:pt idx="28">
                  <c:v>-3303.16632913782</c:v>
                </c:pt>
                <c:pt idx="29">
                  <c:v>-3250</c:v>
                </c:pt>
                <c:pt idx="30">
                  <c:v>-3197.3667378148102</c:v>
                </c:pt>
                <c:pt idx="31">
                  <c:v>-3145.2825751837827</c:v>
                </c:pt>
                <c:pt idx="32">
                  <c:v>-3093.7633774474052</c:v>
                </c:pt>
                <c:pt idx="33">
                  <c:v>-3042.8248378523858</c:v>
                </c:pt>
                <c:pt idx="34">
                  <c:v>-2992.4824727713385</c:v>
                </c:pt>
                <c:pt idx="35">
                  <c:v>-2942.7516169763439</c:v>
                </c:pt>
                <c:pt idx="36">
                  <c:v>-2893.6474189678311</c:v>
                </c:pt>
                <c:pt idx="37">
                  <c:v>-2845.1848363601962</c:v>
                </c:pt>
                <c:pt idx="38">
                  <c:v>-2797.3786313255691</c:v>
                </c:pt>
                <c:pt idx="39">
                  <c:v>-2750.2433660971128</c:v>
                </c:pt>
                <c:pt idx="40">
                  <c:v>-2703.7933985332247</c:v>
                </c:pt>
                <c:pt idx="41">
                  <c:v>-2658.0428777439961</c:v>
                </c:pt>
                <c:pt idx="42">
                  <c:v>-2613.0057397812552</c:v>
                </c:pt>
                <c:pt idx="43">
                  <c:v>-2568.6957033935096</c:v>
                </c:pt>
                <c:pt idx="44">
                  <c:v>-2525.1262658470837</c:v>
                </c:pt>
                <c:pt idx="45">
                  <c:v>-2482.310698814721</c:v>
                </c:pt>
                <c:pt idx="46">
                  <c:v>-2440.2620443329033</c:v>
                </c:pt>
                <c:pt idx="47">
                  <c:v>-2398.9931108291207</c:v>
                </c:pt>
                <c:pt idx="48">
                  <c:v>-2358.5164692202979</c:v>
                </c:pt>
                <c:pt idx="49">
                  <c:v>-2318.8444490835768</c:v>
                </c:pt>
                <c:pt idx="50">
                  <c:v>-2279.989134900602</c:v>
                </c:pt>
                <c:pt idx="51">
                  <c:v>-2241.9623623764728</c:v>
                </c:pt>
                <c:pt idx="52">
                  <c:v>-2204.7757148344749</c:v>
                </c:pt>
                <c:pt idx="53">
                  <c:v>-2168.4405196876837</c:v>
                </c:pt>
                <c:pt idx="54">
                  <c:v>-2132.9678449885287</c:v>
                </c:pt>
                <c:pt idx="55">
                  <c:v>-2098.3684960573542</c:v>
                </c:pt>
                <c:pt idx="56">
                  <c:v>-2064.6530121910164</c:v>
                </c:pt>
                <c:pt idx="57">
                  <c:v>-2031.831663452509</c:v>
                </c:pt>
                <c:pt idx="58">
                  <c:v>-1999.9144475426074</c:v>
                </c:pt>
                <c:pt idx="59">
                  <c:v>-1968.911086754465</c:v>
                </c:pt>
                <c:pt idx="60">
                  <c:v>-1938.8310250121149</c:v>
                </c:pt>
                <c:pt idx="61">
                  <c:v>-1909.683424993756</c:v>
                </c:pt>
                <c:pt idx="62">
                  <c:v>-1881.4771653407129</c:v>
                </c:pt>
                <c:pt idx="63">
                  <c:v>-1854.2208379529152</c:v>
                </c:pt>
                <c:pt idx="64">
                  <c:v>-1827.9227453717253</c:v>
                </c:pt>
                <c:pt idx="65">
                  <c:v>-1802.5908982508968</c:v>
                </c:pt>
                <c:pt idx="66">
                  <c:v>-1778.2330129164593</c:v>
                </c:pt>
                <c:pt idx="67">
                  <c:v>-1754.8565090162442</c:v>
                </c:pt>
                <c:pt idx="68">
                  <c:v>-1732.468507259794</c:v>
                </c:pt>
                <c:pt idx="69">
                  <c:v>-1711.0758272493208</c:v>
                </c:pt>
                <c:pt idx="70">
                  <c:v>-1690.6849854023912</c:v>
                </c:pt>
                <c:pt idx="71">
                  <c:v>-1671.3021929669626</c:v>
                </c:pt>
                <c:pt idx="72">
                  <c:v>-1652.9333541293759</c:v>
                </c:pt>
                <c:pt idx="73">
                  <c:v>-1635.5840642158837</c:v>
                </c:pt>
                <c:pt idx="74">
                  <c:v>-1619.259607988261</c:v>
                </c:pt>
                <c:pt idx="75">
                  <c:v>-1603.9649580340124</c:v>
                </c:pt>
                <c:pt idx="76">
                  <c:v>-1589.7047732516767</c:v>
                </c:pt>
                <c:pt idx="77">
                  <c:v>-1576.4833974316803</c:v>
                </c:pt>
                <c:pt idx="78">
                  <c:v>-1564.3048579331762</c:v>
                </c:pt>
                <c:pt idx="79">
                  <c:v>-1553.1728644572718</c:v>
                </c:pt>
                <c:pt idx="80">
                  <c:v>-1543.0908079170176</c:v>
                </c:pt>
                <c:pt idx="81">
                  <c:v>-1534.0617594045043</c:v>
                </c:pt>
                <c:pt idx="82">
                  <c:v>-1526.0884692553732</c:v>
                </c:pt>
                <c:pt idx="83">
                  <c:v>-1519.1733662110437</c:v>
                </c:pt>
                <c:pt idx="84">
                  <c:v>-1513.3185566788907</c:v>
                </c:pt>
                <c:pt idx="85">
                  <c:v>-1508.5258240906155</c:v>
                </c:pt>
                <c:pt idx="86">
                  <c:v>-1504.7966283589917</c:v>
                </c:pt>
                <c:pt idx="87">
                  <c:v>-1502.1321054331647</c:v>
                </c:pt>
                <c:pt idx="88">
                  <c:v>-1500.5330669526306</c:v>
                </c:pt>
                <c:pt idx="89">
                  <c:v>-1500</c:v>
                </c:pt>
                <c:pt idx="90">
                  <c:v>-1500.5330669526306</c:v>
                </c:pt>
                <c:pt idx="91">
                  <c:v>-1502.1321054331647</c:v>
                </c:pt>
                <c:pt idx="92">
                  <c:v>-1504.7966283589917</c:v>
                </c:pt>
                <c:pt idx="93">
                  <c:v>-1508.5258240906155</c:v>
                </c:pt>
                <c:pt idx="94">
                  <c:v>-1513.3185566788907</c:v>
                </c:pt>
                <c:pt idx="95">
                  <c:v>-1519.1733662110432</c:v>
                </c:pt>
                <c:pt idx="96">
                  <c:v>-1526.0884692553727</c:v>
                </c:pt>
                <c:pt idx="97">
                  <c:v>-1534.0617594045038</c:v>
                </c:pt>
                <c:pt idx="98">
                  <c:v>-1543.0908079170181</c:v>
                </c:pt>
                <c:pt idx="99">
                  <c:v>-1553.1728644572718</c:v>
                </c:pt>
                <c:pt idx="100">
                  <c:v>-1564.3048579331762</c:v>
                </c:pt>
                <c:pt idx="101">
                  <c:v>-1576.4833974316803</c:v>
                </c:pt>
                <c:pt idx="102">
                  <c:v>-1589.7047732516767</c:v>
                </c:pt>
                <c:pt idx="103">
                  <c:v>-1603.9649580340124</c:v>
                </c:pt>
                <c:pt idx="104">
                  <c:v>-1619.259607988261</c:v>
                </c:pt>
                <c:pt idx="105">
                  <c:v>-1635.5840642158837</c:v>
                </c:pt>
                <c:pt idx="106">
                  <c:v>-1652.9333541293754</c:v>
                </c:pt>
                <c:pt idx="107">
                  <c:v>-1671.3021929669621</c:v>
                </c:pt>
                <c:pt idx="108">
                  <c:v>-1690.6849854023912</c:v>
                </c:pt>
                <c:pt idx="109">
                  <c:v>-1711.0758272493204</c:v>
                </c:pt>
                <c:pt idx="110">
                  <c:v>-1732.468507259794</c:v>
                </c:pt>
                <c:pt idx="111">
                  <c:v>-1754.8565090162442</c:v>
                </c:pt>
                <c:pt idx="112">
                  <c:v>-1778.2330129164588</c:v>
                </c:pt>
                <c:pt idx="113">
                  <c:v>-1802.5908982508968</c:v>
                </c:pt>
                <c:pt idx="114">
                  <c:v>-1827.9227453717249</c:v>
                </c:pt>
                <c:pt idx="115">
                  <c:v>-1854.2208379529156</c:v>
                </c:pt>
                <c:pt idx="116">
                  <c:v>-1881.4771653407124</c:v>
                </c:pt>
                <c:pt idx="117">
                  <c:v>-1909.6834249937551</c:v>
                </c:pt>
                <c:pt idx="118">
                  <c:v>-1938.8310250121144</c:v>
                </c:pt>
                <c:pt idx="119">
                  <c:v>-1968.9110867544646</c:v>
                </c:pt>
                <c:pt idx="120">
                  <c:v>-1999.9144475426069</c:v>
                </c:pt>
                <c:pt idx="121">
                  <c:v>-2031.8316634525086</c:v>
                </c:pt>
                <c:pt idx="122">
                  <c:v>-2064.6530121910164</c:v>
                </c:pt>
                <c:pt idx="123">
                  <c:v>-2098.3684960573542</c:v>
                </c:pt>
                <c:pt idx="124">
                  <c:v>-2132.9678449885278</c:v>
                </c:pt>
                <c:pt idx="125">
                  <c:v>-2168.4405196876837</c:v>
                </c:pt>
                <c:pt idx="126">
                  <c:v>-2204.7757148344754</c:v>
                </c:pt>
                <c:pt idx="127">
                  <c:v>-2241.9623623764728</c:v>
                </c:pt>
                <c:pt idx="128">
                  <c:v>-2279.9891349006016</c:v>
                </c:pt>
                <c:pt idx="129">
                  <c:v>-2318.8444490835768</c:v>
                </c:pt>
                <c:pt idx="130">
                  <c:v>-2358.5164692202989</c:v>
                </c:pt>
                <c:pt idx="131">
                  <c:v>-2398.9931108291203</c:v>
                </c:pt>
                <c:pt idx="132">
                  <c:v>-2440.2620443329029</c:v>
                </c:pt>
                <c:pt idx="133">
                  <c:v>-2482.3106988147201</c:v>
                </c:pt>
                <c:pt idx="134">
                  <c:v>-2525.1262658470837</c:v>
                </c:pt>
                <c:pt idx="135">
                  <c:v>-2568.69570339351</c:v>
                </c:pt>
                <c:pt idx="136">
                  <c:v>-2613.0057397812548</c:v>
                </c:pt>
                <c:pt idx="137">
                  <c:v>-2658.0428777439956</c:v>
                </c:pt>
                <c:pt idx="138">
                  <c:v>-2703.7933985332247</c:v>
                </c:pt>
                <c:pt idx="139">
                  <c:v>-2750.2433660971119</c:v>
                </c:pt>
                <c:pt idx="140">
                  <c:v>-2797.3786313255678</c:v>
                </c:pt>
                <c:pt idx="141">
                  <c:v>-2845.1848363601957</c:v>
                </c:pt>
                <c:pt idx="142">
                  <c:v>-2893.6474189678315</c:v>
                </c:pt>
                <c:pt idx="143">
                  <c:v>-2942.7516169763435</c:v>
                </c:pt>
                <c:pt idx="144">
                  <c:v>-2992.4824727713376</c:v>
                </c:pt>
                <c:pt idx="145">
                  <c:v>-3042.8248378523858</c:v>
                </c:pt>
                <c:pt idx="146">
                  <c:v>-3093.7633774474057</c:v>
                </c:pt>
                <c:pt idx="147">
                  <c:v>-3145.2825751837827</c:v>
                </c:pt>
                <c:pt idx="148">
                  <c:v>-3197.3667378148098</c:v>
                </c:pt>
                <c:pt idx="149">
                  <c:v>-3250</c:v>
                </c:pt>
                <c:pt idx="150">
                  <c:v>-3303.16632913782</c:v>
                </c:pt>
                <c:pt idx="151">
                  <c:v>-3356.8495302493811</c:v>
                </c:pt>
                <c:pt idx="152">
                  <c:v>-3411.033250911586</c:v>
                </c:pt>
                <c:pt idx="153">
                  <c:v>-3465.7009862382292</c:v>
                </c:pt>
                <c:pt idx="154">
                  <c:v>-3520.8360839075517</c:v>
                </c:pt>
                <c:pt idx="155">
                  <c:v>-3576.4217492346984</c:v>
                </c:pt>
                <c:pt idx="156">
                  <c:v>-3632.4410502875407</c:v>
                </c:pt>
                <c:pt idx="157">
                  <c:v>-3688.8769230443072</c:v>
                </c:pt>
                <c:pt idx="158">
                  <c:v>-3745.712176591449</c:v>
                </c:pt>
                <c:pt idx="159">
                  <c:v>-3802.929498360159</c:v>
                </c:pt>
                <c:pt idx="160">
                  <c:v>-3860.5114593999506</c:v>
                </c:pt>
                <c:pt idx="161">
                  <c:v>-3918.4405196876837</c:v>
                </c:pt>
                <c:pt idx="162">
                  <c:v>-3976.6990334704205</c:v>
                </c:pt>
                <c:pt idx="163">
                  <c:v>-4035.2692546405015</c:v>
                </c:pt>
                <c:pt idx="164">
                  <c:v>-4094.1333421411764</c:v>
                </c:pt>
                <c:pt idx="165">
                  <c:v>-4153.2733654011627</c:v>
                </c:pt>
                <c:pt idx="166">
                  <c:v>-4212.671309796473</c:v>
                </c:pt>
                <c:pt idx="167">
                  <c:v>-4272.3090821378428</c:v>
                </c:pt>
                <c:pt idx="168">
                  <c:v>-4332.1685161820924</c:v>
                </c:pt>
                <c:pt idx="169">
                  <c:v>-4392.231378165744</c:v>
                </c:pt>
                <c:pt idx="170">
                  <c:v>-4452.479372359192</c:v>
                </c:pt>
                <c:pt idx="171">
                  <c:v>-4512.89414663977</c:v>
                </c:pt>
                <c:pt idx="172">
                  <c:v>-4573.4572980819839</c:v>
                </c:pt>
                <c:pt idx="173">
                  <c:v>-4634.1503785632121</c:v>
                </c:pt>
                <c:pt idx="174">
                  <c:v>-4694.9549003831944</c:v>
                </c:pt>
                <c:pt idx="175">
                  <c:v>-4755.852341895561</c:v>
                </c:pt>
                <c:pt idx="176">
                  <c:v>-4816.8241531496969</c:v>
                </c:pt>
                <c:pt idx="177">
                  <c:v>-4877.8517615412475</c:v>
                </c:pt>
                <c:pt idx="178">
                  <c:v>-4938.9165774695084</c:v>
                </c:pt>
                <c:pt idx="179">
                  <c:v>-5000</c:v>
                </c:pt>
                <c:pt idx="180">
                  <c:v>-5061.0834225304916</c:v>
                </c:pt>
                <c:pt idx="181">
                  <c:v>-5122.1482384587534</c:v>
                </c:pt>
                <c:pt idx="182">
                  <c:v>-5183.1758468503022</c:v>
                </c:pt>
                <c:pt idx="183">
                  <c:v>-5244.1476581044371</c:v>
                </c:pt>
                <c:pt idx="184">
                  <c:v>-5305.0450996168029</c:v>
                </c:pt>
                <c:pt idx="185">
                  <c:v>-5365.849621436786</c:v>
                </c:pt>
                <c:pt idx="186">
                  <c:v>-5426.542701918017</c:v>
                </c:pt>
                <c:pt idx="187">
                  <c:v>-5487.105853360229</c:v>
                </c:pt>
                <c:pt idx="188">
                  <c:v>-5547.520627640808</c:v>
                </c:pt>
                <c:pt idx="189">
                  <c:v>-5607.7686218342569</c:v>
                </c:pt>
                <c:pt idx="190">
                  <c:v>-5667.8314838179067</c:v>
                </c:pt>
                <c:pt idx="191">
                  <c:v>-5727.6909178621572</c:v>
                </c:pt>
                <c:pt idx="192">
                  <c:v>-5787.328690203527</c:v>
                </c:pt>
                <c:pt idx="193">
                  <c:v>-5846.7266345988364</c:v>
                </c:pt>
                <c:pt idx="194">
                  <c:v>-5905.8666578588209</c:v>
                </c:pt>
                <c:pt idx="195">
                  <c:v>-5964.7307453594967</c:v>
                </c:pt>
                <c:pt idx="196">
                  <c:v>-6023.3009665295776</c:v>
                </c:pt>
                <c:pt idx="197">
                  <c:v>-6081.5594803123167</c:v>
                </c:pt>
                <c:pt idx="198">
                  <c:v>-6139.4885406000485</c:v>
                </c:pt>
                <c:pt idx="199">
                  <c:v>-6197.0705016398406</c:v>
                </c:pt>
                <c:pt idx="200">
                  <c:v>-6254.287823408551</c:v>
                </c:pt>
                <c:pt idx="201">
                  <c:v>-6311.1230769556923</c:v>
                </c:pt>
                <c:pt idx="202">
                  <c:v>-6367.5589497124574</c:v>
                </c:pt>
                <c:pt idx="203">
                  <c:v>-6423.5782507652993</c:v>
                </c:pt>
                <c:pt idx="204">
                  <c:v>-6479.1639160924478</c:v>
                </c:pt>
                <c:pt idx="205">
                  <c:v>-6534.2990137617699</c:v>
                </c:pt>
                <c:pt idx="206">
                  <c:v>-6588.9667490884121</c:v>
                </c:pt>
                <c:pt idx="207">
                  <c:v>-6643.150469750618</c:v>
                </c:pt>
                <c:pt idx="208">
                  <c:v>-6696.8336708621791</c:v>
                </c:pt>
                <c:pt idx="209">
                  <c:v>-6750</c:v>
                </c:pt>
                <c:pt idx="210">
                  <c:v>-6802.6332621851898</c:v>
                </c:pt>
                <c:pt idx="211">
                  <c:v>-6854.7174248162173</c:v>
                </c:pt>
                <c:pt idx="212">
                  <c:v>-6906.2366225525948</c:v>
                </c:pt>
                <c:pt idx="213">
                  <c:v>-6957.1751621476133</c:v>
                </c:pt>
                <c:pt idx="214">
                  <c:v>-7007.5175272286606</c:v>
                </c:pt>
                <c:pt idx="215">
                  <c:v>-7057.2483830236561</c:v>
                </c:pt>
                <c:pt idx="216">
                  <c:v>-7106.352581032168</c:v>
                </c:pt>
                <c:pt idx="217">
                  <c:v>-7154.8151636398024</c:v>
                </c:pt>
                <c:pt idx="218">
                  <c:v>-7202.6213686744322</c:v>
                </c:pt>
                <c:pt idx="219">
                  <c:v>-7249.7566339028872</c:v>
                </c:pt>
                <c:pt idx="220">
                  <c:v>-7296.2066014667762</c:v>
                </c:pt>
                <c:pt idx="221">
                  <c:v>-7341.9571222560044</c:v>
                </c:pt>
                <c:pt idx="222">
                  <c:v>-7386.9942602187439</c:v>
                </c:pt>
                <c:pt idx="223">
                  <c:v>-7431.3042966064913</c:v>
                </c:pt>
                <c:pt idx="224">
                  <c:v>-7474.8737341529159</c:v>
                </c:pt>
                <c:pt idx="225">
                  <c:v>-7517.6893011852781</c:v>
                </c:pt>
                <c:pt idx="226">
                  <c:v>-7559.7379556670949</c:v>
                </c:pt>
                <c:pt idx="227">
                  <c:v>-7601.0068891708797</c:v>
                </c:pt>
                <c:pt idx="228">
                  <c:v>-7641.4835307797002</c:v>
                </c:pt>
                <c:pt idx="229">
                  <c:v>-7681.1555509164227</c:v>
                </c:pt>
                <c:pt idx="230">
                  <c:v>-7720.0108650993989</c:v>
                </c:pt>
                <c:pt idx="231">
                  <c:v>-7758.0376376235272</c:v>
                </c:pt>
                <c:pt idx="232">
                  <c:v>-7795.2242851655246</c:v>
                </c:pt>
                <c:pt idx="233">
                  <c:v>-7831.5594803123158</c:v>
                </c:pt>
                <c:pt idx="234">
                  <c:v>-7867.0321550114704</c:v>
                </c:pt>
                <c:pt idx="235">
                  <c:v>-7901.6315039426445</c:v>
                </c:pt>
                <c:pt idx="236">
                  <c:v>-7935.3469878089836</c:v>
                </c:pt>
                <c:pt idx="237">
                  <c:v>-7968.168336547491</c:v>
                </c:pt>
                <c:pt idx="238">
                  <c:v>-8000.0855524573926</c:v>
                </c:pt>
                <c:pt idx="239">
                  <c:v>-8031.0889132455341</c:v>
                </c:pt>
                <c:pt idx="240">
                  <c:v>-8061.168974987886</c:v>
                </c:pt>
                <c:pt idx="241">
                  <c:v>-8090.3165750062444</c:v>
                </c:pt>
                <c:pt idx="242">
                  <c:v>-8118.5228346592867</c:v>
                </c:pt>
                <c:pt idx="243">
                  <c:v>-8145.7791620470834</c:v>
                </c:pt>
                <c:pt idx="244">
                  <c:v>-8172.0772546282742</c:v>
                </c:pt>
                <c:pt idx="245">
                  <c:v>-8197.4091017491028</c:v>
                </c:pt>
                <c:pt idx="246">
                  <c:v>-8221.7669870835416</c:v>
                </c:pt>
                <c:pt idx="247">
                  <c:v>-8245.1434909837553</c:v>
                </c:pt>
                <c:pt idx="248">
                  <c:v>-8267.5314927402051</c:v>
                </c:pt>
                <c:pt idx="249">
                  <c:v>-8288.9241727506778</c:v>
                </c:pt>
                <c:pt idx="250">
                  <c:v>-8309.3150145976088</c:v>
                </c:pt>
                <c:pt idx="251">
                  <c:v>-8328.697807033037</c:v>
                </c:pt>
                <c:pt idx="252">
                  <c:v>-8347.0666458706237</c:v>
                </c:pt>
                <c:pt idx="253">
                  <c:v>-8364.4159357841163</c:v>
                </c:pt>
                <c:pt idx="254">
                  <c:v>-8380.7403920117395</c:v>
                </c:pt>
                <c:pt idx="255">
                  <c:v>-8396.0350419659881</c:v>
                </c:pt>
                <c:pt idx="256">
                  <c:v>-8410.2952267483233</c:v>
                </c:pt>
                <c:pt idx="257">
                  <c:v>-8423.5166025683193</c:v>
                </c:pt>
                <c:pt idx="258">
                  <c:v>-8435.6951420668229</c:v>
                </c:pt>
                <c:pt idx="259">
                  <c:v>-8446.8271355427278</c:v>
                </c:pt>
                <c:pt idx="260">
                  <c:v>-8456.9091920829815</c:v>
                </c:pt>
                <c:pt idx="261">
                  <c:v>-8465.9382405954966</c:v>
                </c:pt>
                <c:pt idx="262">
                  <c:v>-8473.9115307446264</c:v>
                </c:pt>
                <c:pt idx="263">
                  <c:v>-8480.8266337889563</c:v>
                </c:pt>
                <c:pt idx="264">
                  <c:v>-8486.6814433211093</c:v>
                </c:pt>
                <c:pt idx="265">
                  <c:v>-8491.4741759093849</c:v>
                </c:pt>
                <c:pt idx="266">
                  <c:v>-8495.2033716410078</c:v>
                </c:pt>
                <c:pt idx="267">
                  <c:v>-8497.8678945668344</c:v>
                </c:pt>
                <c:pt idx="268">
                  <c:v>-8499.4669330473698</c:v>
                </c:pt>
                <c:pt idx="269">
                  <c:v>-8500</c:v>
                </c:pt>
                <c:pt idx="270">
                  <c:v>-8499.4669330473698</c:v>
                </c:pt>
                <c:pt idx="271">
                  <c:v>-8497.8678945668362</c:v>
                </c:pt>
                <c:pt idx="272">
                  <c:v>-8495.2033716410078</c:v>
                </c:pt>
                <c:pt idx="273">
                  <c:v>-8491.4741759093849</c:v>
                </c:pt>
                <c:pt idx="274">
                  <c:v>-8486.6814433211093</c:v>
                </c:pt>
                <c:pt idx="275">
                  <c:v>-8480.8266337889563</c:v>
                </c:pt>
                <c:pt idx="276">
                  <c:v>-8473.9115307446264</c:v>
                </c:pt>
                <c:pt idx="277">
                  <c:v>-8465.9382405954966</c:v>
                </c:pt>
                <c:pt idx="278">
                  <c:v>-8456.9091920829815</c:v>
                </c:pt>
                <c:pt idx="279">
                  <c:v>-8446.8271355427278</c:v>
                </c:pt>
                <c:pt idx="280">
                  <c:v>-8435.6951420668247</c:v>
                </c:pt>
                <c:pt idx="281">
                  <c:v>-8423.5166025683211</c:v>
                </c:pt>
                <c:pt idx="282">
                  <c:v>-8410.2952267483233</c:v>
                </c:pt>
                <c:pt idx="283">
                  <c:v>-8396.0350419659881</c:v>
                </c:pt>
                <c:pt idx="284">
                  <c:v>-8380.7403920117395</c:v>
                </c:pt>
                <c:pt idx="285">
                  <c:v>-8364.4159357841163</c:v>
                </c:pt>
                <c:pt idx="286">
                  <c:v>-8347.0666458706237</c:v>
                </c:pt>
                <c:pt idx="287">
                  <c:v>-8328.697807033037</c:v>
                </c:pt>
                <c:pt idx="288">
                  <c:v>-8309.3150145976088</c:v>
                </c:pt>
                <c:pt idx="289">
                  <c:v>-8288.9241727506796</c:v>
                </c:pt>
                <c:pt idx="290">
                  <c:v>-8267.5314927402069</c:v>
                </c:pt>
                <c:pt idx="291">
                  <c:v>-8245.1434909837553</c:v>
                </c:pt>
                <c:pt idx="292">
                  <c:v>-8221.7669870835416</c:v>
                </c:pt>
                <c:pt idx="293">
                  <c:v>-8197.4091017491028</c:v>
                </c:pt>
                <c:pt idx="294">
                  <c:v>-8172.0772546282751</c:v>
                </c:pt>
                <c:pt idx="295">
                  <c:v>-8145.7791620470853</c:v>
                </c:pt>
                <c:pt idx="296">
                  <c:v>-8118.5228346592876</c:v>
                </c:pt>
                <c:pt idx="297">
                  <c:v>-8090.3165750062453</c:v>
                </c:pt>
                <c:pt idx="298">
                  <c:v>-8061.168974987886</c:v>
                </c:pt>
                <c:pt idx="299">
                  <c:v>-8031.088913245535</c:v>
                </c:pt>
                <c:pt idx="300">
                  <c:v>-8000.0855524573926</c:v>
                </c:pt>
                <c:pt idx="301">
                  <c:v>-7968.168336547491</c:v>
                </c:pt>
                <c:pt idx="302">
                  <c:v>-7935.3469878089854</c:v>
                </c:pt>
                <c:pt idx="303">
                  <c:v>-7901.6315039426472</c:v>
                </c:pt>
                <c:pt idx="304">
                  <c:v>-7867.0321550114713</c:v>
                </c:pt>
                <c:pt idx="305">
                  <c:v>-7831.5594803123167</c:v>
                </c:pt>
                <c:pt idx="306">
                  <c:v>-7795.2242851655255</c:v>
                </c:pt>
                <c:pt idx="307">
                  <c:v>-7758.0376376235263</c:v>
                </c:pt>
                <c:pt idx="308">
                  <c:v>-7720.010865099398</c:v>
                </c:pt>
                <c:pt idx="309">
                  <c:v>-7681.1555509164236</c:v>
                </c:pt>
                <c:pt idx="310">
                  <c:v>-7641.483530779703</c:v>
                </c:pt>
                <c:pt idx="311">
                  <c:v>-7601.0068891708815</c:v>
                </c:pt>
                <c:pt idx="312">
                  <c:v>-7559.7379556670985</c:v>
                </c:pt>
                <c:pt idx="313">
                  <c:v>-7517.6893011852808</c:v>
                </c:pt>
                <c:pt idx="314">
                  <c:v>-7474.8737341529168</c:v>
                </c:pt>
                <c:pt idx="315">
                  <c:v>-7431.3042966064913</c:v>
                </c:pt>
                <c:pt idx="316">
                  <c:v>-7386.9942602187439</c:v>
                </c:pt>
                <c:pt idx="317">
                  <c:v>-7341.9571222560035</c:v>
                </c:pt>
                <c:pt idx="318">
                  <c:v>-7296.2066014667762</c:v>
                </c:pt>
                <c:pt idx="319">
                  <c:v>-7249.756633902889</c:v>
                </c:pt>
                <c:pt idx="320">
                  <c:v>-7202.6213686744322</c:v>
                </c:pt>
                <c:pt idx="321">
                  <c:v>-7154.8151636398061</c:v>
                </c:pt>
                <c:pt idx="322">
                  <c:v>-7106.3525810321689</c:v>
                </c:pt>
                <c:pt idx="323">
                  <c:v>-7057.248383023657</c:v>
                </c:pt>
                <c:pt idx="324">
                  <c:v>-7007.5175272286624</c:v>
                </c:pt>
                <c:pt idx="325">
                  <c:v>-6957.175162147616</c:v>
                </c:pt>
                <c:pt idx="326">
                  <c:v>-6906.2366225525948</c:v>
                </c:pt>
                <c:pt idx="327">
                  <c:v>-6854.71742481622</c:v>
                </c:pt>
                <c:pt idx="328">
                  <c:v>-6802.6332621851907</c:v>
                </c:pt>
                <c:pt idx="329">
                  <c:v>-6750.0000000000018</c:v>
                </c:pt>
                <c:pt idx="330">
                  <c:v>-6696.8336708621791</c:v>
                </c:pt>
                <c:pt idx="331">
                  <c:v>-6643.150469750618</c:v>
                </c:pt>
                <c:pt idx="332">
                  <c:v>-6588.9667490884149</c:v>
                </c:pt>
                <c:pt idx="333">
                  <c:v>-6534.2990137617699</c:v>
                </c:pt>
                <c:pt idx="334">
                  <c:v>-6479.1639160924497</c:v>
                </c:pt>
                <c:pt idx="335">
                  <c:v>-6423.5782507653003</c:v>
                </c:pt>
                <c:pt idx="336">
                  <c:v>-6367.558949712462</c:v>
                </c:pt>
                <c:pt idx="337">
                  <c:v>-6311.1230769556933</c:v>
                </c:pt>
                <c:pt idx="338">
                  <c:v>-6254.2878234085529</c:v>
                </c:pt>
                <c:pt idx="339">
                  <c:v>-6197.0705016398406</c:v>
                </c:pt>
                <c:pt idx="340">
                  <c:v>-6139.4885406000512</c:v>
                </c:pt>
                <c:pt idx="341">
                  <c:v>-6081.5594803123167</c:v>
                </c:pt>
                <c:pt idx="342">
                  <c:v>-6023.3009665295767</c:v>
                </c:pt>
                <c:pt idx="343">
                  <c:v>-5964.7307453594995</c:v>
                </c:pt>
                <c:pt idx="344">
                  <c:v>-5905.8666578588227</c:v>
                </c:pt>
                <c:pt idx="345">
                  <c:v>-5846.7266345988373</c:v>
                </c:pt>
                <c:pt idx="346">
                  <c:v>-5787.3286902035288</c:v>
                </c:pt>
                <c:pt idx="347">
                  <c:v>-5727.690917862159</c:v>
                </c:pt>
                <c:pt idx="348">
                  <c:v>-5667.8314838179067</c:v>
                </c:pt>
                <c:pt idx="349">
                  <c:v>-5607.7686218342596</c:v>
                </c:pt>
                <c:pt idx="350">
                  <c:v>-5547.5206276408089</c:v>
                </c:pt>
                <c:pt idx="351">
                  <c:v>-5487.1058533602309</c:v>
                </c:pt>
                <c:pt idx="352">
                  <c:v>-5426.5427019180188</c:v>
                </c:pt>
                <c:pt idx="353">
                  <c:v>-5365.8496214367869</c:v>
                </c:pt>
                <c:pt idx="354">
                  <c:v>-5305.0450996168038</c:v>
                </c:pt>
                <c:pt idx="355">
                  <c:v>-5244.1476581044362</c:v>
                </c:pt>
                <c:pt idx="356">
                  <c:v>-5183.1758468503049</c:v>
                </c:pt>
                <c:pt idx="357">
                  <c:v>-5122.1482384587525</c:v>
                </c:pt>
                <c:pt idx="358">
                  <c:v>-5061.0834225304952</c:v>
                </c:pt>
                <c:pt idx="359">
                  <c:v>-5000.0000000000009</c:v>
                </c:pt>
                <c:pt idx="360">
                  <c:v>-4938.9165774695093</c:v>
                </c:pt>
                <c:pt idx="361">
                  <c:v>-4877.8517615412493</c:v>
                </c:pt>
                <c:pt idx="362">
                  <c:v>-4816.824153149696</c:v>
                </c:pt>
                <c:pt idx="363">
                  <c:v>-4755.8523418955619</c:v>
                </c:pt>
                <c:pt idx="364">
                  <c:v>-4694.9549003831944</c:v>
                </c:pt>
                <c:pt idx="365">
                  <c:v>-4634.1503785632149</c:v>
                </c:pt>
                <c:pt idx="366">
                  <c:v>-4573.457298081983</c:v>
                </c:pt>
                <c:pt idx="367">
                  <c:v>-4512.8941466397746</c:v>
                </c:pt>
                <c:pt idx="368">
                  <c:v>-4452.4793723591929</c:v>
                </c:pt>
                <c:pt idx="369">
                  <c:v>-4392.2313781657449</c:v>
                </c:pt>
                <c:pt idx="370">
                  <c:v>-4332.1685161820924</c:v>
                </c:pt>
                <c:pt idx="371">
                  <c:v>-4272.3090821378455</c:v>
                </c:pt>
                <c:pt idx="372">
                  <c:v>-4212.671309796473</c:v>
                </c:pt>
                <c:pt idx="373">
                  <c:v>-4153.2733654011608</c:v>
                </c:pt>
                <c:pt idx="374">
                  <c:v>-4094.1333421411791</c:v>
                </c:pt>
                <c:pt idx="375">
                  <c:v>-4035.2692546405024</c:v>
                </c:pt>
                <c:pt idx="376">
                  <c:v>-3976.6990334704215</c:v>
                </c:pt>
                <c:pt idx="377">
                  <c:v>-3918.4405196876851</c:v>
                </c:pt>
                <c:pt idx="378">
                  <c:v>-3860.5114593999533</c:v>
                </c:pt>
                <c:pt idx="379">
                  <c:v>-3802.9294983601585</c:v>
                </c:pt>
                <c:pt idx="380">
                  <c:v>-3745.7121765914517</c:v>
                </c:pt>
                <c:pt idx="381">
                  <c:v>-3688.8769230443086</c:v>
                </c:pt>
                <c:pt idx="382">
                  <c:v>-3632.4410502875462</c:v>
                </c:pt>
                <c:pt idx="383">
                  <c:v>-3576.4217492347011</c:v>
                </c:pt>
                <c:pt idx="384">
                  <c:v>-3520.8360839075513</c:v>
                </c:pt>
                <c:pt idx="385">
                  <c:v>-3465.7009862382292</c:v>
                </c:pt>
                <c:pt idx="386">
                  <c:v>-3411.0332509115842</c:v>
                </c:pt>
                <c:pt idx="387">
                  <c:v>-3356.8495302493839</c:v>
                </c:pt>
                <c:pt idx="388">
                  <c:v>-3303.16632913782</c:v>
                </c:pt>
                <c:pt idx="389">
                  <c:v>-3250.0000000000027</c:v>
                </c:pt>
                <c:pt idx="390">
                  <c:v>-3197.3667378148111</c:v>
                </c:pt>
                <c:pt idx="391">
                  <c:v>-3145.2825751837836</c:v>
                </c:pt>
                <c:pt idx="392">
                  <c:v>-3093.763377447407</c:v>
                </c:pt>
                <c:pt idx="393">
                  <c:v>-3042.8248378523881</c:v>
                </c:pt>
                <c:pt idx="394">
                  <c:v>-2992.4824727713385</c:v>
                </c:pt>
                <c:pt idx="395">
                  <c:v>-2942.7516169763426</c:v>
                </c:pt>
                <c:pt idx="396">
                  <c:v>-2893.6474189678324</c:v>
                </c:pt>
                <c:pt idx="397">
                  <c:v>-2845.1848363601957</c:v>
                </c:pt>
                <c:pt idx="398">
                  <c:v>-2797.378631325571</c:v>
                </c:pt>
                <c:pt idx="399">
                  <c:v>-2750.2433660971128</c:v>
                </c:pt>
                <c:pt idx="400">
                  <c:v>-2703.7933985332252</c:v>
                </c:pt>
                <c:pt idx="401">
                  <c:v>-2658.0428777439952</c:v>
                </c:pt>
                <c:pt idx="402">
                  <c:v>-2613.0057397812575</c:v>
                </c:pt>
                <c:pt idx="403">
                  <c:v>-2568.6957033935096</c:v>
                </c:pt>
                <c:pt idx="404">
                  <c:v>-2525.1262658470864</c:v>
                </c:pt>
                <c:pt idx="405">
                  <c:v>-2482.3106988147219</c:v>
                </c:pt>
                <c:pt idx="406">
                  <c:v>-2440.2620443329024</c:v>
                </c:pt>
                <c:pt idx="407">
                  <c:v>-2398.9931108291221</c:v>
                </c:pt>
                <c:pt idx="408">
                  <c:v>-2358.5164692202984</c:v>
                </c:pt>
                <c:pt idx="409">
                  <c:v>-2318.8444490835777</c:v>
                </c:pt>
                <c:pt idx="410">
                  <c:v>-2279.9891349006011</c:v>
                </c:pt>
                <c:pt idx="411">
                  <c:v>-2241.9623623764751</c:v>
                </c:pt>
                <c:pt idx="412">
                  <c:v>-2204.7757148344749</c:v>
                </c:pt>
                <c:pt idx="413">
                  <c:v>-2168.4405196876864</c:v>
                </c:pt>
                <c:pt idx="414">
                  <c:v>-2132.96784498853</c:v>
                </c:pt>
                <c:pt idx="415">
                  <c:v>-2098.3684960573537</c:v>
                </c:pt>
                <c:pt idx="416">
                  <c:v>-2064.6530121910159</c:v>
                </c:pt>
                <c:pt idx="417">
                  <c:v>-2031.8316634525095</c:v>
                </c:pt>
                <c:pt idx="418">
                  <c:v>-1999.9144475426078</c:v>
                </c:pt>
                <c:pt idx="419">
                  <c:v>-1968.9110867544641</c:v>
                </c:pt>
                <c:pt idx="420">
                  <c:v>-1938.8310250121162</c:v>
                </c:pt>
                <c:pt idx="421">
                  <c:v>-1909.683424993756</c:v>
                </c:pt>
                <c:pt idx="422">
                  <c:v>-1881.4771653407133</c:v>
                </c:pt>
                <c:pt idx="423">
                  <c:v>-1854.2208379529161</c:v>
                </c:pt>
                <c:pt idx="424">
                  <c:v>-1827.9227453717258</c:v>
                </c:pt>
                <c:pt idx="425">
                  <c:v>-1802.5908982508968</c:v>
                </c:pt>
                <c:pt idx="426">
                  <c:v>-1778.2330129164579</c:v>
                </c:pt>
                <c:pt idx="427">
                  <c:v>-1754.8565090162447</c:v>
                </c:pt>
                <c:pt idx="428">
                  <c:v>-1732.4685072597936</c:v>
                </c:pt>
                <c:pt idx="429">
                  <c:v>-1711.0758272493217</c:v>
                </c:pt>
                <c:pt idx="430">
                  <c:v>-1690.6849854023912</c:v>
                </c:pt>
                <c:pt idx="431">
                  <c:v>-1671.3021929669626</c:v>
                </c:pt>
                <c:pt idx="432">
                  <c:v>-1652.9333541293754</c:v>
                </c:pt>
                <c:pt idx="433">
                  <c:v>-1635.5840642158846</c:v>
                </c:pt>
                <c:pt idx="434">
                  <c:v>-1619.259607988261</c:v>
                </c:pt>
                <c:pt idx="435">
                  <c:v>-1603.9649580340133</c:v>
                </c:pt>
                <c:pt idx="436">
                  <c:v>-1589.7047732516771</c:v>
                </c:pt>
                <c:pt idx="437">
                  <c:v>-1576.4833974316803</c:v>
                </c:pt>
                <c:pt idx="438">
                  <c:v>-1564.3048579331767</c:v>
                </c:pt>
                <c:pt idx="439">
                  <c:v>-1553.1728644572718</c:v>
                </c:pt>
                <c:pt idx="440">
                  <c:v>-1543.0908079170181</c:v>
                </c:pt>
                <c:pt idx="441">
                  <c:v>-1534.0617594045038</c:v>
                </c:pt>
                <c:pt idx="442">
                  <c:v>-1526.0884692553732</c:v>
                </c:pt>
                <c:pt idx="443">
                  <c:v>-1519.1733662110437</c:v>
                </c:pt>
                <c:pt idx="444">
                  <c:v>-1513.3185566788911</c:v>
                </c:pt>
                <c:pt idx="445">
                  <c:v>-1508.5258240906155</c:v>
                </c:pt>
                <c:pt idx="446">
                  <c:v>-1504.7966283589917</c:v>
                </c:pt>
                <c:pt idx="447">
                  <c:v>-1502.1321054331647</c:v>
                </c:pt>
                <c:pt idx="448">
                  <c:v>-1500.5330669526306</c:v>
                </c:pt>
                <c:pt idx="449">
                  <c:v>-1500</c:v>
                </c:pt>
                <c:pt idx="450">
                  <c:v>-1500.5330669526306</c:v>
                </c:pt>
                <c:pt idx="451">
                  <c:v>-1502.1321054331647</c:v>
                </c:pt>
                <c:pt idx="452">
                  <c:v>-1504.7966283589917</c:v>
                </c:pt>
                <c:pt idx="453">
                  <c:v>-1508.5258240906151</c:v>
                </c:pt>
                <c:pt idx="454">
                  <c:v>-1513.3185566788907</c:v>
                </c:pt>
                <c:pt idx="455">
                  <c:v>-1519.1733662110432</c:v>
                </c:pt>
                <c:pt idx="456">
                  <c:v>-1526.0884692553732</c:v>
                </c:pt>
                <c:pt idx="457">
                  <c:v>-1534.0617594045034</c:v>
                </c:pt>
                <c:pt idx="458">
                  <c:v>-1543.0908079170176</c:v>
                </c:pt>
                <c:pt idx="459">
                  <c:v>-1553.1728644572713</c:v>
                </c:pt>
                <c:pt idx="460">
                  <c:v>-1564.3048579331767</c:v>
                </c:pt>
                <c:pt idx="461">
                  <c:v>-1576.4833974316807</c:v>
                </c:pt>
                <c:pt idx="462">
                  <c:v>-1589.7047732516767</c:v>
                </c:pt>
                <c:pt idx="463">
                  <c:v>-1603.9649580340129</c:v>
                </c:pt>
                <c:pt idx="464">
                  <c:v>-1619.2596079882605</c:v>
                </c:pt>
                <c:pt idx="465">
                  <c:v>-1635.5840642158837</c:v>
                </c:pt>
                <c:pt idx="466">
                  <c:v>-1652.9333541293749</c:v>
                </c:pt>
                <c:pt idx="467">
                  <c:v>-1671.3021929669621</c:v>
                </c:pt>
                <c:pt idx="468">
                  <c:v>-1690.6849854023894</c:v>
                </c:pt>
                <c:pt idx="469">
                  <c:v>-1711.0758272493199</c:v>
                </c:pt>
                <c:pt idx="470">
                  <c:v>-1732.468507259794</c:v>
                </c:pt>
                <c:pt idx="471">
                  <c:v>-1754.8565090162424</c:v>
                </c:pt>
                <c:pt idx="472">
                  <c:v>-1778.2330129164584</c:v>
                </c:pt>
                <c:pt idx="473">
                  <c:v>-1802.5908982508972</c:v>
                </c:pt>
                <c:pt idx="474">
                  <c:v>-1827.922745371724</c:v>
                </c:pt>
                <c:pt idx="475">
                  <c:v>-1854.2208379529152</c:v>
                </c:pt>
                <c:pt idx="476">
                  <c:v>-1881.4771653407133</c:v>
                </c:pt>
                <c:pt idx="477">
                  <c:v>-1909.6834249937547</c:v>
                </c:pt>
                <c:pt idx="478">
                  <c:v>-1938.8310250121149</c:v>
                </c:pt>
                <c:pt idx="479">
                  <c:v>-1968.9110867544628</c:v>
                </c:pt>
                <c:pt idx="480">
                  <c:v>-1999.9144475426065</c:v>
                </c:pt>
                <c:pt idx="481">
                  <c:v>-2031.8316634525099</c:v>
                </c:pt>
                <c:pt idx="482">
                  <c:v>-2064.6530121910146</c:v>
                </c:pt>
                <c:pt idx="483">
                  <c:v>-2098.3684960573542</c:v>
                </c:pt>
                <c:pt idx="484">
                  <c:v>-2132.9678449885268</c:v>
                </c:pt>
                <c:pt idx="485">
                  <c:v>-2168.4405196876833</c:v>
                </c:pt>
                <c:pt idx="486">
                  <c:v>-2204.7757148344722</c:v>
                </c:pt>
                <c:pt idx="487">
                  <c:v>-2241.9623623764714</c:v>
                </c:pt>
                <c:pt idx="488">
                  <c:v>-2279.989134900602</c:v>
                </c:pt>
                <c:pt idx="489">
                  <c:v>-2318.8444490835741</c:v>
                </c:pt>
                <c:pt idx="490">
                  <c:v>-2358.516469220297</c:v>
                </c:pt>
                <c:pt idx="491">
                  <c:v>-2398.9931108291207</c:v>
                </c:pt>
                <c:pt idx="492">
                  <c:v>-2440.2620443329056</c:v>
                </c:pt>
                <c:pt idx="493">
                  <c:v>-2482.310698814721</c:v>
                </c:pt>
                <c:pt idx="494">
                  <c:v>-2525.1262658470851</c:v>
                </c:pt>
                <c:pt idx="495">
                  <c:v>-2568.6957033935082</c:v>
                </c:pt>
                <c:pt idx="496">
                  <c:v>-2613.0057397812557</c:v>
                </c:pt>
                <c:pt idx="497">
                  <c:v>-2658.0428777439938</c:v>
                </c:pt>
                <c:pt idx="498">
                  <c:v>-2703.7933985332238</c:v>
                </c:pt>
                <c:pt idx="499">
                  <c:v>-2750.2433660971087</c:v>
                </c:pt>
                <c:pt idx="500">
                  <c:v>-2797.3786313255673</c:v>
                </c:pt>
                <c:pt idx="501">
                  <c:v>-2845.1848363601962</c:v>
                </c:pt>
                <c:pt idx="502">
                  <c:v>-2893.6474189678279</c:v>
                </c:pt>
                <c:pt idx="503">
                  <c:v>-2942.751616976343</c:v>
                </c:pt>
                <c:pt idx="504">
                  <c:v>-2992.4824727713349</c:v>
                </c:pt>
                <c:pt idx="505">
                  <c:v>-3042.824837852384</c:v>
                </c:pt>
                <c:pt idx="506">
                  <c:v>-3093.7633774474052</c:v>
                </c:pt>
                <c:pt idx="507">
                  <c:v>-3145.2825751837845</c:v>
                </c:pt>
                <c:pt idx="508">
                  <c:v>-3197.3667378148089</c:v>
                </c:pt>
                <c:pt idx="509">
                  <c:v>-3250.0000000000009</c:v>
                </c:pt>
                <c:pt idx="510">
                  <c:v>-3303.1663291378177</c:v>
                </c:pt>
                <c:pt idx="511">
                  <c:v>-3356.849530249382</c:v>
                </c:pt>
                <c:pt idx="512">
                  <c:v>-3411.0332509115879</c:v>
                </c:pt>
                <c:pt idx="513">
                  <c:v>-3465.7009862382274</c:v>
                </c:pt>
                <c:pt idx="514">
                  <c:v>-3520.8360839075522</c:v>
                </c:pt>
                <c:pt idx="515">
                  <c:v>-3576.4217492346961</c:v>
                </c:pt>
                <c:pt idx="516">
                  <c:v>-3632.4410502875407</c:v>
                </c:pt>
                <c:pt idx="517">
                  <c:v>-3688.8769230443036</c:v>
                </c:pt>
                <c:pt idx="518">
                  <c:v>-3745.7121765914471</c:v>
                </c:pt>
                <c:pt idx="519">
                  <c:v>-3802.9294983601594</c:v>
                </c:pt>
                <c:pt idx="520">
                  <c:v>-3860.5114593999483</c:v>
                </c:pt>
                <c:pt idx="521">
                  <c:v>-3918.4405196876828</c:v>
                </c:pt>
                <c:pt idx="522">
                  <c:v>-3976.6990334704228</c:v>
                </c:pt>
                <c:pt idx="523">
                  <c:v>-4035.269254640506</c:v>
                </c:pt>
                <c:pt idx="524">
                  <c:v>-4094.1333421411773</c:v>
                </c:pt>
                <c:pt idx="525">
                  <c:v>-4153.2733654011654</c:v>
                </c:pt>
                <c:pt idx="526">
                  <c:v>-4212.6713097964712</c:v>
                </c:pt>
                <c:pt idx="527">
                  <c:v>-4272.3090821378428</c:v>
                </c:pt>
                <c:pt idx="528">
                  <c:v>-4332.1685161820906</c:v>
                </c:pt>
                <c:pt idx="529">
                  <c:v>-4392.2313781657431</c:v>
                </c:pt>
                <c:pt idx="530">
                  <c:v>-4452.4793723591874</c:v>
                </c:pt>
                <c:pt idx="531">
                  <c:v>-4512.8941466397691</c:v>
                </c:pt>
                <c:pt idx="532">
                  <c:v>-4573.4572980819785</c:v>
                </c:pt>
                <c:pt idx="533">
                  <c:v>-4634.1503785632094</c:v>
                </c:pt>
                <c:pt idx="534">
                  <c:v>-4694.9549003831953</c:v>
                </c:pt>
                <c:pt idx="535">
                  <c:v>-4755.8523418955565</c:v>
                </c:pt>
                <c:pt idx="536">
                  <c:v>-4816.8241531496942</c:v>
                </c:pt>
                <c:pt idx="537">
                  <c:v>-4877.8517615412466</c:v>
                </c:pt>
                <c:pt idx="538">
                  <c:v>-4938.9165774695102</c:v>
                </c:pt>
                <c:pt idx="539">
                  <c:v>-4999.9999999999991</c:v>
                </c:pt>
                <c:pt idx="540">
                  <c:v>-5061.0834225304934</c:v>
                </c:pt>
                <c:pt idx="541">
                  <c:v>-5122.1482384587507</c:v>
                </c:pt>
                <c:pt idx="542">
                  <c:v>-5183.1758468503031</c:v>
                </c:pt>
                <c:pt idx="543">
                  <c:v>-5244.1476581044408</c:v>
                </c:pt>
                <c:pt idx="544">
                  <c:v>-5305.045099616802</c:v>
                </c:pt>
                <c:pt idx="545">
                  <c:v>-5365.8496214367879</c:v>
                </c:pt>
                <c:pt idx="546">
                  <c:v>-5426.5427019180133</c:v>
                </c:pt>
                <c:pt idx="547">
                  <c:v>-5487.1058533602281</c:v>
                </c:pt>
                <c:pt idx="548">
                  <c:v>-5547.5206276408035</c:v>
                </c:pt>
                <c:pt idx="549">
                  <c:v>-5607.7686218342542</c:v>
                </c:pt>
                <c:pt idx="550">
                  <c:v>-5667.8314838179012</c:v>
                </c:pt>
                <c:pt idx="551">
                  <c:v>-5727.6909178621545</c:v>
                </c:pt>
                <c:pt idx="552">
                  <c:v>-5787.328690203527</c:v>
                </c:pt>
                <c:pt idx="553">
                  <c:v>-5846.7266345988382</c:v>
                </c:pt>
                <c:pt idx="554">
                  <c:v>-5905.8666578588263</c:v>
                </c:pt>
                <c:pt idx="555">
                  <c:v>-5964.7307453594976</c:v>
                </c:pt>
                <c:pt idx="556">
                  <c:v>-6023.3009665295813</c:v>
                </c:pt>
                <c:pt idx="557">
                  <c:v>-6081.5594803123149</c:v>
                </c:pt>
                <c:pt idx="558">
                  <c:v>-6139.4885406000494</c:v>
                </c:pt>
                <c:pt idx="559">
                  <c:v>-6197.0705016398379</c:v>
                </c:pt>
                <c:pt idx="560">
                  <c:v>-6254.287823408551</c:v>
                </c:pt>
                <c:pt idx="561">
                  <c:v>-6311.1230769556878</c:v>
                </c:pt>
                <c:pt idx="562">
                  <c:v>-6367.5589497124565</c:v>
                </c:pt>
                <c:pt idx="563">
                  <c:v>-6423.5782507652957</c:v>
                </c:pt>
                <c:pt idx="564">
                  <c:v>-6479.1639160924451</c:v>
                </c:pt>
                <c:pt idx="565">
                  <c:v>-6534.2990137617708</c:v>
                </c:pt>
                <c:pt idx="566">
                  <c:v>-6588.9667490884094</c:v>
                </c:pt>
                <c:pt idx="567">
                  <c:v>-6643.1504697506161</c:v>
                </c:pt>
                <c:pt idx="568">
                  <c:v>-6696.83367086218</c:v>
                </c:pt>
                <c:pt idx="569">
                  <c:v>-6750.0000000000018</c:v>
                </c:pt>
                <c:pt idx="570">
                  <c:v>-6802.6332621851889</c:v>
                </c:pt>
                <c:pt idx="571">
                  <c:v>-6854.7174248162191</c:v>
                </c:pt>
                <c:pt idx="572">
                  <c:v>-6906.236622552593</c:v>
                </c:pt>
                <c:pt idx="573">
                  <c:v>-6957.1751621476142</c:v>
                </c:pt>
                <c:pt idx="574">
                  <c:v>-7007.5175272286579</c:v>
                </c:pt>
                <c:pt idx="575">
                  <c:v>-7057.2483830236542</c:v>
                </c:pt>
                <c:pt idx="576">
                  <c:v>-7106.3525810321698</c:v>
                </c:pt>
                <c:pt idx="577">
                  <c:v>-7154.8151636398015</c:v>
                </c:pt>
                <c:pt idx="578">
                  <c:v>-7202.6213686744304</c:v>
                </c:pt>
                <c:pt idx="579">
                  <c:v>-7249.7566339028845</c:v>
                </c:pt>
                <c:pt idx="580">
                  <c:v>-7296.2066014667744</c:v>
                </c:pt>
                <c:pt idx="581">
                  <c:v>-7341.9571222559989</c:v>
                </c:pt>
                <c:pt idx="582">
                  <c:v>-7386.9942602187421</c:v>
                </c:pt>
                <c:pt idx="583">
                  <c:v>-7431.3042966064895</c:v>
                </c:pt>
                <c:pt idx="584">
                  <c:v>-7474.8737341529177</c:v>
                </c:pt>
                <c:pt idx="585">
                  <c:v>-7517.6893011852771</c:v>
                </c:pt>
                <c:pt idx="586">
                  <c:v>-7559.7379556670967</c:v>
                </c:pt>
                <c:pt idx="587">
                  <c:v>-7601.0068891708815</c:v>
                </c:pt>
                <c:pt idx="588">
                  <c:v>-7641.4835307797011</c:v>
                </c:pt>
                <c:pt idx="589">
                  <c:v>-7681.1555509164236</c:v>
                </c:pt>
                <c:pt idx="590">
                  <c:v>-7720.0108650993971</c:v>
                </c:pt>
                <c:pt idx="591">
                  <c:v>-7758.0376376235272</c:v>
                </c:pt>
                <c:pt idx="592">
                  <c:v>-7795.2242851655228</c:v>
                </c:pt>
                <c:pt idx="593">
                  <c:v>-7831.5594803123149</c:v>
                </c:pt>
                <c:pt idx="594">
                  <c:v>-7867.0321550114677</c:v>
                </c:pt>
                <c:pt idx="595">
                  <c:v>-7901.6315039426445</c:v>
                </c:pt>
                <c:pt idx="596">
                  <c:v>-7935.3469878089809</c:v>
                </c:pt>
                <c:pt idx="597">
                  <c:v>-7968.1683365474892</c:v>
                </c:pt>
                <c:pt idx="598">
                  <c:v>-8000.0855524573926</c:v>
                </c:pt>
                <c:pt idx="599">
                  <c:v>-8031.0889132455359</c:v>
                </c:pt>
                <c:pt idx="600">
                  <c:v>-8061.168974987886</c:v>
                </c:pt>
                <c:pt idx="601">
                  <c:v>-8090.3165750062435</c:v>
                </c:pt>
                <c:pt idx="602">
                  <c:v>-8118.5228346592885</c:v>
                </c:pt>
                <c:pt idx="603">
                  <c:v>-8145.7791620470834</c:v>
                </c:pt>
                <c:pt idx="604">
                  <c:v>-8172.0772546282751</c:v>
                </c:pt>
                <c:pt idx="605">
                  <c:v>-8197.409101749101</c:v>
                </c:pt>
                <c:pt idx="606">
                  <c:v>-8221.7669870835416</c:v>
                </c:pt>
                <c:pt idx="607">
                  <c:v>-8245.1434909837535</c:v>
                </c:pt>
                <c:pt idx="608">
                  <c:v>-8267.5314927402051</c:v>
                </c:pt>
                <c:pt idx="609">
                  <c:v>-8288.9241727506796</c:v>
                </c:pt>
                <c:pt idx="610">
                  <c:v>-8309.3150145976069</c:v>
                </c:pt>
                <c:pt idx="611">
                  <c:v>-8328.697807033037</c:v>
                </c:pt>
                <c:pt idx="612">
                  <c:v>-8347.0666458706219</c:v>
                </c:pt>
                <c:pt idx="613">
                  <c:v>-8364.4159357841163</c:v>
                </c:pt>
                <c:pt idx="614">
                  <c:v>-8380.7403920117395</c:v>
                </c:pt>
                <c:pt idx="615">
                  <c:v>-8396.0350419659881</c:v>
                </c:pt>
                <c:pt idx="616">
                  <c:v>-8410.2952267483233</c:v>
                </c:pt>
                <c:pt idx="617">
                  <c:v>-8423.5166025683193</c:v>
                </c:pt>
                <c:pt idx="618">
                  <c:v>-8435.6951420668247</c:v>
                </c:pt>
                <c:pt idx="619">
                  <c:v>-8446.8271355427278</c:v>
                </c:pt>
                <c:pt idx="620">
                  <c:v>-8456.9091920829815</c:v>
                </c:pt>
                <c:pt idx="621">
                  <c:v>-8465.9382405954966</c:v>
                </c:pt>
                <c:pt idx="622">
                  <c:v>-8473.9115307446264</c:v>
                </c:pt>
                <c:pt idx="623">
                  <c:v>-8480.8266337889563</c:v>
                </c:pt>
                <c:pt idx="624">
                  <c:v>-8486.6814433211093</c:v>
                </c:pt>
                <c:pt idx="625">
                  <c:v>-8491.4741759093849</c:v>
                </c:pt>
                <c:pt idx="626">
                  <c:v>-8495.2033716410078</c:v>
                </c:pt>
                <c:pt idx="627">
                  <c:v>-8497.8678945668344</c:v>
                </c:pt>
                <c:pt idx="628">
                  <c:v>-8499.4669330473698</c:v>
                </c:pt>
                <c:pt idx="629">
                  <c:v>-8500</c:v>
                </c:pt>
                <c:pt idx="630">
                  <c:v>-8499.4669330473698</c:v>
                </c:pt>
                <c:pt idx="631">
                  <c:v>-8497.8678945668362</c:v>
                </c:pt>
                <c:pt idx="632">
                  <c:v>-8495.2033716410078</c:v>
                </c:pt>
                <c:pt idx="633">
                  <c:v>-8491.4741759093849</c:v>
                </c:pt>
                <c:pt idx="634">
                  <c:v>-8486.6814433211093</c:v>
                </c:pt>
                <c:pt idx="635">
                  <c:v>-8480.8266337889563</c:v>
                </c:pt>
                <c:pt idx="636">
                  <c:v>-8473.9115307446264</c:v>
                </c:pt>
                <c:pt idx="637">
                  <c:v>-8465.9382405954966</c:v>
                </c:pt>
                <c:pt idx="638">
                  <c:v>-8456.9091920829815</c:v>
                </c:pt>
                <c:pt idx="639">
                  <c:v>-8446.8271355427278</c:v>
                </c:pt>
                <c:pt idx="640">
                  <c:v>-8435.6951420668229</c:v>
                </c:pt>
                <c:pt idx="641">
                  <c:v>-8423.5166025683211</c:v>
                </c:pt>
                <c:pt idx="642">
                  <c:v>-8410.2952267483233</c:v>
                </c:pt>
                <c:pt idx="643">
                  <c:v>-8396.0350419659881</c:v>
                </c:pt>
                <c:pt idx="644">
                  <c:v>-8380.7403920117395</c:v>
                </c:pt>
                <c:pt idx="645">
                  <c:v>-8364.4159357841163</c:v>
                </c:pt>
                <c:pt idx="646">
                  <c:v>-8347.0666458706237</c:v>
                </c:pt>
                <c:pt idx="647">
                  <c:v>-8328.6978070330388</c:v>
                </c:pt>
                <c:pt idx="648">
                  <c:v>-8309.3150145976088</c:v>
                </c:pt>
                <c:pt idx="649">
                  <c:v>-8288.9241727506796</c:v>
                </c:pt>
                <c:pt idx="650">
                  <c:v>-8267.5314927402069</c:v>
                </c:pt>
                <c:pt idx="651">
                  <c:v>-8245.1434909837571</c:v>
                </c:pt>
                <c:pt idx="652">
                  <c:v>-8221.7669870835398</c:v>
                </c:pt>
                <c:pt idx="653">
                  <c:v>-8197.4091017491028</c:v>
                </c:pt>
                <c:pt idx="654">
                  <c:v>-8172.0772546282769</c:v>
                </c:pt>
                <c:pt idx="655">
                  <c:v>-8145.7791620470871</c:v>
                </c:pt>
                <c:pt idx="656">
                  <c:v>-8118.5228346592867</c:v>
                </c:pt>
                <c:pt idx="657">
                  <c:v>-8090.3165750062453</c:v>
                </c:pt>
                <c:pt idx="658">
                  <c:v>-8061.1689749878879</c:v>
                </c:pt>
                <c:pt idx="659">
                  <c:v>-8031.0889132455377</c:v>
                </c:pt>
                <c:pt idx="660">
                  <c:v>-8000.0855524573935</c:v>
                </c:pt>
                <c:pt idx="661">
                  <c:v>-7968.168336547491</c:v>
                </c:pt>
                <c:pt idx="662">
                  <c:v>-7935.3469878089854</c:v>
                </c:pt>
                <c:pt idx="663">
                  <c:v>-7901.6315039426463</c:v>
                </c:pt>
                <c:pt idx="664">
                  <c:v>-7867.0321550114695</c:v>
                </c:pt>
                <c:pt idx="665">
                  <c:v>-7831.5594803123167</c:v>
                </c:pt>
                <c:pt idx="666">
                  <c:v>-7795.2242851655283</c:v>
                </c:pt>
                <c:pt idx="667">
                  <c:v>-7758.0376376235254</c:v>
                </c:pt>
                <c:pt idx="668">
                  <c:v>-7720.0108650993989</c:v>
                </c:pt>
                <c:pt idx="669">
                  <c:v>-7681.1555509164264</c:v>
                </c:pt>
                <c:pt idx="670">
                  <c:v>-7641.4835307797075</c:v>
                </c:pt>
                <c:pt idx="671">
                  <c:v>-7601.0068891708797</c:v>
                </c:pt>
                <c:pt idx="672">
                  <c:v>-7559.7379556670985</c:v>
                </c:pt>
                <c:pt idx="673">
                  <c:v>-7517.6893011852844</c:v>
                </c:pt>
                <c:pt idx="674">
                  <c:v>-7474.8737341529159</c:v>
                </c:pt>
                <c:pt idx="675">
                  <c:v>-7431.3042966064922</c:v>
                </c:pt>
                <c:pt idx="676">
                  <c:v>-7386.9942602187448</c:v>
                </c:pt>
                <c:pt idx="677">
                  <c:v>-7341.9571222560062</c:v>
                </c:pt>
                <c:pt idx="678">
                  <c:v>-7296.2066014667762</c:v>
                </c:pt>
                <c:pt idx="679">
                  <c:v>-7249.7566339028872</c:v>
                </c:pt>
                <c:pt idx="680">
                  <c:v>-7202.6213686744331</c:v>
                </c:pt>
                <c:pt idx="681">
                  <c:v>-7154.8151636398088</c:v>
                </c:pt>
                <c:pt idx="682">
                  <c:v>-7106.352581032168</c:v>
                </c:pt>
                <c:pt idx="683">
                  <c:v>-7057.248383023657</c:v>
                </c:pt>
                <c:pt idx="684">
                  <c:v>-7007.517527228666</c:v>
                </c:pt>
                <c:pt idx="685">
                  <c:v>-6957.1751621476105</c:v>
                </c:pt>
                <c:pt idx="686">
                  <c:v>-6906.2366225525948</c:v>
                </c:pt>
                <c:pt idx="687">
                  <c:v>-6854.717424816221</c:v>
                </c:pt>
                <c:pt idx="688">
                  <c:v>-6802.6332621851971</c:v>
                </c:pt>
                <c:pt idx="689">
                  <c:v>-6750</c:v>
                </c:pt>
                <c:pt idx="690">
                  <c:v>-6696.8336708621828</c:v>
                </c:pt>
                <c:pt idx="691">
                  <c:v>-6643.1504697506189</c:v>
                </c:pt>
                <c:pt idx="692">
                  <c:v>-6588.9667490884185</c:v>
                </c:pt>
                <c:pt idx="693">
                  <c:v>-6534.2990137617726</c:v>
                </c:pt>
                <c:pt idx="694">
                  <c:v>-6479.1639160924478</c:v>
                </c:pt>
                <c:pt idx="695">
                  <c:v>-6423.5782507653039</c:v>
                </c:pt>
                <c:pt idx="696">
                  <c:v>-6367.5589497124538</c:v>
                </c:pt>
                <c:pt idx="697">
                  <c:v>-6311.1230769556914</c:v>
                </c:pt>
                <c:pt idx="698">
                  <c:v>-6254.2878234085538</c:v>
                </c:pt>
                <c:pt idx="699">
                  <c:v>-6197.070501639847</c:v>
                </c:pt>
                <c:pt idx="700">
                  <c:v>-6139.4885406000467</c:v>
                </c:pt>
                <c:pt idx="701">
                  <c:v>-6081.5594803123176</c:v>
                </c:pt>
                <c:pt idx="702">
                  <c:v>-6023.300966529584</c:v>
                </c:pt>
                <c:pt idx="703">
                  <c:v>-5964.7307453595004</c:v>
                </c:pt>
                <c:pt idx="704">
                  <c:v>-5905.8666578588236</c:v>
                </c:pt>
                <c:pt idx="705">
                  <c:v>-5846.726634598841</c:v>
                </c:pt>
                <c:pt idx="706">
                  <c:v>-5787.3286902035297</c:v>
                </c:pt>
                <c:pt idx="707">
                  <c:v>-5727.6909178621572</c:v>
                </c:pt>
                <c:pt idx="708">
                  <c:v>-5667.8314838179103</c:v>
                </c:pt>
                <c:pt idx="709">
                  <c:v>-5607.7686218342569</c:v>
                </c:pt>
                <c:pt idx="710">
                  <c:v>-5547.5206276408126</c:v>
                </c:pt>
                <c:pt idx="711">
                  <c:v>-5487.1058533602254</c:v>
                </c:pt>
                <c:pt idx="712">
                  <c:v>-5426.5427019180161</c:v>
                </c:pt>
                <c:pt idx="713">
                  <c:v>-5365.8496214367906</c:v>
                </c:pt>
                <c:pt idx="714">
                  <c:v>-5305.0450996167983</c:v>
                </c:pt>
                <c:pt idx="715">
                  <c:v>-5244.1476581044371</c:v>
                </c:pt>
                <c:pt idx="716">
                  <c:v>-5183.1758468503058</c:v>
                </c:pt>
                <c:pt idx="717">
                  <c:v>-5122.1482384587598</c:v>
                </c:pt>
                <c:pt idx="718">
                  <c:v>-5061.0834225304898</c:v>
                </c:pt>
                <c:pt idx="719">
                  <c:v>-5000.0000000000018</c:v>
                </c:pt>
                <c:pt idx="720">
                  <c:v>-4938.916577469513</c:v>
                </c:pt>
                <c:pt idx="721">
                  <c:v>-4877.8517615412493</c:v>
                </c:pt>
                <c:pt idx="722">
                  <c:v>-4816.8241531496969</c:v>
                </c:pt>
                <c:pt idx="723">
                  <c:v>-4755.8523418955656</c:v>
                </c:pt>
                <c:pt idx="724">
                  <c:v>-4694.954900383198</c:v>
                </c:pt>
                <c:pt idx="725">
                  <c:v>-4634.1503785632121</c:v>
                </c:pt>
                <c:pt idx="726">
                  <c:v>-4573.4572980819812</c:v>
                </c:pt>
                <c:pt idx="727">
                  <c:v>-4512.8941466397719</c:v>
                </c:pt>
                <c:pt idx="728">
                  <c:v>-4452.4793723591965</c:v>
                </c:pt>
                <c:pt idx="729">
                  <c:v>-4392.2313781657404</c:v>
                </c:pt>
                <c:pt idx="730">
                  <c:v>-4332.1685161820933</c:v>
                </c:pt>
                <c:pt idx="731">
                  <c:v>-4272.3090821378464</c:v>
                </c:pt>
                <c:pt idx="732">
                  <c:v>-4212.6713097964803</c:v>
                </c:pt>
                <c:pt idx="733">
                  <c:v>-4153.2733654011618</c:v>
                </c:pt>
                <c:pt idx="734">
                  <c:v>-4094.13334214118</c:v>
                </c:pt>
                <c:pt idx="735">
                  <c:v>-4035.2692546405092</c:v>
                </c:pt>
                <c:pt idx="736">
                  <c:v>-3976.6990334704196</c:v>
                </c:pt>
                <c:pt idx="737">
                  <c:v>-3918.440519687686</c:v>
                </c:pt>
                <c:pt idx="738">
                  <c:v>-3860.511459399951</c:v>
                </c:pt>
                <c:pt idx="739">
                  <c:v>-3802.9294983601621</c:v>
                </c:pt>
                <c:pt idx="740">
                  <c:v>-3745.7121765914499</c:v>
                </c:pt>
                <c:pt idx="741">
                  <c:v>-3688.8769230443063</c:v>
                </c:pt>
                <c:pt idx="742">
                  <c:v>-3632.4410502875435</c:v>
                </c:pt>
                <c:pt idx="743">
                  <c:v>-3576.4217492347047</c:v>
                </c:pt>
                <c:pt idx="744">
                  <c:v>-3520.8360839075494</c:v>
                </c:pt>
                <c:pt idx="745">
                  <c:v>-3465.7009862382301</c:v>
                </c:pt>
                <c:pt idx="746">
                  <c:v>-3411.0332509115906</c:v>
                </c:pt>
                <c:pt idx="747">
                  <c:v>-3356.8495302493793</c:v>
                </c:pt>
                <c:pt idx="748">
                  <c:v>-3303.1663291378204</c:v>
                </c:pt>
                <c:pt idx="749">
                  <c:v>-3250.0000000000036</c:v>
                </c:pt>
                <c:pt idx="750">
                  <c:v>-3197.3667378148166</c:v>
                </c:pt>
                <c:pt idx="751">
                  <c:v>-3145.2825751837818</c:v>
                </c:pt>
                <c:pt idx="752">
                  <c:v>-3093.7633774474075</c:v>
                </c:pt>
                <c:pt idx="753">
                  <c:v>-3042.8248378523867</c:v>
                </c:pt>
                <c:pt idx="754">
                  <c:v>-2992.4824727713421</c:v>
                </c:pt>
                <c:pt idx="755">
                  <c:v>-2942.7516169763458</c:v>
                </c:pt>
                <c:pt idx="756">
                  <c:v>-2893.6474189678306</c:v>
                </c:pt>
                <c:pt idx="757">
                  <c:v>-2845.1848363601989</c:v>
                </c:pt>
                <c:pt idx="758">
                  <c:v>-2797.3786313255696</c:v>
                </c:pt>
                <c:pt idx="759">
                  <c:v>-2750.243366097111</c:v>
                </c:pt>
                <c:pt idx="760">
                  <c:v>-2703.7933985332261</c:v>
                </c:pt>
                <c:pt idx="761">
                  <c:v>-2658.0428777440006</c:v>
                </c:pt>
                <c:pt idx="762">
                  <c:v>-2613.0057397812534</c:v>
                </c:pt>
                <c:pt idx="763">
                  <c:v>-2568.6957033935105</c:v>
                </c:pt>
                <c:pt idx="764">
                  <c:v>-2525.1262658470869</c:v>
                </c:pt>
                <c:pt idx="765">
                  <c:v>-2482.3106988147269</c:v>
                </c:pt>
                <c:pt idx="766">
                  <c:v>-2440.2620443329033</c:v>
                </c:pt>
                <c:pt idx="767">
                  <c:v>-2398.993110829123</c:v>
                </c:pt>
                <c:pt idx="768">
                  <c:v>-2358.5164692202993</c:v>
                </c:pt>
                <c:pt idx="769">
                  <c:v>-2318.8444490835764</c:v>
                </c:pt>
                <c:pt idx="770">
                  <c:v>-2279.9891349006039</c:v>
                </c:pt>
                <c:pt idx="771">
                  <c:v>-2241.9623623764733</c:v>
                </c:pt>
                <c:pt idx="772">
                  <c:v>-2204.7757148344776</c:v>
                </c:pt>
                <c:pt idx="773">
                  <c:v>-2168.4405196876814</c:v>
                </c:pt>
                <c:pt idx="774">
                  <c:v>-2132.9678449885282</c:v>
                </c:pt>
                <c:pt idx="775">
                  <c:v>-2098.368496057356</c:v>
                </c:pt>
                <c:pt idx="776">
                  <c:v>-2064.6530121910196</c:v>
                </c:pt>
                <c:pt idx="777">
                  <c:v>-2031.8316634525086</c:v>
                </c:pt>
                <c:pt idx="778">
                  <c:v>-1999.9144475426078</c:v>
                </c:pt>
                <c:pt idx="779">
                  <c:v>-1968.9110867544678</c:v>
                </c:pt>
                <c:pt idx="780">
                  <c:v>-1938.8310250121135</c:v>
                </c:pt>
                <c:pt idx="781">
                  <c:v>-1909.6834249937565</c:v>
                </c:pt>
                <c:pt idx="782">
                  <c:v>-1881.4771653407147</c:v>
                </c:pt>
                <c:pt idx="783">
                  <c:v>-1854.2208379529166</c:v>
                </c:pt>
                <c:pt idx="784">
                  <c:v>-1827.9227453717253</c:v>
                </c:pt>
                <c:pt idx="785">
                  <c:v>-1802.5908982508986</c:v>
                </c:pt>
                <c:pt idx="786">
                  <c:v>-1778.2330129164593</c:v>
                </c:pt>
                <c:pt idx="787">
                  <c:v>-1754.856509016246</c:v>
                </c:pt>
                <c:pt idx="788">
                  <c:v>-1732.4685072597927</c:v>
                </c:pt>
                <c:pt idx="789">
                  <c:v>-1711.0758272493208</c:v>
                </c:pt>
                <c:pt idx="790">
                  <c:v>-1690.6849854023926</c:v>
                </c:pt>
                <c:pt idx="791">
                  <c:v>-1671.3021929669612</c:v>
                </c:pt>
                <c:pt idx="792">
                  <c:v>-1652.9333541293754</c:v>
                </c:pt>
                <c:pt idx="793">
                  <c:v>-1635.5840642158851</c:v>
                </c:pt>
                <c:pt idx="794">
                  <c:v>-1619.2596079882628</c:v>
                </c:pt>
                <c:pt idx="795">
                  <c:v>-1603.9649580340119</c:v>
                </c:pt>
                <c:pt idx="796">
                  <c:v>-1589.7047732516771</c:v>
                </c:pt>
                <c:pt idx="797">
                  <c:v>-1576.4833974316816</c:v>
                </c:pt>
                <c:pt idx="798">
                  <c:v>-1564.3048579331767</c:v>
                </c:pt>
                <c:pt idx="799">
                  <c:v>-1553.1728644572718</c:v>
                </c:pt>
                <c:pt idx="800">
                  <c:v>-1543.0908079170185</c:v>
                </c:pt>
                <c:pt idx="801">
                  <c:v>-1534.0617594045043</c:v>
                </c:pt>
                <c:pt idx="802">
                  <c:v>-1526.0884692553732</c:v>
                </c:pt>
                <c:pt idx="803">
                  <c:v>-1519.1733662110432</c:v>
                </c:pt>
                <c:pt idx="804">
                  <c:v>-1513.3185566788907</c:v>
                </c:pt>
                <c:pt idx="805">
                  <c:v>-1508.5258240906155</c:v>
                </c:pt>
                <c:pt idx="806">
                  <c:v>-1504.7966283589913</c:v>
                </c:pt>
                <c:pt idx="807">
                  <c:v>-1502.1321054331647</c:v>
                </c:pt>
                <c:pt idx="808">
                  <c:v>-1500.5330669526306</c:v>
                </c:pt>
                <c:pt idx="809">
                  <c:v>-1500</c:v>
                </c:pt>
                <c:pt idx="810">
                  <c:v>-1500.5330669526306</c:v>
                </c:pt>
                <c:pt idx="811">
                  <c:v>-1502.1321054331647</c:v>
                </c:pt>
                <c:pt idx="812">
                  <c:v>-1504.7966283589913</c:v>
                </c:pt>
                <c:pt idx="813">
                  <c:v>-1508.5258240906155</c:v>
                </c:pt>
                <c:pt idx="814">
                  <c:v>-1513.3185566788907</c:v>
                </c:pt>
                <c:pt idx="815">
                  <c:v>-1519.1733662110428</c:v>
                </c:pt>
                <c:pt idx="816">
                  <c:v>-1526.0884692553723</c:v>
                </c:pt>
                <c:pt idx="817">
                  <c:v>-1534.0617594045038</c:v>
                </c:pt>
                <c:pt idx="818">
                  <c:v>-1543.0908079170181</c:v>
                </c:pt>
                <c:pt idx="819">
                  <c:v>-1553.1728644572713</c:v>
                </c:pt>
                <c:pt idx="820">
                  <c:v>-1564.3048579331748</c:v>
                </c:pt>
                <c:pt idx="821">
                  <c:v>-1576.4833974316807</c:v>
                </c:pt>
                <c:pt idx="822">
                  <c:v>-1589.7047732516762</c:v>
                </c:pt>
                <c:pt idx="823">
                  <c:v>-1603.964958034011</c:v>
                </c:pt>
                <c:pt idx="824">
                  <c:v>-1619.2596079882619</c:v>
                </c:pt>
                <c:pt idx="825">
                  <c:v>-1635.5840642158837</c:v>
                </c:pt>
                <c:pt idx="826">
                  <c:v>-1652.9333541293745</c:v>
                </c:pt>
                <c:pt idx="827">
                  <c:v>-1671.3021929669599</c:v>
                </c:pt>
                <c:pt idx="828">
                  <c:v>-1690.6849854023912</c:v>
                </c:pt>
                <c:pt idx="829">
                  <c:v>-1711.0758272493194</c:v>
                </c:pt>
                <c:pt idx="830">
                  <c:v>-1732.4685072597936</c:v>
                </c:pt>
                <c:pt idx="831">
                  <c:v>-1754.8565090162447</c:v>
                </c:pt>
                <c:pt idx="832">
                  <c:v>-1778.2330129164579</c:v>
                </c:pt>
                <c:pt idx="833">
                  <c:v>-1802.5908982508968</c:v>
                </c:pt>
                <c:pt idx="834">
                  <c:v>-1827.9227453717235</c:v>
                </c:pt>
                <c:pt idx="835">
                  <c:v>-1854.2208379529152</c:v>
                </c:pt>
                <c:pt idx="836">
                  <c:v>-1881.4771653407133</c:v>
                </c:pt>
                <c:pt idx="837">
                  <c:v>-1909.6834249937542</c:v>
                </c:pt>
                <c:pt idx="838">
                  <c:v>-1938.8310250121112</c:v>
                </c:pt>
                <c:pt idx="839">
                  <c:v>-1968.9110867544655</c:v>
                </c:pt>
                <c:pt idx="840">
                  <c:v>-1999.914447542606</c:v>
                </c:pt>
                <c:pt idx="841">
                  <c:v>-2031.8316634525058</c:v>
                </c:pt>
                <c:pt idx="842">
                  <c:v>-2064.6530121910178</c:v>
                </c:pt>
                <c:pt idx="843">
                  <c:v>-2098.3684960573537</c:v>
                </c:pt>
                <c:pt idx="844">
                  <c:v>-2132.9678449885264</c:v>
                </c:pt>
                <c:pt idx="845">
                  <c:v>-2168.4405196876828</c:v>
                </c:pt>
                <c:pt idx="846">
                  <c:v>-2204.7757148344749</c:v>
                </c:pt>
                <c:pt idx="847">
                  <c:v>-2241.962362376471</c:v>
                </c:pt>
                <c:pt idx="848">
                  <c:v>-2279.9891349006016</c:v>
                </c:pt>
                <c:pt idx="849">
                  <c:v>-2318.8444490835736</c:v>
                </c:pt>
                <c:pt idx="850">
                  <c:v>-2358.5164692202966</c:v>
                </c:pt>
                <c:pt idx="851">
                  <c:v>-2398.9931108291203</c:v>
                </c:pt>
                <c:pt idx="852">
                  <c:v>-2440.2620443329006</c:v>
                </c:pt>
                <c:pt idx="853">
                  <c:v>-2482.3106988147242</c:v>
                </c:pt>
                <c:pt idx="854">
                  <c:v>-2525.1262658470841</c:v>
                </c:pt>
                <c:pt idx="855">
                  <c:v>-2568.6957033935078</c:v>
                </c:pt>
                <c:pt idx="856">
                  <c:v>-2613.0057397812502</c:v>
                </c:pt>
                <c:pt idx="857">
                  <c:v>-2658.0428777439979</c:v>
                </c:pt>
                <c:pt idx="858">
                  <c:v>-2703.7933985332234</c:v>
                </c:pt>
                <c:pt idx="859">
                  <c:v>-2750.2433660971078</c:v>
                </c:pt>
                <c:pt idx="860">
                  <c:v>-2797.3786313255664</c:v>
                </c:pt>
                <c:pt idx="861">
                  <c:v>-2845.1848363601957</c:v>
                </c:pt>
                <c:pt idx="862">
                  <c:v>-2893.6474189678274</c:v>
                </c:pt>
                <c:pt idx="863">
                  <c:v>-2942.7516169763426</c:v>
                </c:pt>
                <c:pt idx="864">
                  <c:v>-2992.4824727713385</c:v>
                </c:pt>
                <c:pt idx="865">
                  <c:v>-3042.8248378523886</c:v>
                </c:pt>
                <c:pt idx="866">
                  <c:v>-3093.7633774474043</c:v>
                </c:pt>
                <c:pt idx="867">
                  <c:v>-3145.2825751837786</c:v>
                </c:pt>
                <c:pt idx="868">
                  <c:v>-3197.3667378148139</c:v>
                </c:pt>
                <c:pt idx="869">
                  <c:v>-3250</c:v>
                </c:pt>
                <c:pt idx="870">
                  <c:v>-3303.1663291378172</c:v>
                </c:pt>
                <c:pt idx="871">
                  <c:v>-3356.8495302493757</c:v>
                </c:pt>
                <c:pt idx="872">
                  <c:v>-3411.0332509115869</c:v>
                </c:pt>
                <c:pt idx="873">
                  <c:v>-3465.7009862382265</c:v>
                </c:pt>
                <c:pt idx="874">
                  <c:v>-3520.8360839075458</c:v>
                </c:pt>
                <c:pt idx="875">
                  <c:v>-3576.4217492347011</c:v>
                </c:pt>
                <c:pt idx="876">
                  <c:v>-3632.4410502875403</c:v>
                </c:pt>
                <c:pt idx="877">
                  <c:v>-3688.8769230443027</c:v>
                </c:pt>
                <c:pt idx="878">
                  <c:v>-3745.7121765914462</c:v>
                </c:pt>
                <c:pt idx="879">
                  <c:v>-3802.9294983601585</c:v>
                </c:pt>
                <c:pt idx="880">
                  <c:v>-3860.5114593999533</c:v>
                </c:pt>
                <c:pt idx="881">
                  <c:v>-3918.4405196876819</c:v>
                </c:pt>
                <c:pt idx="882">
                  <c:v>-3976.699033470416</c:v>
                </c:pt>
                <c:pt idx="883">
                  <c:v>-4035.2692546405056</c:v>
                </c:pt>
                <c:pt idx="884">
                  <c:v>-4094.1333421411764</c:v>
                </c:pt>
                <c:pt idx="885">
                  <c:v>-4153.2733654011581</c:v>
                </c:pt>
                <c:pt idx="886">
                  <c:v>-4212.6713097964766</c:v>
                </c:pt>
                <c:pt idx="887">
                  <c:v>-4272.3090821378428</c:v>
                </c:pt>
                <c:pt idx="888">
                  <c:v>-4332.1685161820897</c:v>
                </c:pt>
                <c:pt idx="889">
                  <c:v>-4392.2313781657358</c:v>
                </c:pt>
                <c:pt idx="890">
                  <c:v>-4452.4793723591929</c:v>
                </c:pt>
                <c:pt idx="891">
                  <c:v>-4512.8941466397682</c:v>
                </c:pt>
                <c:pt idx="892">
                  <c:v>-4573.4572980819776</c:v>
                </c:pt>
                <c:pt idx="893">
                  <c:v>-4634.1503785632085</c:v>
                </c:pt>
                <c:pt idx="894">
                  <c:v>-4694.9549003831944</c:v>
                </c:pt>
                <c:pt idx="895">
                  <c:v>-4755.8523418955619</c:v>
                </c:pt>
                <c:pt idx="896">
                  <c:v>-4816.8241531496933</c:v>
                </c:pt>
                <c:pt idx="897">
                  <c:v>-4877.8517615412457</c:v>
                </c:pt>
                <c:pt idx="898">
                  <c:v>-4938.9165774695093</c:v>
                </c:pt>
                <c:pt idx="899">
                  <c:v>-4999.9999999999982</c:v>
                </c:pt>
                <c:pt idx="900">
                  <c:v>-5061.0834225304861</c:v>
                </c:pt>
                <c:pt idx="901">
                  <c:v>-5122.1482384587562</c:v>
                </c:pt>
                <c:pt idx="902">
                  <c:v>-5183.1758468503022</c:v>
                </c:pt>
                <c:pt idx="903">
                  <c:v>-5244.1476581044335</c:v>
                </c:pt>
                <c:pt idx="904">
                  <c:v>-5305.0450996167947</c:v>
                </c:pt>
                <c:pt idx="905">
                  <c:v>-5365.8496214367869</c:v>
                </c:pt>
                <c:pt idx="906">
                  <c:v>-5426.5427019180124</c:v>
                </c:pt>
                <c:pt idx="907">
                  <c:v>-5487.1058533602218</c:v>
                </c:pt>
                <c:pt idx="908">
                  <c:v>-5547.5206276408089</c:v>
                </c:pt>
                <c:pt idx="909">
                  <c:v>-5607.7686218342533</c:v>
                </c:pt>
                <c:pt idx="910">
                  <c:v>-5667.8314838179067</c:v>
                </c:pt>
                <c:pt idx="911">
                  <c:v>-5727.6909178621536</c:v>
                </c:pt>
                <c:pt idx="912">
                  <c:v>-5787.3286902035252</c:v>
                </c:pt>
                <c:pt idx="913">
                  <c:v>-5846.7266345988373</c:v>
                </c:pt>
                <c:pt idx="914">
                  <c:v>-5905.86665785882</c:v>
                </c:pt>
                <c:pt idx="915">
                  <c:v>-5964.7307453594904</c:v>
                </c:pt>
                <c:pt idx="916">
                  <c:v>-6023.300966529574</c:v>
                </c:pt>
                <c:pt idx="917">
                  <c:v>-6081.5594803123076</c:v>
                </c:pt>
                <c:pt idx="918">
                  <c:v>-6139.4885406000485</c:v>
                </c:pt>
                <c:pt idx="919">
                  <c:v>-6197.0705016398369</c:v>
                </c:pt>
                <c:pt idx="920">
                  <c:v>-6254.2878234085556</c:v>
                </c:pt>
                <c:pt idx="921">
                  <c:v>-6311.1230769556933</c:v>
                </c:pt>
                <c:pt idx="922">
                  <c:v>-6367.5589497124556</c:v>
                </c:pt>
                <c:pt idx="923">
                  <c:v>-6423.5782507653066</c:v>
                </c:pt>
                <c:pt idx="924">
                  <c:v>-6479.1639160924497</c:v>
                </c:pt>
                <c:pt idx="925">
                  <c:v>-6534.2990137617699</c:v>
                </c:pt>
                <c:pt idx="926">
                  <c:v>-6588.9667490884094</c:v>
                </c:pt>
                <c:pt idx="927">
                  <c:v>-6643.1504697506207</c:v>
                </c:pt>
                <c:pt idx="928">
                  <c:v>-6696.8336708621791</c:v>
                </c:pt>
                <c:pt idx="929">
                  <c:v>-6749.9999999999964</c:v>
                </c:pt>
                <c:pt idx="930">
                  <c:v>-6802.6332621851934</c:v>
                </c:pt>
                <c:pt idx="931">
                  <c:v>-6854.7174248162182</c:v>
                </c:pt>
                <c:pt idx="932">
                  <c:v>-6906.2366225525921</c:v>
                </c:pt>
                <c:pt idx="933">
                  <c:v>-6957.1751621476078</c:v>
                </c:pt>
                <c:pt idx="934">
                  <c:v>-7007.5175272286624</c:v>
                </c:pt>
                <c:pt idx="935">
                  <c:v>-7057.2483830236542</c:v>
                </c:pt>
                <c:pt idx="936">
                  <c:v>-7106.3525810321644</c:v>
                </c:pt>
                <c:pt idx="937">
                  <c:v>-7154.8151636397961</c:v>
                </c:pt>
                <c:pt idx="938">
                  <c:v>-7202.6213686744304</c:v>
                </c:pt>
                <c:pt idx="939">
                  <c:v>-7249.7566339028836</c:v>
                </c:pt>
                <c:pt idx="940">
                  <c:v>-7296.2066014667689</c:v>
                </c:pt>
                <c:pt idx="941">
                  <c:v>-7341.9571222560035</c:v>
                </c:pt>
                <c:pt idx="942">
                  <c:v>-7386.9942602187421</c:v>
                </c:pt>
                <c:pt idx="943">
                  <c:v>-7431.304296606485</c:v>
                </c:pt>
                <c:pt idx="944">
                  <c:v>-7474.8737341529086</c:v>
                </c:pt>
                <c:pt idx="945">
                  <c:v>-7517.6893011852771</c:v>
                </c:pt>
                <c:pt idx="946">
                  <c:v>-7559.7379556670921</c:v>
                </c:pt>
                <c:pt idx="947">
                  <c:v>-7601.0068891708815</c:v>
                </c:pt>
                <c:pt idx="948">
                  <c:v>-7641.4835307797002</c:v>
                </c:pt>
                <c:pt idx="949">
                  <c:v>-7681.1555509164191</c:v>
                </c:pt>
                <c:pt idx="950">
                  <c:v>-7720.0108650994007</c:v>
                </c:pt>
                <c:pt idx="951">
                  <c:v>-7758.0376376235263</c:v>
                </c:pt>
                <c:pt idx="952">
                  <c:v>-7795.2242851655228</c:v>
                </c:pt>
                <c:pt idx="953">
                  <c:v>-7831.5594803123186</c:v>
                </c:pt>
                <c:pt idx="954">
                  <c:v>-7867.0321550114713</c:v>
                </c:pt>
                <c:pt idx="955">
                  <c:v>-7901.6315039426436</c:v>
                </c:pt>
                <c:pt idx="956">
                  <c:v>-7935.3469878089873</c:v>
                </c:pt>
                <c:pt idx="957">
                  <c:v>-7968.168336547491</c:v>
                </c:pt>
                <c:pt idx="958">
                  <c:v>-8000.0855524573917</c:v>
                </c:pt>
                <c:pt idx="959">
                  <c:v>-8031.0889132455322</c:v>
                </c:pt>
                <c:pt idx="960">
                  <c:v>-8061.168974987886</c:v>
                </c:pt>
                <c:pt idx="961">
                  <c:v>-8090.3165750062435</c:v>
                </c:pt>
                <c:pt idx="962">
                  <c:v>-8118.5228346592849</c:v>
                </c:pt>
                <c:pt idx="963">
                  <c:v>-8145.7791620470853</c:v>
                </c:pt>
                <c:pt idx="964">
                  <c:v>-8172.0772546282751</c:v>
                </c:pt>
                <c:pt idx="965">
                  <c:v>-8197.409101749101</c:v>
                </c:pt>
                <c:pt idx="966">
                  <c:v>-8221.766987083538</c:v>
                </c:pt>
                <c:pt idx="967">
                  <c:v>-8245.1434909837553</c:v>
                </c:pt>
                <c:pt idx="968">
                  <c:v>-8267.5314927402051</c:v>
                </c:pt>
                <c:pt idx="969">
                  <c:v>-8288.9241727506778</c:v>
                </c:pt>
                <c:pt idx="970">
                  <c:v>-8309.3150145976088</c:v>
                </c:pt>
                <c:pt idx="971">
                  <c:v>-8328.697807033037</c:v>
                </c:pt>
                <c:pt idx="972">
                  <c:v>-8347.0666458706219</c:v>
                </c:pt>
                <c:pt idx="973">
                  <c:v>-8364.4159357841127</c:v>
                </c:pt>
                <c:pt idx="974">
                  <c:v>-8380.7403920117395</c:v>
                </c:pt>
                <c:pt idx="975">
                  <c:v>-8396.0350419659862</c:v>
                </c:pt>
                <c:pt idx="976">
                  <c:v>-8410.2952267483215</c:v>
                </c:pt>
                <c:pt idx="977">
                  <c:v>-8423.5166025683193</c:v>
                </c:pt>
                <c:pt idx="978">
                  <c:v>-8435.6951420668229</c:v>
                </c:pt>
                <c:pt idx="979">
                  <c:v>-8446.8271355427278</c:v>
                </c:pt>
                <c:pt idx="980">
                  <c:v>-8456.9091920829815</c:v>
                </c:pt>
                <c:pt idx="981">
                  <c:v>-8465.9382405954966</c:v>
                </c:pt>
                <c:pt idx="982">
                  <c:v>-8473.9115307446282</c:v>
                </c:pt>
                <c:pt idx="983">
                  <c:v>-8480.8266337889563</c:v>
                </c:pt>
                <c:pt idx="984">
                  <c:v>-8486.6814433211093</c:v>
                </c:pt>
                <c:pt idx="985">
                  <c:v>-8491.4741759093849</c:v>
                </c:pt>
                <c:pt idx="986">
                  <c:v>-8495.2033716410078</c:v>
                </c:pt>
                <c:pt idx="987">
                  <c:v>-8497.8678945668362</c:v>
                </c:pt>
                <c:pt idx="988">
                  <c:v>-8499.4669330473698</c:v>
                </c:pt>
                <c:pt idx="989">
                  <c:v>-8500</c:v>
                </c:pt>
                <c:pt idx="990">
                  <c:v>-8499.4669330473698</c:v>
                </c:pt>
                <c:pt idx="991">
                  <c:v>-8497.8678945668362</c:v>
                </c:pt>
                <c:pt idx="992">
                  <c:v>-8495.2033716410078</c:v>
                </c:pt>
                <c:pt idx="993">
                  <c:v>-8491.4741759093849</c:v>
                </c:pt>
                <c:pt idx="994">
                  <c:v>-8486.6814433211093</c:v>
                </c:pt>
                <c:pt idx="995">
                  <c:v>-8480.8266337889581</c:v>
                </c:pt>
                <c:pt idx="996">
                  <c:v>-8473.9115307446264</c:v>
                </c:pt>
                <c:pt idx="997">
                  <c:v>-8465.9382405954966</c:v>
                </c:pt>
                <c:pt idx="998">
                  <c:v>-8456.9091920829833</c:v>
                </c:pt>
                <c:pt idx="999">
                  <c:v>-8446.8271355427296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F3-4FEC-B42F-1AA31C90C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160736"/>
        <c:axId val="1080163648"/>
      </c:scatterChart>
      <c:valAx>
        <c:axId val="1080160736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163648"/>
        <c:crosses val="autoZero"/>
        <c:crossBetween val="midCat"/>
      </c:valAx>
      <c:valAx>
        <c:axId val="108016364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16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9933FF"/>
              </a:solidFill>
              <a:round/>
            </a:ln>
            <a:effectLst/>
          </c:spPr>
          <c:marker>
            <c:symbol val="none"/>
          </c:marker>
          <c:xVal>
            <c:numRef>
              <c:f>Calculs!$J$6:$J$1005</c:f>
              <c:numCache>
                <c:formatCode>0.000</c:formatCode>
                <c:ptCount val="1000"/>
                <c:pt idx="0">
                  <c:v>24999.238475781956</c:v>
                </c:pt>
                <c:pt idx="1">
                  <c:v>24996.954135095479</c:v>
                </c:pt>
                <c:pt idx="2">
                  <c:v>24993.14767377287</c:v>
                </c:pt>
                <c:pt idx="3">
                  <c:v>24987.820251299119</c:v>
                </c:pt>
                <c:pt idx="4">
                  <c:v>24980.973490458728</c:v>
                </c:pt>
                <c:pt idx="5">
                  <c:v>24972.609476841368</c:v>
                </c:pt>
                <c:pt idx="6">
                  <c:v>24962.73075820661</c:v>
                </c:pt>
                <c:pt idx="7">
                  <c:v>24951.340343707852</c:v>
                </c:pt>
                <c:pt idx="8">
                  <c:v>24938.441702975688</c:v>
                </c:pt>
                <c:pt idx="9">
                  <c:v>24924.038765061039</c:v>
                </c:pt>
                <c:pt idx="10">
                  <c:v>24908.13591723832</c:v>
                </c:pt>
                <c:pt idx="11">
                  <c:v>24890.73800366903</c:v>
                </c:pt>
                <c:pt idx="12">
                  <c:v>24871.850323926177</c:v>
                </c:pt>
                <c:pt idx="13">
                  <c:v>24851.478631379981</c:v>
                </c:pt>
                <c:pt idx="14">
                  <c:v>24829.629131445341</c:v>
                </c:pt>
                <c:pt idx="15">
                  <c:v>24806.308479691594</c:v>
                </c:pt>
                <c:pt idx="16">
                  <c:v>24781.523779815179</c:v>
                </c:pt>
                <c:pt idx="17">
                  <c:v>24755.282581475767</c:v>
                </c:pt>
                <c:pt idx="18">
                  <c:v>24727.592877996583</c:v>
                </c:pt>
                <c:pt idx="19">
                  <c:v>24698.463103929542</c:v>
                </c:pt>
                <c:pt idx="20">
                  <c:v>24667.902132486008</c:v>
                </c:pt>
                <c:pt idx="21">
                  <c:v>24635.919272833937</c:v>
                </c:pt>
                <c:pt idx="22">
                  <c:v>24602.524267262201</c:v>
                </c:pt>
                <c:pt idx="23">
                  <c:v>24567.727288213006</c:v>
                </c:pt>
                <c:pt idx="24">
                  <c:v>24531.538935183249</c:v>
                </c:pt>
                <c:pt idx="25">
                  <c:v>24493.970231495834</c:v>
                </c:pt>
                <c:pt idx="26">
                  <c:v>24455.032620941842</c:v>
                </c:pt>
                <c:pt idx="27">
                  <c:v>24414.737964294636</c:v>
                </c:pt>
                <c:pt idx="28">
                  <c:v>24373.09853569698</c:v>
                </c:pt>
                <c:pt idx="29">
                  <c:v>24330.127018922194</c:v>
                </c:pt>
                <c:pt idx="30">
                  <c:v>24285.83650351056</c:v>
                </c:pt>
                <c:pt idx="31">
                  <c:v>24240.240480782129</c:v>
                </c:pt>
                <c:pt idx="32">
                  <c:v>24193.352839727122</c:v>
                </c:pt>
                <c:pt idx="33">
                  <c:v>24145.187862775208</c:v>
                </c:pt>
                <c:pt idx="34">
                  <c:v>24095.760221444958</c:v>
                </c:pt>
                <c:pt idx="35">
                  <c:v>24045.084971874738</c:v>
                </c:pt>
                <c:pt idx="36">
                  <c:v>23993.177550236465</c:v>
                </c:pt>
                <c:pt idx="37">
                  <c:v>23940.053768033609</c:v>
                </c:pt>
                <c:pt idx="38">
                  <c:v>23885.729807284853</c:v>
                </c:pt>
                <c:pt idx="39">
                  <c:v>23830.222215594891</c:v>
                </c:pt>
                <c:pt idx="40">
                  <c:v>23773.54790111386</c:v>
                </c:pt>
                <c:pt idx="41">
                  <c:v>23715.724127386973</c:v>
                </c:pt>
                <c:pt idx="42">
                  <c:v>23656.768508095854</c:v>
                </c:pt>
                <c:pt idx="43">
                  <c:v>23596.699001693254</c:v>
                </c:pt>
                <c:pt idx="44">
                  <c:v>23535.533905932738</c:v>
                </c:pt>
                <c:pt idx="45">
                  <c:v>23473.291852294988</c:v>
                </c:pt>
                <c:pt idx="46">
                  <c:v>23409.991800312491</c:v>
                </c:pt>
                <c:pt idx="47">
                  <c:v>23345.653031794292</c:v>
                </c:pt>
                <c:pt idx="48">
                  <c:v>23280.295144952535</c:v>
                </c:pt>
                <c:pt idx="49">
                  <c:v>23213.938048432698</c:v>
                </c:pt>
                <c:pt idx="50">
                  <c:v>23146.601955249189</c:v>
                </c:pt>
                <c:pt idx="51">
                  <c:v>23078.307376628291</c:v>
                </c:pt>
                <c:pt idx="52">
                  <c:v>23009.075115760243</c:v>
                </c:pt>
                <c:pt idx="53">
                  <c:v>22938.926261462366</c:v>
                </c:pt>
                <c:pt idx="54">
                  <c:v>22867.882181755231</c:v>
                </c:pt>
                <c:pt idx="55">
                  <c:v>22795.964517353736</c:v>
                </c:pt>
                <c:pt idx="56">
                  <c:v>22723.195175075136</c:v>
                </c:pt>
                <c:pt idx="57">
                  <c:v>22649.596321166024</c:v>
                </c:pt>
                <c:pt idx="58">
                  <c:v>22575.190374550271</c:v>
                </c:pt>
                <c:pt idx="59">
                  <c:v>22500</c:v>
                </c:pt>
                <c:pt idx="60">
                  <c:v>22424.048101231685</c:v>
                </c:pt>
                <c:pt idx="61">
                  <c:v>22347.357813929455</c:v>
                </c:pt>
                <c:pt idx="62">
                  <c:v>22269.952498697734</c:v>
                </c:pt>
                <c:pt idx="63">
                  <c:v>22191.855733945387</c:v>
                </c:pt>
                <c:pt idx="64">
                  <c:v>22113.091308703497</c:v>
                </c:pt>
                <c:pt idx="65">
                  <c:v>22033.683215379002</c:v>
                </c:pt>
                <c:pt idx="66">
                  <c:v>21953.655642446371</c:v>
                </c:pt>
                <c:pt idx="67">
                  <c:v>21873.032967079558</c:v>
                </c:pt>
                <c:pt idx="68">
                  <c:v>21791.839747726503</c:v>
                </c:pt>
                <c:pt idx="69">
                  <c:v>21710.100716628345</c:v>
                </c:pt>
                <c:pt idx="70">
                  <c:v>21627.840772285785</c:v>
                </c:pt>
                <c:pt idx="71">
                  <c:v>21545.084971874738</c:v>
                </c:pt>
                <c:pt idx="72">
                  <c:v>21461.858523613682</c:v>
                </c:pt>
                <c:pt idx="73">
                  <c:v>21378.186779084997</c:v>
                </c:pt>
                <c:pt idx="74">
                  <c:v>21294.095225512603</c:v>
                </c:pt>
                <c:pt idx="75">
                  <c:v>21209.60947799834</c:v>
                </c:pt>
                <c:pt idx="76">
                  <c:v>21124.755271719325</c:v>
                </c:pt>
                <c:pt idx="77">
                  <c:v>21039.558454088798</c:v>
                </c:pt>
                <c:pt idx="78">
                  <c:v>20954.044976882724</c:v>
                </c:pt>
                <c:pt idx="79">
                  <c:v>20868.240888334651</c:v>
                </c:pt>
                <c:pt idx="80">
                  <c:v>20782.172325201154</c:v>
                </c:pt>
                <c:pt idx="81">
                  <c:v>20695.865504800327</c:v>
                </c:pt>
                <c:pt idx="82">
                  <c:v>20609.346717025739</c:v>
                </c:pt>
                <c:pt idx="83">
                  <c:v>20522.642316338268</c:v>
                </c:pt>
                <c:pt idx="84">
                  <c:v>20435.778713738291</c:v>
                </c:pt>
                <c:pt idx="85">
                  <c:v>20348.782368720626</c:v>
                </c:pt>
                <c:pt idx="86">
                  <c:v>20261.67978121472</c:v>
                </c:pt>
                <c:pt idx="87">
                  <c:v>20174.497483512507</c:v>
                </c:pt>
                <c:pt idx="88">
                  <c:v>20087.262032186416</c:v>
                </c:pt>
                <c:pt idx="89">
                  <c:v>20000</c:v>
                </c:pt>
                <c:pt idx="90">
                  <c:v>19912.737967813584</c:v>
                </c:pt>
                <c:pt idx="91">
                  <c:v>19825.502516487497</c:v>
                </c:pt>
                <c:pt idx="92">
                  <c:v>19738.32021878528</c:v>
                </c:pt>
                <c:pt idx="93">
                  <c:v>19651.217631279374</c:v>
                </c:pt>
                <c:pt idx="94">
                  <c:v>19564.221286261709</c:v>
                </c:pt>
                <c:pt idx="95">
                  <c:v>19477.357683661732</c:v>
                </c:pt>
                <c:pt idx="96">
                  <c:v>19390.653282974265</c:v>
                </c:pt>
                <c:pt idx="97">
                  <c:v>19304.134495199673</c:v>
                </c:pt>
                <c:pt idx="98">
                  <c:v>19217.827674798846</c:v>
                </c:pt>
                <c:pt idx="99">
                  <c:v>19131.759111665349</c:v>
                </c:pt>
                <c:pt idx="100">
                  <c:v>19045.955023117276</c:v>
                </c:pt>
                <c:pt idx="101">
                  <c:v>18960.441545911206</c:v>
                </c:pt>
                <c:pt idx="102">
                  <c:v>18875.244728280675</c:v>
                </c:pt>
                <c:pt idx="103">
                  <c:v>18790.39052200166</c:v>
                </c:pt>
                <c:pt idx="104">
                  <c:v>18705.904774487397</c:v>
                </c:pt>
                <c:pt idx="105">
                  <c:v>18621.813220915006</c:v>
                </c:pt>
                <c:pt idx="106">
                  <c:v>18538.141476386318</c:v>
                </c:pt>
                <c:pt idx="107">
                  <c:v>18454.915028125262</c:v>
                </c:pt>
                <c:pt idx="108">
                  <c:v>18372.159227714219</c:v>
                </c:pt>
                <c:pt idx="109">
                  <c:v>18289.899283371655</c:v>
                </c:pt>
                <c:pt idx="110">
                  <c:v>18208.160252273497</c:v>
                </c:pt>
                <c:pt idx="111">
                  <c:v>18126.967032920438</c:v>
                </c:pt>
                <c:pt idx="112">
                  <c:v>18046.344357553633</c:v>
                </c:pt>
                <c:pt idx="113">
                  <c:v>17966.316784620998</c:v>
                </c:pt>
                <c:pt idx="114">
                  <c:v>17886.908691296503</c:v>
                </c:pt>
                <c:pt idx="115">
                  <c:v>17808.144266054613</c:v>
                </c:pt>
                <c:pt idx="116">
                  <c:v>17730.047501302266</c:v>
                </c:pt>
                <c:pt idx="117">
                  <c:v>17652.642186070549</c:v>
                </c:pt>
                <c:pt idx="118">
                  <c:v>17575.951898768315</c:v>
                </c:pt>
                <c:pt idx="119">
                  <c:v>17500</c:v>
                </c:pt>
                <c:pt idx="120">
                  <c:v>17424.809625449729</c:v>
                </c:pt>
                <c:pt idx="121">
                  <c:v>17350.403678833976</c:v>
                </c:pt>
                <c:pt idx="122">
                  <c:v>17276.804824924864</c:v>
                </c:pt>
                <c:pt idx="123">
                  <c:v>17204.035482646268</c:v>
                </c:pt>
                <c:pt idx="124">
                  <c:v>17132.117818244769</c:v>
                </c:pt>
                <c:pt idx="125">
                  <c:v>17061.073738537634</c:v>
                </c:pt>
                <c:pt idx="126">
                  <c:v>16990.924884239757</c:v>
                </c:pt>
                <c:pt idx="127">
                  <c:v>16921.692623371709</c:v>
                </c:pt>
                <c:pt idx="128">
                  <c:v>16853.398044750815</c:v>
                </c:pt>
                <c:pt idx="129">
                  <c:v>16786.061951567302</c:v>
                </c:pt>
                <c:pt idx="130">
                  <c:v>16719.704855047461</c:v>
                </c:pt>
                <c:pt idx="131">
                  <c:v>16654.346968205708</c:v>
                </c:pt>
                <c:pt idx="132">
                  <c:v>16590.008199687509</c:v>
                </c:pt>
                <c:pt idx="133">
                  <c:v>16526.708147705016</c:v>
                </c:pt>
                <c:pt idx="134">
                  <c:v>16464.466094067262</c:v>
                </c:pt>
                <c:pt idx="135">
                  <c:v>16403.300998306746</c:v>
                </c:pt>
                <c:pt idx="136">
                  <c:v>16343.231491904147</c:v>
                </c:pt>
                <c:pt idx="137">
                  <c:v>16284.275872613031</c:v>
                </c:pt>
                <c:pt idx="138">
                  <c:v>16226.45209888614</c:v>
                </c:pt>
                <c:pt idx="139">
                  <c:v>16169.777784405111</c:v>
                </c:pt>
                <c:pt idx="140">
                  <c:v>16114.270192715147</c:v>
                </c:pt>
                <c:pt idx="141">
                  <c:v>16059.946231966391</c:v>
                </c:pt>
                <c:pt idx="142">
                  <c:v>16006.822449763535</c:v>
                </c:pt>
                <c:pt idx="143">
                  <c:v>15954.915028125262</c:v>
                </c:pt>
                <c:pt idx="144">
                  <c:v>15904.239778555042</c:v>
                </c:pt>
                <c:pt idx="145">
                  <c:v>15854.812137224792</c:v>
                </c:pt>
                <c:pt idx="146">
                  <c:v>15806.647160272878</c:v>
                </c:pt>
                <c:pt idx="147">
                  <c:v>15759.759519217871</c:v>
                </c:pt>
                <c:pt idx="148">
                  <c:v>15714.16349648944</c:v>
                </c:pt>
                <c:pt idx="149">
                  <c:v>15669.872981077806</c:v>
                </c:pt>
                <c:pt idx="150">
                  <c:v>15626.90146430302</c:v>
                </c:pt>
                <c:pt idx="151">
                  <c:v>15585.262035705367</c:v>
                </c:pt>
                <c:pt idx="152">
                  <c:v>15544.967379058162</c:v>
                </c:pt>
                <c:pt idx="153">
                  <c:v>15506.029768504166</c:v>
                </c:pt>
                <c:pt idx="154">
                  <c:v>15468.461064816751</c:v>
                </c:pt>
                <c:pt idx="155">
                  <c:v>15432.272711786996</c:v>
                </c:pt>
                <c:pt idx="156">
                  <c:v>15397.475732737799</c:v>
                </c:pt>
                <c:pt idx="157">
                  <c:v>15364.080727166063</c:v>
                </c:pt>
                <c:pt idx="158">
                  <c:v>15332.097867513992</c:v>
                </c:pt>
                <c:pt idx="159">
                  <c:v>15301.536896070458</c:v>
                </c:pt>
                <c:pt idx="160">
                  <c:v>15272.407122003417</c:v>
                </c:pt>
                <c:pt idx="161">
                  <c:v>15244.717418524233</c:v>
                </c:pt>
                <c:pt idx="162">
                  <c:v>15218.476220184823</c:v>
                </c:pt>
                <c:pt idx="163">
                  <c:v>15193.691520308406</c:v>
                </c:pt>
                <c:pt idx="164">
                  <c:v>15170.370868554659</c:v>
                </c:pt>
                <c:pt idx="165">
                  <c:v>15148.521368620019</c:v>
                </c:pt>
                <c:pt idx="166">
                  <c:v>15128.149676073823</c:v>
                </c:pt>
                <c:pt idx="167">
                  <c:v>15109.261996330972</c:v>
                </c:pt>
                <c:pt idx="168">
                  <c:v>15091.86408276168</c:v>
                </c:pt>
                <c:pt idx="169">
                  <c:v>15075.961234938961</c:v>
                </c:pt>
                <c:pt idx="170">
                  <c:v>15061.558297024312</c:v>
                </c:pt>
                <c:pt idx="171">
                  <c:v>15048.659656292148</c:v>
                </c:pt>
                <c:pt idx="172">
                  <c:v>15037.26924179339</c:v>
                </c:pt>
                <c:pt idx="173">
                  <c:v>15027.390523158632</c:v>
                </c:pt>
                <c:pt idx="174">
                  <c:v>15019.026509541272</c:v>
                </c:pt>
                <c:pt idx="175">
                  <c:v>15012.179748700879</c:v>
                </c:pt>
                <c:pt idx="176">
                  <c:v>15006.85232622713</c:v>
                </c:pt>
                <c:pt idx="177">
                  <c:v>15003.045864904521</c:v>
                </c:pt>
                <c:pt idx="178">
                  <c:v>15000.761524218044</c:v>
                </c:pt>
                <c:pt idx="179">
                  <c:v>15000</c:v>
                </c:pt>
                <c:pt idx="180">
                  <c:v>15000.761524218044</c:v>
                </c:pt>
                <c:pt idx="181">
                  <c:v>15003.045864904521</c:v>
                </c:pt>
                <c:pt idx="182">
                  <c:v>15006.85232622713</c:v>
                </c:pt>
                <c:pt idx="183">
                  <c:v>15012.179748700877</c:v>
                </c:pt>
                <c:pt idx="184">
                  <c:v>15019.026509541272</c:v>
                </c:pt>
                <c:pt idx="185">
                  <c:v>15027.390523158632</c:v>
                </c:pt>
                <c:pt idx="186">
                  <c:v>15037.26924179339</c:v>
                </c:pt>
                <c:pt idx="187">
                  <c:v>15048.659656292148</c:v>
                </c:pt>
                <c:pt idx="188">
                  <c:v>15061.558297024312</c:v>
                </c:pt>
                <c:pt idx="189">
                  <c:v>15075.961234938961</c:v>
                </c:pt>
                <c:pt idx="190">
                  <c:v>15091.86408276168</c:v>
                </c:pt>
                <c:pt idx="191">
                  <c:v>15109.261996330972</c:v>
                </c:pt>
                <c:pt idx="192">
                  <c:v>15128.149676073823</c:v>
                </c:pt>
                <c:pt idx="193">
                  <c:v>15148.521368620019</c:v>
                </c:pt>
                <c:pt idx="194">
                  <c:v>15170.370868554659</c:v>
                </c:pt>
                <c:pt idx="195">
                  <c:v>15193.691520308406</c:v>
                </c:pt>
                <c:pt idx="196">
                  <c:v>15218.476220184823</c:v>
                </c:pt>
                <c:pt idx="197">
                  <c:v>15244.717418524233</c:v>
                </c:pt>
                <c:pt idx="198">
                  <c:v>15272.407122003417</c:v>
                </c:pt>
                <c:pt idx="199">
                  <c:v>15301.536896070458</c:v>
                </c:pt>
                <c:pt idx="200">
                  <c:v>15332.097867513992</c:v>
                </c:pt>
                <c:pt idx="201">
                  <c:v>15364.080727166063</c:v>
                </c:pt>
                <c:pt idx="202">
                  <c:v>15397.475732737799</c:v>
                </c:pt>
                <c:pt idx="203">
                  <c:v>15432.272711786994</c:v>
                </c:pt>
                <c:pt idx="204">
                  <c:v>15468.461064816751</c:v>
                </c:pt>
                <c:pt idx="205">
                  <c:v>15506.029768504164</c:v>
                </c:pt>
                <c:pt idx="206">
                  <c:v>15544.967379058158</c:v>
                </c:pt>
                <c:pt idx="207">
                  <c:v>15585.262035705366</c:v>
                </c:pt>
                <c:pt idx="208">
                  <c:v>15626.90146430302</c:v>
                </c:pt>
                <c:pt idx="209">
                  <c:v>15669.872981077806</c:v>
                </c:pt>
                <c:pt idx="210">
                  <c:v>15714.163496489438</c:v>
                </c:pt>
                <c:pt idx="211">
                  <c:v>15759.759519217871</c:v>
                </c:pt>
                <c:pt idx="212">
                  <c:v>15806.64716027288</c:v>
                </c:pt>
                <c:pt idx="213">
                  <c:v>15854.812137224792</c:v>
                </c:pt>
                <c:pt idx="214">
                  <c:v>15904.23977855504</c:v>
                </c:pt>
                <c:pt idx="215">
                  <c:v>15954.915028125262</c:v>
                </c:pt>
                <c:pt idx="216">
                  <c:v>16006.822449763535</c:v>
                </c:pt>
                <c:pt idx="217">
                  <c:v>16059.946231966389</c:v>
                </c:pt>
                <c:pt idx="218">
                  <c:v>16114.270192715147</c:v>
                </c:pt>
                <c:pt idx="219">
                  <c:v>16169.777784405109</c:v>
                </c:pt>
                <c:pt idx="220">
                  <c:v>16226.45209888614</c:v>
                </c:pt>
                <c:pt idx="221">
                  <c:v>16284.275872613029</c:v>
                </c:pt>
                <c:pt idx="222">
                  <c:v>16343.231491904147</c:v>
                </c:pt>
                <c:pt idx="223">
                  <c:v>16403.300998306746</c:v>
                </c:pt>
                <c:pt idx="224">
                  <c:v>16464.466094067262</c:v>
                </c:pt>
                <c:pt idx="225">
                  <c:v>16526.708147705012</c:v>
                </c:pt>
                <c:pt idx="226">
                  <c:v>16590.008199687505</c:v>
                </c:pt>
                <c:pt idx="227">
                  <c:v>16654.346968205708</c:v>
                </c:pt>
                <c:pt idx="228">
                  <c:v>16719.704855047461</c:v>
                </c:pt>
                <c:pt idx="229">
                  <c:v>16786.061951567302</c:v>
                </c:pt>
                <c:pt idx="230">
                  <c:v>16853.398044750815</c:v>
                </c:pt>
                <c:pt idx="231">
                  <c:v>16921.692623371709</c:v>
                </c:pt>
                <c:pt idx="232">
                  <c:v>16990.924884239757</c:v>
                </c:pt>
                <c:pt idx="233">
                  <c:v>17061.073738537634</c:v>
                </c:pt>
                <c:pt idx="234">
                  <c:v>17132.117818244769</c:v>
                </c:pt>
                <c:pt idx="235">
                  <c:v>17204.035482646264</c:v>
                </c:pt>
                <c:pt idx="236">
                  <c:v>17276.804824924864</c:v>
                </c:pt>
                <c:pt idx="237">
                  <c:v>17350.403678833976</c:v>
                </c:pt>
                <c:pt idx="238">
                  <c:v>17424.809625449729</c:v>
                </c:pt>
                <c:pt idx="239">
                  <c:v>17499.999999999996</c:v>
                </c:pt>
                <c:pt idx="240">
                  <c:v>17575.951898768315</c:v>
                </c:pt>
                <c:pt idx="241">
                  <c:v>17652.642186070545</c:v>
                </c:pt>
                <c:pt idx="242">
                  <c:v>17730.047501302266</c:v>
                </c:pt>
                <c:pt idx="243">
                  <c:v>17808.144266054613</c:v>
                </c:pt>
                <c:pt idx="244">
                  <c:v>17886.908691296499</c:v>
                </c:pt>
                <c:pt idx="245">
                  <c:v>17966.316784620998</c:v>
                </c:pt>
                <c:pt idx="246">
                  <c:v>18046.344357553629</c:v>
                </c:pt>
                <c:pt idx="247">
                  <c:v>18126.967032920438</c:v>
                </c:pt>
                <c:pt idx="248">
                  <c:v>18208.160252273497</c:v>
                </c:pt>
                <c:pt idx="249">
                  <c:v>18289.899283371655</c:v>
                </c:pt>
                <c:pt idx="250">
                  <c:v>18372.159227714215</c:v>
                </c:pt>
                <c:pt idx="251">
                  <c:v>18454.915028125262</c:v>
                </c:pt>
                <c:pt idx="252">
                  <c:v>18538.141476386314</c:v>
                </c:pt>
                <c:pt idx="253">
                  <c:v>18621.813220915006</c:v>
                </c:pt>
                <c:pt idx="254">
                  <c:v>18705.904774487397</c:v>
                </c:pt>
                <c:pt idx="255">
                  <c:v>18790.39052200166</c:v>
                </c:pt>
                <c:pt idx="256">
                  <c:v>18875.244728280675</c:v>
                </c:pt>
                <c:pt idx="257">
                  <c:v>18960.441545911202</c:v>
                </c:pt>
                <c:pt idx="258">
                  <c:v>19045.955023117273</c:v>
                </c:pt>
                <c:pt idx="259">
                  <c:v>19131.759111665349</c:v>
                </c:pt>
                <c:pt idx="260">
                  <c:v>19217.827674798846</c:v>
                </c:pt>
                <c:pt idx="261">
                  <c:v>19304.134495199676</c:v>
                </c:pt>
                <c:pt idx="262">
                  <c:v>19390.653282974265</c:v>
                </c:pt>
                <c:pt idx="263">
                  <c:v>19477.357683661732</c:v>
                </c:pt>
                <c:pt idx="264">
                  <c:v>19564.221286261709</c:v>
                </c:pt>
                <c:pt idx="265">
                  <c:v>19651.217631279371</c:v>
                </c:pt>
                <c:pt idx="266">
                  <c:v>19738.32021878528</c:v>
                </c:pt>
                <c:pt idx="267">
                  <c:v>19825.502516487493</c:v>
                </c:pt>
                <c:pt idx="268">
                  <c:v>19912.737967813584</c:v>
                </c:pt>
                <c:pt idx="269">
                  <c:v>20000</c:v>
                </c:pt>
                <c:pt idx="270">
                  <c:v>20087.262032186416</c:v>
                </c:pt>
                <c:pt idx="271">
                  <c:v>20174.497483512507</c:v>
                </c:pt>
                <c:pt idx="272">
                  <c:v>20261.67978121472</c:v>
                </c:pt>
                <c:pt idx="273">
                  <c:v>20348.782368720626</c:v>
                </c:pt>
                <c:pt idx="274">
                  <c:v>20435.778713738291</c:v>
                </c:pt>
                <c:pt idx="275">
                  <c:v>20522.642316338264</c:v>
                </c:pt>
                <c:pt idx="276">
                  <c:v>20609.346717025739</c:v>
                </c:pt>
                <c:pt idx="277">
                  <c:v>20695.865504800327</c:v>
                </c:pt>
                <c:pt idx="278">
                  <c:v>20782.172325201154</c:v>
                </c:pt>
                <c:pt idx="279">
                  <c:v>20868.240888334651</c:v>
                </c:pt>
                <c:pt idx="280">
                  <c:v>20954.04497688272</c:v>
                </c:pt>
                <c:pt idx="281">
                  <c:v>21039.558454088794</c:v>
                </c:pt>
                <c:pt idx="282">
                  <c:v>21124.755271719325</c:v>
                </c:pt>
                <c:pt idx="283">
                  <c:v>21209.609477998336</c:v>
                </c:pt>
                <c:pt idx="284">
                  <c:v>21294.095225512607</c:v>
                </c:pt>
                <c:pt idx="285">
                  <c:v>21378.186779084997</c:v>
                </c:pt>
                <c:pt idx="286">
                  <c:v>21461.858523613682</c:v>
                </c:pt>
                <c:pt idx="287">
                  <c:v>21545.084971874738</c:v>
                </c:pt>
                <c:pt idx="288">
                  <c:v>21627.840772285781</c:v>
                </c:pt>
                <c:pt idx="289">
                  <c:v>21710.100716628342</c:v>
                </c:pt>
                <c:pt idx="290">
                  <c:v>21791.839747726499</c:v>
                </c:pt>
                <c:pt idx="291">
                  <c:v>21873.032967079558</c:v>
                </c:pt>
                <c:pt idx="292">
                  <c:v>21953.655642446367</c:v>
                </c:pt>
                <c:pt idx="293">
                  <c:v>22033.683215379002</c:v>
                </c:pt>
                <c:pt idx="294">
                  <c:v>22113.091308703497</c:v>
                </c:pt>
                <c:pt idx="295">
                  <c:v>22191.855733945387</c:v>
                </c:pt>
                <c:pt idx="296">
                  <c:v>22269.952498697734</c:v>
                </c:pt>
                <c:pt idx="297">
                  <c:v>22347.357813929451</c:v>
                </c:pt>
                <c:pt idx="298">
                  <c:v>22424.048101231681</c:v>
                </c:pt>
                <c:pt idx="299">
                  <c:v>22500</c:v>
                </c:pt>
                <c:pt idx="300">
                  <c:v>22575.190374550271</c:v>
                </c:pt>
                <c:pt idx="301">
                  <c:v>22649.596321166024</c:v>
                </c:pt>
                <c:pt idx="302">
                  <c:v>22723.195175075132</c:v>
                </c:pt>
                <c:pt idx="303">
                  <c:v>22795.964517353732</c:v>
                </c:pt>
                <c:pt idx="304">
                  <c:v>22867.882181755231</c:v>
                </c:pt>
                <c:pt idx="305">
                  <c:v>22938.926261462366</c:v>
                </c:pt>
                <c:pt idx="306">
                  <c:v>23009.075115760239</c:v>
                </c:pt>
                <c:pt idx="307">
                  <c:v>23078.307376628294</c:v>
                </c:pt>
                <c:pt idx="308">
                  <c:v>23146.601955249189</c:v>
                </c:pt>
                <c:pt idx="309">
                  <c:v>23213.938048432698</c:v>
                </c:pt>
                <c:pt idx="310">
                  <c:v>23280.295144952535</c:v>
                </c:pt>
                <c:pt idx="311">
                  <c:v>23345.653031794289</c:v>
                </c:pt>
                <c:pt idx="312">
                  <c:v>23409.991800312491</c:v>
                </c:pt>
                <c:pt idx="313">
                  <c:v>23473.291852294984</c:v>
                </c:pt>
                <c:pt idx="314">
                  <c:v>23535.533905932738</c:v>
                </c:pt>
                <c:pt idx="315">
                  <c:v>23596.699001693254</c:v>
                </c:pt>
                <c:pt idx="316">
                  <c:v>23656.768508095854</c:v>
                </c:pt>
                <c:pt idx="317">
                  <c:v>23715.724127386973</c:v>
                </c:pt>
                <c:pt idx="318">
                  <c:v>23773.54790111386</c:v>
                </c:pt>
                <c:pt idx="319">
                  <c:v>23830.222215594888</c:v>
                </c:pt>
                <c:pt idx="320">
                  <c:v>23885.729807284853</c:v>
                </c:pt>
                <c:pt idx="321">
                  <c:v>23940.053768033609</c:v>
                </c:pt>
                <c:pt idx="322">
                  <c:v>23993.177550236465</c:v>
                </c:pt>
                <c:pt idx="323">
                  <c:v>24045.084971874738</c:v>
                </c:pt>
                <c:pt idx="324">
                  <c:v>24095.760221444958</c:v>
                </c:pt>
                <c:pt idx="325">
                  <c:v>24145.187862775208</c:v>
                </c:pt>
                <c:pt idx="326">
                  <c:v>24193.352839727122</c:v>
                </c:pt>
                <c:pt idx="327">
                  <c:v>24240.240480782126</c:v>
                </c:pt>
                <c:pt idx="328">
                  <c:v>24285.83650351056</c:v>
                </c:pt>
                <c:pt idx="329">
                  <c:v>24330.12701892219</c:v>
                </c:pt>
                <c:pt idx="330">
                  <c:v>24373.09853569698</c:v>
                </c:pt>
                <c:pt idx="331">
                  <c:v>24414.737964294633</c:v>
                </c:pt>
                <c:pt idx="332">
                  <c:v>24455.032620941838</c:v>
                </c:pt>
                <c:pt idx="333">
                  <c:v>24493.970231495834</c:v>
                </c:pt>
                <c:pt idx="334">
                  <c:v>24531.538935183249</c:v>
                </c:pt>
                <c:pt idx="335">
                  <c:v>24567.727288213006</c:v>
                </c:pt>
                <c:pt idx="336">
                  <c:v>24602.524267262201</c:v>
                </c:pt>
                <c:pt idx="337">
                  <c:v>24635.919272833937</c:v>
                </c:pt>
                <c:pt idx="338">
                  <c:v>24667.902132486008</c:v>
                </c:pt>
                <c:pt idx="339">
                  <c:v>24698.463103929542</c:v>
                </c:pt>
                <c:pt idx="340">
                  <c:v>24727.592877996583</c:v>
                </c:pt>
                <c:pt idx="341">
                  <c:v>24755.282581475767</c:v>
                </c:pt>
                <c:pt idx="342">
                  <c:v>24781.523779815179</c:v>
                </c:pt>
                <c:pt idx="343">
                  <c:v>24806.308479691594</c:v>
                </c:pt>
                <c:pt idx="344">
                  <c:v>24829.629131445341</c:v>
                </c:pt>
                <c:pt idx="345">
                  <c:v>24851.478631379981</c:v>
                </c:pt>
                <c:pt idx="346">
                  <c:v>24871.850323926177</c:v>
                </c:pt>
                <c:pt idx="347">
                  <c:v>24890.73800366903</c:v>
                </c:pt>
                <c:pt idx="348">
                  <c:v>24908.13591723832</c:v>
                </c:pt>
                <c:pt idx="349">
                  <c:v>24924.038765061039</c:v>
                </c:pt>
                <c:pt idx="350">
                  <c:v>24938.441702975688</c:v>
                </c:pt>
                <c:pt idx="351">
                  <c:v>24951.340343707852</c:v>
                </c:pt>
                <c:pt idx="352">
                  <c:v>24962.73075820661</c:v>
                </c:pt>
                <c:pt idx="353">
                  <c:v>24972.609476841368</c:v>
                </c:pt>
                <c:pt idx="354">
                  <c:v>24980.973490458728</c:v>
                </c:pt>
                <c:pt idx="355">
                  <c:v>24987.820251299123</c:v>
                </c:pt>
                <c:pt idx="356">
                  <c:v>24993.14767377287</c:v>
                </c:pt>
                <c:pt idx="357">
                  <c:v>24996.954135095479</c:v>
                </c:pt>
                <c:pt idx="358">
                  <c:v>24999.238475781956</c:v>
                </c:pt>
                <c:pt idx="359">
                  <c:v>25000</c:v>
                </c:pt>
                <c:pt idx="360">
                  <c:v>24999.238475781956</c:v>
                </c:pt>
                <c:pt idx="361">
                  <c:v>24996.954135095479</c:v>
                </c:pt>
                <c:pt idx="362">
                  <c:v>24993.14767377287</c:v>
                </c:pt>
                <c:pt idx="363">
                  <c:v>24987.820251299123</c:v>
                </c:pt>
                <c:pt idx="364">
                  <c:v>24980.973490458728</c:v>
                </c:pt>
                <c:pt idx="365">
                  <c:v>24972.609476841368</c:v>
                </c:pt>
                <c:pt idx="366">
                  <c:v>24962.73075820661</c:v>
                </c:pt>
                <c:pt idx="367">
                  <c:v>24951.340343707852</c:v>
                </c:pt>
                <c:pt idx="368">
                  <c:v>24938.441702975688</c:v>
                </c:pt>
                <c:pt idx="369">
                  <c:v>24924.038765061043</c:v>
                </c:pt>
                <c:pt idx="370">
                  <c:v>24908.13591723832</c:v>
                </c:pt>
                <c:pt idx="371">
                  <c:v>24890.73800366903</c:v>
                </c:pt>
                <c:pt idx="372">
                  <c:v>24871.850323926177</c:v>
                </c:pt>
                <c:pt idx="373">
                  <c:v>24851.478631379981</c:v>
                </c:pt>
                <c:pt idx="374">
                  <c:v>24829.629131445341</c:v>
                </c:pt>
                <c:pt idx="375">
                  <c:v>24806.308479691594</c:v>
                </c:pt>
                <c:pt idx="376">
                  <c:v>24781.523779815179</c:v>
                </c:pt>
                <c:pt idx="377">
                  <c:v>24755.282581475767</c:v>
                </c:pt>
                <c:pt idx="378">
                  <c:v>24727.592877996583</c:v>
                </c:pt>
                <c:pt idx="379">
                  <c:v>24698.463103929542</c:v>
                </c:pt>
                <c:pt idx="380">
                  <c:v>24667.902132486011</c:v>
                </c:pt>
                <c:pt idx="381">
                  <c:v>24635.919272833937</c:v>
                </c:pt>
                <c:pt idx="382">
                  <c:v>24602.524267262204</c:v>
                </c:pt>
                <c:pt idx="383">
                  <c:v>24567.727288213006</c:v>
                </c:pt>
                <c:pt idx="384">
                  <c:v>24531.538935183249</c:v>
                </c:pt>
                <c:pt idx="385">
                  <c:v>24493.970231495834</c:v>
                </c:pt>
                <c:pt idx="386">
                  <c:v>24455.032620941838</c:v>
                </c:pt>
                <c:pt idx="387">
                  <c:v>24414.737964294636</c:v>
                </c:pt>
                <c:pt idx="388">
                  <c:v>24373.09853569698</c:v>
                </c:pt>
                <c:pt idx="389">
                  <c:v>24330.127018922194</c:v>
                </c:pt>
                <c:pt idx="390">
                  <c:v>24285.83650351056</c:v>
                </c:pt>
                <c:pt idx="391">
                  <c:v>24240.240480782129</c:v>
                </c:pt>
                <c:pt idx="392">
                  <c:v>24193.352839727122</c:v>
                </c:pt>
                <c:pt idx="393">
                  <c:v>24145.187862775208</c:v>
                </c:pt>
                <c:pt idx="394">
                  <c:v>24095.760221444958</c:v>
                </c:pt>
                <c:pt idx="395">
                  <c:v>24045.084971874734</c:v>
                </c:pt>
                <c:pt idx="396">
                  <c:v>23993.177550236465</c:v>
                </c:pt>
                <c:pt idx="397">
                  <c:v>23940.053768033609</c:v>
                </c:pt>
                <c:pt idx="398">
                  <c:v>23885.729807284857</c:v>
                </c:pt>
                <c:pt idx="399">
                  <c:v>23830.222215594891</c:v>
                </c:pt>
                <c:pt idx="400">
                  <c:v>23773.54790111386</c:v>
                </c:pt>
                <c:pt idx="401">
                  <c:v>23715.724127386969</c:v>
                </c:pt>
                <c:pt idx="402">
                  <c:v>23656.768508095854</c:v>
                </c:pt>
                <c:pt idx="403">
                  <c:v>23596.699001693254</c:v>
                </c:pt>
                <c:pt idx="404">
                  <c:v>23535.533905932742</c:v>
                </c:pt>
                <c:pt idx="405">
                  <c:v>23473.291852294988</c:v>
                </c:pt>
                <c:pt idx="406">
                  <c:v>23409.991800312491</c:v>
                </c:pt>
                <c:pt idx="407">
                  <c:v>23345.653031794296</c:v>
                </c:pt>
                <c:pt idx="408">
                  <c:v>23280.295144952535</c:v>
                </c:pt>
                <c:pt idx="409">
                  <c:v>23213.938048432698</c:v>
                </c:pt>
                <c:pt idx="410">
                  <c:v>23146.601955249185</c:v>
                </c:pt>
                <c:pt idx="411">
                  <c:v>23078.307376628294</c:v>
                </c:pt>
                <c:pt idx="412">
                  <c:v>23009.075115760243</c:v>
                </c:pt>
                <c:pt idx="413">
                  <c:v>22938.926261462369</c:v>
                </c:pt>
                <c:pt idx="414">
                  <c:v>22867.882181755231</c:v>
                </c:pt>
                <c:pt idx="415">
                  <c:v>22795.964517353732</c:v>
                </c:pt>
                <c:pt idx="416">
                  <c:v>22723.195175075136</c:v>
                </c:pt>
                <c:pt idx="417">
                  <c:v>22649.596321166027</c:v>
                </c:pt>
                <c:pt idx="418">
                  <c:v>22575.190374550271</c:v>
                </c:pt>
                <c:pt idx="419">
                  <c:v>22500</c:v>
                </c:pt>
                <c:pt idx="420">
                  <c:v>22424.048101231689</c:v>
                </c:pt>
                <c:pt idx="421">
                  <c:v>22347.357813929455</c:v>
                </c:pt>
                <c:pt idx="422">
                  <c:v>22269.952498697734</c:v>
                </c:pt>
                <c:pt idx="423">
                  <c:v>22191.855733945391</c:v>
                </c:pt>
                <c:pt idx="424">
                  <c:v>22113.091308703501</c:v>
                </c:pt>
                <c:pt idx="425">
                  <c:v>22033.683215379002</c:v>
                </c:pt>
                <c:pt idx="426">
                  <c:v>21953.655642446367</c:v>
                </c:pt>
                <c:pt idx="427">
                  <c:v>21873.032967079562</c:v>
                </c:pt>
                <c:pt idx="428">
                  <c:v>21791.839747726499</c:v>
                </c:pt>
                <c:pt idx="429">
                  <c:v>21710.100716628349</c:v>
                </c:pt>
                <c:pt idx="430">
                  <c:v>21627.840772285785</c:v>
                </c:pt>
                <c:pt idx="431">
                  <c:v>21545.084971874738</c:v>
                </c:pt>
                <c:pt idx="432">
                  <c:v>21461.858523613682</c:v>
                </c:pt>
                <c:pt idx="433">
                  <c:v>21378.186779085001</c:v>
                </c:pt>
                <c:pt idx="434">
                  <c:v>21294.095225512603</c:v>
                </c:pt>
                <c:pt idx="435">
                  <c:v>21209.609477998343</c:v>
                </c:pt>
                <c:pt idx="436">
                  <c:v>21124.755271719328</c:v>
                </c:pt>
                <c:pt idx="437">
                  <c:v>21039.558454088794</c:v>
                </c:pt>
                <c:pt idx="438">
                  <c:v>20954.044976882727</c:v>
                </c:pt>
                <c:pt idx="439">
                  <c:v>20868.240888334651</c:v>
                </c:pt>
                <c:pt idx="440">
                  <c:v>20782.172325201154</c:v>
                </c:pt>
                <c:pt idx="441">
                  <c:v>20695.865504800324</c:v>
                </c:pt>
                <c:pt idx="442">
                  <c:v>20609.346717025743</c:v>
                </c:pt>
                <c:pt idx="443">
                  <c:v>20522.642316338268</c:v>
                </c:pt>
                <c:pt idx="444">
                  <c:v>20435.778713738295</c:v>
                </c:pt>
                <c:pt idx="445">
                  <c:v>20348.782368720629</c:v>
                </c:pt>
                <c:pt idx="446">
                  <c:v>20261.679781214723</c:v>
                </c:pt>
                <c:pt idx="447">
                  <c:v>20174.497483512503</c:v>
                </c:pt>
                <c:pt idx="448">
                  <c:v>20087.26203218642</c:v>
                </c:pt>
                <c:pt idx="449">
                  <c:v>20000</c:v>
                </c:pt>
                <c:pt idx="450">
                  <c:v>19912.73796781358</c:v>
                </c:pt>
                <c:pt idx="451">
                  <c:v>19825.502516487497</c:v>
                </c:pt>
                <c:pt idx="452">
                  <c:v>19738.32021878528</c:v>
                </c:pt>
                <c:pt idx="453">
                  <c:v>19651.217631279378</c:v>
                </c:pt>
                <c:pt idx="454">
                  <c:v>19564.221286261713</c:v>
                </c:pt>
                <c:pt idx="455">
                  <c:v>19477.357683661736</c:v>
                </c:pt>
                <c:pt idx="456">
                  <c:v>19390.653282974261</c:v>
                </c:pt>
                <c:pt idx="457">
                  <c:v>19304.134495199676</c:v>
                </c:pt>
                <c:pt idx="458">
                  <c:v>19217.827674798853</c:v>
                </c:pt>
                <c:pt idx="459">
                  <c:v>19131.759111665349</c:v>
                </c:pt>
                <c:pt idx="460">
                  <c:v>19045.955023117276</c:v>
                </c:pt>
                <c:pt idx="461">
                  <c:v>18960.441545911199</c:v>
                </c:pt>
                <c:pt idx="462">
                  <c:v>18875.244728280675</c:v>
                </c:pt>
                <c:pt idx="463">
                  <c:v>18790.39052200166</c:v>
                </c:pt>
                <c:pt idx="464">
                  <c:v>18705.904774487401</c:v>
                </c:pt>
                <c:pt idx="465">
                  <c:v>18621.813220915003</c:v>
                </c:pt>
                <c:pt idx="466">
                  <c:v>18538.141476386321</c:v>
                </c:pt>
                <c:pt idx="467">
                  <c:v>18454.915028125266</c:v>
                </c:pt>
                <c:pt idx="468">
                  <c:v>18372.159227714223</c:v>
                </c:pt>
                <c:pt idx="469">
                  <c:v>18289.899283371658</c:v>
                </c:pt>
                <c:pt idx="470">
                  <c:v>18208.160252273497</c:v>
                </c:pt>
                <c:pt idx="471">
                  <c:v>18126.967032920445</c:v>
                </c:pt>
                <c:pt idx="472">
                  <c:v>18046.344357553633</c:v>
                </c:pt>
                <c:pt idx="473">
                  <c:v>17966.316784620998</c:v>
                </c:pt>
                <c:pt idx="474">
                  <c:v>17886.908691296507</c:v>
                </c:pt>
                <c:pt idx="475">
                  <c:v>17808.144266054613</c:v>
                </c:pt>
                <c:pt idx="476">
                  <c:v>17730.047501302262</c:v>
                </c:pt>
                <c:pt idx="477">
                  <c:v>17652.642186070549</c:v>
                </c:pt>
                <c:pt idx="478">
                  <c:v>17575.951898768315</c:v>
                </c:pt>
                <c:pt idx="479">
                  <c:v>17500.000000000004</c:v>
                </c:pt>
                <c:pt idx="480">
                  <c:v>17424.809625449729</c:v>
                </c:pt>
                <c:pt idx="481">
                  <c:v>17350.403678833973</c:v>
                </c:pt>
                <c:pt idx="482">
                  <c:v>17276.804824924868</c:v>
                </c:pt>
                <c:pt idx="483">
                  <c:v>17204.035482646264</c:v>
                </c:pt>
                <c:pt idx="484">
                  <c:v>17132.117818244773</c:v>
                </c:pt>
                <c:pt idx="485">
                  <c:v>17061.073738537634</c:v>
                </c:pt>
                <c:pt idx="486">
                  <c:v>16990.924884239765</c:v>
                </c:pt>
                <c:pt idx="487">
                  <c:v>16921.692623371709</c:v>
                </c:pt>
                <c:pt idx="488">
                  <c:v>16853.398044750815</c:v>
                </c:pt>
                <c:pt idx="489">
                  <c:v>16786.061951567306</c:v>
                </c:pt>
                <c:pt idx="490">
                  <c:v>16719.704855047465</c:v>
                </c:pt>
                <c:pt idx="491">
                  <c:v>16654.346968205708</c:v>
                </c:pt>
                <c:pt idx="492">
                  <c:v>16590.008199687505</c:v>
                </c:pt>
                <c:pt idx="493">
                  <c:v>16526.708147705016</c:v>
                </c:pt>
                <c:pt idx="494">
                  <c:v>16464.466094067262</c:v>
                </c:pt>
                <c:pt idx="495">
                  <c:v>16403.300998306746</c:v>
                </c:pt>
                <c:pt idx="496">
                  <c:v>16343.231491904147</c:v>
                </c:pt>
                <c:pt idx="497">
                  <c:v>16284.275872613032</c:v>
                </c:pt>
                <c:pt idx="498">
                  <c:v>16226.45209888614</c:v>
                </c:pt>
                <c:pt idx="499">
                  <c:v>16169.777784405114</c:v>
                </c:pt>
                <c:pt idx="500">
                  <c:v>16114.270192715148</c:v>
                </c:pt>
                <c:pt idx="501">
                  <c:v>16059.946231966391</c:v>
                </c:pt>
                <c:pt idx="502">
                  <c:v>16006.822449763538</c:v>
                </c:pt>
                <c:pt idx="503">
                  <c:v>15954.915028125264</c:v>
                </c:pt>
                <c:pt idx="504">
                  <c:v>15904.239778555046</c:v>
                </c:pt>
                <c:pt idx="505">
                  <c:v>15854.812137224793</c:v>
                </c:pt>
                <c:pt idx="506">
                  <c:v>15806.64716027288</c:v>
                </c:pt>
                <c:pt idx="507">
                  <c:v>15759.759519217869</c:v>
                </c:pt>
                <c:pt idx="508">
                  <c:v>15714.16349648944</c:v>
                </c:pt>
                <c:pt idx="509">
                  <c:v>15669.872981077806</c:v>
                </c:pt>
                <c:pt idx="510">
                  <c:v>15626.901464303024</c:v>
                </c:pt>
                <c:pt idx="511">
                  <c:v>15585.262035705366</c:v>
                </c:pt>
                <c:pt idx="512">
                  <c:v>15544.967379058158</c:v>
                </c:pt>
                <c:pt idx="513">
                  <c:v>15506.029768504166</c:v>
                </c:pt>
                <c:pt idx="514">
                  <c:v>15468.461064816751</c:v>
                </c:pt>
                <c:pt idx="515">
                  <c:v>15432.272711786998</c:v>
                </c:pt>
                <c:pt idx="516">
                  <c:v>15397.475732737799</c:v>
                </c:pt>
                <c:pt idx="517">
                  <c:v>15364.080727166067</c:v>
                </c:pt>
                <c:pt idx="518">
                  <c:v>15332.097867513992</c:v>
                </c:pt>
                <c:pt idx="519">
                  <c:v>15301.536896070458</c:v>
                </c:pt>
                <c:pt idx="520">
                  <c:v>15272.407122003417</c:v>
                </c:pt>
                <c:pt idx="521">
                  <c:v>15244.717418524233</c:v>
                </c:pt>
                <c:pt idx="522">
                  <c:v>15218.476220184823</c:v>
                </c:pt>
                <c:pt idx="523">
                  <c:v>15193.691520308405</c:v>
                </c:pt>
                <c:pt idx="524">
                  <c:v>15170.370868554659</c:v>
                </c:pt>
                <c:pt idx="525">
                  <c:v>15148.521368620017</c:v>
                </c:pt>
                <c:pt idx="526">
                  <c:v>15128.149676073825</c:v>
                </c:pt>
                <c:pt idx="527">
                  <c:v>15109.261996330972</c:v>
                </c:pt>
                <c:pt idx="528">
                  <c:v>15091.86408276168</c:v>
                </c:pt>
                <c:pt idx="529">
                  <c:v>15075.961234938961</c:v>
                </c:pt>
                <c:pt idx="530">
                  <c:v>15061.558297024312</c:v>
                </c:pt>
                <c:pt idx="531">
                  <c:v>15048.659656292148</c:v>
                </c:pt>
                <c:pt idx="532">
                  <c:v>15037.26924179339</c:v>
                </c:pt>
                <c:pt idx="533">
                  <c:v>15027.390523158632</c:v>
                </c:pt>
                <c:pt idx="534">
                  <c:v>15019.026509541272</c:v>
                </c:pt>
                <c:pt idx="535">
                  <c:v>15012.179748700879</c:v>
                </c:pt>
                <c:pt idx="536">
                  <c:v>15006.85232622713</c:v>
                </c:pt>
                <c:pt idx="537">
                  <c:v>15003.045864904521</c:v>
                </c:pt>
                <c:pt idx="538">
                  <c:v>15000.761524218044</c:v>
                </c:pt>
                <c:pt idx="539">
                  <c:v>15000</c:v>
                </c:pt>
                <c:pt idx="540">
                  <c:v>15000.761524218044</c:v>
                </c:pt>
                <c:pt idx="541">
                  <c:v>15003.045864904521</c:v>
                </c:pt>
                <c:pt idx="542">
                  <c:v>15006.85232622713</c:v>
                </c:pt>
                <c:pt idx="543">
                  <c:v>15012.179748700879</c:v>
                </c:pt>
                <c:pt idx="544">
                  <c:v>15019.026509541272</c:v>
                </c:pt>
                <c:pt idx="545">
                  <c:v>15027.390523158632</c:v>
                </c:pt>
                <c:pt idx="546">
                  <c:v>15037.26924179339</c:v>
                </c:pt>
                <c:pt idx="547">
                  <c:v>15048.659656292148</c:v>
                </c:pt>
                <c:pt idx="548">
                  <c:v>15061.55829702431</c:v>
                </c:pt>
                <c:pt idx="549">
                  <c:v>15075.961234938959</c:v>
                </c:pt>
                <c:pt idx="550">
                  <c:v>15091.864082761678</c:v>
                </c:pt>
                <c:pt idx="551">
                  <c:v>15109.26199633097</c:v>
                </c:pt>
                <c:pt idx="552">
                  <c:v>15128.149676073823</c:v>
                </c:pt>
                <c:pt idx="553">
                  <c:v>15148.521368620019</c:v>
                </c:pt>
                <c:pt idx="554">
                  <c:v>15170.370868554659</c:v>
                </c:pt>
                <c:pt idx="555">
                  <c:v>15193.691520308406</c:v>
                </c:pt>
                <c:pt idx="556">
                  <c:v>15218.476220184824</c:v>
                </c:pt>
                <c:pt idx="557">
                  <c:v>15244.717418524233</c:v>
                </c:pt>
                <c:pt idx="558">
                  <c:v>15272.407122003417</c:v>
                </c:pt>
                <c:pt idx="559">
                  <c:v>15301.536896070456</c:v>
                </c:pt>
                <c:pt idx="560">
                  <c:v>15332.097867513992</c:v>
                </c:pt>
                <c:pt idx="561">
                  <c:v>15364.08072716606</c:v>
                </c:pt>
                <c:pt idx="562">
                  <c:v>15397.475732737797</c:v>
                </c:pt>
                <c:pt idx="563">
                  <c:v>15432.272711786993</c:v>
                </c:pt>
                <c:pt idx="564">
                  <c:v>15468.461064816747</c:v>
                </c:pt>
                <c:pt idx="565">
                  <c:v>15506.029768504166</c:v>
                </c:pt>
                <c:pt idx="566">
                  <c:v>15544.967379058158</c:v>
                </c:pt>
                <c:pt idx="567">
                  <c:v>15585.262035705364</c:v>
                </c:pt>
                <c:pt idx="568">
                  <c:v>15626.90146430302</c:v>
                </c:pt>
                <c:pt idx="569">
                  <c:v>15669.87298107781</c:v>
                </c:pt>
                <c:pt idx="570">
                  <c:v>15714.163496489437</c:v>
                </c:pt>
                <c:pt idx="571">
                  <c:v>15759.759519217871</c:v>
                </c:pt>
                <c:pt idx="572">
                  <c:v>15806.647160272878</c:v>
                </c:pt>
                <c:pt idx="573">
                  <c:v>15854.812137224792</c:v>
                </c:pt>
                <c:pt idx="574">
                  <c:v>15904.239778555038</c:v>
                </c:pt>
                <c:pt idx="575">
                  <c:v>15954.915028125262</c:v>
                </c:pt>
                <c:pt idx="576">
                  <c:v>16006.822449763536</c:v>
                </c:pt>
                <c:pt idx="577">
                  <c:v>16059.946231966387</c:v>
                </c:pt>
                <c:pt idx="578">
                  <c:v>16114.270192715147</c:v>
                </c:pt>
                <c:pt idx="579">
                  <c:v>16169.777784405105</c:v>
                </c:pt>
                <c:pt idx="580">
                  <c:v>16226.452098886139</c:v>
                </c:pt>
                <c:pt idx="581">
                  <c:v>16284.275872613023</c:v>
                </c:pt>
                <c:pt idx="582">
                  <c:v>16343.231491904144</c:v>
                </c:pt>
                <c:pt idx="583">
                  <c:v>16403.300998306742</c:v>
                </c:pt>
                <c:pt idx="584">
                  <c:v>16464.466094067266</c:v>
                </c:pt>
                <c:pt idx="585">
                  <c:v>16526.708147705012</c:v>
                </c:pt>
                <c:pt idx="586">
                  <c:v>16590.008199687509</c:v>
                </c:pt>
                <c:pt idx="587">
                  <c:v>16654.346968205711</c:v>
                </c:pt>
                <c:pt idx="588">
                  <c:v>16719.704855047461</c:v>
                </c:pt>
                <c:pt idx="589">
                  <c:v>16786.061951567306</c:v>
                </c:pt>
                <c:pt idx="590">
                  <c:v>16853.398044750811</c:v>
                </c:pt>
                <c:pt idx="591">
                  <c:v>16921.692623371709</c:v>
                </c:pt>
                <c:pt idx="592">
                  <c:v>16990.924884239754</c:v>
                </c:pt>
                <c:pt idx="593">
                  <c:v>17061.073738537634</c:v>
                </c:pt>
                <c:pt idx="594">
                  <c:v>17132.117818244762</c:v>
                </c:pt>
                <c:pt idx="595">
                  <c:v>17204.035482646264</c:v>
                </c:pt>
                <c:pt idx="596">
                  <c:v>17276.804824924857</c:v>
                </c:pt>
                <c:pt idx="597">
                  <c:v>17350.403678833969</c:v>
                </c:pt>
                <c:pt idx="598">
                  <c:v>17424.809625449729</c:v>
                </c:pt>
                <c:pt idx="599">
                  <c:v>17500</c:v>
                </c:pt>
                <c:pt idx="600">
                  <c:v>17575.951898768319</c:v>
                </c:pt>
                <c:pt idx="601">
                  <c:v>17652.642186070545</c:v>
                </c:pt>
                <c:pt idx="602">
                  <c:v>17730.04750130227</c:v>
                </c:pt>
                <c:pt idx="603">
                  <c:v>17808.144266054609</c:v>
                </c:pt>
                <c:pt idx="604">
                  <c:v>17886.908691296503</c:v>
                </c:pt>
                <c:pt idx="605">
                  <c:v>17966.316784620994</c:v>
                </c:pt>
                <c:pt idx="606">
                  <c:v>18046.344357553629</c:v>
                </c:pt>
                <c:pt idx="607">
                  <c:v>18126.967032920435</c:v>
                </c:pt>
                <c:pt idx="608">
                  <c:v>18208.160252273494</c:v>
                </c:pt>
                <c:pt idx="609">
                  <c:v>18289.899283371655</c:v>
                </c:pt>
                <c:pt idx="610">
                  <c:v>18372.159227714212</c:v>
                </c:pt>
                <c:pt idx="611">
                  <c:v>18454.915028125262</c:v>
                </c:pt>
                <c:pt idx="612">
                  <c:v>18538.14147638631</c:v>
                </c:pt>
                <c:pt idx="613">
                  <c:v>18621.813220914999</c:v>
                </c:pt>
                <c:pt idx="614">
                  <c:v>18705.904774487397</c:v>
                </c:pt>
                <c:pt idx="615">
                  <c:v>18790.390522001664</c:v>
                </c:pt>
                <c:pt idx="616">
                  <c:v>18875.244728280672</c:v>
                </c:pt>
                <c:pt idx="617">
                  <c:v>18960.441545911206</c:v>
                </c:pt>
                <c:pt idx="618">
                  <c:v>19045.95502311728</c:v>
                </c:pt>
                <c:pt idx="619">
                  <c:v>19131.759111665346</c:v>
                </c:pt>
                <c:pt idx="620">
                  <c:v>19217.827674798849</c:v>
                </c:pt>
                <c:pt idx="621">
                  <c:v>19304.134495199669</c:v>
                </c:pt>
                <c:pt idx="622">
                  <c:v>19390.653282974265</c:v>
                </c:pt>
                <c:pt idx="623">
                  <c:v>19477.357683661729</c:v>
                </c:pt>
                <c:pt idx="624">
                  <c:v>19564.221286261709</c:v>
                </c:pt>
                <c:pt idx="625">
                  <c:v>19651.217631279367</c:v>
                </c:pt>
                <c:pt idx="626">
                  <c:v>19738.320218785277</c:v>
                </c:pt>
                <c:pt idx="627">
                  <c:v>19825.502516487486</c:v>
                </c:pt>
                <c:pt idx="628">
                  <c:v>19912.737967813577</c:v>
                </c:pt>
                <c:pt idx="629">
                  <c:v>19999.999999999996</c:v>
                </c:pt>
                <c:pt idx="630">
                  <c:v>20087.26203218642</c:v>
                </c:pt>
                <c:pt idx="631">
                  <c:v>20174.497483512499</c:v>
                </c:pt>
                <c:pt idx="632">
                  <c:v>20261.67978121472</c:v>
                </c:pt>
                <c:pt idx="633">
                  <c:v>20348.782368720629</c:v>
                </c:pt>
                <c:pt idx="634">
                  <c:v>20435.778713738287</c:v>
                </c:pt>
                <c:pt idx="635">
                  <c:v>20522.642316338268</c:v>
                </c:pt>
                <c:pt idx="636">
                  <c:v>20609.346717025732</c:v>
                </c:pt>
                <c:pt idx="637">
                  <c:v>20695.865504800327</c:v>
                </c:pt>
                <c:pt idx="638">
                  <c:v>20782.172325201147</c:v>
                </c:pt>
                <c:pt idx="639">
                  <c:v>20868.240888334647</c:v>
                </c:pt>
                <c:pt idx="640">
                  <c:v>20954.044976882724</c:v>
                </c:pt>
                <c:pt idx="641">
                  <c:v>21039.55845408879</c:v>
                </c:pt>
                <c:pt idx="642">
                  <c:v>21124.755271719325</c:v>
                </c:pt>
                <c:pt idx="643">
                  <c:v>21209.609477998332</c:v>
                </c:pt>
                <c:pt idx="644">
                  <c:v>21294.095225512599</c:v>
                </c:pt>
                <c:pt idx="645">
                  <c:v>21378.186779084997</c:v>
                </c:pt>
                <c:pt idx="646">
                  <c:v>21461.858523613686</c:v>
                </c:pt>
                <c:pt idx="647">
                  <c:v>21545.084971874734</c:v>
                </c:pt>
                <c:pt idx="648">
                  <c:v>21627.840772285785</c:v>
                </c:pt>
                <c:pt idx="649">
                  <c:v>21710.100716628338</c:v>
                </c:pt>
                <c:pt idx="650">
                  <c:v>21791.839747726503</c:v>
                </c:pt>
                <c:pt idx="651">
                  <c:v>21873.032967079555</c:v>
                </c:pt>
                <c:pt idx="652">
                  <c:v>21953.655642446374</c:v>
                </c:pt>
                <c:pt idx="653">
                  <c:v>22033.683215379002</c:v>
                </c:pt>
                <c:pt idx="654">
                  <c:v>22113.091308703493</c:v>
                </c:pt>
                <c:pt idx="655">
                  <c:v>22191.855733945376</c:v>
                </c:pt>
                <c:pt idx="656">
                  <c:v>22269.952498697734</c:v>
                </c:pt>
                <c:pt idx="657">
                  <c:v>22347.357813929451</c:v>
                </c:pt>
                <c:pt idx="658">
                  <c:v>22424.048101231678</c:v>
                </c:pt>
                <c:pt idx="659">
                  <c:v>22499.999999999996</c:v>
                </c:pt>
                <c:pt idx="660">
                  <c:v>22575.190374550271</c:v>
                </c:pt>
                <c:pt idx="661">
                  <c:v>22649.596321166027</c:v>
                </c:pt>
                <c:pt idx="662">
                  <c:v>22723.195175075132</c:v>
                </c:pt>
                <c:pt idx="663">
                  <c:v>22795.964517353736</c:v>
                </c:pt>
                <c:pt idx="664">
                  <c:v>22867.882181755234</c:v>
                </c:pt>
                <c:pt idx="665">
                  <c:v>22938.926261462366</c:v>
                </c:pt>
                <c:pt idx="666">
                  <c:v>23009.075115760235</c:v>
                </c:pt>
                <c:pt idx="667">
                  <c:v>23078.307376628294</c:v>
                </c:pt>
                <c:pt idx="668">
                  <c:v>23146.601955249185</c:v>
                </c:pt>
                <c:pt idx="669">
                  <c:v>23213.93804843269</c:v>
                </c:pt>
                <c:pt idx="670">
                  <c:v>23280.295144952528</c:v>
                </c:pt>
                <c:pt idx="671">
                  <c:v>23345.653031794292</c:v>
                </c:pt>
                <c:pt idx="672">
                  <c:v>23409.991800312488</c:v>
                </c:pt>
                <c:pt idx="673">
                  <c:v>23473.29185229498</c:v>
                </c:pt>
                <c:pt idx="674">
                  <c:v>23535.533905932738</c:v>
                </c:pt>
                <c:pt idx="675">
                  <c:v>23596.699001693254</c:v>
                </c:pt>
                <c:pt idx="676">
                  <c:v>23656.768508095851</c:v>
                </c:pt>
                <c:pt idx="677">
                  <c:v>23715.724127386966</c:v>
                </c:pt>
                <c:pt idx="678">
                  <c:v>23773.54790111386</c:v>
                </c:pt>
                <c:pt idx="679">
                  <c:v>23830.222215594891</c:v>
                </c:pt>
                <c:pt idx="680">
                  <c:v>23885.72980728485</c:v>
                </c:pt>
                <c:pt idx="681">
                  <c:v>23940.053768033606</c:v>
                </c:pt>
                <c:pt idx="682">
                  <c:v>23993.177550236465</c:v>
                </c:pt>
                <c:pt idx="683">
                  <c:v>24045.084971874734</c:v>
                </c:pt>
                <c:pt idx="684">
                  <c:v>24095.760221444954</c:v>
                </c:pt>
                <c:pt idx="685">
                  <c:v>24145.187862775212</c:v>
                </c:pt>
                <c:pt idx="686">
                  <c:v>24193.352839727118</c:v>
                </c:pt>
                <c:pt idx="687">
                  <c:v>24240.240480782126</c:v>
                </c:pt>
                <c:pt idx="688">
                  <c:v>24285.836503510556</c:v>
                </c:pt>
                <c:pt idx="689">
                  <c:v>24330.127018922194</c:v>
                </c:pt>
                <c:pt idx="690">
                  <c:v>24373.098535696976</c:v>
                </c:pt>
                <c:pt idx="691">
                  <c:v>24414.737964294633</c:v>
                </c:pt>
                <c:pt idx="692">
                  <c:v>24455.032620941834</c:v>
                </c:pt>
                <c:pt idx="693">
                  <c:v>24493.970231495834</c:v>
                </c:pt>
                <c:pt idx="694">
                  <c:v>24531.538935183249</c:v>
                </c:pt>
                <c:pt idx="695">
                  <c:v>24567.727288213002</c:v>
                </c:pt>
                <c:pt idx="696">
                  <c:v>24602.524267262204</c:v>
                </c:pt>
                <c:pt idx="697">
                  <c:v>24635.919272833937</c:v>
                </c:pt>
                <c:pt idx="698">
                  <c:v>24667.902132486008</c:v>
                </c:pt>
                <c:pt idx="699">
                  <c:v>24698.463103929538</c:v>
                </c:pt>
                <c:pt idx="700">
                  <c:v>24727.592877996583</c:v>
                </c:pt>
                <c:pt idx="701">
                  <c:v>24755.282581475767</c:v>
                </c:pt>
                <c:pt idx="702">
                  <c:v>24781.523779815176</c:v>
                </c:pt>
                <c:pt idx="703">
                  <c:v>24806.308479691594</c:v>
                </c:pt>
                <c:pt idx="704">
                  <c:v>24829.629131445341</c:v>
                </c:pt>
                <c:pt idx="705">
                  <c:v>24851.478631379981</c:v>
                </c:pt>
                <c:pt idx="706">
                  <c:v>24871.850323926177</c:v>
                </c:pt>
                <c:pt idx="707">
                  <c:v>24890.73800366903</c:v>
                </c:pt>
                <c:pt idx="708">
                  <c:v>24908.13591723832</c:v>
                </c:pt>
                <c:pt idx="709">
                  <c:v>24924.038765061039</c:v>
                </c:pt>
                <c:pt idx="710">
                  <c:v>24938.441702975688</c:v>
                </c:pt>
                <c:pt idx="711">
                  <c:v>24951.340343707852</c:v>
                </c:pt>
                <c:pt idx="712">
                  <c:v>24962.73075820661</c:v>
                </c:pt>
                <c:pt idx="713">
                  <c:v>24972.609476841368</c:v>
                </c:pt>
                <c:pt idx="714">
                  <c:v>24980.973490458728</c:v>
                </c:pt>
                <c:pt idx="715">
                  <c:v>24987.820251299123</c:v>
                </c:pt>
                <c:pt idx="716">
                  <c:v>24993.14767377287</c:v>
                </c:pt>
                <c:pt idx="717">
                  <c:v>24996.954135095479</c:v>
                </c:pt>
                <c:pt idx="718">
                  <c:v>24999.238475781956</c:v>
                </c:pt>
                <c:pt idx="719">
                  <c:v>25000</c:v>
                </c:pt>
                <c:pt idx="720">
                  <c:v>24999.238475781956</c:v>
                </c:pt>
                <c:pt idx="721">
                  <c:v>24996.954135095479</c:v>
                </c:pt>
                <c:pt idx="722">
                  <c:v>24993.14767377287</c:v>
                </c:pt>
                <c:pt idx="723">
                  <c:v>24987.820251299123</c:v>
                </c:pt>
                <c:pt idx="724">
                  <c:v>24980.973490458728</c:v>
                </c:pt>
                <c:pt idx="725">
                  <c:v>24972.609476841368</c:v>
                </c:pt>
                <c:pt idx="726">
                  <c:v>24962.73075820661</c:v>
                </c:pt>
                <c:pt idx="727">
                  <c:v>24951.340343707852</c:v>
                </c:pt>
                <c:pt idx="728">
                  <c:v>24938.441702975688</c:v>
                </c:pt>
                <c:pt idx="729">
                  <c:v>24924.038765061039</c:v>
                </c:pt>
                <c:pt idx="730">
                  <c:v>24908.13591723832</c:v>
                </c:pt>
                <c:pt idx="731">
                  <c:v>24890.73800366903</c:v>
                </c:pt>
                <c:pt idx="732">
                  <c:v>24871.850323926177</c:v>
                </c:pt>
                <c:pt idx="733">
                  <c:v>24851.478631379981</c:v>
                </c:pt>
                <c:pt idx="734">
                  <c:v>24829.629131445341</c:v>
                </c:pt>
                <c:pt idx="735">
                  <c:v>24806.308479691597</c:v>
                </c:pt>
                <c:pt idx="736">
                  <c:v>24781.523779815176</c:v>
                </c:pt>
                <c:pt idx="737">
                  <c:v>24755.282581475767</c:v>
                </c:pt>
                <c:pt idx="738">
                  <c:v>24727.592877996583</c:v>
                </c:pt>
                <c:pt idx="739">
                  <c:v>24698.463103929542</c:v>
                </c:pt>
                <c:pt idx="740">
                  <c:v>24667.902132486008</c:v>
                </c:pt>
                <c:pt idx="741">
                  <c:v>24635.919272833937</c:v>
                </c:pt>
                <c:pt idx="742">
                  <c:v>24602.524267262204</c:v>
                </c:pt>
                <c:pt idx="743">
                  <c:v>24567.727288213006</c:v>
                </c:pt>
                <c:pt idx="744">
                  <c:v>24531.538935183249</c:v>
                </c:pt>
                <c:pt idx="745">
                  <c:v>24493.970231495834</c:v>
                </c:pt>
                <c:pt idx="746">
                  <c:v>24455.032620941842</c:v>
                </c:pt>
                <c:pt idx="747">
                  <c:v>24414.737964294633</c:v>
                </c:pt>
                <c:pt idx="748">
                  <c:v>24373.09853569698</c:v>
                </c:pt>
                <c:pt idx="749">
                  <c:v>24330.127018922198</c:v>
                </c:pt>
                <c:pt idx="750">
                  <c:v>24285.836503510567</c:v>
                </c:pt>
                <c:pt idx="751">
                  <c:v>24240.240480782129</c:v>
                </c:pt>
                <c:pt idx="752">
                  <c:v>24193.352839727122</c:v>
                </c:pt>
                <c:pt idx="753">
                  <c:v>24145.187862775208</c:v>
                </c:pt>
                <c:pt idx="754">
                  <c:v>24095.760221444962</c:v>
                </c:pt>
                <c:pt idx="755">
                  <c:v>24045.084971874738</c:v>
                </c:pt>
                <c:pt idx="756">
                  <c:v>23993.177550236462</c:v>
                </c:pt>
                <c:pt idx="757">
                  <c:v>23940.053768033613</c:v>
                </c:pt>
                <c:pt idx="758">
                  <c:v>23885.729807284857</c:v>
                </c:pt>
                <c:pt idx="759">
                  <c:v>23830.222215594888</c:v>
                </c:pt>
                <c:pt idx="760">
                  <c:v>23773.547901113863</c:v>
                </c:pt>
                <c:pt idx="761">
                  <c:v>23715.724127386977</c:v>
                </c:pt>
                <c:pt idx="762">
                  <c:v>23656.768508095851</c:v>
                </c:pt>
                <c:pt idx="763">
                  <c:v>23596.699001693258</c:v>
                </c:pt>
                <c:pt idx="764">
                  <c:v>23535.533905932742</c:v>
                </c:pt>
                <c:pt idx="765">
                  <c:v>23473.291852294995</c:v>
                </c:pt>
                <c:pt idx="766">
                  <c:v>23409.991800312491</c:v>
                </c:pt>
                <c:pt idx="767">
                  <c:v>23345.653031794296</c:v>
                </c:pt>
                <c:pt idx="768">
                  <c:v>23280.295144952539</c:v>
                </c:pt>
                <c:pt idx="769">
                  <c:v>23213.938048432698</c:v>
                </c:pt>
                <c:pt idx="770">
                  <c:v>23146.601955249189</c:v>
                </c:pt>
                <c:pt idx="771">
                  <c:v>23078.307376628291</c:v>
                </c:pt>
                <c:pt idx="772">
                  <c:v>23009.075115760246</c:v>
                </c:pt>
                <c:pt idx="773">
                  <c:v>22938.926261462362</c:v>
                </c:pt>
                <c:pt idx="774">
                  <c:v>22867.882181755231</c:v>
                </c:pt>
                <c:pt idx="775">
                  <c:v>22795.964517353739</c:v>
                </c:pt>
                <c:pt idx="776">
                  <c:v>22723.195175075143</c:v>
                </c:pt>
                <c:pt idx="777">
                  <c:v>22649.596321166024</c:v>
                </c:pt>
                <c:pt idx="778">
                  <c:v>22575.190374550275</c:v>
                </c:pt>
                <c:pt idx="779">
                  <c:v>22500.000000000007</c:v>
                </c:pt>
                <c:pt idx="780">
                  <c:v>22424.048101231681</c:v>
                </c:pt>
                <c:pt idx="781">
                  <c:v>22347.357813929455</c:v>
                </c:pt>
                <c:pt idx="782">
                  <c:v>22269.952498697741</c:v>
                </c:pt>
                <c:pt idx="783">
                  <c:v>22191.855733945391</c:v>
                </c:pt>
                <c:pt idx="784">
                  <c:v>22113.091308703497</c:v>
                </c:pt>
                <c:pt idx="785">
                  <c:v>22033.683215379006</c:v>
                </c:pt>
                <c:pt idx="786">
                  <c:v>21953.655642446371</c:v>
                </c:pt>
                <c:pt idx="787">
                  <c:v>21873.032967079569</c:v>
                </c:pt>
                <c:pt idx="788">
                  <c:v>21791.839747726495</c:v>
                </c:pt>
                <c:pt idx="789">
                  <c:v>21710.100716628345</c:v>
                </c:pt>
                <c:pt idx="790">
                  <c:v>21627.840772285788</c:v>
                </c:pt>
                <c:pt idx="791">
                  <c:v>21545.08497187473</c:v>
                </c:pt>
                <c:pt idx="792">
                  <c:v>21461.858523613682</c:v>
                </c:pt>
                <c:pt idx="793">
                  <c:v>21378.186779085001</c:v>
                </c:pt>
                <c:pt idx="794">
                  <c:v>21294.095225512614</c:v>
                </c:pt>
                <c:pt idx="795">
                  <c:v>21209.609477998336</c:v>
                </c:pt>
                <c:pt idx="796">
                  <c:v>21124.755271719328</c:v>
                </c:pt>
                <c:pt idx="797">
                  <c:v>21039.558454088805</c:v>
                </c:pt>
                <c:pt idx="798">
                  <c:v>20954.044976882727</c:v>
                </c:pt>
                <c:pt idx="799">
                  <c:v>20868.240888334654</c:v>
                </c:pt>
                <c:pt idx="800">
                  <c:v>20782.172325201162</c:v>
                </c:pt>
                <c:pt idx="801">
                  <c:v>20695.865504800331</c:v>
                </c:pt>
                <c:pt idx="802">
                  <c:v>20609.346717025739</c:v>
                </c:pt>
                <c:pt idx="803">
                  <c:v>20522.642316338264</c:v>
                </c:pt>
                <c:pt idx="804">
                  <c:v>20435.778713738295</c:v>
                </c:pt>
                <c:pt idx="805">
                  <c:v>20348.782368720633</c:v>
                </c:pt>
                <c:pt idx="806">
                  <c:v>20261.679781214716</c:v>
                </c:pt>
                <c:pt idx="807">
                  <c:v>20174.497483512507</c:v>
                </c:pt>
                <c:pt idx="808">
                  <c:v>20087.262032186423</c:v>
                </c:pt>
                <c:pt idx="809">
                  <c:v>20000.000000000011</c:v>
                </c:pt>
                <c:pt idx="810">
                  <c:v>19912.73796781358</c:v>
                </c:pt>
                <c:pt idx="811">
                  <c:v>19825.502516487501</c:v>
                </c:pt>
                <c:pt idx="812">
                  <c:v>19738.320218785291</c:v>
                </c:pt>
                <c:pt idx="813">
                  <c:v>19651.217631279371</c:v>
                </c:pt>
                <c:pt idx="814">
                  <c:v>19564.221286261713</c:v>
                </c:pt>
                <c:pt idx="815">
                  <c:v>19477.357683661743</c:v>
                </c:pt>
                <c:pt idx="816">
                  <c:v>19390.653282974268</c:v>
                </c:pt>
                <c:pt idx="817">
                  <c:v>19304.134495199676</c:v>
                </c:pt>
                <c:pt idx="818">
                  <c:v>19217.827674798846</c:v>
                </c:pt>
                <c:pt idx="819">
                  <c:v>19131.759111665353</c:v>
                </c:pt>
                <c:pt idx="820">
                  <c:v>19045.955023117283</c:v>
                </c:pt>
                <c:pt idx="821">
                  <c:v>18960.441545911199</c:v>
                </c:pt>
                <c:pt idx="822">
                  <c:v>18875.244728280679</c:v>
                </c:pt>
                <c:pt idx="823">
                  <c:v>18790.390522001668</c:v>
                </c:pt>
                <c:pt idx="824">
                  <c:v>18705.904774487393</c:v>
                </c:pt>
                <c:pt idx="825">
                  <c:v>18621.813220915006</c:v>
                </c:pt>
                <c:pt idx="826">
                  <c:v>18538.141476386321</c:v>
                </c:pt>
                <c:pt idx="827">
                  <c:v>18454.915028125273</c:v>
                </c:pt>
                <c:pt idx="828">
                  <c:v>18372.159227714215</c:v>
                </c:pt>
                <c:pt idx="829">
                  <c:v>18289.899283371662</c:v>
                </c:pt>
                <c:pt idx="830">
                  <c:v>18208.160252273501</c:v>
                </c:pt>
                <c:pt idx="831">
                  <c:v>18126.967032920438</c:v>
                </c:pt>
                <c:pt idx="832">
                  <c:v>18046.344357553633</c:v>
                </c:pt>
                <c:pt idx="833">
                  <c:v>17966.316784620998</c:v>
                </c:pt>
                <c:pt idx="834">
                  <c:v>17886.908691296507</c:v>
                </c:pt>
                <c:pt idx="835">
                  <c:v>17808.144266054616</c:v>
                </c:pt>
                <c:pt idx="836">
                  <c:v>17730.047501302266</c:v>
                </c:pt>
                <c:pt idx="837">
                  <c:v>17652.642186070549</c:v>
                </c:pt>
                <c:pt idx="838">
                  <c:v>17575.951898768322</c:v>
                </c:pt>
                <c:pt idx="839">
                  <c:v>17499.999999999996</c:v>
                </c:pt>
                <c:pt idx="840">
                  <c:v>17424.809625449732</c:v>
                </c:pt>
                <c:pt idx="841">
                  <c:v>17350.40367883398</c:v>
                </c:pt>
                <c:pt idx="842">
                  <c:v>17276.80482492486</c:v>
                </c:pt>
                <c:pt idx="843">
                  <c:v>17204.035482646268</c:v>
                </c:pt>
                <c:pt idx="844">
                  <c:v>17132.117818244777</c:v>
                </c:pt>
                <c:pt idx="845">
                  <c:v>17061.073738537638</c:v>
                </c:pt>
                <c:pt idx="846">
                  <c:v>16990.924884239757</c:v>
                </c:pt>
                <c:pt idx="847">
                  <c:v>16921.692623371713</c:v>
                </c:pt>
                <c:pt idx="848">
                  <c:v>16853.398044750815</c:v>
                </c:pt>
                <c:pt idx="849">
                  <c:v>16786.06195156731</c:v>
                </c:pt>
                <c:pt idx="850">
                  <c:v>16719.704855047465</c:v>
                </c:pt>
                <c:pt idx="851">
                  <c:v>16654.346968205708</c:v>
                </c:pt>
                <c:pt idx="852">
                  <c:v>16590.008199687512</c:v>
                </c:pt>
                <c:pt idx="853">
                  <c:v>16526.708147705009</c:v>
                </c:pt>
                <c:pt idx="854">
                  <c:v>16464.466094067262</c:v>
                </c:pt>
                <c:pt idx="855">
                  <c:v>16403.300998306746</c:v>
                </c:pt>
                <c:pt idx="856">
                  <c:v>16343.231491904153</c:v>
                </c:pt>
                <c:pt idx="857">
                  <c:v>16284.275872613027</c:v>
                </c:pt>
                <c:pt idx="858">
                  <c:v>16226.452098886142</c:v>
                </c:pt>
                <c:pt idx="859">
                  <c:v>16169.777784405114</c:v>
                </c:pt>
                <c:pt idx="860">
                  <c:v>16114.270192715148</c:v>
                </c:pt>
                <c:pt idx="861">
                  <c:v>16059.946231966391</c:v>
                </c:pt>
                <c:pt idx="862">
                  <c:v>16006.82244976354</c:v>
                </c:pt>
                <c:pt idx="863">
                  <c:v>15954.915028125264</c:v>
                </c:pt>
                <c:pt idx="864">
                  <c:v>15904.239778555042</c:v>
                </c:pt>
                <c:pt idx="865">
                  <c:v>15854.812137224788</c:v>
                </c:pt>
                <c:pt idx="866">
                  <c:v>15806.647160272882</c:v>
                </c:pt>
                <c:pt idx="867">
                  <c:v>15759.759519217874</c:v>
                </c:pt>
                <c:pt idx="868">
                  <c:v>15714.163496489437</c:v>
                </c:pt>
                <c:pt idx="869">
                  <c:v>15669.872981077806</c:v>
                </c:pt>
                <c:pt idx="870">
                  <c:v>15626.901464303024</c:v>
                </c:pt>
                <c:pt idx="871">
                  <c:v>15585.262035705371</c:v>
                </c:pt>
                <c:pt idx="872">
                  <c:v>15544.96737905816</c:v>
                </c:pt>
                <c:pt idx="873">
                  <c:v>15506.029768504166</c:v>
                </c:pt>
                <c:pt idx="874">
                  <c:v>15468.461064816755</c:v>
                </c:pt>
                <c:pt idx="875">
                  <c:v>15432.272711786994</c:v>
                </c:pt>
                <c:pt idx="876">
                  <c:v>15397.475732737799</c:v>
                </c:pt>
                <c:pt idx="877">
                  <c:v>15364.080727166067</c:v>
                </c:pt>
                <c:pt idx="878">
                  <c:v>15332.097867513992</c:v>
                </c:pt>
                <c:pt idx="879">
                  <c:v>15301.536896070458</c:v>
                </c:pt>
                <c:pt idx="880">
                  <c:v>15272.407122003415</c:v>
                </c:pt>
                <c:pt idx="881">
                  <c:v>15244.717418524233</c:v>
                </c:pt>
                <c:pt idx="882">
                  <c:v>15218.476220184824</c:v>
                </c:pt>
                <c:pt idx="883">
                  <c:v>15193.691520308405</c:v>
                </c:pt>
                <c:pt idx="884">
                  <c:v>15170.370868554659</c:v>
                </c:pt>
                <c:pt idx="885">
                  <c:v>15148.521368620019</c:v>
                </c:pt>
                <c:pt idx="886">
                  <c:v>15128.149676073823</c:v>
                </c:pt>
                <c:pt idx="887">
                  <c:v>15109.261996330972</c:v>
                </c:pt>
                <c:pt idx="888">
                  <c:v>15091.86408276168</c:v>
                </c:pt>
                <c:pt idx="889">
                  <c:v>15075.961234938961</c:v>
                </c:pt>
                <c:pt idx="890">
                  <c:v>15061.558297024312</c:v>
                </c:pt>
                <c:pt idx="891">
                  <c:v>15048.659656292148</c:v>
                </c:pt>
                <c:pt idx="892">
                  <c:v>15037.26924179339</c:v>
                </c:pt>
                <c:pt idx="893">
                  <c:v>15027.390523158634</c:v>
                </c:pt>
                <c:pt idx="894">
                  <c:v>15019.026509541272</c:v>
                </c:pt>
                <c:pt idx="895">
                  <c:v>15012.179748700877</c:v>
                </c:pt>
                <c:pt idx="896">
                  <c:v>15006.85232622713</c:v>
                </c:pt>
                <c:pt idx="897">
                  <c:v>15003.045864904521</c:v>
                </c:pt>
                <c:pt idx="898">
                  <c:v>15000.761524218044</c:v>
                </c:pt>
                <c:pt idx="899">
                  <c:v>15000</c:v>
                </c:pt>
                <c:pt idx="900">
                  <c:v>15000.761524218044</c:v>
                </c:pt>
                <c:pt idx="901">
                  <c:v>15003.045864904521</c:v>
                </c:pt>
                <c:pt idx="902">
                  <c:v>15006.85232622713</c:v>
                </c:pt>
                <c:pt idx="903">
                  <c:v>15012.179748700877</c:v>
                </c:pt>
                <c:pt idx="904">
                  <c:v>15019.026509541272</c:v>
                </c:pt>
                <c:pt idx="905">
                  <c:v>15027.390523158632</c:v>
                </c:pt>
                <c:pt idx="906">
                  <c:v>15037.269241793389</c:v>
                </c:pt>
                <c:pt idx="907">
                  <c:v>15048.659656292148</c:v>
                </c:pt>
                <c:pt idx="908">
                  <c:v>15061.558297024312</c:v>
                </c:pt>
                <c:pt idx="909">
                  <c:v>15075.961234938959</c:v>
                </c:pt>
                <c:pt idx="910">
                  <c:v>15091.86408276168</c:v>
                </c:pt>
                <c:pt idx="911">
                  <c:v>15109.26199633097</c:v>
                </c:pt>
                <c:pt idx="912">
                  <c:v>15128.149676073823</c:v>
                </c:pt>
                <c:pt idx="913">
                  <c:v>15148.521368620019</c:v>
                </c:pt>
                <c:pt idx="914">
                  <c:v>15170.370868554657</c:v>
                </c:pt>
                <c:pt idx="915">
                  <c:v>15193.691520308403</c:v>
                </c:pt>
                <c:pt idx="916">
                  <c:v>15218.476220184821</c:v>
                </c:pt>
                <c:pt idx="917">
                  <c:v>15244.717418524229</c:v>
                </c:pt>
                <c:pt idx="918">
                  <c:v>15272.407122003417</c:v>
                </c:pt>
                <c:pt idx="919">
                  <c:v>15301.536896070456</c:v>
                </c:pt>
                <c:pt idx="920">
                  <c:v>15332.097867513994</c:v>
                </c:pt>
                <c:pt idx="921">
                  <c:v>15364.080727166063</c:v>
                </c:pt>
                <c:pt idx="922">
                  <c:v>15397.475732737797</c:v>
                </c:pt>
                <c:pt idx="923">
                  <c:v>15432.272711786998</c:v>
                </c:pt>
                <c:pt idx="924">
                  <c:v>15468.461064816751</c:v>
                </c:pt>
                <c:pt idx="925">
                  <c:v>15506.029768504164</c:v>
                </c:pt>
                <c:pt idx="926">
                  <c:v>15544.967379058158</c:v>
                </c:pt>
                <c:pt idx="927">
                  <c:v>15585.262035705367</c:v>
                </c:pt>
                <c:pt idx="928">
                  <c:v>15626.90146430302</c:v>
                </c:pt>
                <c:pt idx="929">
                  <c:v>15669.872981077804</c:v>
                </c:pt>
                <c:pt idx="930">
                  <c:v>15714.163496489442</c:v>
                </c:pt>
                <c:pt idx="931">
                  <c:v>15759.759519217871</c:v>
                </c:pt>
                <c:pt idx="932">
                  <c:v>15806.647160272878</c:v>
                </c:pt>
                <c:pt idx="933">
                  <c:v>15854.812137224786</c:v>
                </c:pt>
                <c:pt idx="934">
                  <c:v>15904.239778555042</c:v>
                </c:pt>
                <c:pt idx="935">
                  <c:v>15954.915028125261</c:v>
                </c:pt>
                <c:pt idx="936">
                  <c:v>16006.822449763531</c:v>
                </c:pt>
                <c:pt idx="937">
                  <c:v>16059.946231966382</c:v>
                </c:pt>
                <c:pt idx="938">
                  <c:v>16114.270192715145</c:v>
                </c:pt>
                <c:pt idx="939">
                  <c:v>16169.777784405105</c:v>
                </c:pt>
                <c:pt idx="940">
                  <c:v>16226.452098886131</c:v>
                </c:pt>
                <c:pt idx="941">
                  <c:v>16284.275872613029</c:v>
                </c:pt>
                <c:pt idx="942">
                  <c:v>16343.231491904144</c:v>
                </c:pt>
                <c:pt idx="943">
                  <c:v>16403.300998306739</c:v>
                </c:pt>
                <c:pt idx="944">
                  <c:v>16464.466094067251</c:v>
                </c:pt>
                <c:pt idx="945">
                  <c:v>16526.708147705009</c:v>
                </c:pt>
                <c:pt idx="946">
                  <c:v>16590.008199687501</c:v>
                </c:pt>
                <c:pt idx="947">
                  <c:v>16654.346968205711</c:v>
                </c:pt>
                <c:pt idx="948">
                  <c:v>16719.704855047461</c:v>
                </c:pt>
                <c:pt idx="949">
                  <c:v>16786.061951567295</c:v>
                </c:pt>
                <c:pt idx="950">
                  <c:v>16853.398044750815</c:v>
                </c:pt>
                <c:pt idx="951">
                  <c:v>16921.692623371706</c:v>
                </c:pt>
                <c:pt idx="952">
                  <c:v>16990.924884239754</c:v>
                </c:pt>
                <c:pt idx="953">
                  <c:v>17061.073738537638</c:v>
                </c:pt>
                <c:pt idx="954">
                  <c:v>17132.117818244769</c:v>
                </c:pt>
                <c:pt idx="955">
                  <c:v>17204.035482646261</c:v>
                </c:pt>
                <c:pt idx="956">
                  <c:v>17276.804824924871</c:v>
                </c:pt>
                <c:pt idx="957">
                  <c:v>17350.403678833976</c:v>
                </c:pt>
                <c:pt idx="958">
                  <c:v>17424.809625449725</c:v>
                </c:pt>
                <c:pt idx="959">
                  <c:v>17499.999999999993</c:v>
                </c:pt>
                <c:pt idx="960">
                  <c:v>17575.951898768319</c:v>
                </c:pt>
                <c:pt idx="961">
                  <c:v>17652.642186070545</c:v>
                </c:pt>
                <c:pt idx="962">
                  <c:v>17730.047501302259</c:v>
                </c:pt>
                <c:pt idx="963">
                  <c:v>17808.144266054616</c:v>
                </c:pt>
                <c:pt idx="964">
                  <c:v>17886.908691296503</c:v>
                </c:pt>
                <c:pt idx="965">
                  <c:v>17966.316784620994</c:v>
                </c:pt>
                <c:pt idx="966">
                  <c:v>18046.344357553622</c:v>
                </c:pt>
                <c:pt idx="967">
                  <c:v>18126.967032920442</c:v>
                </c:pt>
                <c:pt idx="968">
                  <c:v>18208.160252273494</c:v>
                </c:pt>
                <c:pt idx="969">
                  <c:v>18289.899283371647</c:v>
                </c:pt>
                <c:pt idx="970">
                  <c:v>18372.159227714219</c:v>
                </c:pt>
                <c:pt idx="971">
                  <c:v>18454.915028125259</c:v>
                </c:pt>
                <c:pt idx="972">
                  <c:v>18538.141476386307</c:v>
                </c:pt>
                <c:pt idx="973">
                  <c:v>18621.813220914992</c:v>
                </c:pt>
                <c:pt idx="974">
                  <c:v>18705.904774487393</c:v>
                </c:pt>
                <c:pt idx="975">
                  <c:v>18790.390522001653</c:v>
                </c:pt>
                <c:pt idx="976">
                  <c:v>18875.244728280664</c:v>
                </c:pt>
                <c:pt idx="977">
                  <c:v>18960.441545911202</c:v>
                </c:pt>
                <c:pt idx="978">
                  <c:v>19045.955023117269</c:v>
                </c:pt>
                <c:pt idx="979">
                  <c:v>19131.759111665338</c:v>
                </c:pt>
                <c:pt idx="980">
                  <c:v>19217.827674798846</c:v>
                </c:pt>
                <c:pt idx="981">
                  <c:v>19304.134495199669</c:v>
                </c:pt>
                <c:pt idx="982">
                  <c:v>19390.653282974272</c:v>
                </c:pt>
                <c:pt idx="983">
                  <c:v>19477.357683661736</c:v>
                </c:pt>
                <c:pt idx="984">
                  <c:v>19564.221286261705</c:v>
                </c:pt>
                <c:pt idx="985">
                  <c:v>19651.217631279382</c:v>
                </c:pt>
                <c:pt idx="986">
                  <c:v>19738.320218785284</c:v>
                </c:pt>
                <c:pt idx="987">
                  <c:v>19825.502516487493</c:v>
                </c:pt>
                <c:pt idx="988">
                  <c:v>19912.737967813577</c:v>
                </c:pt>
                <c:pt idx="989">
                  <c:v>20000.000000000007</c:v>
                </c:pt>
                <c:pt idx="990">
                  <c:v>20087.262032186416</c:v>
                </c:pt>
                <c:pt idx="991">
                  <c:v>20174.497483512499</c:v>
                </c:pt>
                <c:pt idx="992">
                  <c:v>20261.679781214727</c:v>
                </c:pt>
                <c:pt idx="993">
                  <c:v>20348.782368720629</c:v>
                </c:pt>
                <c:pt idx="994">
                  <c:v>20435.778713738287</c:v>
                </c:pt>
                <c:pt idx="995">
                  <c:v>20522.642316338257</c:v>
                </c:pt>
                <c:pt idx="996">
                  <c:v>20609.346717025739</c:v>
                </c:pt>
                <c:pt idx="997">
                  <c:v>20695.865504800324</c:v>
                </c:pt>
                <c:pt idx="998">
                  <c:v>20782.172325201147</c:v>
                </c:pt>
                <c:pt idx="999">
                  <c:v>20868.24088833464</c:v>
                </c:pt>
              </c:numCache>
            </c:numRef>
          </c:xVal>
          <c:yVal>
            <c:numRef>
              <c:f>Calculs!$K$6:$K$1005</c:f>
              <c:numCache>
                <c:formatCode>0.000</c:formatCode>
                <c:ptCount val="1000"/>
                <c:pt idx="0">
                  <c:v>7587.2620321864179</c:v>
                </c:pt>
                <c:pt idx="1">
                  <c:v>7674.4974835125049</c:v>
                </c:pt>
                <c:pt idx="2">
                  <c:v>7761.6797812147188</c:v>
                </c:pt>
                <c:pt idx="3">
                  <c:v>7848.7823687206264</c:v>
                </c:pt>
                <c:pt idx="4">
                  <c:v>7935.7787137382911</c:v>
                </c:pt>
                <c:pt idx="5">
                  <c:v>8022.6423163382669</c:v>
                </c:pt>
                <c:pt idx="6">
                  <c:v>8109.3467170257372</c:v>
                </c:pt>
                <c:pt idx="7">
                  <c:v>8195.8655048003275</c:v>
                </c:pt>
                <c:pt idx="8">
                  <c:v>8282.1723252011543</c:v>
                </c:pt>
                <c:pt idx="9">
                  <c:v>8368.2408883346525</c:v>
                </c:pt>
                <c:pt idx="10">
                  <c:v>8454.0449768827239</c:v>
                </c:pt>
                <c:pt idx="11">
                  <c:v>8539.5584540887976</c:v>
                </c:pt>
                <c:pt idx="12">
                  <c:v>8624.7552717193248</c:v>
                </c:pt>
                <c:pt idx="13">
                  <c:v>8709.6094779983396</c:v>
                </c:pt>
                <c:pt idx="14">
                  <c:v>8794.0952255126031</c:v>
                </c:pt>
                <c:pt idx="15">
                  <c:v>8878.1867790849956</c:v>
                </c:pt>
                <c:pt idx="16">
                  <c:v>8961.8585236136842</c:v>
                </c:pt>
                <c:pt idx="17">
                  <c:v>9045.0849718747377</c:v>
                </c:pt>
                <c:pt idx="18">
                  <c:v>9127.8407722857828</c:v>
                </c:pt>
                <c:pt idx="19">
                  <c:v>9210.1007166283434</c:v>
                </c:pt>
                <c:pt idx="20">
                  <c:v>9291.8397477265007</c:v>
                </c:pt>
                <c:pt idx="21">
                  <c:v>9373.03296707956</c:v>
                </c:pt>
                <c:pt idx="22">
                  <c:v>9453.6556424463688</c:v>
                </c:pt>
                <c:pt idx="23">
                  <c:v>9533.6832153790001</c:v>
                </c:pt>
                <c:pt idx="24">
                  <c:v>9613.0913087034969</c:v>
                </c:pt>
                <c:pt idx="25">
                  <c:v>9691.8557339453873</c:v>
                </c:pt>
                <c:pt idx="26">
                  <c:v>9769.952498697734</c:v>
                </c:pt>
                <c:pt idx="27">
                  <c:v>9847.357813929455</c:v>
                </c:pt>
                <c:pt idx="28">
                  <c:v>9924.048101231685</c:v>
                </c:pt>
                <c:pt idx="29">
                  <c:v>10000</c:v>
                </c:pt>
                <c:pt idx="30">
                  <c:v>10075.190374550271</c:v>
                </c:pt>
                <c:pt idx="31">
                  <c:v>10149.596321166024</c:v>
                </c:pt>
                <c:pt idx="32">
                  <c:v>10223.195175075136</c:v>
                </c:pt>
                <c:pt idx="33">
                  <c:v>10295.964517353736</c:v>
                </c:pt>
                <c:pt idx="34">
                  <c:v>10367.882181755231</c:v>
                </c:pt>
                <c:pt idx="35">
                  <c:v>10438.926261462366</c:v>
                </c:pt>
                <c:pt idx="36">
                  <c:v>10509.075115760241</c:v>
                </c:pt>
                <c:pt idx="37">
                  <c:v>10578.307376628291</c:v>
                </c:pt>
                <c:pt idx="38">
                  <c:v>10646.601955249187</c:v>
                </c:pt>
                <c:pt idx="39">
                  <c:v>10713.938048432696</c:v>
                </c:pt>
                <c:pt idx="40">
                  <c:v>10780.295144952535</c:v>
                </c:pt>
                <c:pt idx="41">
                  <c:v>10845.653031794291</c:v>
                </c:pt>
                <c:pt idx="42">
                  <c:v>10909.991800312491</c:v>
                </c:pt>
                <c:pt idx="43">
                  <c:v>10973.291852294986</c:v>
                </c:pt>
                <c:pt idx="44">
                  <c:v>11035.533905932738</c:v>
                </c:pt>
                <c:pt idx="45">
                  <c:v>11096.699001693256</c:v>
                </c:pt>
                <c:pt idx="46">
                  <c:v>11156.768508095853</c:v>
                </c:pt>
                <c:pt idx="47">
                  <c:v>11215.724127386971</c:v>
                </c:pt>
                <c:pt idx="48">
                  <c:v>11273.54790111386</c:v>
                </c:pt>
                <c:pt idx="49">
                  <c:v>11330.222215594891</c:v>
                </c:pt>
                <c:pt idx="50">
                  <c:v>11385.729807284853</c:v>
                </c:pt>
                <c:pt idx="51">
                  <c:v>11440.053768033609</c:v>
                </c:pt>
                <c:pt idx="52">
                  <c:v>11493.177550236464</c:v>
                </c:pt>
                <c:pt idx="53">
                  <c:v>11545.084971874738</c:v>
                </c:pt>
                <c:pt idx="54">
                  <c:v>11595.760221444958</c:v>
                </c:pt>
                <c:pt idx="55">
                  <c:v>11645.187862775208</c:v>
                </c:pt>
                <c:pt idx="56">
                  <c:v>11693.352839727118</c:v>
                </c:pt>
                <c:pt idx="57">
                  <c:v>11740.240480782129</c:v>
                </c:pt>
                <c:pt idx="58">
                  <c:v>11785.83650351056</c:v>
                </c:pt>
                <c:pt idx="59">
                  <c:v>11830.127018922194</c:v>
                </c:pt>
                <c:pt idx="60">
                  <c:v>11873.09853569698</c:v>
                </c:pt>
                <c:pt idx="61">
                  <c:v>11914.737964294634</c:v>
                </c:pt>
                <c:pt idx="62">
                  <c:v>11955.032620941838</c:v>
                </c:pt>
                <c:pt idx="63">
                  <c:v>11993.970231495834</c:v>
                </c:pt>
                <c:pt idx="64">
                  <c:v>12031.538935183249</c:v>
                </c:pt>
                <c:pt idx="65">
                  <c:v>12067.727288213006</c:v>
                </c:pt>
                <c:pt idx="66">
                  <c:v>12102.524267262201</c:v>
                </c:pt>
                <c:pt idx="67">
                  <c:v>12135.919272833937</c:v>
                </c:pt>
                <c:pt idx="68">
                  <c:v>12167.902132486008</c:v>
                </c:pt>
                <c:pt idx="69">
                  <c:v>12198.463103929542</c:v>
                </c:pt>
                <c:pt idx="70">
                  <c:v>12227.592877996583</c:v>
                </c:pt>
                <c:pt idx="71">
                  <c:v>12255.282581475767</c:v>
                </c:pt>
                <c:pt idx="72">
                  <c:v>12281.523779815177</c:v>
                </c:pt>
                <c:pt idx="73">
                  <c:v>12306.308479691594</c:v>
                </c:pt>
                <c:pt idx="74">
                  <c:v>12329.629131445341</c:v>
                </c:pt>
                <c:pt idx="75">
                  <c:v>12351.478631379981</c:v>
                </c:pt>
                <c:pt idx="76">
                  <c:v>12371.850323926177</c:v>
                </c:pt>
                <c:pt idx="77">
                  <c:v>12390.738003669028</c:v>
                </c:pt>
                <c:pt idx="78">
                  <c:v>12408.13591723832</c:v>
                </c:pt>
                <c:pt idx="79">
                  <c:v>12424.038765061039</c:v>
                </c:pt>
                <c:pt idx="80">
                  <c:v>12438.441702975688</c:v>
                </c:pt>
                <c:pt idx="81">
                  <c:v>12451.340343707852</c:v>
                </c:pt>
                <c:pt idx="82">
                  <c:v>12462.73075820661</c:v>
                </c:pt>
                <c:pt idx="83">
                  <c:v>12472.609476841368</c:v>
                </c:pt>
                <c:pt idx="84">
                  <c:v>12480.973490458728</c:v>
                </c:pt>
                <c:pt idx="85">
                  <c:v>12487.820251299121</c:v>
                </c:pt>
                <c:pt idx="86">
                  <c:v>12493.14767377287</c:v>
                </c:pt>
                <c:pt idx="87">
                  <c:v>12496.954135095479</c:v>
                </c:pt>
                <c:pt idx="88">
                  <c:v>12499.238475781956</c:v>
                </c:pt>
                <c:pt idx="89">
                  <c:v>12500</c:v>
                </c:pt>
                <c:pt idx="90">
                  <c:v>12499.238475781956</c:v>
                </c:pt>
                <c:pt idx="91">
                  <c:v>12496.954135095479</c:v>
                </c:pt>
                <c:pt idx="92">
                  <c:v>12493.14767377287</c:v>
                </c:pt>
                <c:pt idx="93">
                  <c:v>12487.820251299121</c:v>
                </c:pt>
                <c:pt idx="94">
                  <c:v>12480.973490458728</c:v>
                </c:pt>
                <c:pt idx="95">
                  <c:v>12472.609476841368</c:v>
                </c:pt>
                <c:pt idx="96">
                  <c:v>12462.73075820661</c:v>
                </c:pt>
                <c:pt idx="97">
                  <c:v>12451.340343707852</c:v>
                </c:pt>
                <c:pt idx="98">
                  <c:v>12438.441702975688</c:v>
                </c:pt>
                <c:pt idx="99">
                  <c:v>12424.038765061039</c:v>
                </c:pt>
                <c:pt idx="100">
                  <c:v>12408.13591723832</c:v>
                </c:pt>
                <c:pt idx="101">
                  <c:v>12390.738003669028</c:v>
                </c:pt>
                <c:pt idx="102">
                  <c:v>12371.850323926177</c:v>
                </c:pt>
                <c:pt idx="103">
                  <c:v>12351.478631379981</c:v>
                </c:pt>
                <c:pt idx="104">
                  <c:v>12329.629131445341</c:v>
                </c:pt>
                <c:pt idx="105">
                  <c:v>12306.308479691594</c:v>
                </c:pt>
                <c:pt idx="106">
                  <c:v>12281.523779815177</c:v>
                </c:pt>
                <c:pt idx="107">
                  <c:v>12255.282581475767</c:v>
                </c:pt>
                <c:pt idx="108">
                  <c:v>12227.592877996583</c:v>
                </c:pt>
                <c:pt idx="109">
                  <c:v>12198.463103929542</c:v>
                </c:pt>
                <c:pt idx="110">
                  <c:v>12167.902132486008</c:v>
                </c:pt>
                <c:pt idx="111">
                  <c:v>12135.919272833937</c:v>
                </c:pt>
                <c:pt idx="112">
                  <c:v>12102.524267262201</c:v>
                </c:pt>
                <c:pt idx="113">
                  <c:v>12067.727288213006</c:v>
                </c:pt>
                <c:pt idx="114">
                  <c:v>12031.538935183249</c:v>
                </c:pt>
                <c:pt idx="115">
                  <c:v>11993.970231495834</c:v>
                </c:pt>
                <c:pt idx="116">
                  <c:v>11955.03262094184</c:v>
                </c:pt>
                <c:pt idx="117">
                  <c:v>11914.737964294636</c:v>
                </c:pt>
                <c:pt idx="118">
                  <c:v>11873.09853569698</c:v>
                </c:pt>
                <c:pt idx="119">
                  <c:v>11830.127018922194</c:v>
                </c:pt>
                <c:pt idx="120">
                  <c:v>11785.836503510562</c:v>
                </c:pt>
                <c:pt idx="121">
                  <c:v>11740.240480782129</c:v>
                </c:pt>
                <c:pt idx="122">
                  <c:v>11693.352839727118</c:v>
                </c:pt>
                <c:pt idx="123">
                  <c:v>11645.187862775208</c:v>
                </c:pt>
                <c:pt idx="124">
                  <c:v>11595.76022144496</c:v>
                </c:pt>
                <c:pt idx="125">
                  <c:v>11545.084971874738</c:v>
                </c:pt>
                <c:pt idx="126">
                  <c:v>11493.177550236464</c:v>
                </c:pt>
                <c:pt idx="127">
                  <c:v>11440.053768033609</c:v>
                </c:pt>
                <c:pt idx="128">
                  <c:v>11385.729807284855</c:v>
                </c:pt>
                <c:pt idx="129">
                  <c:v>11330.222215594891</c:v>
                </c:pt>
                <c:pt idx="130">
                  <c:v>11273.54790111386</c:v>
                </c:pt>
                <c:pt idx="131">
                  <c:v>11215.724127386971</c:v>
                </c:pt>
                <c:pt idx="132">
                  <c:v>11156.768508095853</c:v>
                </c:pt>
                <c:pt idx="133">
                  <c:v>11096.699001693258</c:v>
                </c:pt>
                <c:pt idx="134">
                  <c:v>11035.533905932738</c:v>
                </c:pt>
                <c:pt idx="135">
                  <c:v>10973.291852294986</c:v>
                </c:pt>
                <c:pt idx="136">
                  <c:v>10909.991800312493</c:v>
                </c:pt>
                <c:pt idx="137">
                  <c:v>10845.653031794292</c:v>
                </c:pt>
                <c:pt idx="138">
                  <c:v>10780.295144952535</c:v>
                </c:pt>
                <c:pt idx="139">
                  <c:v>10713.938048432698</c:v>
                </c:pt>
                <c:pt idx="140">
                  <c:v>10646.601955249189</c:v>
                </c:pt>
                <c:pt idx="141">
                  <c:v>10578.307376628292</c:v>
                </c:pt>
                <c:pt idx="142">
                  <c:v>10509.075115760241</c:v>
                </c:pt>
                <c:pt idx="143">
                  <c:v>10438.926261462366</c:v>
                </c:pt>
                <c:pt idx="144">
                  <c:v>10367.882181755233</c:v>
                </c:pt>
                <c:pt idx="145">
                  <c:v>10295.964517353736</c:v>
                </c:pt>
                <c:pt idx="146">
                  <c:v>10223.195175075136</c:v>
                </c:pt>
                <c:pt idx="147">
                  <c:v>10149.596321166024</c:v>
                </c:pt>
                <c:pt idx="148">
                  <c:v>10075.190374550271</c:v>
                </c:pt>
                <c:pt idx="149">
                  <c:v>10000</c:v>
                </c:pt>
                <c:pt idx="150">
                  <c:v>9924.048101231685</c:v>
                </c:pt>
                <c:pt idx="151">
                  <c:v>9847.357813929455</c:v>
                </c:pt>
                <c:pt idx="152">
                  <c:v>9769.952498697734</c:v>
                </c:pt>
                <c:pt idx="153">
                  <c:v>9691.8557339453873</c:v>
                </c:pt>
                <c:pt idx="154">
                  <c:v>9613.0913087034969</c:v>
                </c:pt>
                <c:pt idx="155">
                  <c:v>9533.6832153790019</c:v>
                </c:pt>
                <c:pt idx="156">
                  <c:v>9453.6556424463706</c:v>
                </c:pt>
                <c:pt idx="157">
                  <c:v>9373.0329670795618</c:v>
                </c:pt>
                <c:pt idx="158">
                  <c:v>9291.8397477265007</c:v>
                </c:pt>
                <c:pt idx="159">
                  <c:v>9210.1007166283453</c:v>
                </c:pt>
                <c:pt idx="160">
                  <c:v>9127.8407722857846</c:v>
                </c:pt>
                <c:pt idx="161">
                  <c:v>9045.0849718747377</c:v>
                </c:pt>
                <c:pt idx="162">
                  <c:v>8961.858523613686</c:v>
                </c:pt>
                <c:pt idx="163">
                  <c:v>8878.1867790849974</c:v>
                </c:pt>
                <c:pt idx="164">
                  <c:v>8794.0952255126049</c:v>
                </c:pt>
                <c:pt idx="165">
                  <c:v>8709.6094779983396</c:v>
                </c:pt>
                <c:pt idx="166">
                  <c:v>8624.7552717193248</c:v>
                </c:pt>
                <c:pt idx="167">
                  <c:v>8539.5584540887976</c:v>
                </c:pt>
                <c:pt idx="168">
                  <c:v>8454.0449768827257</c:v>
                </c:pt>
                <c:pt idx="169">
                  <c:v>8368.2408883346507</c:v>
                </c:pt>
                <c:pt idx="170">
                  <c:v>8282.1723252011543</c:v>
                </c:pt>
                <c:pt idx="171">
                  <c:v>8195.8655048003293</c:v>
                </c:pt>
                <c:pt idx="172">
                  <c:v>8109.3467170257372</c:v>
                </c:pt>
                <c:pt idx="173">
                  <c:v>8022.6423163382688</c:v>
                </c:pt>
                <c:pt idx="174">
                  <c:v>7935.7787137382929</c:v>
                </c:pt>
                <c:pt idx="175">
                  <c:v>7848.7823687206273</c:v>
                </c:pt>
                <c:pt idx="176">
                  <c:v>7761.6797812147188</c:v>
                </c:pt>
                <c:pt idx="177">
                  <c:v>7674.4974835125031</c:v>
                </c:pt>
                <c:pt idx="178">
                  <c:v>7587.2620321864169</c:v>
                </c:pt>
                <c:pt idx="179">
                  <c:v>7500.0000000000009</c:v>
                </c:pt>
                <c:pt idx="180">
                  <c:v>7412.737967813584</c:v>
                </c:pt>
                <c:pt idx="181">
                  <c:v>7325.5025164874951</c:v>
                </c:pt>
                <c:pt idx="182">
                  <c:v>7238.3202187852821</c:v>
                </c:pt>
                <c:pt idx="183">
                  <c:v>7151.2176312793763</c:v>
                </c:pt>
                <c:pt idx="184">
                  <c:v>7064.2212862617107</c:v>
                </c:pt>
                <c:pt idx="185">
                  <c:v>6977.3576836617349</c:v>
                </c:pt>
                <c:pt idx="186">
                  <c:v>6890.6532829742609</c:v>
                </c:pt>
                <c:pt idx="187">
                  <c:v>6804.1344951996725</c:v>
                </c:pt>
                <c:pt idx="188">
                  <c:v>6717.8276747988466</c:v>
                </c:pt>
                <c:pt idx="189">
                  <c:v>6631.7591116653475</c:v>
                </c:pt>
                <c:pt idx="190">
                  <c:v>6545.9550231172761</c:v>
                </c:pt>
                <c:pt idx="191">
                  <c:v>6460.4415459112042</c:v>
                </c:pt>
                <c:pt idx="192">
                  <c:v>6375.2447282806752</c:v>
                </c:pt>
                <c:pt idx="193">
                  <c:v>6290.3905220016622</c:v>
                </c:pt>
                <c:pt idx="194">
                  <c:v>6205.9047744873988</c:v>
                </c:pt>
                <c:pt idx="195">
                  <c:v>6121.8132209150053</c:v>
                </c:pt>
                <c:pt idx="196">
                  <c:v>6038.1414763863177</c:v>
                </c:pt>
                <c:pt idx="197">
                  <c:v>5954.9150281252614</c:v>
                </c:pt>
                <c:pt idx="198">
                  <c:v>5872.1592277142163</c:v>
                </c:pt>
                <c:pt idx="199">
                  <c:v>5789.8992833716566</c:v>
                </c:pt>
                <c:pt idx="200">
                  <c:v>5708.1602522734975</c:v>
                </c:pt>
                <c:pt idx="201">
                  <c:v>5626.96703292044</c:v>
                </c:pt>
                <c:pt idx="202">
                  <c:v>5546.3443575536321</c:v>
                </c:pt>
                <c:pt idx="203">
                  <c:v>5466.3167846210008</c:v>
                </c:pt>
                <c:pt idx="204">
                  <c:v>5386.9086912965031</c:v>
                </c:pt>
                <c:pt idx="205">
                  <c:v>5308.1442660546145</c:v>
                </c:pt>
                <c:pt idx="206">
                  <c:v>5230.0475013022688</c:v>
                </c:pt>
                <c:pt idx="207">
                  <c:v>5152.6421860705459</c:v>
                </c:pt>
                <c:pt idx="208">
                  <c:v>5075.951898768315</c:v>
                </c:pt>
                <c:pt idx="209">
                  <c:v>5000</c:v>
                </c:pt>
                <c:pt idx="210">
                  <c:v>4924.8096254497286</c:v>
                </c:pt>
                <c:pt idx="211">
                  <c:v>4850.4036788339763</c:v>
                </c:pt>
                <c:pt idx="212">
                  <c:v>4776.8048249248641</c:v>
                </c:pt>
                <c:pt idx="213">
                  <c:v>4704.0354826462662</c:v>
                </c:pt>
                <c:pt idx="214">
                  <c:v>4632.1178182447711</c:v>
                </c:pt>
                <c:pt idx="215">
                  <c:v>4561.0737385376342</c:v>
                </c:pt>
                <c:pt idx="216">
                  <c:v>4490.9248842397592</c:v>
                </c:pt>
                <c:pt idx="217">
                  <c:v>4421.6926233717113</c:v>
                </c:pt>
                <c:pt idx="218">
                  <c:v>4353.398044750812</c:v>
                </c:pt>
                <c:pt idx="219">
                  <c:v>4286.0619515673043</c:v>
                </c:pt>
                <c:pt idx="220">
                  <c:v>4219.7048550474628</c:v>
                </c:pt>
                <c:pt idx="221">
                  <c:v>4154.3469682057093</c:v>
                </c:pt>
                <c:pt idx="222">
                  <c:v>4090.0081996875083</c:v>
                </c:pt>
                <c:pt idx="223">
                  <c:v>4026.7081477050133</c:v>
                </c:pt>
                <c:pt idx="224">
                  <c:v>3964.4660940672625</c:v>
                </c:pt>
                <c:pt idx="225">
                  <c:v>3903.3009983067459</c:v>
                </c:pt>
                <c:pt idx="226">
                  <c:v>3843.2314919041492</c:v>
                </c:pt>
                <c:pt idx="227">
                  <c:v>3784.2758726130301</c:v>
                </c:pt>
                <c:pt idx="228">
                  <c:v>3726.4520988861418</c:v>
                </c:pt>
                <c:pt idx="229">
                  <c:v>3669.7777844051107</c:v>
                </c:pt>
                <c:pt idx="230">
                  <c:v>3614.2701927151443</c:v>
                </c:pt>
                <c:pt idx="231">
                  <c:v>3559.9462319663894</c:v>
                </c:pt>
                <c:pt idx="232">
                  <c:v>3506.822449763536</c:v>
                </c:pt>
                <c:pt idx="233">
                  <c:v>3454.9150281252632</c:v>
                </c:pt>
                <c:pt idx="234">
                  <c:v>3404.239778555042</c:v>
                </c:pt>
                <c:pt idx="235">
                  <c:v>3354.8121372247933</c:v>
                </c:pt>
                <c:pt idx="236">
                  <c:v>3306.6471602728798</c:v>
                </c:pt>
                <c:pt idx="237">
                  <c:v>3259.7595192178705</c:v>
                </c:pt>
                <c:pt idx="238">
                  <c:v>3214.1634964894392</c:v>
                </c:pt>
                <c:pt idx="239">
                  <c:v>3169.8729810778077</c:v>
                </c:pt>
                <c:pt idx="240">
                  <c:v>3126.9014643030205</c:v>
                </c:pt>
                <c:pt idx="241">
                  <c:v>3085.2620357053647</c:v>
                </c:pt>
                <c:pt idx="242">
                  <c:v>3044.967379058161</c:v>
                </c:pt>
                <c:pt idx="243">
                  <c:v>3006.029768504166</c:v>
                </c:pt>
                <c:pt idx="244">
                  <c:v>2968.4610648167518</c:v>
                </c:pt>
                <c:pt idx="245">
                  <c:v>2932.2727117869954</c:v>
                </c:pt>
                <c:pt idx="246">
                  <c:v>2897.4757327377984</c:v>
                </c:pt>
                <c:pt idx="247">
                  <c:v>2864.0807271660633</c:v>
                </c:pt>
                <c:pt idx="248">
                  <c:v>2832.0978675139922</c:v>
                </c:pt>
                <c:pt idx="249">
                  <c:v>2801.5368960704591</c:v>
                </c:pt>
                <c:pt idx="250">
                  <c:v>2772.4071220034157</c:v>
                </c:pt>
                <c:pt idx="251">
                  <c:v>2744.717418524232</c:v>
                </c:pt>
                <c:pt idx="252">
                  <c:v>2718.4762201848234</c:v>
                </c:pt>
                <c:pt idx="253">
                  <c:v>2693.6915203084054</c:v>
                </c:pt>
                <c:pt idx="254">
                  <c:v>2670.370868554658</c:v>
                </c:pt>
                <c:pt idx="255">
                  <c:v>2648.5213686200177</c:v>
                </c:pt>
                <c:pt idx="256">
                  <c:v>2628.1496760738246</c:v>
                </c:pt>
                <c:pt idx="257">
                  <c:v>2609.2619963309717</c:v>
                </c:pt>
                <c:pt idx="258">
                  <c:v>2591.8640827616809</c:v>
                </c:pt>
                <c:pt idx="259">
                  <c:v>2575.9612349389599</c:v>
                </c:pt>
                <c:pt idx="260">
                  <c:v>2561.5582970243113</c:v>
                </c:pt>
                <c:pt idx="261">
                  <c:v>2548.6596562921486</c:v>
                </c:pt>
                <c:pt idx="262">
                  <c:v>2537.2692417933895</c:v>
                </c:pt>
                <c:pt idx="263">
                  <c:v>2527.3905231586332</c:v>
                </c:pt>
                <c:pt idx="264">
                  <c:v>2519.0265095412724</c:v>
                </c:pt>
                <c:pt idx="265">
                  <c:v>2512.1797487008789</c:v>
                </c:pt>
                <c:pt idx="266">
                  <c:v>2506.852326227131</c:v>
                </c:pt>
                <c:pt idx="267">
                  <c:v>2503.0458649045213</c:v>
                </c:pt>
                <c:pt idx="268">
                  <c:v>2500.7615242180436</c:v>
                </c:pt>
                <c:pt idx="269">
                  <c:v>2500</c:v>
                </c:pt>
                <c:pt idx="270">
                  <c:v>2500.7615242180436</c:v>
                </c:pt>
                <c:pt idx="271">
                  <c:v>2503.0458649045213</c:v>
                </c:pt>
                <c:pt idx="272">
                  <c:v>2506.852326227131</c:v>
                </c:pt>
                <c:pt idx="273">
                  <c:v>2512.179748700878</c:v>
                </c:pt>
                <c:pt idx="274">
                  <c:v>2519.0265095412724</c:v>
                </c:pt>
                <c:pt idx="275">
                  <c:v>2527.3905231586332</c:v>
                </c:pt>
                <c:pt idx="276">
                  <c:v>2537.2692417933904</c:v>
                </c:pt>
                <c:pt idx="277">
                  <c:v>2548.6596562921486</c:v>
                </c:pt>
                <c:pt idx="278">
                  <c:v>2561.5582970243113</c:v>
                </c:pt>
                <c:pt idx="279">
                  <c:v>2575.961234938959</c:v>
                </c:pt>
                <c:pt idx="280">
                  <c:v>2591.8640827616791</c:v>
                </c:pt>
                <c:pt idx="281">
                  <c:v>2609.2619963309708</c:v>
                </c:pt>
                <c:pt idx="282">
                  <c:v>2628.1496760738237</c:v>
                </c:pt>
                <c:pt idx="283">
                  <c:v>2648.5213686200168</c:v>
                </c:pt>
                <c:pt idx="284">
                  <c:v>2670.370868554659</c:v>
                </c:pt>
                <c:pt idx="285">
                  <c:v>2693.6915203084063</c:v>
                </c:pt>
                <c:pt idx="286">
                  <c:v>2718.4762201848225</c:v>
                </c:pt>
                <c:pt idx="287">
                  <c:v>2744.717418524232</c:v>
                </c:pt>
                <c:pt idx="288">
                  <c:v>2772.4071220034148</c:v>
                </c:pt>
                <c:pt idx="289">
                  <c:v>2801.5368960704573</c:v>
                </c:pt>
                <c:pt idx="290">
                  <c:v>2832.0978675139895</c:v>
                </c:pt>
                <c:pt idx="291">
                  <c:v>2864.0807271660633</c:v>
                </c:pt>
                <c:pt idx="292">
                  <c:v>2897.4757327377974</c:v>
                </c:pt>
                <c:pt idx="293">
                  <c:v>2932.2727117869963</c:v>
                </c:pt>
                <c:pt idx="294">
                  <c:v>2968.46106481675</c:v>
                </c:pt>
                <c:pt idx="295">
                  <c:v>3006.0297685041651</c:v>
                </c:pt>
                <c:pt idx="296">
                  <c:v>3044.9673790581601</c:v>
                </c:pt>
                <c:pt idx="297">
                  <c:v>3085.2620357053647</c:v>
                </c:pt>
                <c:pt idx="298">
                  <c:v>3126.9014643030196</c:v>
                </c:pt>
                <c:pt idx="299">
                  <c:v>3169.8729810778068</c:v>
                </c:pt>
                <c:pt idx="300">
                  <c:v>3214.1634964894383</c:v>
                </c:pt>
                <c:pt idx="301">
                  <c:v>3259.7595192178687</c:v>
                </c:pt>
                <c:pt idx="302">
                  <c:v>3306.6471602728789</c:v>
                </c:pt>
                <c:pt idx="303">
                  <c:v>3354.8121372247897</c:v>
                </c:pt>
                <c:pt idx="304">
                  <c:v>3404.2397785550411</c:v>
                </c:pt>
                <c:pt idx="305">
                  <c:v>3454.9150281252623</c:v>
                </c:pt>
                <c:pt idx="306">
                  <c:v>3506.8224497635347</c:v>
                </c:pt>
                <c:pt idx="307">
                  <c:v>3559.9462319663912</c:v>
                </c:pt>
                <c:pt idx="308">
                  <c:v>3614.2701927151461</c:v>
                </c:pt>
                <c:pt idx="309">
                  <c:v>3669.7777844051093</c:v>
                </c:pt>
                <c:pt idx="310">
                  <c:v>3726.4520988861386</c:v>
                </c:pt>
                <c:pt idx="311">
                  <c:v>3784.2758726130273</c:v>
                </c:pt>
                <c:pt idx="312">
                  <c:v>3843.2314919041451</c:v>
                </c:pt>
                <c:pt idx="313">
                  <c:v>3903.3009983067413</c:v>
                </c:pt>
                <c:pt idx="314">
                  <c:v>3964.4660940672616</c:v>
                </c:pt>
                <c:pt idx="315">
                  <c:v>4026.7081477050119</c:v>
                </c:pt>
                <c:pt idx="316">
                  <c:v>4090.0081996875087</c:v>
                </c:pt>
                <c:pt idx="317">
                  <c:v>4154.3469682057093</c:v>
                </c:pt>
                <c:pt idx="318">
                  <c:v>4219.7048550474628</c:v>
                </c:pt>
                <c:pt idx="319">
                  <c:v>4286.0619515673025</c:v>
                </c:pt>
                <c:pt idx="320">
                  <c:v>4353.3980447508111</c:v>
                </c:pt>
                <c:pt idx="321">
                  <c:v>4421.6926233717058</c:v>
                </c:pt>
                <c:pt idx="322">
                  <c:v>4490.9248842397592</c:v>
                </c:pt>
                <c:pt idx="323">
                  <c:v>4561.0737385376333</c:v>
                </c:pt>
                <c:pt idx="324">
                  <c:v>4632.1178182447675</c:v>
                </c:pt>
                <c:pt idx="325">
                  <c:v>4704.0354826462626</c:v>
                </c:pt>
                <c:pt idx="326">
                  <c:v>4776.804824924865</c:v>
                </c:pt>
                <c:pt idx="327">
                  <c:v>4850.4036788339708</c:v>
                </c:pt>
                <c:pt idx="328">
                  <c:v>4924.8096254497277</c:v>
                </c:pt>
                <c:pt idx="329">
                  <c:v>4999.9999999999982</c:v>
                </c:pt>
                <c:pt idx="330">
                  <c:v>5075.951898768315</c:v>
                </c:pt>
                <c:pt idx="331">
                  <c:v>5152.6421860705459</c:v>
                </c:pt>
                <c:pt idx="332">
                  <c:v>5230.0475013022651</c:v>
                </c:pt>
                <c:pt idx="333">
                  <c:v>5308.1442660546145</c:v>
                </c:pt>
                <c:pt idx="334">
                  <c:v>5386.9086912964995</c:v>
                </c:pt>
                <c:pt idx="335">
                  <c:v>5466.316784620999</c:v>
                </c:pt>
                <c:pt idx="336">
                  <c:v>5546.3443575536267</c:v>
                </c:pt>
                <c:pt idx="337">
                  <c:v>5626.9670329204382</c:v>
                </c:pt>
                <c:pt idx="338">
                  <c:v>5708.1602522734956</c:v>
                </c:pt>
                <c:pt idx="339">
                  <c:v>5789.8992833716566</c:v>
                </c:pt>
                <c:pt idx="340">
                  <c:v>5872.1592277142126</c:v>
                </c:pt>
                <c:pt idx="341">
                  <c:v>5954.9150281252623</c:v>
                </c:pt>
                <c:pt idx="342">
                  <c:v>6038.1414763863186</c:v>
                </c:pt>
                <c:pt idx="343">
                  <c:v>6121.8132209150008</c:v>
                </c:pt>
                <c:pt idx="344">
                  <c:v>6205.9047744873969</c:v>
                </c:pt>
                <c:pt idx="345">
                  <c:v>6290.3905220016604</c:v>
                </c:pt>
                <c:pt idx="346">
                  <c:v>6375.2447282806734</c:v>
                </c:pt>
                <c:pt idx="347">
                  <c:v>6460.4415459112006</c:v>
                </c:pt>
                <c:pt idx="348">
                  <c:v>6545.9550231172771</c:v>
                </c:pt>
                <c:pt idx="349">
                  <c:v>6631.7591116653439</c:v>
                </c:pt>
                <c:pt idx="350">
                  <c:v>6717.8276747988448</c:v>
                </c:pt>
                <c:pt idx="351">
                  <c:v>6804.1344951996707</c:v>
                </c:pt>
                <c:pt idx="352">
                  <c:v>6890.6532829742591</c:v>
                </c:pt>
                <c:pt idx="353">
                  <c:v>6977.3576836617331</c:v>
                </c:pt>
                <c:pt idx="354">
                  <c:v>7064.2212862617089</c:v>
                </c:pt>
                <c:pt idx="355">
                  <c:v>7151.2176312793763</c:v>
                </c:pt>
                <c:pt idx="356">
                  <c:v>7238.3202187852785</c:v>
                </c:pt>
                <c:pt idx="357">
                  <c:v>7325.502516487496</c:v>
                </c:pt>
                <c:pt idx="358">
                  <c:v>7412.7379678135776</c:v>
                </c:pt>
                <c:pt idx="359">
                  <c:v>7499.9999999999991</c:v>
                </c:pt>
                <c:pt idx="360">
                  <c:v>7587.2620321864151</c:v>
                </c:pt>
                <c:pt idx="361">
                  <c:v>7674.4974835125013</c:v>
                </c:pt>
                <c:pt idx="362">
                  <c:v>7761.6797812147197</c:v>
                </c:pt>
                <c:pt idx="363">
                  <c:v>7848.7823687206255</c:v>
                </c:pt>
                <c:pt idx="364">
                  <c:v>7935.7787137382938</c:v>
                </c:pt>
                <c:pt idx="365">
                  <c:v>8022.6423163382642</c:v>
                </c:pt>
                <c:pt idx="366">
                  <c:v>8109.3467170257381</c:v>
                </c:pt>
                <c:pt idx="367">
                  <c:v>8195.865504800322</c:v>
                </c:pt>
                <c:pt idx="368">
                  <c:v>8282.1723252011525</c:v>
                </c:pt>
                <c:pt idx="369">
                  <c:v>8368.2408883346488</c:v>
                </c:pt>
                <c:pt idx="370">
                  <c:v>8454.0449768827257</c:v>
                </c:pt>
                <c:pt idx="371">
                  <c:v>8539.5584540887921</c:v>
                </c:pt>
                <c:pt idx="372">
                  <c:v>8624.7552717193248</c:v>
                </c:pt>
                <c:pt idx="373">
                  <c:v>8709.6094779983414</c:v>
                </c:pt>
                <c:pt idx="374">
                  <c:v>8794.0952255126012</c:v>
                </c:pt>
                <c:pt idx="375">
                  <c:v>8878.1867790849974</c:v>
                </c:pt>
                <c:pt idx="376">
                  <c:v>8961.8585236136823</c:v>
                </c:pt>
                <c:pt idx="377">
                  <c:v>9045.0849718747359</c:v>
                </c:pt>
                <c:pt idx="378">
                  <c:v>9127.840772285781</c:v>
                </c:pt>
                <c:pt idx="379">
                  <c:v>9210.1007166283453</c:v>
                </c:pt>
                <c:pt idx="380">
                  <c:v>9291.8397477264971</c:v>
                </c:pt>
                <c:pt idx="381">
                  <c:v>9373.03296707956</c:v>
                </c:pt>
                <c:pt idx="382">
                  <c:v>9453.6556424463633</c:v>
                </c:pt>
                <c:pt idx="383">
                  <c:v>9533.6832153789983</c:v>
                </c:pt>
                <c:pt idx="384">
                  <c:v>9613.0913087034969</c:v>
                </c:pt>
                <c:pt idx="385">
                  <c:v>9691.8557339453873</c:v>
                </c:pt>
                <c:pt idx="386">
                  <c:v>9769.9524986977376</c:v>
                </c:pt>
                <c:pt idx="387">
                  <c:v>9847.3578139294514</c:v>
                </c:pt>
                <c:pt idx="388">
                  <c:v>9924.048101231685</c:v>
                </c:pt>
                <c:pt idx="389">
                  <c:v>9999.9999999999964</c:v>
                </c:pt>
                <c:pt idx="390">
                  <c:v>10075.19037455027</c:v>
                </c:pt>
                <c:pt idx="391">
                  <c:v>10149.596321166024</c:v>
                </c:pt>
                <c:pt idx="392">
                  <c:v>10223.195175075132</c:v>
                </c:pt>
                <c:pt idx="393">
                  <c:v>10295.964517353732</c:v>
                </c:pt>
                <c:pt idx="394">
                  <c:v>10367.882181755231</c:v>
                </c:pt>
                <c:pt idx="395">
                  <c:v>10438.926261462368</c:v>
                </c:pt>
                <c:pt idx="396">
                  <c:v>10509.075115760239</c:v>
                </c:pt>
                <c:pt idx="397">
                  <c:v>10578.307376628292</c:v>
                </c:pt>
                <c:pt idx="398">
                  <c:v>10646.601955249185</c:v>
                </c:pt>
                <c:pt idx="399">
                  <c:v>10713.938048432696</c:v>
                </c:pt>
                <c:pt idx="400">
                  <c:v>10780.295144952535</c:v>
                </c:pt>
                <c:pt idx="401">
                  <c:v>10845.653031794292</c:v>
                </c:pt>
                <c:pt idx="402">
                  <c:v>10909.991800312489</c:v>
                </c:pt>
                <c:pt idx="403">
                  <c:v>10973.291852294986</c:v>
                </c:pt>
                <c:pt idx="404">
                  <c:v>11035.533905932734</c:v>
                </c:pt>
                <c:pt idx="405">
                  <c:v>11096.699001693254</c:v>
                </c:pt>
                <c:pt idx="406">
                  <c:v>11156.768508095854</c:v>
                </c:pt>
                <c:pt idx="407">
                  <c:v>11215.724127386969</c:v>
                </c:pt>
                <c:pt idx="408">
                  <c:v>11273.54790111386</c:v>
                </c:pt>
                <c:pt idx="409">
                  <c:v>11330.222215594889</c:v>
                </c:pt>
                <c:pt idx="410">
                  <c:v>11385.729807284855</c:v>
                </c:pt>
                <c:pt idx="411">
                  <c:v>11440.053768033607</c:v>
                </c:pt>
                <c:pt idx="412">
                  <c:v>11493.177550236464</c:v>
                </c:pt>
                <c:pt idx="413">
                  <c:v>11545.084971874734</c:v>
                </c:pt>
                <c:pt idx="414">
                  <c:v>11595.760221444958</c:v>
                </c:pt>
                <c:pt idx="415">
                  <c:v>11645.187862775208</c:v>
                </c:pt>
                <c:pt idx="416">
                  <c:v>11693.35283972712</c:v>
                </c:pt>
                <c:pt idx="417">
                  <c:v>11740.240480782129</c:v>
                </c:pt>
                <c:pt idx="418">
                  <c:v>11785.83650351056</c:v>
                </c:pt>
                <c:pt idx="419">
                  <c:v>11830.127018922194</c:v>
                </c:pt>
                <c:pt idx="420">
                  <c:v>11873.098535696976</c:v>
                </c:pt>
                <c:pt idx="421">
                  <c:v>11914.737964294634</c:v>
                </c:pt>
                <c:pt idx="422">
                  <c:v>11955.032620941838</c:v>
                </c:pt>
                <c:pt idx="423">
                  <c:v>11993.970231495834</c:v>
                </c:pt>
                <c:pt idx="424">
                  <c:v>12031.538935183249</c:v>
                </c:pt>
                <c:pt idx="425">
                  <c:v>12067.727288213006</c:v>
                </c:pt>
                <c:pt idx="426">
                  <c:v>12102.524267262203</c:v>
                </c:pt>
                <c:pt idx="427">
                  <c:v>12135.919272833937</c:v>
                </c:pt>
                <c:pt idx="428">
                  <c:v>12167.90213248601</c:v>
                </c:pt>
                <c:pt idx="429">
                  <c:v>12198.463103929542</c:v>
                </c:pt>
                <c:pt idx="430">
                  <c:v>12227.592877996583</c:v>
                </c:pt>
                <c:pt idx="431">
                  <c:v>12255.282581475767</c:v>
                </c:pt>
                <c:pt idx="432">
                  <c:v>12281.523779815177</c:v>
                </c:pt>
                <c:pt idx="433">
                  <c:v>12306.308479691594</c:v>
                </c:pt>
                <c:pt idx="434">
                  <c:v>12329.629131445341</c:v>
                </c:pt>
                <c:pt idx="435">
                  <c:v>12351.478631379981</c:v>
                </c:pt>
                <c:pt idx="436">
                  <c:v>12371.850323926175</c:v>
                </c:pt>
                <c:pt idx="437">
                  <c:v>12390.738003669028</c:v>
                </c:pt>
                <c:pt idx="438">
                  <c:v>12408.13591723832</c:v>
                </c:pt>
                <c:pt idx="439">
                  <c:v>12424.038765061039</c:v>
                </c:pt>
                <c:pt idx="440">
                  <c:v>12438.441702975688</c:v>
                </c:pt>
                <c:pt idx="441">
                  <c:v>12451.340343707852</c:v>
                </c:pt>
                <c:pt idx="442">
                  <c:v>12462.73075820661</c:v>
                </c:pt>
                <c:pt idx="443">
                  <c:v>12472.609476841368</c:v>
                </c:pt>
                <c:pt idx="444">
                  <c:v>12480.973490458728</c:v>
                </c:pt>
                <c:pt idx="445">
                  <c:v>12487.820251299121</c:v>
                </c:pt>
                <c:pt idx="446">
                  <c:v>12493.14767377287</c:v>
                </c:pt>
                <c:pt idx="447">
                  <c:v>12496.954135095479</c:v>
                </c:pt>
                <c:pt idx="448">
                  <c:v>12499.238475781956</c:v>
                </c:pt>
                <c:pt idx="449">
                  <c:v>12500</c:v>
                </c:pt>
                <c:pt idx="450">
                  <c:v>12499.238475781956</c:v>
                </c:pt>
                <c:pt idx="451">
                  <c:v>12496.954135095479</c:v>
                </c:pt>
                <c:pt idx="452">
                  <c:v>12493.14767377287</c:v>
                </c:pt>
                <c:pt idx="453">
                  <c:v>12487.820251299123</c:v>
                </c:pt>
                <c:pt idx="454">
                  <c:v>12480.973490458728</c:v>
                </c:pt>
                <c:pt idx="455">
                  <c:v>12472.609476841368</c:v>
                </c:pt>
                <c:pt idx="456">
                  <c:v>12462.73075820661</c:v>
                </c:pt>
                <c:pt idx="457">
                  <c:v>12451.340343707852</c:v>
                </c:pt>
                <c:pt idx="458">
                  <c:v>12438.44170297569</c:v>
                </c:pt>
                <c:pt idx="459">
                  <c:v>12424.038765061041</c:v>
                </c:pt>
                <c:pt idx="460">
                  <c:v>12408.13591723832</c:v>
                </c:pt>
                <c:pt idx="461">
                  <c:v>12390.738003669027</c:v>
                </c:pt>
                <c:pt idx="462">
                  <c:v>12371.850323926177</c:v>
                </c:pt>
                <c:pt idx="463">
                  <c:v>12351.478631379981</c:v>
                </c:pt>
                <c:pt idx="464">
                  <c:v>12329.629131445341</c:v>
                </c:pt>
                <c:pt idx="465">
                  <c:v>12306.308479691594</c:v>
                </c:pt>
                <c:pt idx="466">
                  <c:v>12281.523779815179</c:v>
                </c:pt>
                <c:pt idx="467">
                  <c:v>12255.282581475767</c:v>
                </c:pt>
                <c:pt idx="468">
                  <c:v>12227.592877996587</c:v>
                </c:pt>
                <c:pt idx="469">
                  <c:v>12198.463103929544</c:v>
                </c:pt>
                <c:pt idx="470">
                  <c:v>12167.902132486008</c:v>
                </c:pt>
                <c:pt idx="471">
                  <c:v>12135.91927283394</c:v>
                </c:pt>
                <c:pt idx="472">
                  <c:v>12102.524267262203</c:v>
                </c:pt>
                <c:pt idx="473">
                  <c:v>12067.727288213004</c:v>
                </c:pt>
                <c:pt idx="474">
                  <c:v>12031.538935183251</c:v>
                </c:pt>
                <c:pt idx="475">
                  <c:v>11993.970231495834</c:v>
                </c:pt>
                <c:pt idx="476">
                  <c:v>11955.032620941838</c:v>
                </c:pt>
                <c:pt idx="477">
                  <c:v>11914.737964294636</c:v>
                </c:pt>
                <c:pt idx="478">
                  <c:v>11873.09853569698</c:v>
                </c:pt>
                <c:pt idx="479">
                  <c:v>11830.127018922196</c:v>
                </c:pt>
                <c:pt idx="480">
                  <c:v>11785.836503510563</c:v>
                </c:pt>
                <c:pt idx="481">
                  <c:v>11740.240480782129</c:v>
                </c:pt>
                <c:pt idx="482">
                  <c:v>11693.352839727122</c:v>
                </c:pt>
                <c:pt idx="483">
                  <c:v>11645.187862775208</c:v>
                </c:pt>
                <c:pt idx="484">
                  <c:v>11595.760221444962</c:v>
                </c:pt>
                <c:pt idx="485">
                  <c:v>11545.084971874738</c:v>
                </c:pt>
                <c:pt idx="486">
                  <c:v>11493.177550236469</c:v>
                </c:pt>
                <c:pt idx="487">
                  <c:v>11440.053768033613</c:v>
                </c:pt>
                <c:pt idx="488">
                  <c:v>11385.729807284853</c:v>
                </c:pt>
                <c:pt idx="489">
                  <c:v>11330.222215594895</c:v>
                </c:pt>
                <c:pt idx="490">
                  <c:v>11273.547901113861</c:v>
                </c:pt>
                <c:pt idx="491">
                  <c:v>11215.724127386969</c:v>
                </c:pt>
                <c:pt idx="492">
                  <c:v>11156.768508095849</c:v>
                </c:pt>
                <c:pt idx="493">
                  <c:v>11096.699001693256</c:v>
                </c:pt>
                <c:pt idx="494">
                  <c:v>11035.533905932736</c:v>
                </c:pt>
                <c:pt idx="495">
                  <c:v>10973.291852294988</c:v>
                </c:pt>
                <c:pt idx="496">
                  <c:v>10909.991800312491</c:v>
                </c:pt>
                <c:pt idx="497">
                  <c:v>10845.653031794294</c:v>
                </c:pt>
                <c:pt idx="498">
                  <c:v>10780.295144952537</c:v>
                </c:pt>
                <c:pt idx="499">
                  <c:v>10713.938048432701</c:v>
                </c:pt>
                <c:pt idx="500">
                  <c:v>10646.601955249189</c:v>
                </c:pt>
                <c:pt idx="501">
                  <c:v>10578.307376628291</c:v>
                </c:pt>
                <c:pt idx="502">
                  <c:v>10509.075115760246</c:v>
                </c:pt>
                <c:pt idx="503">
                  <c:v>10438.926261462366</c:v>
                </c:pt>
                <c:pt idx="504">
                  <c:v>10367.882181755236</c:v>
                </c:pt>
                <c:pt idx="505">
                  <c:v>10295.964517353737</c:v>
                </c:pt>
                <c:pt idx="506">
                  <c:v>10223.195175075136</c:v>
                </c:pt>
                <c:pt idx="507">
                  <c:v>10149.596321166022</c:v>
                </c:pt>
                <c:pt idx="508">
                  <c:v>10075.190374550273</c:v>
                </c:pt>
                <c:pt idx="509">
                  <c:v>10000</c:v>
                </c:pt>
                <c:pt idx="510">
                  <c:v>9924.0481012316886</c:v>
                </c:pt>
                <c:pt idx="511">
                  <c:v>9847.357813929455</c:v>
                </c:pt>
                <c:pt idx="512">
                  <c:v>9769.9524986977322</c:v>
                </c:pt>
                <c:pt idx="513">
                  <c:v>9691.8557339453891</c:v>
                </c:pt>
                <c:pt idx="514">
                  <c:v>9613.0913087034969</c:v>
                </c:pt>
                <c:pt idx="515">
                  <c:v>9533.6832153790056</c:v>
                </c:pt>
                <c:pt idx="516">
                  <c:v>9453.6556424463706</c:v>
                </c:pt>
                <c:pt idx="517">
                  <c:v>9373.0329670795672</c:v>
                </c:pt>
                <c:pt idx="518">
                  <c:v>9291.8397477265044</c:v>
                </c:pt>
                <c:pt idx="519">
                  <c:v>9210.1007166283434</c:v>
                </c:pt>
                <c:pt idx="520">
                  <c:v>9127.8407722857883</c:v>
                </c:pt>
                <c:pt idx="521">
                  <c:v>9045.0849718747395</c:v>
                </c:pt>
                <c:pt idx="522">
                  <c:v>8961.8585236136823</c:v>
                </c:pt>
                <c:pt idx="523">
                  <c:v>8878.1867790849901</c:v>
                </c:pt>
                <c:pt idx="524">
                  <c:v>8794.0952255126031</c:v>
                </c:pt>
                <c:pt idx="525">
                  <c:v>8709.6094779983359</c:v>
                </c:pt>
                <c:pt idx="526">
                  <c:v>8624.7552717193266</c:v>
                </c:pt>
                <c:pt idx="527">
                  <c:v>8539.5584540887958</c:v>
                </c:pt>
                <c:pt idx="528">
                  <c:v>8454.0449768827275</c:v>
                </c:pt>
                <c:pt idx="529">
                  <c:v>8368.2408883346525</c:v>
                </c:pt>
                <c:pt idx="530">
                  <c:v>8282.1723252011598</c:v>
                </c:pt>
                <c:pt idx="531">
                  <c:v>8195.8655048003293</c:v>
                </c:pt>
                <c:pt idx="532">
                  <c:v>8109.3467170257454</c:v>
                </c:pt>
                <c:pt idx="533">
                  <c:v>8022.6423163382724</c:v>
                </c:pt>
                <c:pt idx="534">
                  <c:v>7935.778713738292</c:v>
                </c:pt>
                <c:pt idx="535">
                  <c:v>7848.7823687206328</c:v>
                </c:pt>
                <c:pt idx="536">
                  <c:v>7761.6797812147224</c:v>
                </c:pt>
                <c:pt idx="537">
                  <c:v>7674.4974835125049</c:v>
                </c:pt>
                <c:pt idx="538">
                  <c:v>7587.2620321864142</c:v>
                </c:pt>
                <c:pt idx="539">
                  <c:v>7500.0000000000018</c:v>
                </c:pt>
                <c:pt idx="540">
                  <c:v>7412.7379678135812</c:v>
                </c:pt>
                <c:pt idx="541">
                  <c:v>7325.5025164874987</c:v>
                </c:pt>
                <c:pt idx="542">
                  <c:v>7238.3202187852812</c:v>
                </c:pt>
                <c:pt idx="543">
                  <c:v>7151.2176312793708</c:v>
                </c:pt>
                <c:pt idx="544">
                  <c:v>7064.2212862617116</c:v>
                </c:pt>
                <c:pt idx="545">
                  <c:v>6977.3576836617312</c:v>
                </c:pt>
                <c:pt idx="546">
                  <c:v>6890.6532829742673</c:v>
                </c:pt>
                <c:pt idx="547">
                  <c:v>6804.1344951996734</c:v>
                </c:pt>
                <c:pt idx="548">
                  <c:v>6717.8276747988521</c:v>
                </c:pt>
                <c:pt idx="549">
                  <c:v>6631.7591116653512</c:v>
                </c:pt>
                <c:pt idx="550">
                  <c:v>6545.9550231172843</c:v>
                </c:pt>
                <c:pt idx="551">
                  <c:v>6460.4415459112079</c:v>
                </c:pt>
                <c:pt idx="552">
                  <c:v>6375.2447282806761</c:v>
                </c:pt>
                <c:pt idx="553">
                  <c:v>6290.3905220016595</c:v>
                </c:pt>
                <c:pt idx="554">
                  <c:v>6205.9047744873906</c:v>
                </c:pt>
                <c:pt idx="555">
                  <c:v>6121.8132209150044</c:v>
                </c:pt>
                <c:pt idx="556">
                  <c:v>6038.1414763863131</c:v>
                </c:pt>
                <c:pt idx="557">
                  <c:v>5954.9150281252641</c:v>
                </c:pt>
                <c:pt idx="558">
                  <c:v>5872.1592277142154</c:v>
                </c:pt>
                <c:pt idx="559">
                  <c:v>5789.8992833716602</c:v>
                </c:pt>
                <c:pt idx="560">
                  <c:v>5708.1602522734993</c:v>
                </c:pt>
                <c:pt idx="561">
                  <c:v>5626.9670329204455</c:v>
                </c:pt>
                <c:pt idx="562">
                  <c:v>5546.344357553633</c:v>
                </c:pt>
                <c:pt idx="563">
                  <c:v>5466.3167846210063</c:v>
                </c:pt>
                <c:pt idx="564">
                  <c:v>5386.9086912965067</c:v>
                </c:pt>
                <c:pt idx="565">
                  <c:v>5308.1442660546145</c:v>
                </c:pt>
                <c:pt idx="566">
                  <c:v>5230.0475013022715</c:v>
                </c:pt>
                <c:pt idx="567">
                  <c:v>5152.6421860705486</c:v>
                </c:pt>
                <c:pt idx="568">
                  <c:v>5075.951898768315</c:v>
                </c:pt>
                <c:pt idx="569">
                  <c:v>4999.9999999999964</c:v>
                </c:pt>
                <c:pt idx="570">
                  <c:v>4924.8096254497304</c:v>
                </c:pt>
                <c:pt idx="571">
                  <c:v>4850.4036788339727</c:v>
                </c:pt>
                <c:pt idx="572">
                  <c:v>4776.8048249248677</c:v>
                </c:pt>
                <c:pt idx="573">
                  <c:v>4704.0354826462662</c:v>
                </c:pt>
                <c:pt idx="574">
                  <c:v>4632.1178182447748</c:v>
                </c:pt>
                <c:pt idx="575">
                  <c:v>4561.073738537636</c:v>
                </c:pt>
                <c:pt idx="576">
                  <c:v>4490.9248842397574</c:v>
                </c:pt>
                <c:pt idx="577">
                  <c:v>4421.6926233717113</c:v>
                </c:pt>
                <c:pt idx="578">
                  <c:v>4353.3980447508129</c:v>
                </c:pt>
                <c:pt idx="579">
                  <c:v>4286.0619515673079</c:v>
                </c:pt>
                <c:pt idx="580">
                  <c:v>4219.7048550474647</c:v>
                </c:pt>
                <c:pt idx="581">
                  <c:v>4154.3469682057148</c:v>
                </c:pt>
                <c:pt idx="582">
                  <c:v>4090.008199687511</c:v>
                </c:pt>
                <c:pt idx="583">
                  <c:v>4026.7081477050142</c:v>
                </c:pt>
                <c:pt idx="584">
                  <c:v>3964.4660940672607</c:v>
                </c:pt>
                <c:pt idx="585">
                  <c:v>3903.3009983067464</c:v>
                </c:pt>
                <c:pt idx="586">
                  <c:v>3843.2314919041473</c:v>
                </c:pt>
                <c:pt idx="587">
                  <c:v>3784.275872613026</c:v>
                </c:pt>
                <c:pt idx="588">
                  <c:v>3726.4520988861409</c:v>
                </c:pt>
                <c:pt idx="589">
                  <c:v>3669.7777844051088</c:v>
                </c:pt>
                <c:pt idx="590">
                  <c:v>3614.2701927151479</c:v>
                </c:pt>
                <c:pt idx="591">
                  <c:v>3559.9462319663903</c:v>
                </c:pt>
                <c:pt idx="592">
                  <c:v>3506.8224497635392</c:v>
                </c:pt>
                <c:pt idx="593">
                  <c:v>3454.9150281252637</c:v>
                </c:pt>
                <c:pt idx="594">
                  <c:v>3404.2397785550456</c:v>
                </c:pt>
                <c:pt idx="595">
                  <c:v>3354.8121372247933</c:v>
                </c:pt>
                <c:pt idx="596">
                  <c:v>3306.6471602728843</c:v>
                </c:pt>
                <c:pt idx="597">
                  <c:v>3259.7595192178733</c:v>
                </c:pt>
                <c:pt idx="598">
                  <c:v>3214.1634964894401</c:v>
                </c:pt>
                <c:pt idx="599">
                  <c:v>3169.8729810778068</c:v>
                </c:pt>
                <c:pt idx="600">
                  <c:v>3126.9014643030187</c:v>
                </c:pt>
                <c:pt idx="601">
                  <c:v>3085.2620357053656</c:v>
                </c:pt>
                <c:pt idx="602">
                  <c:v>3044.9673790581592</c:v>
                </c:pt>
                <c:pt idx="603">
                  <c:v>3006.0297685041669</c:v>
                </c:pt>
                <c:pt idx="604">
                  <c:v>2968.46106481675</c:v>
                </c:pt>
                <c:pt idx="605">
                  <c:v>2932.2727117869972</c:v>
                </c:pt>
                <c:pt idx="606">
                  <c:v>2897.4757327377993</c:v>
                </c:pt>
                <c:pt idx="607">
                  <c:v>2864.080727166066</c:v>
                </c:pt>
                <c:pt idx="608">
                  <c:v>2832.0978675139922</c:v>
                </c:pt>
                <c:pt idx="609">
                  <c:v>2801.5368960704582</c:v>
                </c:pt>
                <c:pt idx="610">
                  <c:v>2772.4071220034184</c:v>
                </c:pt>
                <c:pt idx="611">
                  <c:v>2744.7174185242329</c:v>
                </c:pt>
                <c:pt idx="612">
                  <c:v>2718.4762201848253</c:v>
                </c:pt>
                <c:pt idx="613">
                  <c:v>2693.6915203084063</c:v>
                </c:pt>
                <c:pt idx="614">
                  <c:v>2670.370868554659</c:v>
                </c:pt>
                <c:pt idx="615">
                  <c:v>2648.5213686200168</c:v>
                </c:pt>
                <c:pt idx="616">
                  <c:v>2628.1496760738246</c:v>
                </c:pt>
                <c:pt idx="617">
                  <c:v>2609.2619963309717</c:v>
                </c:pt>
                <c:pt idx="618">
                  <c:v>2591.8640827616791</c:v>
                </c:pt>
                <c:pt idx="619">
                  <c:v>2575.9612349389599</c:v>
                </c:pt>
                <c:pt idx="620">
                  <c:v>2561.5582970243113</c:v>
                </c:pt>
                <c:pt idx="621">
                  <c:v>2548.6596562921486</c:v>
                </c:pt>
                <c:pt idx="622">
                  <c:v>2537.2692417933895</c:v>
                </c:pt>
                <c:pt idx="623">
                  <c:v>2527.3905231586341</c:v>
                </c:pt>
                <c:pt idx="624">
                  <c:v>2519.0265095412724</c:v>
                </c:pt>
                <c:pt idx="625">
                  <c:v>2512.1797487008789</c:v>
                </c:pt>
                <c:pt idx="626">
                  <c:v>2506.852326227131</c:v>
                </c:pt>
                <c:pt idx="627">
                  <c:v>2503.0458649045213</c:v>
                </c:pt>
                <c:pt idx="628">
                  <c:v>2500.7615242180436</c:v>
                </c:pt>
                <c:pt idx="629">
                  <c:v>2500</c:v>
                </c:pt>
                <c:pt idx="630">
                  <c:v>2500.7615242180436</c:v>
                </c:pt>
                <c:pt idx="631">
                  <c:v>2503.0458649045213</c:v>
                </c:pt>
                <c:pt idx="632">
                  <c:v>2506.852326227131</c:v>
                </c:pt>
                <c:pt idx="633">
                  <c:v>2512.1797487008789</c:v>
                </c:pt>
                <c:pt idx="634">
                  <c:v>2519.0265095412724</c:v>
                </c:pt>
                <c:pt idx="635">
                  <c:v>2527.3905231586332</c:v>
                </c:pt>
                <c:pt idx="636">
                  <c:v>2537.2692417933895</c:v>
                </c:pt>
                <c:pt idx="637">
                  <c:v>2548.6596562921486</c:v>
                </c:pt>
                <c:pt idx="638">
                  <c:v>2561.5582970243104</c:v>
                </c:pt>
                <c:pt idx="639">
                  <c:v>2575.961234938959</c:v>
                </c:pt>
                <c:pt idx="640">
                  <c:v>2591.86408276168</c:v>
                </c:pt>
                <c:pt idx="641">
                  <c:v>2609.2619963309708</c:v>
                </c:pt>
                <c:pt idx="642">
                  <c:v>2628.1496760738228</c:v>
                </c:pt>
                <c:pt idx="643">
                  <c:v>2648.5213686200159</c:v>
                </c:pt>
                <c:pt idx="644">
                  <c:v>2670.370868554658</c:v>
                </c:pt>
                <c:pt idx="645">
                  <c:v>2693.6915203084054</c:v>
                </c:pt>
                <c:pt idx="646">
                  <c:v>2718.4762201848234</c:v>
                </c:pt>
                <c:pt idx="647">
                  <c:v>2744.7174185242311</c:v>
                </c:pt>
                <c:pt idx="648">
                  <c:v>2772.4071220034166</c:v>
                </c:pt>
                <c:pt idx="649">
                  <c:v>2801.5368960704564</c:v>
                </c:pt>
                <c:pt idx="650">
                  <c:v>2832.0978675139904</c:v>
                </c:pt>
                <c:pt idx="651">
                  <c:v>2864.0807271660606</c:v>
                </c:pt>
                <c:pt idx="652">
                  <c:v>2897.4757327378011</c:v>
                </c:pt>
                <c:pt idx="653">
                  <c:v>2932.2727117869954</c:v>
                </c:pt>
                <c:pt idx="654">
                  <c:v>2968.4610648167481</c:v>
                </c:pt>
                <c:pt idx="655">
                  <c:v>3006.0297685041605</c:v>
                </c:pt>
                <c:pt idx="656">
                  <c:v>3044.9673790581619</c:v>
                </c:pt>
                <c:pt idx="657">
                  <c:v>3085.2620357053638</c:v>
                </c:pt>
                <c:pt idx="658">
                  <c:v>3126.9014643030168</c:v>
                </c:pt>
                <c:pt idx="659">
                  <c:v>3169.8729810778041</c:v>
                </c:pt>
                <c:pt idx="660">
                  <c:v>3214.1634964894374</c:v>
                </c:pt>
                <c:pt idx="661">
                  <c:v>3259.7595192178705</c:v>
                </c:pt>
                <c:pt idx="662">
                  <c:v>3306.647160272878</c:v>
                </c:pt>
                <c:pt idx="663">
                  <c:v>3354.8121372247915</c:v>
                </c:pt>
                <c:pt idx="664">
                  <c:v>3404.2397785550424</c:v>
                </c:pt>
                <c:pt idx="665">
                  <c:v>3454.9150281252614</c:v>
                </c:pt>
                <c:pt idx="666">
                  <c:v>3506.8224497635315</c:v>
                </c:pt>
                <c:pt idx="667">
                  <c:v>3559.946231966393</c:v>
                </c:pt>
                <c:pt idx="668">
                  <c:v>3614.2701927151447</c:v>
                </c:pt>
                <c:pt idx="669">
                  <c:v>3669.7777844051061</c:v>
                </c:pt>
                <c:pt idx="670">
                  <c:v>3726.4520988861323</c:v>
                </c:pt>
                <c:pt idx="671">
                  <c:v>3784.2758726130292</c:v>
                </c:pt>
                <c:pt idx="672">
                  <c:v>3843.2314919041441</c:v>
                </c:pt>
                <c:pt idx="673">
                  <c:v>3903.3009983067373</c:v>
                </c:pt>
                <c:pt idx="674">
                  <c:v>3964.4660940672638</c:v>
                </c:pt>
                <c:pt idx="675">
                  <c:v>4026.708147705011</c:v>
                </c:pt>
                <c:pt idx="676">
                  <c:v>4090.0081996875078</c:v>
                </c:pt>
                <c:pt idx="677">
                  <c:v>4154.3469682057048</c:v>
                </c:pt>
                <c:pt idx="678">
                  <c:v>4219.7048550474619</c:v>
                </c:pt>
                <c:pt idx="679">
                  <c:v>4286.0619515673043</c:v>
                </c:pt>
                <c:pt idx="680">
                  <c:v>4353.3980447508093</c:v>
                </c:pt>
                <c:pt idx="681">
                  <c:v>4421.6926233717013</c:v>
                </c:pt>
                <c:pt idx="682">
                  <c:v>4490.924884239761</c:v>
                </c:pt>
                <c:pt idx="683">
                  <c:v>4561.0737385376324</c:v>
                </c:pt>
                <c:pt idx="684">
                  <c:v>4632.1178182447629</c:v>
                </c:pt>
                <c:pt idx="685">
                  <c:v>4704.0354826462699</c:v>
                </c:pt>
                <c:pt idx="686">
                  <c:v>4776.8048249248641</c:v>
                </c:pt>
                <c:pt idx="687">
                  <c:v>4850.4036788339699</c:v>
                </c:pt>
                <c:pt idx="688">
                  <c:v>4924.8096254497186</c:v>
                </c:pt>
                <c:pt idx="689">
                  <c:v>5000</c:v>
                </c:pt>
                <c:pt idx="690">
                  <c:v>5075.9518987683105</c:v>
                </c:pt>
                <c:pt idx="691">
                  <c:v>5152.642186070545</c:v>
                </c:pt>
                <c:pt idx="692">
                  <c:v>5230.0475013022597</c:v>
                </c:pt>
                <c:pt idx="693">
                  <c:v>5308.1442660546099</c:v>
                </c:pt>
                <c:pt idx="694">
                  <c:v>5386.9086912965031</c:v>
                </c:pt>
                <c:pt idx="695">
                  <c:v>5466.3167846209944</c:v>
                </c:pt>
                <c:pt idx="696">
                  <c:v>5546.3443575536376</c:v>
                </c:pt>
                <c:pt idx="697">
                  <c:v>5626.9670329204419</c:v>
                </c:pt>
                <c:pt idx="698">
                  <c:v>5708.1602522734947</c:v>
                </c:pt>
                <c:pt idx="699">
                  <c:v>5789.8992833716475</c:v>
                </c:pt>
                <c:pt idx="700">
                  <c:v>5872.159227714219</c:v>
                </c:pt>
                <c:pt idx="701">
                  <c:v>5954.9150281252605</c:v>
                </c:pt>
                <c:pt idx="702">
                  <c:v>6038.1414763863086</c:v>
                </c:pt>
                <c:pt idx="703">
                  <c:v>6121.8132209149999</c:v>
                </c:pt>
                <c:pt idx="704">
                  <c:v>6205.9047744873951</c:v>
                </c:pt>
                <c:pt idx="705">
                  <c:v>6290.390522001655</c:v>
                </c:pt>
                <c:pt idx="706">
                  <c:v>6375.2447282806725</c:v>
                </c:pt>
                <c:pt idx="707">
                  <c:v>6460.4415459112042</c:v>
                </c:pt>
                <c:pt idx="708">
                  <c:v>6545.9550231172707</c:v>
                </c:pt>
                <c:pt idx="709">
                  <c:v>6631.7591116653466</c:v>
                </c:pt>
                <c:pt idx="710">
                  <c:v>6717.8276747988384</c:v>
                </c:pt>
                <c:pt idx="711">
                  <c:v>6804.134495199678</c:v>
                </c:pt>
                <c:pt idx="712">
                  <c:v>6890.6532829742628</c:v>
                </c:pt>
                <c:pt idx="713">
                  <c:v>6977.3576836617276</c:v>
                </c:pt>
                <c:pt idx="714">
                  <c:v>7064.2212862617162</c:v>
                </c:pt>
                <c:pt idx="715">
                  <c:v>7151.2176312793754</c:v>
                </c:pt>
                <c:pt idx="716">
                  <c:v>7238.3202187852767</c:v>
                </c:pt>
                <c:pt idx="717">
                  <c:v>7325.502516487486</c:v>
                </c:pt>
                <c:pt idx="718">
                  <c:v>7412.7379678135858</c:v>
                </c:pt>
                <c:pt idx="719">
                  <c:v>7499.9999999999973</c:v>
                </c:pt>
                <c:pt idx="720">
                  <c:v>7587.2620321864097</c:v>
                </c:pt>
                <c:pt idx="721">
                  <c:v>7674.4974835125004</c:v>
                </c:pt>
                <c:pt idx="722">
                  <c:v>7761.6797812147179</c:v>
                </c:pt>
                <c:pt idx="723">
                  <c:v>7848.7823687206201</c:v>
                </c:pt>
                <c:pt idx="724">
                  <c:v>7935.7787137382875</c:v>
                </c:pt>
                <c:pt idx="725">
                  <c:v>8022.6423163382678</c:v>
                </c:pt>
                <c:pt idx="726">
                  <c:v>8109.3467170257409</c:v>
                </c:pt>
                <c:pt idx="727">
                  <c:v>8195.8655048003257</c:v>
                </c:pt>
                <c:pt idx="728">
                  <c:v>8282.172325201147</c:v>
                </c:pt>
                <c:pt idx="729">
                  <c:v>8368.2408883346579</c:v>
                </c:pt>
                <c:pt idx="730">
                  <c:v>8454.0449768827239</c:v>
                </c:pt>
                <c:pt idx="731">
                  <c:v>8539.5584540887903</c:v>
                </c:pt>
                <c:pt idx="732">
                  <c:v>8624.7552717193139</c:v>
                </c:pt>
                <c:pt idx="733">
                  <c:v>8709.6094779983396</c:v>
                </c:pt>
                <c:pt idx="734">
                  <c:v>8794.0952255125994</c:v>
                </c:pt>
                <c:pt idx="735">
                  <c:v>8878.1867790849865</c:v>
                </c:pt>
                <c:pt idx="736">
                  <c:v>8961.858523613686</c:v>
                </c:pt>
                <c:pt idx="737">
                  <c:v>9045.084971874734</c:v>
                </c:pt>
                <c:pt idx="738">
                  <c:v>9127.8407722857846</c:v>
                </c:pt>
                <c:pt idx="739">
                  <c:v>9210.1007166283398</c:v>
                </c:pt>
                <c:pt idx="740">
                  <c:v>9291.8397477265007</c:v>
                </c:pt>
                <c:pt idx="741">
                  <c:v>9373.0329670795618</c:v>
                </c:pt>
                <c:pt idx="742">
                  <c:v>9453.655642446367</c:v>
                </c:pt>
                <c:pt idx="743">
                  <c:v>9533.6832153789928</c:v>
                </c:pt>
                <c:pt idx="744">
                  <c:v>9613.0913087035005</c:v>
                </c:pt>
                <c:pt idx="745">
                  <c:v>9691.8557339453855</c:v>
                </c:pt>
                <c:pt idx="746">
                  <c:v>9769.9524986977267</c:v>
                </c:pt>
                <c:pt idx="747">
                  <c:v>9847.3578139294586</c:v>
                </c:pt>
                <c:pt idx="748">
                  <c:v>9924.048101231685</c:v>
                </c:pt>
                <c:pt idx="749">
                  <c:v>9999.9999999999964</c:v>
                </c:pt>
                <c:pt idx="750">
                  <c:v>10075.190374550262</c:v>
                </c:pt>
                <c:pt idx="751">
                  <c:v>10149.596321166026</c:v>
                </c:pt>
                <c:pt idx="752">
                  <c:v>10223.195175075132</c:v>
                </c:pt>
                <c:pt idx="753">
                  <c:v>10295.964517353734</c:v>
                </c:pt>
                <c:pt idx="754">
                  <c:v>10367.882181755225</c:v>
                </c:pt>
                <c:pt idx="755">
                  <c:v>10438.926261462364</c:v>
                </c:pt>
                <c:pt idx="756">
                  <c:v>10509.075115760243</c:v>
                </c:pt>
                <c:pt idx="757">
                  <c:v>10578.307376628287</c:v>
                </c:pt>
                <c:pt idx="758">
                  <c:v>10646.601955249185</c:v>
                </c:pt>
                <c:pt idx="759">
                  <c:v>10713.938048432698</c:v>
                </c:pt>
                <c:pt idx="760">
                  <c:v>10780.295144952534</c:v>
                </c:pt>
                <c:pt idx="761">
                  <c:v>10845.653031794285</c:v>
                </c:pt>
                <c:pt idx="762">
                  <c:v>10909.991800312495</c:v>
                </c:pt>
                <c:pt idx="763">
                  <c:v>10973.291852294986</c:v>
                </c:pt>
                <c:pt idx="764">
                  <c:v>11035.533905932733</c:v>
                </c:pt>
                <c:pt idx="765">
                  <c:v>11096.699001693247</c:v>
                </c:pt>
                <c:pt idx="766">
                  <c:v>11156.768508095853</c:v>
                </c:pt>
                <c:pt idx="767">
                  <c:v>11215.724127386968</c:v>
                </c:pt>
                <c:pt idx="768">
                  <c:v>11273.547901113858</c:v>
                </c:pt>
                <c:pt idx="769">
                  <c:v>11330.222215594891</c:v>
                </c:pt>
                <c:pt idx="770">
                  <c:v>11385.729807284852</c:v>
                </c:pt>
                <c:pt idx="771">
                  <c:v>11440.053768033609</c:v>
                </c:pt>
                <c:pt idx="772">
                  <c:v>11493.177550236462</c:v>
                </c:pt>
                <c:pt idx="773">
                  <c:v>11545.084971874741</c:v>
                </c:pt>
                <c:pt idx="774">
                  <c:v>11595.76022144496</c:v>
                </c:pt>
                <c:pt idx="775">
                  <c:v>11645.187862775205</c:v>
                </c:pt>
                <c:pt idx="776">
                  <c:v>11693.352839727115</c:v>
                </c:pt>
                <c:pt idx="777">
                  <c:v>11740.240480782131</c:v>
                </c:pt>
                <c:pt idx="778">
                  <c:v>11785.83650351056</c:v>
                </c:pt>
                <c:pt idx="779">
                  <c:v>11830.127018922189</c:v>
                </c:pt>
                <c:pt idx="780">
                  <c:v>11873.098535696981</c:v>
                </c:pt>
                <c:pt idx="781">
                  <c:v>11914.737964294633</c:v>
                </c:pt>
                <c:pt idx="782">
                  <c:v>11955.032620941836</c:v>
                </c:pt>
                <c:pt idx="783">
                  <c:v>11993.970231495834</c:v>
                </c:pt>
                <c:pt idx="784">
                  <c:v>12031.538935183249</c:v>
                </c:pt>
                <c:pt idx="785">
                  <c:v>12067.727288213002</c:v>
                </c:pt>
                <c:pt idx="786">
                  <c:v>12102.524267262201</c:v>
                </c:pt>
                <c:pt idx="787">
                  <c:v>12135.919272833933</c:v>
                </c:pt>
                <c:pt idx="788">
                  <c:v>12167.902132486011</c:v>
                </c:pt>
                <c:pt idx="789">
                  <c:v>12198.463103929542</c:v>
                </c:pt>
                <c:pt idx="790">
                  <c:v>12227.592877996582</c:v>
                </c:pt>
                <c:pt idx="791">
                  <c:v>12255.282581475771</c:v>
                </c:pt>
                <c:pt idx="792">
                  <c:v>12281.523779815177</c:v>
                </c:pt>
                <c:pt idx="793">
                  <c:v>12306.308479691594</c:v>
                </c:pt>
                <c:pt idx="794">
                  <c:v>12329.629131445339</c:v>
                </c:pt>
                <c:pt idx="795">
                  <c:v>12351.478631379983</c:v>
                </c:pt>
                <c:pt idx="796">
                  <c:v>12371.850323926175</c:v>
                </c:pt>
                <c:pt idx="797">
                  <c:v>12390.738003669027</c:v>
                </c:pt>
                <c:pt idx="798">
                  <c:v>12408.13591723832</c:v>
                </c:pt>
                <c:pt idx="799">
                  <c:v>12424.038765061039</c:v>
                </c:pt>
                <c:pt idx="800">
                  <c:v>12438.441702975688</c:v>
                </c:pt>
                <c:pt idx="801">
                  <c:v>12451.340343707852</c:v>
                </c:pt>
                <c:pt idx="802">
                  <c:v>12462.73075820661</c:v>
                </c:pt>
                <c:pt idx="803">
                  <c:v>12472.609476841368</c:v>
                </c:pt>
                <c:pt idx="804">
                  <c:v>12480.973490458728</c:v>
                </c:pt>
                <c:pt idx="805">
                  <c:v>12487.820251299119</c:v>
                </c:pt>
                <c:pt idx="806">
                  <c:v>12493.14767377287</c:v>
                </c:pt>
                <c:pt idx="807">
                  <c:v>12496.954135095479</c:v>
                </c:pt>
                <c:pt idx="808">
                  <c:v>12499.238475781956</c:v>
                </c:pt>
                <c:pt idx="809">
                  <c:v>12500</c:v>
                </c:pt>
                <c:pt idx="810">
                  <c:v>12499.238475781956</c:v>
                </c:pt>
                <c:pt idx="811">
                  <c:v>12496.954135095479</c:v>
                </c:pt>
                <c:pt idx="812">
                  <c:v>12493.14767377287</c:v>
                </c:pt>
                <c:pt idx="813">
                  <c:v>12487.820251299121</c:v>
                </c:pt>
                <c:pt idx="814">
                  <c:v>12480.973490458728</c:v>
                </c:pt>
                <c:pt idx="815">
                  <c:v>12472.609476841368</c:v>
                </c:pt>
                <c:pt idx="816">
                  <c:v>12462.730758206611</c:v>
                </c:pt>
                <c:pt idx="817">
                  <c:v>12451.340343707852</c:v>
                </c:pt>
                <c:pt idx="818">
                  <c:v>12438.441702975688</c:v>
                </c:pt>
                <c:pt idx="819">
                  <c:v>12424.038765061041</c:v>
                </c:pt>
                <c:pt idx="820">
                  <c:v>12408.135917238322</c:v>
                </c:pt>
                <c:pt idx="821">
                  <c:v>12390.738003669027</c:v>
                </c:pt>
                <c:pt idx="822">
                  <c:v>12371.850323926177</c:v>
                </c:pt>
                <c:pt idx="823">
                  <c:v>12351.478631379985</c:v>
                </c:pt>
                <c:pt idx="824">
                  <c:v>12329.629131445341</c:v>
                </c:pt>
                <c:pt idx="825">
                  <c:v>12306.308479691594</c:v>
                </c:pt>
                <c:pt idx="826">
                  <c:v>12281.523779815179</c:v>
                </c:pt>
                <c:pt idx="827">
                  <c:v>12255.282581475771</c:v>
                </c:pt>
                <c:pt idx="828">
                  <c:v>12227.592877996583</c:v>
                </c:pt>
                <c:pt idx="829">
                  <c:v>12198.463103929544</c:v>
                </c:pt>
                <c:pt idx="830">
                  <c:v>12167.90213248601</c:v>
                </c:pt>
                <c:pt idx="831">
                  <c:v>12135.919272833937</c:v>
                </c:pt>
                <c:pt idx="832">
                  <c:v>12102.524267262203</c:v>
                </c:pt>
                <c:pt idx="833">
                  <c:v>12067.727288213006</c:v>
                </c:pt>
                <c:pt idx="834">
                  <c:v>12031.538935183253</c:v>
                </c:pt>
                <c:pt idx="835">
                  <c:v>11993.970231495836</c:v>
                </c:pt>
                <c:pt idx="836">
                  <c:v>11955.032620941838</c:v>
                </c:pt>
                <c:pt idx="837">
                  <c:v>11914.737964294636</c:v>
                </c:pt>
                <c:pt idx="838">
                  <c:v>11873.098535696983</c:v>
                </c:pt>
                <c:pt idx="839">
                  <c:v>11830.127018922192</c:v>
                </c:pt>
                <c:pt idx="840">
                  <c:v>11785.836503510563</c:v>
                </c:pt>
                <c:pt idx="841">
                  <c:v>11740.240480782133</c:v>
                </c:pt>
                <c:pt idx="842">
                  <c:v>11693.352839727118</c:v>
                </c:pt>
                <c:pt idx="843">
                  <c:v>11645.187862775208</c:v>
                </c:pt>
                <c:pt idx="844">
                  <c:v>11595.760221444962</c:v>
                </c:pt>
                <c:pt idx="845">
                  <c:v>11545.084971874739</c:v>
                </c:pt>
                <c:pt idx="846">
                  <c:v>11493.177550236464</c:v>
                </c:pt>
                <c:pt idx="847">
                  <c:v>11440.053768033613</c:v>
                </c:pt>
                <c:pt idx="848">
                  <c:v>11385.729807284855</c:v>
                </c:pt>
                <c:pt idx="849">
                  <c:v>11330.222215594895</c:v>
                </c:pt>
                <c:pt idx="850">
                  <c:v>11273.547901113863</c:v>
                </c:pt>
                <c:pt idx="851">
                  <c:v>11215.724127386971</c:v>
                </c:pt>
                <c:pt idx="852">
                  <c:v>11156.768508095856</c:v>
                </c:pt>
                <c:pt idx="853">
                  <c:v>11096.69900169325</c:v>
                </c:pt>
                <c:pt idx="854">
                  <c:v>11035.533905932736</c:v>
                </c:pt>
                <c:pt idx="855">
                  <c:v>10973.291852294989</c:v>
                </c:pt>
                <c:pt idx="856">
                  <c:v>10909.991800312499</c:v>
                </c:pt>
                <c:pt idx="857">
                  <c:v>10845.653031794289</c:v>
                </c:pt>
                <c:pt idx="858">
                  <c:v>10780.295144952539</c:v>
                </c:pt>
                <c:pt idx="859">
                  <c:v>10713.938048432703</c:v>
                </c:pt>
                <c:pt idx="860">
                  <c:v>10646.601955249191</c:v>
                </c:pt>
                <c:pt idx="861">
                  <c:v>10578.307376628292</c:v>
                </c:pt>
                <c:pt idx="862">
                  <c:v>10509.075115760246</c:v>
                </c:pt>
                <c:pt idx="863">
                  <c:v>10438.926261462368</c:v>
                </c:pt>
                <c:pt idx="864">
                  <c:v>10367.882181755231</c:v>
                </c:pt>
                <c:pt idx="865">
                  <c:v>10295.96451735373</c:v>
                </c:pt>
                <c:pt idx="866">
                  <c:v>10223.195175075136</c:v>
                </c:pt>
                <c:pt idx="867">
                  <c:v>10149.596321166031</c:v>
                </c:pt>
                <c:pt idx="868">
                  <c:v>10075.190374550266</c:v>
                </c:pt>
                <c:pt idx="869">
                  <c:v>10000</c:v>
                </c:pt>
                <c:pt idx="870">
                  <c:v>9924.0481012316905</c:v>
                </c:pt>
                <c:pt idx="871">
                  <c:v>9847.3578139294641</c:v>
                </c:pt>
                <c:pt idx="872">
                  <c:v>9769.9524986977322</c:v>
                </c:pt>
                <c:pt idx="873">
                  <c:v>9691.855733945391</c:v>
                </c:pt>
                <c:pt idx="874">
                  <c:v>9613.091308703506</c:v>
                </c:pt>
                <c:pt idx="875">
                  <c:v>9533.6832153789983</c:v>
                </c:pt>
                <c:pt idx="876">
                  <c:v>9453.6556424463706</c:v>
                </c:pt>
                <c:pt idx="877">
                  <c:v>9373.0329670795672</c:v>
                </c:pt>
                <c:pt idx="878">
                  <c:v>9291.8397477265062</c:v>
                </c:pt>
                <c:pt idx="879">
                  <c:v>9210.1007166283453</c:v>
                </c:pt>
                <c:pt idx="880">
                  <c:v>9127.840772285781</c:v>
                </c:pt>
                <c:pt idx="881">
                  <c:v>9045.0849718747395</c:v>
                </c:pt>
                <c:pt idx="882">
                  <c:v>8961.8585236136914</c:v>
                </c:pt>
                <c:pt idx="883">
                  <c:v>8878.1867790849919</c:v>
                </c:pt>
                <c:pt idx="884">
                  <c:v>8794.0952255126049</c:v>
                </c:pt>
                <c:pt idx="885">
                  <c:v>8709.609477998345</c:v>
                </c:pt>
                <c:pt idx="886">
                  <c:v>8624.7552717193194</c:v>
                </c:pt>
                <c:pt idx="887">
                  <c:v>8539.5584540887976</c:v>
                </c:pt>
                <c:pt idx="888">
                  <c:v>8454.0449768827293</c:v>
                </c:pt>
                <c:pt idx="889">
                  <c:v>8368.2408883346616</c:v>
                </c:pt>
                <c:pt idx="890">
                  <c:v>8282.1723252011525</c:v>
                </c:pt>
                <c:pt idx="891">
                  <c:v>8195.8655048003311</c:v>
                </c:pt>
                <c:pt idx="892">
                  <c:v>8109.3467170257463</c:v>
                </c:pt>
                <c:pt idx="893">
                  <c:v>8022.6423163382733</c:v>
                </c:pt>
                <c:pt idx="894">
                  <c:v>7935.7787137382929</c:v>
                </c:pt>
                <c:pt idx="895">
                  <c:v>7848.7823687206255</c:v>
                </c:pt>
                <c:pt idx="896">
                  <c:v>7761.6797812147233</c:v>
                </c:pt>
                <c:pt idx="897">
                  <c:v>7674.4974835125058</c:v>
                </c:pt>
                <c:pt idx="898">
                  <c:v>7587.2620321864151</c:v>
                </c:pt>
                <c:pt idx="899">
                  <c:v>7500.0000000000027</c:v>
                </c:pt>
                <c:pt idx="900">
                  <c:v>7412.7379678135912</c:v>
                </c:pt>
                <c:pt idx="901">
                  <c:v>7325.5025164874914</c:v>
                </c:pt>
                <c:pt idx="902">
                  <c:v>7238.3202187852821</c:v>
                </c:pt>
                <c:pt idx="903">
                  <c:v>7151.2176312793808</c:v>
                </c:pt>
                <c:pt idx="904">
                  <c:v>7064.2212862617216</c:v>
                </c:pt>
                <c:pt idx="905">
                  <c:v>6977.3576836617331</c:v>
                </c:pt>
                <c:pt idx="906">
                  <c:v>6890.6532829742682</c:v>
                </c:pt>
                <c:pt idx="907">
                  <c:v>6804.1344951996834</c:v>
                </c:pt>
                <c:pt idx="908">
                  <c:v>6717.8276747988439</c:v>
                </c:pt>
                <c:pt idx="909">
                  <c:v>6631.7591116653521</c:v>
                </c:pt>
                <c:pt idx="910">
                  <c:v>6545.9550231172761</c:v>
                </c:pt>
                <c:pt idx="911">
                  <c:v>6460.4415459112097</c:v>
                </c:pt>
                <c:pt idx="912">
                  <c:v>6375.2447282806779</c:v>
                </c:pt>
                <c:pt idx="913">
                  <c:v>6290.3905220016604</c:v>
                </c:pt>
                <c:pt idx="914">
                  <c:v>6205.9047744874006</c:v>
                </c:pt>
                <c:pt idx="915">
                  <c:v>6121.8132209150135</c:v>
                </c:pt>
                <c:pt idx="916">
                  <c:v>6038.1414763863222</c:v>
                </c:pt>
                <c:pt idx="917">
                  <c:v>5954.9150281252741</c:v>
                </c:pt>
                <c:pt idx="918">
                  <c:v>5872.1592277142163</c:v>
                </c:pt>
                <c:pt idx="919">
                  <c:v>5789.8992833716611</c:v>
                </c:pt>
                <c:pt idx="920">
                  <c:v>5708.160252273492</c:v>
                </c:pt>
                <c:pt idx="921">
                  <c:v>5626.9670329204382</c:v>
                </c:pt>
                <c:pt idx="922">
                  <c:v>5546.3443575536348</c:v>
                </c:pt>
                <c:pt idx="923">
                  <c:v>5466.3167846209908</c:v>
                </c:pt>
                <c:pt idx="924">
                  <c:v>5386.9086912964995</c:v>
                </c:pt>
                <c:pt idx="925">
                  <c:v>5308.1442660546145</c:v>
                </c:pt>
                <c:pt idx="926">
                  <c:v>5230.0475013022733</c:v>
                </c:pt>
                <c:pt idx="927">
                  <c:v>5152.6421860705414</c:v>
                </c:pt>
                <c:pt idx="928">
                  <c:v>5075.951898768315</c:v>
                </c:pt>
                <c:pt idx="929">
                  <c:v>5000.0000000000055</c:v>
                </c:pt>
                <c:pt idx="930">
                  <c:v>4924.8096254497232</c:v>
                </c:pt>
                <c:pt idx="931">
                  <c:v>4850.4036788339745</c:v>
                </c:pt>
                <c:pt idx="932">
                  <c:v>4776.8048249248686</c:v>
                </c:pt>
                <c:pt idx="933">
                  <c:v>4704.0354826462744</c:v>
                </c:pt>
                <c:pt idx="934">
                  <c:v>4632.1178182447675</c:v>
                </c:pt>
                <c:pt idx="935">
                  <c:v>4561.0737385376369</c:v>
                </c:pt>
                <c:pt idx="936">
                  <c:v>4490.9248842397647</c:v>
                </c:pt>
                <c:pt idx="937">
                  <c:v>4421.6926233717195</c:v>
                </c:pt>
                <c:pt idx="938">
                  <c:v>4353.3980447508147</c:v>
                </c:pt>
                <c:pt idx="939">
                  <c:v>4286.0619515673088</c:v>
                </c:pt>
                <c:pt idx="940">
                  <c:v>4219.7048550474728</c:v>
                </c:pt>
                <c:pt idx="941">
                  <c:v>4154.3469682057093</c:v>
                </c:pt>
                <c:pt idx="942">
                  <c:v>4090.0081996875115</c:v>
                </c:pt>
                <c:pt idx="943">
                  <c:v>4026.7081477050215</c:v>
                </c:pt>
                <c:pt idx="944">
                  <c:v>3964.4660940672743</c:v>
                </c:pt>
                <c:pt idx="945">
                  <c:v>3903.3009983067473</c:v>
                </c:pt>
                <c:pt idx="946">
                  <c:v>3843.2314919041542</c:v>
                </c:pt>
                <c:pt idx="947">
                  <c:v>3784.2758726130273</c:v>
                </c:pt>
                <c:pt idx="948">
                  <c:v>3726.4520988861418</c:v>
                </c:pt>
                <c:pt idx="949">
                  <c:v>3669.7777844051147</c:v>
                </c:pt>
                <c:pt idx="950">
                  <c:v>3614.2701927151429</c:v>
                </c:pt>
                <c:pt idx="951">
                  <c:v>3559.9462319663912</c:v>
                </c:pt>
                <c:pt idx="952">
                  <c:v>3506.8224497635397</c:v>
                </c:pt>
                <c:pt idx="953">
                  <c:v>3454.9150281252596</c:v>
                </c:pt>
                <c:pt idx="954">
                  <c:v>3404.2397785550411</c:v>
                </c:pt>
                <c:pt idx="955">
                  <c:v>3354.8121372247942</c:v>
                </c:pt>
                <c:pt idx="956">
                  <c:v>3306.6471602728761</c:v>
                </c:pt>
                <c:pt idx="957">
                  <c:v>3259.7595192178687</c:v>
                </c:pt>
                <c:pt idx="958">
                  <c:v>3214.1634964894401</c:v>
                </c:pt>
                <c:pt idx="959">
                  <c:v>3169.8729810778113</c:v>
                </c:pt>
                <c:pt idx="960">
                  <c:v>3126.9014643030196</c:v>
                </c:pt>
                <c:pt idx="961">
                  <c:v>3085.2620357053665</c:v>
                </c:pt>
                <c:pt idx="962">
                  <c:v>3044.9673790581646</c:v>
                </c:pt>
                <c:pt idx="963">
                  <c:v>3006.0297685041633</c:v>
                </c:pt>
                <c:pt idx="964">
                  <c:v>2968.46106481675</c:v>
                </c:pt>
                <c:pt idx="965">
                  <c:v>2932.2727117869981</c:v>
                </c:pt>
                <c:pt idx="966">
                  <c:v>2897.4757327378029</c:v>
                </c:pt>
                <c:pt idx="967">
                  <c:v>2864.0807271660633</c:v>
                </c:pt>
                <c:pt idx="968">
                  <c:v>2832.0978675139932</c:v>
                </c:pt>
                <c:pt idx="969">
                  <c:v>2801.5368960704618</c:v>
                </c:pt>
                <c:pt idx="970">
                  <c:v>2772.4071220034148</c:v>
                </c:pt>
                <c:pt idx="971">
                  <c:v>2744.7174185242329</c:v>
                </c:pt>
                <c:pt idx="972">
                  <c:v>2718.4762201848253</c:v>
                </c:pt>
                <c:pt idx="973">
                  <c:v>2693.6915203084091</c:v>
                </c:pt>
                <c:pt idx="974">
                  <c:v>2670.370868554659</c:v>
                </c:pt>
                <c:pt idx="975">
                  <c:v>2648.5213686200195</c:v>
                </c:pt>
                <c:pt idx="976">
                  <c:v>2628.1496760738264</c:v>
                </c:pt>
                <c:pt idx="977">
                  <c:v>2609.2619963309717</c:v>
                </c:pt>
                <c:pt idx="978">
                  <c:v>2591.8640827616809</c:v>
                </c:pt>
                <c:pt idx="979">
                  <c:v>2575.9612349389618</c:v>
                </c:pt>
                <c:pt idx="980">
                  <c:v>2561.5582970243113</c:v>
                </c:pt>
                <c:pt idx="981">
                  <c:v>2548.6596562921495</c:v>
                </c:pt>
                <c:pt idx="982">
                  <c:v>2537.2692417933886</c:v>
                </c:pt>
                <c:pt idx="983">
                  <c:v>2527.3905231586332</c:v>
                </c:pt>
                <c:pt idx="984">
                  <c:v>2519.0265095412724</c:v>
                </c:pt>
                <c:pt idx="985">
                  <c:v>2512.179748700878</c:v>
                </c:pt>
                <c:pt idx="986">
                  <c:v>2506.8523262271301</c:v>
                </c:pt>
                <c:pt idx="987">
                  <c:v>2503.0458649045213</c:v>
                </c:pt>
                <c:pt idx="988">
                  <c:v>2500.7615242180436</c:v>
                </c:pt>
                <c:pt idx="989">
                  <c:v>2500</c:v>
                </c:pt>
                <c:pt idx="990">
                  <c:v>2500.7615242180436</c:v>
                </c:pt>
                <c:pt idx="991">
                  <c:v>2503.0458649045213</c:v>
                </c:pt>
                <c:pt idx="992">
                  <c:v>2506.852326227131</c:v>
                </c:pt>
                <c:pt idx="993">
                  <c:v>2512.1797487008789</c:v>
                </c:pt>
                <c:pt idx="994">
                  <c:v>2519.0265095412724</c:v>
                </c:pt>
                <c:pt idx="995">
                  <c:v>2527.3905231586323</c:v>
                </c:pt>
                <c:pt idx="996">
                  <c:v>2537.2692417933904</c:v>
                </c:pt>
                <c:pt idx="997">
                  <c:v>2548.6596562921486</c:v>
                </c:pt>
                <c:pt idx="998">
                  <c:v>2561.5582970243104</c:v>
                </c:pt>
                <c:pt idx="999">
                  <c:v>2575.9612349389572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4A-4ABD-A04D-ECD5E14780CD}"/>
            </c:ext>
          </c:extLst>
        </c:ser>
        <c:ser>
          <c:idx val="1"/>
          <c:order val="1"/>
          <c:spPr>
            <a:ln w="1905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Calculs!$N$6:$N$1005</c:f>
              <c:numCache>
                <c:formatCode>0.000</c:formatCode>
                <c:ptCount val="1000"/>
                <c:pt idx="0">
                  <c:v>-16500.53306695263</c:v>
                </c:pt>
                <c:pt idx="1">
                  <c:v>-16502.132105433164</c:v>
                </c:pt>
                <c:pt idx="2">
                  <c:v>-16504.796628358992</c:v>
                </c:pt>
                <c:pt idx="3">
                  <c:v>-16508.525824090615</c:v>
                </c:pt>
                <c:pt idx="4">
                  <c:v>-16513.318556678889</c:v>
                </c:pt>
                <c:pt idx="5">
                  <c:v>-16519.173366211042</c:v>
                </c:pt>
                <c:pt idx="6">
                  <c:v>-16526.088469255374</c:v>
                </c:pt>
                <c:pt idx="7">
                  <c:v>-16534.061759404503</c:v>
                </c:pt>
                <c:pt idx="8">
                  <c:v>-16543.090807917019</c:v>
                </c:pt>
                <c:pt idx="9">
                  <c:v>-16553.172864457272</c:v>
                </c:pt>
                <c:pt idx="10">
                  <c:v>-16564.304857933177</c:v>
                </c:pt>
                <c:pt idx="11">
                  <c:v>-16576.483397431679</c:v>
                </c:pt>
                <c:pt idx="12">
                  <c:v>-16589.704773251677</c:v>
                </c:pt>
                <c:pt idx="13">
                  <c:v>-16603.964958034012</c:v>
                </c:pt>
                <c:pt idx="14">
                  <c:v>-16619.259607988261</c:v>
                </c:pt>
                <c:pt idx="15">
                  <c:v>-16635.584064215884</c:v>
                </c:pt>
                <c:pt idx="16">
                  <c:v>-16652.933354129374</c:v>
                </c:pt>
                <c:pt idx="17">
                  <c:v>-16671.302192966963</c:v>
                </c:pt>
                <c:pt idx="18">
                  <c:v>-16690.684985402389</c:v>
                </c:pt>
                <c:pt idx="19">
                  <c:v>-16711.075827249319</c:v>
                </c:pt>
                <c:pt idx="20">
                  <c:v>-16732.468507259793</c:v>
                </c:pt>
                <c:pt idx="21">
                  <c:v>-16754.856509016245</c:v>
                </c:pt>
                <c:pt idx="22">
                  <c:v>-16778.233012916458</c:v>
                </c:pt>
                <c:pt idx="23">
                  <c:v>-16802.590898250895</c:v>
                </c:pt>
                <c:pt idx="24">
                  <c:v>-16827.922745371725</c:v>
                </c:pt>
                <c:pt idx="25">
                  <c:v>-16854.220837952915</c:v>
                </c:pt>
                <c:pt idx="26">
                  <c:v>-16881.477165340712</c:v>
                </c:pt>
                <c:pt idx="27">
                  <c:v>-16909.683424993756</c:v>
                </c:pt>
                <c:pt idx="28">
                  <c:v>-16938.831025012114</c:v>
                </c:pt>
                <c:pt idx="29">
                  <c:v>-16968.911086754466</c:v>
                </c:pt>
                <c:pt idx="30">
                  <c:v>-16999.914447542607</c:v>
                </c:pt>
                <c:pt idx="31">
                  <c:v>-17031.831663452511</c:v>
                </c:pt>
                <c:pt idx="32">
                  <c:v>-17064.653012191015</c:v>
                </c:pt>
                <c:pt idx="33">
                  <c:v>-17098.368496057356</c:v>
                </c:pt>
                <c:pt idx="34">
                  <c:v>-17132.967844988529</c:v>
                </c:pt>
                <c:pt idx="35">
                  <c:v>-17168.440519687683</c:v>
                </c:pt>
                <c:pt idx="36">
                  <c:v>-17204.775714834475</c:v>
                </c:pt>
                <c:pt idx="37">
                  <c:v>-17241.962362376471</c:v>
                </c:pt>
                <c:pt idx="38">
                  <c:v>-17279.989134900603</c:v>
                </c:pt>
                <c:pt idx="39">
                  <c:v>-17318.844449083575</c:v>
                </c:pt>
                <c:pt idx="40">
                  <c:v>-17358.516469220296</c:v>
                </c:pt>
                <c:pt idx="41">
                  <c:v>-17398.99311082912</c:v>
                </c:pt>
                <c:pt idx="42">
                  <c:v>-17440.262044332903</c:v>
                </c:pt>
                <c:pt idx="43">
                  <c:v>-17482.310698814719</c:v>
                </c:pt>
                <c:pt idx="44">
                  <c:v>-17525.126265847084</c:v>
                </c:pt>
                <c:pt idx="45">
                  <c:v>-17568.69570339351</c:v>
                </c:pt>
                <c:pt idx="46">
                  <c:v>-17613.005739781256</c:v>
                </c:pt>
                <c:pt idx="47">
                  <c:v>-17658.042877743996</c:v>
                </c:pt>
                <c:pt idx="48">
                  <c:v>-17703.793398533224</c:v>
                </c:pt>
                <c:pt idx="49">
                  <c:v>-17750.243366097111</c:v>
                </c:pt>
                <c:pt idx="50">
                  <c:v>-17797.37863132557</c:v>
                </c:pt>
                <c:pt idx="51">
                  <c:v>-17845.184836360197</c:v>
                </c:pt>
                <c:pt idx="52">
                  <c:v>-17893.64741896783</c:v>
                </c:pt>
                <c:pt idx="53">
                  <c:v>-17942.751616976344</c:v>
                </c:pt>
                <c:pt idx="54">
                  <c:v>-17992.482472771339</c:v>
                </c:pt>
                <c:pt idx="55">
                  <c:v>-18042.824837852386</c:v>
                </c:pt>
                <c:pt idx="56">
                  <c:v>-18093.763377447405</c:v>
                </c:pt>
                <c:pt idx="57">
                  <c:v>-18145.282575183785</c:v>
                </c:pt>
                <c:pt idx="58">
                  <c:v>-18197.366737814809</c:v>
                </c:pt>
                <c:pt idx="59">
                  <c:v>-18250</c:v>
                </c:pt>
                <c:pt idx="60">
                  <c:v>-18303.166329137821</c:v>
                </c:pt>
                <c:pt idx="61">
                  <c:v>-18356.849530249383</c:v>
                </c:pt>
                <c:pt idx="62">
                  <c:v>-18411.033250911587</c:v>
                </c:pt>
                <c:pt idx="63">
                  <c:v>-18465.700986238229</c:v>
                </c:pt>
                <c:pt idx="64">
                  <c:v>-18520.83608390755</c:v>
                </c:pt>
                <c:pt idx="65">
                  <c:v>-18576.421749234698</c:v>
                </c:pt>
                <c:pt idx="66">
                  <c:v>-18632.44105028754</c:v>
                </c:pt>
                <c:pt idx="67">
                  <c:v>-18688.876923044307</c:v>
                </c:pt>
                <c:pt idx="68">
                  <c:v>-18745.712176591449</c:v>
                </c:pt>
                <c:pt idx="69">
                  <c:v>-18802.929498360158</c:v>
                </c:pt>
                <c:pt idx="70">
                  <c:v>-18860.51145939995</c:v>
                </c:pt>
                <c:pt idx="71">
                  <c:v>-18918.440519687683</c:v>
                </c:pt>
                <c:pt idx="72">
                  <c:v>-18976.699033470421</c:v>
                </c:pt>
                <c:pt idx="73">
                  <c:v>-19035.269254640501</c:v>
                </c:pt>
                <c:pt idx="74">
                  <c:v>-19094.133342141176</c:v>
                </c:pt>
                <c:pt idx="75">
                  <c:v>-19153.273365401161</c:v>
                </c:pt>
                <c:pt idx="76">
                  <c:v>-19212.671309796471</c:v>
                </c:pt>
                <c:pt idx="77">
                  <c:v>-19272.309082137843</c:v>
                </c:pt>
                <c:pt idx="78">
                  <c:v>-19332.168516182093</c:v>
                </c:pt>
                <c:pt idx="79">
                  <c:v>-19392.231378165743</c:v>
                </c:pt>
                <c:pt idx="80">
                  <c:v>-19452.47937235919</c:v>
                </c:pt>
                <c:pt idx="81">
                  <c:v>-19512.89414663977</c:v>
                </c:pt>
                <c:pt idx="82">
                  <c:v>-19573.457298081983</c:v>
                </c:pt>
                <c:pt idx="83">
                  <c:v>-19634.150378563212</c:v>
                </c:pt>
                <c:pt idx="84">
                  <c:v>-19694.954900383196</c:v>
                </c:pt>
                <c:pt idx="85">
                  <c:v>-19755.852341895559</c:v>
                </c:pt>
                <c:pt idx="86">
                  <c:v>-19816.824153149697</c:v>
                </c:pt>
                <c:pt idx="87">
                  <c:v>-19877.851761541246</c:v>
                </c:pt>
                <c:pt idx="88">
                  <c:v>-19938.916577469507</c:v>
                </c:pt>
                <c:pt idx="89">
                  <c:v>-20000</c:v>
                </c:pt>
                <c:pt idx="90">
                  <c:v>-20061.083422530493</c:v>
                </c:pt>
                <c:pt idx="91">
                  <c:v>-20122.148238458754</c:v>
                </c:pt>
                <c:pt idx="92">
                  <c:v>-20183.175846850303</c:v>
                </c:pt>
                <c:pt idx="93">
                  <c:v>-20244.147658104437</c:v>
                </c:pt>
                <c:pt idx="94">
                  <c:v>-20305.045099616804</c:v>
                </c:pt>
                <c:pt idx="95">
                  <c:v>-20365.849621436788</c:v>
                </c:pt>
                <c:pt idx="96">
                  <c:v>-20426.542701918017</c:v>
                </c:pt>
                <c:pt idx="97">
                  <c:v>-20487.10585336023</c:v>
                </c:pt>
                <c:pt idx="98">
                  <c:v>-20547.52062764081</c:v>
                </c:pt>
                <c:pt idx="99">
                  <c:v>-20607.768621834257</c:v>
                </c:pt>
                <c:pt idx="100">
                  <c:v>-20667.831483817907</c:v>
                </c:pt>
                <c:pt idx="101">
                  <c:v>-20727.690917862157</c:v>
                </c:pt>
                <c:pt idx="102">
                  <c:v>-20787.328690203525</c:v>
                </c:pt>
                <c:pt idx="103">
                  <c:v>-20846.726634598836</c:v>
                </c:pt>
                <c:pt idx="104">
                  <c:v>-20905.866657858824</c:v>
                </c:pt>
                <c:pt idx="105">
                  <c:v>-20964.730745359499</c:v>
                </c:pt>
                <c:pt idx="106">
                  <c:v>-21023.300966529579</c:v>
                </c:pt>
                <c:pt idx="107">
                  <c:v>-21081.559480312317</c:v>
                </c:pt>
                <c:pt idx="108">
                  <c:v>-21139.488540600047</c:v>
                </c:pt>
                <c:pt idx="109">
                  <c:v>-21197.070501639842</c:v>
                </c:pt>
                <c:pt idx="110">
                  <c:v>-21254.287823408551</c:v>
                </c:pt>
                <c:pt idx="111">
                  <c:v>-21311.123076955693</c:v>
                </c:pt>
                <c:pt idx="112">
                  <c:v>-21367.558949712457</c:v>
                </c:pt>
                <c:pt idx="113">
                  <c:v>-21423.578250765298</c:v>
                </c:pt>
                <c:pt idx="114">
                  <c:v>-21479.163916092446</c:v>
                </c:pt>
                <c:pt idx="115">
                  <c:v>-21534.299013761771</c:v>
                </c:pt>
                <c:pt idx="116">
                  <c:v>-21588.966749088413</c:v>
                </c:pt>
                <c:pt idx="117">
                  <c:v>-21643.150469750617</c:v>
                </c:pt>
                <c:pt idx="118">
                  <c:v>-21696.833670862179</c:v>
                </c:pt>
                <c:pt idx="119">
                  <c:v>-21750</c:v>
                </c:pt>
                <c:pt idx="120">
                  <c:v>-21802.633262185191</c:v>
                </c:pt>
                <c:pt idx="121">
                  <c:v>-21854.717424816215</c:v>
                </c:pt>
                <c:pt idx="122">
                  <c:v>-21906.236622552595</c:v>
                </c:pt>
                <c:pt idx="123">
                  <c:v>-21957.175162147614</c:v>
                </c:pt>
                <c:pt idx="124">
                  <c:v>-22007.517527228661</c:v>
                </c:pt>
                <c:pt idx="125">
                  <c:v>-22057.248383023656</c:v>
                </c:pt>
                <c:pt idx="126">
                  <c:v>-22106.35258103217</c:v>
                </c:pt>
                <c:pt idx="127">
                  <c:v>-22154.815163639803</c:v>
                </c:pt>
                <c:pt idx="128">
                  <c:v>-22202.62136867443</c:v>
                </c:pt>
                <c:pt idx="129">
                  <c:v>-22249.756633902889</c:v>
                </c:pt>
                <c:pt idx="130">
                  <c:v>-22296.206601466776</c:v>
                </c:pt>
                <c:pt idx="131">
                  <c:v>-22341.957122256004</c:v>
                </c:pt>
                <c:pt idx="132">
                  <c:v>-22386.994260218744</c:v>
                </c:pt>
                <c:pt idx="133">
                  <c:v>-22431.30429660649</c:v>
                </c:pt>
                <c:pt idx="134">
                  <c:v>-22474.873734152916</c:v>
                </c:pt>
                <c:pt idx="135">
                  <c:v>-22517.689301185281</c:v>
                </c:pt>
                <c:pt idx="136">
                  <c:v>-22559.737955667097</c:v>
                </c:pt>
                <c:pt idx="137">
                  <c:v>-22601.00688917088</c:v>
                </c:pt>
                <c:pt idx="138">
                  <c:v>-22641.483530779704</c:v>
                </c:pt>
                <c:pt idx="139">
                  <c:v>-22681.155550916425</c:v>
                </c:pt>
                <c:pt idx="140">
                  <c:v>-22720.010865099397</c:v>
                </c:pt>
                <c:pt idx="141">
                  <c:v>-22758.037637623525</c:v>
                </c:pt>
                <c:pt idx="142">
                  <c:v>-22795.224285165525</c:v>
                </c:pt>
                <c:pt idx="143">
                  <c:v>-22831.559480312317</c:v>
                </c:pt>
                <c:pt idx="144">
                  <c:v>-22867.032155011471</c:v>
                </c:pt>
                <c:pt idx="145">
                  <c:v>-22901.631503942644</c:v>
                </c:pt>
                <c:pt idx="146">
                  <c:v>-22935.346987808985</c:v>
                </c:pt>
                <c:pt idx="147">
                  <c:v>-22968.168336547489</c:v>
                </c:pt>
                <c:pt idx="148">
                  <c:v>-23000.085552457393</c:v>
                </c:pt>
                <c:pt idx="149">
                  <c:v>-23031.088913245534</c:v>
                </c:pt>
                <c:pt idx="150">
                  <c:v>-23061.168974987886</c:v>
                </c:pt>
                <c:pt idx="151">
                  <c:v>-23090.316575006244</c:v>
                </c:pt>
                <c:pt idx="152">
                  <c:v>-23118.522834659288</c:v>
                </c:pt>
                <c:pt idx="153">
                  <c:v>-23145.779162047085</c:v>
                </c:pt>
                <c:pt idx="154">
                  <c:v>-23172.077254628275</c:v>
                </c:pt>
                <c:pt idx="155">
                  <c:v>-23197.409101749101</c:v>
                </c:pt>
                <c:pt idx="156">
                  <c:v>-23221.766987083542</c:v>
                </c:pt>
                <c:pt idx="157">
                  <c:v>-23245.143490983755</c:v>
                </c:pt>
                <c:pt idx="158">
                  <c:v>-23267.531492740207</c:v>
                </c:pt>
                <c:pt idx="159">
                  <c:v>-23288.924172750678</c:v>
                </c:pt>
                <c:pt idx="160">
                  <c:v>-23309.315014597611</c:v>
                </c:pt>
                <c:pt idx="161">
                  <c:v>-23328.697807033037</c:v>
                </c:pt>
                <c:pt idx="162">
                  <c:v>-23347.066645870626</c:v>
                </c:pt>
                <c:pt idx="163">
                  <c:v>-23364.415935784116</c:v>
                </c:pt>
                <c:pt idx="164">
                  <c:v>-23380.740392011739</c:v>
                </c:pt>
                <c:pt idx="165">
                  <c:v>-23396.035041965988</c:v>
                </c:pt>
                <c:pt idx="166">
                  <c:v>-23410.295226748323</c:v>
                </c:pt>
                <c:pt idx="167">
                  <c:v>-23423.516602568321</c:v>
                </c:pt>
                <c:pt idx="168">
                  <c:v>-23435.695142066823</c:v>
                </c:pt>
                <c:pt idx="169">
                  <c:v>-23446.827135542728</c:v>
                </c:pt>
                <c:pt idx="170">
                  <c:v>-23456.909192082981</c:v>
                </c:pt>
                <c:pt idx="171">
                  <c:v>-23465.938240595497</c:v>
                </c:pt>
                <c:pt idx="172">
                  <c:v>-23473.911530744626</c:v>
                </c:pt>
                <c:pt idx="173">
                  <c:v>-23480.826633788958</c:v>
                </c:pt>
                <c:pt idx="174">
                  <c:v>-23486.681443321111</c:v>
                </c:pt>
                <c:pt idx="175">
                  <c:v>-23491.474175909385</c:v>
                </c:pt>
                <c:pt idx="176">
                  <c:v>-23495.203371641008</c:v>
                </c:pt>
                <c:pt idx="177">
                  <c:v>-23497.867894566836</c:v>
                </c:pt>
                <c:pt idx="178">
                  <c:v>-23499.46693304737</c:v>
                </c:pt>
                <c:pt idx="179">
                  <c:v>-23500</c:v>
                </c:pt>
                <c:pt idx="180">
                  <c:v>-23499.46693304737</c:v>
                </c:pt>
                <c:pt idx="181">
                  <c:v>-23497.867894566836</c:v>
                </c:pt>
                <c:pt idx="182">
                  <c:v>-23495.203371641008</c:v>
                </c:pt>
                <c:pt idx="183">
                  <c:v>-23491.474175909385</c:v>
                </c:pt>
                <c:pt idx="184">
                  <c:v>-23486.681443321111</c:v>
                </c:pt>
                <c:pt idx="185">
                  <c:v>-23480.826633788958</c:v>
                </c:pt>
                <c:pt idx="186">
                  <c:v>-23473.911530744626</c:v>
                </c:pt>
                <c:pt idx="187">
                  <c:v>-23465.938240595497</c:v>
                </c:pt>
                <c:pt idx="188">
                  <c:v>-23456.909192082981</c:v>
                </c:pt>
                <c:pt idx="189">
                  <c:v>-23446.827135542728</c:v>
                </c:pt>
                <c:pt idx="190">
                  <c:v>-23435.695142066823</c:v>
                </c:pt>
                <c:pt idx="191">
                  <c:v>-23423.516602568321</c:v>
                </c:pt>
                <c:pt idx="192">
                  <c:v>-23410.295226748323</c:v>
                </c:pt>
                <c:pt idx="193">
                  <c:v>-23396.035041965988</c:v>
                </c:pt>
                <c:pt idx="194">
                  <c:v>-23380.740392011739</c:v>
                </c:pt>
                <c:pt idx="195">
                  <c:v>-23364.415935784116</c:v>
                </c:pt>
                <c:pt idx="196">
                  <c:v>-23347.066645870626</c:v>
                </c:pt>
                <c:pt idx="197">
                  <c:v>-23328.697807033037</c:v>
                </c:pt>
                <c:pt idx="198">
                  <c:v>-23309.315014597611</c:v>
                </c:pt>
                <c:pt idx="199">
                  <c:v>-23288.924172750681</c:v>
                </c:pt>
                <c:pt idx="200">
                  <c:v>-23267.531492740207</c:v>
                </c:pt>
                <c:pt idx="201">
                  <c:v>-23245.143490983755</c:v>
                </c:pt>
                <c:pt idx="202">
                  <c:v>-23221.766987083542</c:v>
                </c:pt>
                <c:pt idx="203">
                  <c:v>-23197.409101749105</c:v>
                </c:pt>
                <c:pt idx="204">
                  <c:v>-23172.077254628275</c:v>
                </c:pt>
                <c:pt idx="205">
                  <c:v>-23145.779162047085</c:v>
                </c:pt>
                <c:pt idx="206">
                  <c:v>-23118.522834659288</c:v>
                </c:pt>
                <c:pt idx="207">
                  <c:v>-23090.316575006244</c:v>
                </c:pt>
                <c:pt idx="208">
                  <c:v>-23061.168974987886</c:v>
                </c:pt>
                <c:pt idx="209">
                  <c:v>-23031.088913245534</c:v>
                </c:pt>
                <c:pt idx="210">
                  <c:v>-23000.085552457393</c:v>
                </c:pt>
                <c:pt idx="211">
                  <c:v>-22968.168336547493</c:v>
                </c:pt>
                <c:pt idx="212">
                  <c:v>-22935.346987808985</c:v>
                </c:pt>
                <c:pt idx="213">
                  <c:v>-22901.631503942648</c:v>
                </c:pt>
                <c:pt idx="214">
                  <c:v>-22867.032155011471</c:v>
                </c:pt>
                <c:pt idx="215">
                  <c:v>-22831.559480312317</c:v>
                </c:pt>
                <c:pt idx="216">
                  <c:v>-22795.224285165525</c:v>
                </c:pt>
                <c:pt idx="217">
                  <c:v>-22758.037637623529</c:v>
                </c:pt>
                <c:pt idx="218">
                  <c:v>-22720.010865099397</c:v>
                </c:pt>
                <c:pt idx="219">
                  <c:v>-22681.155550916425</c:v>
                </c:pt>
                <c:pt idx="220">
                  <c:v>-22641.4835307797</c:v>
                </c:pt>
                <c:pt idx="221">
                  <c:v>-22601.00688917088</c:v>
                </c:pt>
                <c:pt idx="222">
                  <c:v>-22559.737955667097</c:v>
                </c:pt>
                <c:pt idx="223">
                  <c:v>-22517.689301185281</c:v>
                </c:pt>
                <c:pt idx="224">
                  <c:v>-22474.873734152916</c:v>
                </c:pt>
                <c:pt idx="225">
                  <c:v>-22431.30429660649</c:v>
                </c:pt>
                <c:pt idx="226">
                  <c:v>-22386.994260218748</c:v>
                </c:pt>
                <c:pt idx="227">
                  <c:v>-22341.957122256004</c:v>
                </c:pt>
                <c:pt idx="228">
                  <c:v>-22296.206601466776</c:v>
                </c:pt>
                <c:pt idx="229">
                  <c:v>-22249.756633902889</c:v>
                </c:pt>
                <c:pt idx="230">
                  <c:v>-22202.62136867443</c:v>
                </c:pt>
                <c:pt idx="231">
                  <c:v>-22154.815163639803</c:v>
                </c:pt>
                <c:pt idx="232">
                  <c:v>-22106.35258103217</c:v>
                </c:pt>
                <c:pt idx="233">
                  <c:v>-22057.248383023656</c:v>
                </c:pt>
                <c:pt idx="234">
                  <c:v>-22007.517527228661</c:v>
                </c:pt>
                <c:pt idx="235">
                  <c:v>-21957.175162147614</c:v>
                </c:pt>
                <c:pt idx="236">
                  <c:v>-21906.236622552595</c:v>
                </c:pt>
                <c:pt idx="237">
                  <c:v>-21854.717424816219</c:v>
                </c:pt>
                <c:pt idx="238">
                  <c:v>-21802.633262185191</c:v>
                </c:pt>
                <c:pt idx="239">
                  <c:v>-21750</c:v>
                </c:pt>
                <c:pt idx="240">
                  <c:v>-21696.833670862179</c:v>
                </c:pt>
                <c:pt idx="241">
                  <c:v>-21643.150469750617</c:v>
                </c:pt>
                <c:pt idx="242">
                  <c:v>-21588.966749088413</c:v>
                </c:pt>
                <c:pt idx="243">
                  <c:v>-21534.299013761771</c:v>
                </c:pt>
                <c:pt idx="244">
                  <c:v>-21479.16391609245</c:v>
                </c:pt>
                <c:pt idx="245">
                  <c:v>-21423.578250765298</c:v>
                </c:pt>
                <c:pt idx="246">
                  <c:v>-21367.55894971246</c:v>
                </c:pt>
                <c:pt idx="247">
                  <c:v>-21311.123076955693</c:v>
                </c:pt>
                <c:pt idx="248">
                  <c:v>-21254.287823408551</c:v>
                </c:pt>
                <c:pt idx="249">
                  <c:v>-21197.070501639842</c:v>
                </c:pt>
                <c:pt idx="250">
                  <c:v>-21139.488540600047</c:v>
                </c:pt>
                <c:pt idx="251">
                  <c:v>-21081.559480312317</c:v>
                </c:pt>
                <c:pt idx="252">
                  <c:v>-21023.300966529579</c:v>
                </c:pt>
                <c:pt idx="253">
                  <c:v>-20964.730745359495</c:v>
                </c:pt>
                <c:pt idx="254">
                  <c:v>-20905.866657858824</c:v>
                </c:pt>
                <c:pt idx="255">
                  <c:v>-20846.726634598836</c:v>
                </c:pt>
                <c:pt idx="256">
                  <c:v>-20787.328690203529</c:v>
                </c:pt>
                <c:pt idx="257">
                  <c:v>-20727.690917862161</c:v>
                </c:pt>
                <c:pt idx="258">
                  <c:v>-20667.83148381791</c:v>
                </c:pt>
                <c:pt idx="259">
                  <c:v>-20607.768621834257</c:v>
                </c:pt>
                <c:pt idx="260">
                  <c:v>-20547.52062764081</c:v>
                </c:pt>
                <c:pt idx="261">
                  <c:v>-20487.105853360226</c:v>
                </c:pt>
                <c:pt idx="262">
                  <c:v>-20426.542701918013</c:v>
                </c:pt>
                <c:pt idx="263">
                  <c:v>-20365.849621436788</c:v>
                </c:pt>
                <c:pt idx="264">
                  <c:v>-20305.045099616804</c:v>
                </c:pt>
                <c:pt idx="265">
                  <c:v>-20244.147658104441</c:v>
                </c:pt>
                <c:pt idx="266">
                  <c:v>-20183.175846850307</c:v>
                </c:pt>
                <c:pt idx="267">
                  <c:v>-20122.148238458754</c:v>
                </c:pt>
                <c:pt idx="268">
                  <c:v>-20061.083422530493</c:v>
                </c:pt>
                <c:pt idx="269">
                  <c:v>-20000</c:v>
                </c:pt>
                <c:pt idx="270">
                  <c:v>-19938.91657746951</c:v>
                </c:pt>
                <c:pt idx="271">
                  <c:v>-19877.851761541246</c:v>
                </c:pt>
                <c:pt idx="272">
                  <c:v>-19816.824153149697</c:v>
                </c:pt>
                <c:pt idx="273">
                  <c:v>-19755.852341895563</c:v>
                </c:pt>
                <c:pt idx="274">
                  <c:v>-19694.954900383196</c:v>
                </c:pt>
                <c:pt idx="275">
                  <c:v>-19634.150378563216</c:v>
                </c:pt>
                <c:pt idx="276">
                  <c:v>-19573.457298081983</c:v>
                </c:pt>
                <c:pt idx="277">
                  <c:v>-19512.89414663977</c:v>
                </c:pt>
                <c:pt idx="278">
                  <c:v>-19452.479372359194</c:v>
                </c:pt>
                <c:pt idx="279">
                  <c:v>-19392.231378165747</c:v>
                </c:pt>
                <c:pt idx="280">
                  <c:v>-19332.168516182093</c:v>
                </c:pt>
                <c:pt idx="281">
                  <c:v>-19272.309082137846</c:v>
                </c:pt>
                <c:pt idx="282">
                  <c:v>-19212.671309796471</c:v>
                </c:pt>
                <c:pt idx="283">
                  <c:v>-19153.273365401164</c:v>
                </c:pt>
                <c:pt idx="284">
                  <c:v>-19094.133342141176</c:v>
                </c:pt>
                <c:pt idx="285">
                  <c:v>-19035.269254640501</c:v>
                </c:pt>
                <c:pt idx="286">
                  <c:v>-18976.699033470421</c:v>
                </c:pt>
                <c:pt idx="287">
                  <c:v>-18918.440519687683</c:v>
                </c:pt>
                <c:pt idx="288">
                  <c:v>-18860.511459399953</c:v>
                </c:pt>
                <c:pt idx="289">
                  <c:v>-18802.929498360161</c:v>
                </c:pt>
                <c:pt idx="290">
                  <c:v>-18745.712176591453</c:v>
                </c:pt>
                <c:pt idx="291">
                  <c:v>-18688.876923044307</c:v>
                </c:pt>
                <c:pt idx="292">
                  <c:v>-18632.441050287543</c:v>
                </c:pt>
                <c:pt idx="293">
                  <c:v>-18576.421749234698</c:v>
                </c:pt>
                <c:pt idx="294">
                  <c:v>-18520.83608390755</c:v>
                </c:pt>
                <c:pt idx="295">
                  <c:v>-18465.700986238229</c:v>
                </c:pt>
                <c:pt idx="296">
                  <c:v>-18411.033250911587</c:v>
                </c:pt>
                <c:pt idx="297">
                  <c:v>-18356.849530249383</c:v>
                </c:pt>
                <c:pt idx="298">
                  <c:v>-18303.166329137821</c:v>
                </c:pt>
                <c:pt idx="299">
                  <c:v>-18250</c:v>
                </c:pt>
                <c:pt idx="300">
                  <c:v>-18197.366737814809</c:v>
                </c:pt>
                <c:pt idx="301">
                  <c:v>-18145.282575183785</c:v>
                </c:pt>
                <c:pt idx="302">
                  <c:v>-18093.763377447405</c:v>
                </c:pt>
                <c:pt idx="303">
                  <c:v>-18042.824837852389</c:v>
                </c:pt>
                <c:pt idx="304">
                  <c:v>-17992.482472771339</c:v>
                </c:pt>
                <c:pt idx="305">
                  <c:v>-17942.751616976344</c:v>
                </c:pt>
                <c:pt idx="306">
                  <c:v>-17893.647418967834</c:v>
                </c:pt>
                <c:pt idx="307">
                  <c:v>-17845.184836360197</c:v>
                </c:pt>
                <c:pt idx="308">
                  <c:v>-17797.37863132557</c:v>
                </c:pt>
                <c:pt idx="309">
                  <c:v>-17750.243366097115</c:v>
                </c:pt>
                <c:pt idx="310">
                  <c:v>-17703.793398533224</c:v>
                </c:pt>
                <c:pt idx="311">
                  <c:v>-17658.042877743999</c:v>
                </c:pt>
                <c:pt idx="312">
                  <c:v>-17613.005739781256</c:v>
                </c:pt>
                <c:pt idx="313">
                  <c:v>-17568.69570339351</c:v>
                </c:pt>
                <c:pt idx="314">
                  <c:v>-17525.126265847084</c:v>
                </c:pt>
                <c:pt idx="315">
                  <c:v>-17482.310698814723</c:v>
                </c:pt>
                <c:pt idx="316">
                  <c:v>-17440.262044332903</c:v>
                </c:pt>
                <c:pt idx="317">
                  <c:v>-17398.99311082912</c:v>
                </c:pt>
                <c:pt idx="318">
                  <c:v>-17358.5164692203</c:v>
                </c:pt>
                <c:pt idx="319">
                  <c:v>-17318.844449083579</c:v>
                </c:pt>
                <c:pt idx="320">
                  <c:v>-17279.989134900603</c:v>
                </c:pt>
                <c:pt idx="321">
                  <c:v>-17241.962362376475</c:v>
                </c:pt>
                <c:pt idx="322">
                  <c:v>-17204.775714834475</c:v>
                </c:pt>
                <c:pt idx="323">
                  <c:v>-17168.440519687683</c:v>
                </c:pt>
                <c:pt idx="324">
                  <c:v>-17132.967844988529</c:v>
                </c:pt>
                <c:pt idx="325">
                  <c:v>-17098.368496057356</c:v>
                </c:pt>
                <c:pt idx="326">
                  <c:v>-17064.653012191015</c:v>
                </c:pt>
                <c:pt idx="327">
                  <c:v>-17031.831663452511</c:v>
                </c:pt>
                <c:pt idx="328">
                  <c:v>-16999.914447542607</c:v>
                </c:pt>
                <c:pt idx="329">
                  <c:v>-16968.911086754466</c:v>
                </c:pt>
                <c:pt idx="330">
                  <c:v>-16938.831025012114</c:v>
                </c:pt>
                <c:pt idx="331">
                  <c:v>-16909.683424993756</c:v>
                </c:pt>
                <c:pt idx="332">
                  <c:v>-16881.477165340712</c:v>
                </c:pt>
                <c:pt idx="333">
                  <c:v>-16854.220837952915</c:v>
                </c:pt>
                <c:pt idx="334">
                  <c:v>-16827.922745371725</c:v>
                </c:pt>
                <c:pt idx="335">
                  <c:v>-16802.590898250895</c:v>
                </c:pt>
                <c:pt idx="336">
                  <c:v>-16778.233012916462</c:v>
                </c:pt>
                <c:pt idx="337">
                  <c:v>-16754.856509016245</c:v>
                </c:pt>
                <c:pt idx="338">
                  <c:v>-16732.468507259793</c:v>
                </c:pt>
                <c:pt idx="339">
                  <c:v>-16711.075827249319</c:v>
                </c:pt>
                <c:pt idx="340">
                  <c:v>-16690.684985402393</c:v>
                </c:pt>
                <c:pt idx="341">
                  <c:v>-16671.302192966963</c:v>
                </c:pt>
                <c:pt idx="342">
                  <c:v>-16652.933354129374</c:v>
                </c:pt>
                <c:pt idx="343">
                  <c:v>-16635.584064215884</c:v>
                </c:pt>
                <c:pt idx="344">
                  <c:v>-16619.259607988261</c:v>
                </c:pt>
                <c:pt idx="345">
                  <c:v>-16603.964958034012</c:v>
                </c:pt>
                <c:pt idx="346">
                  <c:v>-16589.704773251677</c:v>
                </c:pt>
                <c:pt idx="347">
                  <c:v>-16576.483397431679</c:v>
                </c:pt>
                <c:pt idx="348">
                  <c:v>-16564.304857933177</c:v>
                </c:pt>
                <c:pt idx="349">
                  <c:v>-16553.172864457272</c:v>
                </c:pt>
                <c:pt idx="350">
                  <c:v>-16543.090807917019</c:v>
                </c:pt>
                <c:pt idx="351">
                  <c:v>-16534.061759404503</c:v>
                </c:pt>
                <c:pt idx="352">
                  <c:v>-16526.088469255374</c:v>
                </c:pt>
                <c:pt idx="353">
                  <c:v>-16519.173366211042</c:v>
                </c:pt>
                <c:pt idx="354">
                  <c:v>-16513.318556678889</c:v>
                </c:pt>
                <c:pt idx="355">
                  <c:v>-16508.525824090615</c:v>
                </c:pt>
                <c:pt idx="356">
                  <c:v>-16504.796628358992</c:v>
                </c:pt>
                <c:pt idx="357">
                  <c:v>-16502.132105433164</c:v>
                </c:pt>
                <c:pt idx="358">
                  <c:v>-16500.53306695263</c:v>
                </c:pt>
                <c:pt idx="359">
                  <c:v>-16500</c:v>
                </c:pt>
                <c:pt idx="360">
                  <c:v>-16500.53306695263</c:v>
                </c:pt>
                <c:pt idx="361">
                  <c:v>-16502.132105433164</c:v>
                </c:pt>
                <c:pt idx="362">
                  <c:v>-16504.796628358992</c:v>
                </c:pt>
                <c:pt idx="363">
                  <c:v>-16508.525824090615</c:v>
                </c:pt>
                <c:pt idx="364">
                  <c:v>-16513.318556678892</c:v>
                </c:pt>
                <c:pt idx="365">
                  <c:v>-16519.173366211042</c:v>
                </c:pt>
                <c:pt idx="366">
                  <c:v>-16526.088469255374</c:v>
                </c:pt>
                <c:pt idx="367">
                  <c:v>-16534.061759404503</c:v>
                </c:pt>
                <c:pt idx="368">
                  <c:v>-16543.090807917019</c:v>
                </c:pt>
                <c:pt idx="369">
                  <c:v>-16553.172864457272</c:v>
                </c:pt>
                <c:pt idx="370">
                  <c:v>-16564.304857933177</c:v>
                </c:pt>
                <c:pt idx="371">
                  <c:v>-16576.483397431679</c:v>
                </c:pt>
                <c:pt idx="372">
                  <c:v>-16589.704773251677</c:v>
                </c:pt>
                <c:pt idx="373">
                  <c:v>-16603.964958034012</c:v>
                </c:pt>
                <c:pt idx="374">
                  <c:v>-16619.259607988261</c:v>
                </c:pt>
                <c:pt idx="375">
                  <c:v>-16635.584064215884</c:v>
                </c:pt>
                <c:pt idx="376">
                  <c:v>-16652.933354129374</c:v>
                </c:pt>
                <c:pt idx="377">
                  <c:v>-16671.302192966963</c:v>
                </c:pt>
                <c:pt idx="378">
                  <c:v>-16690.684985402389</c:v>
                </c:pt>
                <c:pt idx="379">
                  <c:v>-16711.075827249322</c:v>
                </c:pt>
                <c:pt idx="380">
                  <c:v>-16732.468507259793</c:v>
                </c:pt>
                <c:pt idx="381">
                  <c:v>-16754.856509016245</c:v>
                </c:pt>
                <c:pt idx="382">
                  <c:v>-16778.233012916458</c:v>
                </c:pt>
                <c:pt idx="383">
                  <c:v>-16802.590898250895</c:v>
                </c:pt>
                <c:pt idx="384">
                  <c:v>-16827.922745371725</c:v>
                </c:pt>
                <c:pt idx="385">
                  <c:v>-16854.220837952915</c:v>
                </c:pt>
                <c:pt idx="386">
                  <c:v>-16881.477165340715</c:v>
                </c:pt>
                <c:pt idx="387">
                  <c:v>-16909.683424993753</c:v>
                </c:pt>
                <c:pt idx="388">
                  <c:v>-16938.831025012114</c:v>
                </c:pt>
                <c:pt idx="389">
                  <c:v>-16968.911086754462</c:v>
                </c:pt>
                <c:pt idx="390">
                  <c:v>-16999.914447542607</c:v>
                </c:pt>
                <c:pt idx="391">
                  <c:v>-17031.831663452507</c:v>
                </c:pt>
                <c:pt idx="392">
                  <c:v>-17064.653012191015</c:v>
                </c:pt>
                <c:pt idx="393">
                  <c:v>-17098.368496057352</c:v>
                </c:pt>
                <c:pt idx="394">
                  <c:v>-17132.967844988529</c:v>
                </c:pt>
                <c:pt idx="395">
                  <c:v>-17168.440519687687</c:v>
                </c:pt>
                <c:pt idx="396">
                  <c:v>-17204.775714834475</c:v>
                </c:pt>
                <c:pt idx="397">
                  <c:v>-17241.962362376475</c:v>
                </c:pt>
                <c:pt idx="398">
                  <c:v>-17279.989134900599</c:v>
                </c:pt>
                <c:pt idx="399">
                  <c:v>-17318.844449083575</c:v>
                </c:pt>
                <c:pt idx="400">
                  <c:v>-17358.516469220296</c:v>
                </c:pt>
                <c:pt idx="401">
                  <c:v>-17398.99311082912</c:v>
                </c:pt>
                <c:pt idx="402">
                  <c:v>-17440.2620443329</c:v>
                </c:pt>
                <c:pt idx="403">
                  <c:v>-17482.310698814719</c:v>
                </c:pt>
                <c:pt idx="404">
                  <c:v>-17525.126265847081</c:v>
                </c:pt>
                <c:pt idx="405">
                  <c:v>-17568.69570339351</c:v>
                </c:pt>
                <c:pt idx="406">
                  <c:v>-17613.005739781256</c:v>
                </c:pt>
                <c:pt idx="407">
                  <c:v>-17658.042877743996</c:v>
                </c:pt>
                <c:pt idx="408">
                  <c:v>-17703.793398533224</c:v>
                </c:pt>
                <c:pt idx="409">
                  <c:v>-17750.243366097111</c:v>
                </c:pt>
                <c:pt idx="410">
                  <c:v>-17797.37863132557</c:v>
                </c:pt>
                <c:pt idx="411">
                  <c:v>-17845.184836360193</c:v>
                </c:pt>
                <c:pt idx="412">
                  <c:v>-17893.64741896783</c:v>
                </c:pt>
                <c:pt idx="413">
                  <c:v>-17942.75161697634</c:v>
                </c:pt>
                <c:pt idx="414">
                  <c:v>-17992.482472771339</c:v>
                </c:pt>
                <c:pt idx="415">
                  <c:v>-18042.824837852386</c:v>
                </c:pt>
                <c:pt idx="416">
                  <c:v>-18093.763377447405</c:v>
                </c:pt>
                <c:pt idx="417">
                  <c:v>-18145.282575183781</c:v>
                </c:pt>
                <c:pt idx="418">
                  <c:v>-18197.366737814809</c:v>
                </c:pt>
                <c:pt idx="419">
                  <c:v>-18250</c:v>
                </c:pt>
                <c:pt idx="420">
                  <c:v>-18303.166329137817</c:v>
                </c:pt>
                <c:pt idx="421">
                  <c:v>-18356.849530249383</c:v>
                </c:pt>
                <c:pt idx="422">
                  <c:v>-18411.033250911587</c:v>
                </c:pt>
                <c:pt idx="423">
                  <c:v>-18465.700986238229</c:v>
                </c:pt>
                <c:pt idx="424">
                  <c:v>-18520.83608390755</c:v>
                </c:pt>
                <c:pt idx="425">
                  <c:v>-18576.421749234698</c:v>
                </c:pt>
                <c:pt idx="426">
                  <c:v>-18632.441050287543</c:v>
                </c:pt>
                <c:pt idx="427">
                  <c:v>-18688.876923044307</c:v>
                </c:pt>
                <c:pt idx="428">
                  <c:v>-18745.712176591449</c:v>
                </c:pt>
                <c:pt idx="429">
                  <c:v>-18802.929498360158</c:v>
                </c:pt>
                <c:pt idx="430">
                  <c:v>-18860.51145939995</c:v>
                </c:pt>
                <c:pt idx="431">
                  <c:v>-18918.440519687683</c:v>
                </c:pt>
                <c:pt idx="432">
                  <c:v>-18976.699033470424</c:v>
                </c:pt>
                <c:pt idx="433">
                  <c:v>-19035.269254640501</c:v>
                </c:pt>
                <c:pt idx="434">
                  <c:v>-19094.133342141176</c:v>
                </c:pt>
                <c:pt idx="435">
                  <c:v>-19153.273365401161</c:v>
                </c:pt>
                <c:pt idx="436">
                  <c:v>-19212.671309796471</c:v>
                </c:pt>
                <c:pt idx="437">
                  <c:v>-19272.309082137843</c:v>
                </c:pt>
                <c:pt idx="438">
                  <c:v>-19332.16851618209</c:v>
                </c:pt>
                <c:pt idx="439">
                  <c:v>-19392.231378165743</c:v>
                </c:pt>
                <c:pt idx="440">
                  <c:v>-19452.47937235919</c:v>
                </c:pt>
                <c:pt idx="441">
                  <c:v>-19512.894146639774</c:v>
                </c:pt>
                <c:pt idx="442">
                  <c:v>-19573.457298081983</c:v>
                </c:pt>
                <c:pt idx="443">
                  <c:v>-19634.150378563212</c:v>
                </c:pt>
                <c:pt idx="444">
                  <c:v>-19694.954900383193</c:v>
                </c:pt>
                <c:pt idx="445">
                  <c:v>-19755.852341895559</c:v>
                </c:pt>
                <c:pt idx="446">
                  <c:v>-19816.824153149693</c:v>
                </c:pt>
                <c:pt idx="447">
                  <c:v>-19877.851761541246</c:v>
                </c:pt>
                <c:pt idx="448">
                  <c:v>-19938.916577469507</c:v>
                </c:pt>
                <c:pt idx="449">
                  <c:v>-20000</c:v>
                </c:pt>
                <c:pt idx="450">
                  <c:v>-20061.083422530493</c:v>
                </c:pt>
                <c:pt idx="451">
                  <c:v>-20122.148238458751</c:v>
                </c:pt>
                <c:pt idx="452">
                  <c:v>-20183.175846850303</c:v>
                </c:pt>
                <c:pt idx="453">
                  <c:v>-20244.147658104434</c:v>
                </c:pt>
                <c:pt idx="454">
                  <c:v>-20305.045099616804</c:v>
                </c:pt>
                <c:pt idx="455">
                  <c:v>-20365.849621436784</c:v>
                </c:pt>
                <c:pt idx="456">
                  <c:v>-20426.542701918017</c:v>
                </c:pt>
                <c:pt idx="457">
                  <c:v>-20487.105853360226</c:v>
                </c:pt>
                <c:pt idx="458">
                  <c:v>-20547.520627640803</c:v>
                </c:pt>
                <c:pt idx="459">
                  <c:v>-20607.768621834253</c:v>
                </c:pt>
                <c:pt idx="460">
                  <c:v>-20667.831483817907</c:v>
                </c:pt>
                <c:pt idx="461">
                  <c:v>-20727.690917862161</c:v>
                </c:pt>
                <c:pt idx="462">
                  <c:v>-20787.328690203525</c:v>
                </c:pt>
                <c:pt idx="463">
                  <c:v>-20846.726634598839</c:v>
                </c:pt>
                <c:pt idx="464">
                  <c:v>-20905.86665785882</c:v>
                </c:pt>
                <c:pt idx="465">
                  <c:v>-20964.730745359499</c:v>
                </c:pt>
                <c:pt idx="466">
                  <c:v>-21023.300966529576</c:v>
                </c:pt>
                <c:pt idx="467">
                  <c:v>-21081.559480312317</c:v>
                </c:pt>
                <c:pt idx="468">
                  <c:v>-21139.488540600043</c:v>
                </c:pt>
                <c:pt idx="469">
                  <c:v>-21197.070501639839</c:v>
                </c:pt>
                <c:pt idx="470">
                  <c:v>-21254.287823408551</c:v>
                </c:pt>
                <c:pt idx="471">
                  <c:v>-21311.12307695569</c:v>
                </c:pt>
                <c:pt idx="472">
                  <c:v>-21367.558949712457</c:v>
                </c:pt>
                <c:pt idx="473">
                  <c:v>-21423.578250765302</c:v>
                </c:pt>
                <c:pt idx="474">
                  <c:v>-21479.163916092446</c:v>
                </c:pt>
                <c:pt idx="475">
                  <c:v>-21534.299013761771</c:v>
                </c:pt>
                <c:pt idx="476">
                  <c:v>-21588.966749088417</c:v>
                </c:pt>
                <c:pt idx="477">
                  <c:v>-21643.150469750617</c:v>
                </c:pt>
                <c:pt idx="478">
                  <c:v>-21696.833670862179</c:v>
                </c:pt>
                <c:pt idx="479">
                  <c:v>-21749.999999999996</c:v>
                </c:pt>
                <c:pt idx="480">
                  <c:v>-21802.633262185191</c:v>
                </c:pt>
                <c:pt idx="481">
                  <c:v>-21854.717424816219</c:v>
                </c:pt>
                <c:pt idx="482">
                  <c:v>-21906.236622552591</c:v>
                </c:pt>
                <c:pt idx="483">
                  <c:v>-21957.175162147614</c:v>
                </c:pt>
                <c:pt idx="484">
                  <c:v>-22007.517527228658</c:v>
                </c:pt>
                <c:pt idx="485">
                  <c:v>-22057.248383023656</c:v>
                </c:pt>
                <c:pt idx="486">
                  <c:v>-22106.352581032166</c:v>
                </c:pt>
                <c:pt idx="487">
                  <c:v>-22154.815163639803</c:v>
                </c:pt>
                <c:pt idx="488">
                  <c:v>-22202.62136867443</c:v>
                </c:pt>
                <c:pt idx="489">
                  <c:v>-22249.756633902885</c:v>
                </c:pt>
                <c:pt idx="490">
                  <c:v>-22296.206601466773</c:v>
                </c:pt>
                <c:pt idx="491">
                  <c:v>-22341.957122256004</c:v>
                </c:pt>
                <c:pt idx="492">
                  <c:v>-22386.994260218748</c:v>
                </c:pt>
                <c:pt idx="493">
                  <c:v>-22431.30429660649</c:v>
                </c:pt>
                <c:pt idx="494">
                  <c:v>-22474.873734152919</c:v>
                </c:pt>
                <c:pt idx="495">
                  <c:v>-22517.689301185277</c:v>
                </c:pt>
                <c:pt idx="496">
                  <c:v>-22559.737955667097</c:v>
                </c:pt>
                <c:pt idx="497">
                  <c:v>-22601.006889170876</c:v>
                </c:pt>
                <c:pt idx="498">
                  <c:v>-22641.4835307797</c:v>
                </c:pt>
                <c:pt idx="499">
                  <c:v>-22681.155550916421</c:v>
                </c:pt>
                <c:pt idx="500">
                  <c:v>-22720.010865099397</c:v>
                </c:pt>
                <c:pt idx="501">
                  <c:v>-22758.037637623529</c:v>
                </c:pt>
                <c:pt idx="502">
                  <c:v>-22795.224285165525</c:v>
                </c:pt>
                <c:pt idx="503">
                  <c:v>-22831.559480312317</c:v>
                </c:pt>
                <c:pt idx="504">
                  <c:v>-22867.032155011468</c:v>
                </c:pt>
                <c:pt idx="505">
                  <c:v>-22901.631503942644</c:v>
                </c:pt>
                <c:pt idx="506">
                  <c:v>-22935.346987808985</c:v>
                </c:pt>
                <c:pt idx="507">
                  <c:v>-22968.168336547493</c:v>
                </c:pt>
                <c:pt idx="508">
                  <c:v>-23000.085552457393</c:v>
                </c:pt>
                <c:pt idx="509">
                  <c:v>-23031.088913245534</c:v>
                </c:pt>
                <c:pt idx="510">
                  <c:v>-23061.168974987882</c:v>
                </c:pt>
                <c:pt idx="511">
                  <c:v>-23090.316575006244</c:v>
                </c:pt>
                <c:pt idx="512">
                  <c:v>-23118.522834659288</c:v>
                </c:pt>
                <c:pt idx="513">
                  <c:v>-23145.779162047082</c:v>
                </c:pt>
                <c:pt idx="514">
                  <c:v>-23172.077254628275</c:v>
                </c:pt>
                <c:pt idx="515">
                  <c:v>-23197.409101749101</c:v>
                </c:pt>
                <c:pt idx="516">
                  <c:v>-23221.766987083542</c:v>
                </c:pt>
                <c:pt idx="517">
                  <c:v>-23245.143490983755</c:v>
                </c:pt>
                <c:pt idx="518">
                  <c:v>-23267.531492740207</c:v>
                </c:pt>
                <c:pt idx="519">
                  <c:v>-23288.924172750681</c:v>
                </c:pt>
                <c:pt idx="520">
                  <c:v>-23309.315014597607</c:v>
                </c:pt>
                <c:pt idx="521">
                  <c:v>-23328.697807033037</c:v>
                </c:pt>
                <c:pt idx="522">
                  <c:v>-23347.066645870626</c:v>
                </c:pt>
                <c:pt idx="523">
                  <c:v>-23364.415935784116</c:v>
                </c:pt>
                <c:pt idx="524">
                  <c:v>-23380.740392011739</c:v>
                </c:pt>
                <c:pt idx="525">
                  <c:v>-23396.035041965988</c:v>
                </c:pt>
                <c:pt idx="526">
                  <c:v>-23410.295226748323</c:v>
                </c:pt>
                <c:pt idx="527">
                  <c:v>-23423.516602568321</c:v>
                </c:pt>
                <c:pt idx="528">
                  <c:v>-23435.695142066823</c:v>
                </c:pt>
                <c:pt idx="529">
                  <c:v>-23446.827135542728</c:v>
                </c:pt>
                <c:pt idx="530">
                  <c:v>-23456.909192082981</c:v>
                </c:pt>
                <c:pt idx="531">
                  <c:v>-23465.938240595497</c:v>
                </c:pt>
                <c:pt idx="532">
                  <c:v>-23473.911530744626</c:v>
                </c:pt>
                <c:pt idx="533">
                  <c:v>-23480.826633788958</c:v>
                </c:pt>
                <c:pt idx="534">
                  <c:v>-23486.681443321111</c:v>
                </c:pt>
                <c:pt idx="535">
                  <c:v>-23491.474175909385</c:v>
                </c:pt>
                <c:pt idx="536">
                  <c:v>-23495.203371641008</c:v>
                </c:pt>
                <c:pt idx="537">
                  <c:v>-23497.867894566836</c:v>
                </c:pt>
                <c:pt idx="538">
                  <c:v>-23499.46693304737</c:v>
                </c:pt>
                <c:pt idx="539">
                  <c:v>-23500</c:v>
                </c:pt>
                <c:pt idx="540">
                  <c:v>-23499.46693304737</c:v>
                </c:pt>
                <c:pt idx="541">
                  <c:v>-23497.867894566836</c:v>
                </c:pt>
                <c:pt idx="542">
                  <c:v>-23495.203371641008</c:v>
                </c:pt>
                <c:pt idx="543">
                  <c:v>-23491.474175909385</c:v>
                </c:pt>
                <c:pt idx="544">
                  <c:v>-23486.681443321111</c:v>
                </c:pt>
                <c:pt idx="545">
                  <c:v>-23480.826633788958</c:v>
                </c:pt>
                <c:pt idx="546">
                  <c:v>-23473.911530744626</c:v>
                </c:pt>
                <c:pt idx="547">
                  <c:v>-23465.938240595497</c:v>
                </c:pt>
                <c:pt idx="548">
                  <c:v>-23456.909192082981</c:v>
                </c:pt>
                <c:pt idx="549">
                  <c:v>-23446.827135542728</c:v>
                </c:pt>
                <c:pt idx="550">
                  <c:v>-23435.695142066827</c:v>
                </c:pt>
                <c:pt idx="551">
                  <c:v>-23423.516602568321</c:v>
                </c:pt>
                <c:pt idx="552">
                  <c:v>-23410.295226748323</c:v>
                </c:pt>
                <c:pt idx="553">
                  <c:v>-23396.035041965988</c:v>
                </c:pt>
                <c:pt idx="554">
                  <c:v>-23380.740392011739</c:v>
                </c:pt>
                <c:pt idx="555">
                  <c:v>-23364.415935784116</c:v>
                </c:pt>
                <c:pt idx="556">
                  <c:v>-23347.066645870626</c:v>
                </c:pt>
                <c:pt idx="557">
                  <c:v>-23328.697807033037</c:v>
                </c:pt>
                <c:pt idx="558">
                  <c:v>-23309.315014597611</c:v>
                </c:pt>
                <c:pt idx="559">
                  <c:v>-23288.924172750681</c:v>
                </c:pt>
                <c:pt idx="560">
                  <c:v>-23267.531492740207</c:v>
                </c:pt>
                <c:pt idx="561">
                  <c:v>-23245.143490983759</c:v>
                </c:pt>
                <c:pt idx="562">
                  <c:v>-23221.766987083542</c:v>
                </c:pt>
                <c:pt idx="563">
                  <c:v>-23197.409101749105</c:v>
                </c:pt>
                <c:pt idx="564">
                  <c:v>-23172.077254628275</c:v>
                </c:pt>
                <c:pt idx="565">
                  <c:v>-23145.779162047085</c:v>
                </c:pt>
                <c:pt idx="566">
                  <c:v>-23118.522834659288</c:v>
                </c:pt>
                <c:pt idx="567">
                  <c:v>-23090.316575006247</c:v>
                </c:pt>
                <c:pt idx="568">
                  <c:v>-23061.168974987886</c:v>
                </c:pt>
                <c:pt idx="569">
                  <c:v>-23031.088913245534</c:v>
                </c:pt>
                <c:pt idx="570">
                  <c:v>-23000.085552457393</c:v>
                </c:pt>
                <c:pt idx="571">
                  <c:v>-22968.168336547489</c:v>
                </c:pt>
                <c:pt idx="572">
                  <c:v>-22935.346987808985</c:v>
                </c:pt>
                <c:pt idx="573">
                  <c:v>-22901.631503942644</c:v>
                </c:pt>
                <c:pt idx="574">
                  <c:v>-22867.032155011475</c:v>
                </c:pt>
                <c:pt idx="575">
                  <c:v>-22831.559480312317</c:v>
                </c:pt>
                <c:pt idx="576">
                  <c:v>-22795.224285165525</c:v>
                </c:pt>
                <c:pt idx="577">
                  <c:v>-22758.037637623529</c:v>
                </c:pt>
                <c:pt idx="578">
                  <c:v>-22720.010865099397</c:v>
                </c:pt>
                <c:pt idx="579">
                  <c:v>-22681.155550916425</c:v>
                </c:pt>
                <c:pt idx="580">
                  <c:v>-22641.483530779704</c:v>
                </c:pt>
                <c:pt idx="581">
                  <c:v>-22601.006889170883</c:v>
                </c:pt>
                <c:pt idx="582">
                  <c:v>-22559.7379556671</c:v>
                </c:pt>
                <c:pt idx="583">
                  <c:v>-22517.689301185281</c:v>
                </c:pt>
                <c:pt idx="584">
                  <c:v>-22474.873734152916</c:v>
                </c:pt>
                <c:pt idx="585">
                  <c:v>-22431.304296606493</c:v>
                </c:pt>
                <c:pt idx="586">
                  <c:v>-22386.994260218744</c:v>
                </c:pt>
                <c:pt idx="587">
                  <c:v>-22341.957122256001</c:v>
                </c:pt>
                <c:pt idx="588">
                  <c:v>-22296.206601466776</c:v>
                </c:pt>
                <c:pt idx="589">
                  <c:v>-22249.756633902885</c:v>
                </c:pt>
                <c:pt idx="590">
                  <c:v>-22202.621368674434</c:v>
                </c:pt>
                <c:pt idx="591">
                  <c:v>-22154.815163639803</c:v>
                </c:pt>
                <c:pt idx="592">
                  <c:v>-22106.352581032173</c:v>
                </c:pt>
                <c:pt idx="593">
                  <c:v>-22057.248383023656</c:v>
                </c:pt>
                <c:pt idx="594">
                  <c:v>-22007.517527228665</c:v>
                </c:pt>
                <c:pt idx="595">
                  <c:v>-21957.175162147618</c:v>
                </c:pt>
                <c:pt idx="596">
                  <c:v>-21906.236622552598</c:v>
                </c:pt>
                <c:pt idx="597">
                  <c:v>-21854.717424816219</c:v>
                </c:pt>
                <c:pt idx="598">
                  <c:v>-21802.633262185191</c:v>
                </c:pt>
                <c:pt idx="599">
                  <c:v>-21750</c:v>
                </c:pt>
                <c:pt idx="600">
                  <c:v>-21696.833670862175</c:v>
                </c:pt>
                <c:pt idx="601">
                  <c:v>-21643.150469750617</c:v>
                </c:pt>
                <c:pt idx="602">
                  <c:v>-21588.966749088413</c:v>
                </c:pt>
                <c:pt idx="603">
                  <c:v>-21534.299013761774</c:v>
                </c:pt>
                <c:pt idx="604">
                  <c:v>-21479.163916092446</c:v>
                </c:pt>
                <c:pt idx="605">
                  <c:v>-21423.578250765306</c:v>
                </c:pt>
                <c:pt idx="606">
                  <c:v>-21367.55894971246</c:v>
                </c:pt>
                <c:pt idx="607">
                  <c:v>-21311.123076955697</c:v>
                </c:pt>
                <c:pt idx="608">
                  <c:v>-21254.287823408555</c:v>
                </c:pt>
                <c:pt idx="609">
                  <c:v>-21197.070501639842</c:v>
                </c:pt>
                <c:pt idx="610">
                  <c:v>-21139.48854060005</c:v>
                </c:pt>
                <c:pt idx="611">
                  <c:v>-21081.559480312317</c:v>
                </c:pt>
                <c:pt idx="612">
                  <c:v>-21023.300966529583</c:v>
                </c:pt>
                <c:pt idx="613">
                  <c:v>-20964.730745359499</c:v>
                </c:pt>
                <c:pt idx="614">
                  <c:v>-20905.866657858824</c:v>
                </c:pt>
                <c:pt idx="615">
                  <c:v>-20846.726634598836</c:v>
                </c:pt>
                <c:pt idx="616">
                  <c:v>-20787.328690203529</c:v>
                </c:pt>
                <c:pt idx="617">
                  <c:v>-20727.690917862157</c:v>
                </c:pt>
                <c:pt idx="618">
                  <c:v>-20667.831483817903</c:v>
                </c:pt>
                <c:pt idx="619">
                  <c:v>-20607.768621834257</c:v>
                </c:pt>
                <c:pt idx="620">
                  <c:v>-20547.520627640806</c:v>
                </c:pt>
                <c:pt idx="621">
                  <c:v>-20487.10585336023</c:v>
                </c:pt>
                <c:pt idx="622">
                  <c:v>-20426.542701918017</c:v>
                </c:pt>
                <c:pt idx="623">
                  <c:v>-20365.849621436791</c:v>
                </c:pt>
                <c:pt idx="624">
                  <c:v>-20305.045099616804</c:v>
                </c:pt>
                <c:pt idx="625">
                  <c:v>-20244.147658104444</c:v>
                </c:pt>
                <c:pt idx="626">
                  <c:v>-20183.175846850307</c:v>
                </c:pt>
                <c:pt idx="627">
                  <c:v>-20122.148238458758</c:v>
                </c:pt>
                <c:pt idx="628">
                  <c:v>-20061.083422530497</c:v>
                </c:pt>
                <c:pt idx="629">
                  <c:v>-20000</c:v>
                </c:pt>
                <c:pt idx="630">
                  <c:v>-19938.916577469507</c:v>
                </c:pt>
                <c:pt idx="631">
                  <c:v>-19877.851761541249</c:v>
                </c:pt>
                <c:pt idx="632">
                  <c:v>-19816.824153149697</c:v>
                </c:pt>
                <c:pt idx="633">
                  <c:v>-19755.852341895559</c:v>
                </c:pt>
                <c:pt idx="634">
                  <c:v>-19694.9549003832</c:v>
                </c:pt>
                <c:pt idx="635">
                  <c:v>-19634.150378563212</c:v>
                </c:pt>
                <c:pt idx="636">
                  <c:v>-19573.457298081987</c:v>
                </c:pt>
                <c:pt idx="637">
                  <c:v>-19512.89414663977</c:v>
                </c:pt>
                <c:pt idx="638">
                  <c:v>-19452.479372359197</c:v>
                </c:pt>
                <c:pt idx="639">
                  <c:v>-19392.231378165747</c:v>
                </c:pt>
                <c:pt idx="640">
                  <c:v>-19332.168516182093</c:v>
                </c:pt>
                <c:pt idx="641">
                  <c:v>-19272.309082137846</c:v>
                </c:pt>
                <c:pt idx="642">
                  <c:v>-19212.671309796475</c:v>
                </c:pt>
                <c:pt idx="643">
                  <c:v>-19153.273365401168</c:v>
                </c:pt>
                <c:pt idx="644">
                  <c:v>-19094.13334214118</c:v>
                </c:pt>
                <c:pt idx="645">
                  <c:v>-19035.269254640501</c:v>
                </c:pt>
                <c:pt idx="646">
                  <c:v>-18976.699033470421</c:v>
                </c:pt>
                <c:pt idx="647">
                  <c:v>-18918.440519687687</c:v>
                </c:pt>
                <c:pt idx="648">
                  <c:v>-18860.51145939995</c:v>
                </c:pt>
                <c:pt idx="649">
                  <c:v>-18802.929498360161</c:v>
                </c:pt>
                <c:pt idx="650">
                  <c:v>-18745.712176591449</c:v>
                </c:pt>
                <c:pt idx="651">
                  <c:v>-18688.87692304431</c:v>
                </c:pt>
                <c:pt idx="652">
                  <c:v>-18632.44105028754</c:v>
                </c:pt>
                <c:pt idx="653">
                  <c:v>-18576.421749234698</c:v>
                </c:pt>
                <c:pt idx="654">
                  <c:v>-18520.836083907554</c:v>
                </c:pt>
                <c:pt idx="655">
                  <c:v>-18465.700986238237</c:v>
                </c:pt>
                <c:pt idx="656">
                  <c:v>-18411.033250911583</c:v>
                </c:pt>
                <c:pt idx="657">
                  <c:v>-18356.849530249383</c:v>
                </c:pt>
                <c:pt idx="658">
                  <c:v>-18303.166329137825</c:v>
                </c:pt>
                <c:pt idx="659">
                  <c:v>-18250.000000000004</c:v>
                </c:pt>
                <c:pt idx="660">
                  <c:v>-18197.366737814809</c:v>
                </c:pt>
                <c:pt idx="661">
                  <c:v>-18145.282575183781</c:v>
                </c:pt>
                <c:pt idx="662">
                  <c:v>-18093.763377447409</c:v>
                </c:pt>
                <c:pt idx="663">
                  <c:v>-18042.824837852386</c:v>
                </c:pt>
                <c:pt idx="664">
                  <c:v>-17992.482472771339</c:v>
                </c:pt>
                <c:pt idx="665">
                  <c:v>-17942.751616976344</c:v>
                </c:pt>
                <c:pt idx="666">
                  <c:v>-17893.647418967834</c:v>
                </c:pt>
                <c:pt idx="667">
                  <c:v>-17845.184836360193</c:v>
                </c:pt>
                <c:pt idx="668">
                  <c:v>-17797.37863132557</c:v>
                </c:pt>
                <c:pt idx="669">
                  <c:v>-17750.243366097115</c:v>
                </c:pt>
                <c:pt idx="670">
                  <c:v>-17703.793398533231</c:v>
                </c:pt>
                <c:pt idx="671">
                  <c:v>-17658.042877743996</c:v>
                </c:pt>
                <c:pt idx="672">
                  <c:v>-17613.005739781256</c:v>
                </c:pt>
                <c:pt idx="673">
                  <c:v>-17568.695703393514</c:v>
                </c:pt>
                <c:pt idx="674">
                  <c:v>-17525.126265847084</c:v>
                </c:pt>
                <c:pt idx="675">
                  <c:v>-17482.310698814723</c:v>
                </c:pt>
                <c:pt idx="676">
                  <c:v>-17440.262044332903</c:v>
                </c:pt>
                <c:pt idx="677">
                  <c:v>-17398.993110829124</c:v>
                </c:pt>
                <c:pt idx="678">
                  <c:v>-17358.5164692203</c:v>
                </c:pt>
                <c:pt idx="679">
                  <c:v>-17318.844449083575</c:v>
                </c:pt>
                <c:pt idx="680">
                  <c:v>-17279.989134900603</c:v>
                </c:pt>
                <c:pt idx="681">
                  <c:v>-17241.962362376478</c:v>
                </c:pt>
                <c:pt idx="682">
                  <c:v>-17204.775714834475</c:v>
                </c:pt>
                <c:pt idx="683">
                  <c:v>-17168.440519687683</c:v>
                </c:pt>
                <c:pt idx="684">
                  <c:v>-17132.967844988532</c:v>
                </c:pt>
                <c:pt idx="685">
                  <c:v>-17098.368496057352</c:v>
                </c:pt>
                <c:pt idx="686">
                  <c:v>-17064.653012191018</c:v>
                </c:pt>
                <c:pt idx="687">
                  <c:v>-17031.831663452511</c:v>
                </c:pt>
                <c:pt idx="688">
                  <c:v>-16999.914447542611</c:v>
                </c:pt>
                <c:pt idx="689">
                  <c:v>-16968.911086754466</c:v>
                </c:pt>
                <c:pt idx="690">
                  <c:v>-16938.831025012118</c:v>
                </c:pt>
                <c:pt idx="691">
                  <c:v>-16909.683424993756</c:v>
                </c:pt>
                <c:pt idx="692">
                  <c:v>-16881.477165340715</c:v>
                </c:pt>
                <c:pt idx="693">
                  <c:v>-16854.220837952918</c:v>
                </c:pt>
                <c:pt idx="694">
                  <c:v>-16827.922745371725</c:v>
                </c:pt>
                <c:pt idx="695">
                  <c:v>-16802.590898250899</c:v>
                </c:pt>
                <c:pt idx="696">
                  <c:v>-16778.233012916455</c:v>
                </c:pt>
                <c:pt idx="697">
                  <c:v>-16754.856509016245</c:v>
                </c:pt>
                <c:pt idx="698">
                  <c:v>-16732.468507259793</c:v>
                </c:pt>
                <c:pt idx="699">
                  <c:v>-16711.075827249322</c:v>
                </c:pt>
                <c:pt idx="700">
                  <c:v>-16690.684985402389</c:v>
                </c:pt>
                <c:pt idx="701">
                  <c:v>-16671.302192966963</c:v>
                </c:pt>
                <c:pt idx="702">
                  <c:v>-16652.933354129378</c:v>
                </c:pt>
                <c:pt idx="703">
                  <c:v>-16635.584064215884</c:v>
                </c:pt>
                <c:pt idx="704">
                  <c:v>-16619.259607988261</c:v>
                </c:pt>
                <c:pt idx="705">
                  <c:v>-16603.964958034012</c:v>
                </c:pt>
                <c:pt idx="706">
                  <c:v>-16589.704773251677</c:v>
                </c:pt>
                <c:pt idx="707">
                  <c:v>-16576.483397431679</c:v>
                </c:pt>
                <c:pt idx="708">
                  <c:v>-16564.304857933177</c:v>
                </c:pt>
                <c:pt idx="709">
                  <c:v>-16553.172864457272</c:v>
                </c:pt>
                <c:pt idx="710">
                  <c:v>-16543.090807917019</c:v>
                </c:pt>
                <c:pt idx="711">
                  <c:v>-16534.061759404503</c:v>
                </c:pt>
                <c:pt idx="712">
                  <c:v>-16526.088469255374</c:v>
                </c:pt>
                <c:pt idx="713">
                  <c:v>-16519.173366211042</c:v>
                </c:pt>
                <c:pt idx="714">
                  <c:v>-16513.318556678889</c:v>
                </c:pt>
                <c:pt idx="715">
                  <c:v>-16508.525824090615</c:v>
                </c:pt>
                <c:pt idx="716">
                  <c:v>-16504.796628358992</c:v>
                </c:pt>
                <c:pt idx="717">
                  <c:v>-16502.132105433164</c:v>
                </c:pt>
                <c:pt idx="718">
                  <c:v>-16500.53306695263</c:v>
                </c:pt>
                <c:pt idx="719">
                  <c:v>-16500</c:v>
                </c:pt>
                <c:pt idx="720">
                  <c:v>-16500.53306695263</c:v>
                </c:pt>
                <c:pt idx="721">
                  <c:v>-16502.132105433164</c:v>
                </c:pt>
                <c:pt idx="722">
                  <c:v>-16504.796628358992</c:v>
                </c:pt>
                <c:pt idx="723">
                  <c:v>-16508.525824090615</c:v>
                </c:pt>
                <c:pt idx="724">
                  <c:v>-16513.318556678889</c:v>
                </c:pt>
                <c:pt idx="725">
                  <c:v>-16519.173366211042</c:v>
                </c:pt>
                <c:pt idx="726">
                  <c:v>-16526.088469255374</c:v>
                </c:pt>
                <c:pt idx="727">
                  <c:v>-16534.061759404503</c:v>
                </c:pt>
                <c:pt idx="728">
                  <c:v>-16543.090807917019</c:v>
                </c:pt>
                <c:pt idx="729">
                  <c:v>-16553.172864457272</c:v>
                </c:pt>
                <c:pt idx="730">
                  <c:v>-16564.304857933177</c:v>
                </c:pt>
                <c:pt idx="731">
                  <c:v>-16576.483397431679</c:v>
                </c:pt>
                <c:pt idx="732">
                  <c:v>-16589.704773251677</c:v>
                </c:pt>
                <c:pt idx="733">
                  <c:v>-16603.964958034012</c:v>
                </c:pt>
                <c:pt idx="734">
                  <c:v>-16619.259607988261</c:v>
                </c:pt>
                <c:pt idx="735">
                  <c:v>-16635.584064215884</c:v>
                </c:pt>
                <c:pt idx="736">
                  <c:v>-16652.933354129374</c:v>
                </c:pt>
                <c:pt idx="737">
                  <c:v>-16671.302192966963</c:v>
                </c:pt>
                <c:pt idx="738">
                  <c:v>-16690.684985402389</c:v>
                </c:pt>
                <c:pt idx="739">
                  <c:v>-16711.075827249319</c:v>
                </c:pt>
                <c:pt idx="740">
                  <c:v>-16732.468507259793</c:v>
                </c:pt>
                <c:pt idx="741">
                  <c:v>-16754.856509016245</c:v>
                </c:pt>
                <c:pt idx="742">
                  <c:v>-16778.233012916458</c:v>
                </c:pt>
                <c:pt idx="743">
                  <c:v>-16802.590898250895</c:v>
                </c:pt>
                <c:pt idx="744">
                  <c:v>-16827.922745371725</c:v>
                </c:pt>
                <c:pt idx="745">
                  <c:v>-16854.220837952915</c:v>
                </c:pt>
                <c:pt idx="746">
                  <c:v>-16881.477165340712</c:v>
                </c:pt>
                <c:pt idx="747">
                  <c:v>-16909.683424993756</c:v>
                </c:pt>
                <c:pt idx="748">
                  <c:v>-16938.831025012114</c:v>
                </c:pt>
                <c:pt idx="749">
                  <c:v>-16968.911086754462</c:v>
                </c:pt>
                <c:pt idx="750">
                  <c:v>-16999.914447542604</c:v>
                </c:pt>
                <c:pt idx="751">
                  <c:v>-17031.831663452511</c:v>
                </c:pt>
                <c:pt idx="752">
                  <c:v>-17064.653012191015</c:v>
                </c:pt>
                <c:pt idx="753">
                  <c:v>-17098.368496057356</c:v>
                </c:pt>
                <c:pt idx="754">
                  <c:v>-17132.967844988525</c:v>
                </c:pt>
                <c:pt idx="755">
                  <c:v>-17168.440519687683</c:v>
                </c:pt>
                <c:pt idx="756">
                  <c:v>-17204.775714834475</c:v>
                </c:pt>
                <c:pt idx="757">
                  <c:v>-17241.962362376471</c:v>
                </c:pt>
                <c:pt idx="758">
                  <c:v>-17279.989134900603</c:v>
                </c:pt>
                <c:pt idx="759">
                  <c:v>-17318.844449083579</c:v>
                </c:pt>
                <c:pt idx="760">
                  <c:v>-17358.516469220296</c:v>
                </c:pt>
                <c:pt idx="761">
                  <c:v>-17398.993110829117</c:v>
                </c:pt>
                <c:pt idx="762">
                  <c:v>-17440.262044332907</c:v>
                </c:pt>
                <c:pt idx="763">
                  <c:v>-17482.310698814719</c:v>
                </c:pt>
                <c:pt idx="764">
                  <c:v>-17525.126265847081</c:v>
                </c:pt>
                <c:pt idx="765">
                  <c:v>-17568.695703393503</c:v>
                </c:pt>
                <c:pt idx="766">
                  <c:v>-17613.005739781256</c:v>
                </c:pt>
                <c:pt idx="767">
                  <c:v>-17658.042877743992</c:v>
                </c:pt>
                <c:pt idx="768">
                  <c:v>-17703.793398533224</c:v>
                </c:pt>
                <c:pt idx="769">
                  <c:v>-17750.243366097115</c:v>
                </c:pt>
                <c:pt idx="770">
                  <c:v>-17797.378631325566</c:v>
                </c:pt>
                <c:pt idx="771">
                  <c:v>-17845.184836360197</c:v>
                </c:pt>
                <c:pt idx="772">
                  <c:v>-17893.647418967827</c:v>
                </c:pt>
                <c:pt idx="773">
                  <c:v>-17942.751616976348</c:v>
                </c:pt>
                <c:pt idx="774">
                  <c:v>-17992.482472771339</c:v>
                </c:pt>
                <c:pt idx="775">
                  <c:v>-18042.824837852382</c:v>
                </c:pt>
                <c:pt idx="776">
                  <c:v>-18093.763377447398</c:v>
                </c:pt>
                <c:pt idx="777">
                  <c:v>-18145.282575183785</c:v>
                </c:pt>
                <c:pt idx="778">
                  <c:v>-18197.366737814809</c:v>
                </c:pt>
                <c:pt idx="779">
                  <c:v>-18249.999999999996</c:v>
                </c:pt>
                <c:pt idx="780">
                  <c:v>-18303.166329137821</c:v>
                </c:pt>
                <c:pt idx="781">
                  <c:v>-18356.849530249383</c:v>
                </c:pt>
                <c:pt idx="782">
                  <c:v>-18411.033250911583</c:v>
                </c:pt>
                <c:pt idx="783">
                  <c:v>-18465.700986238226</c:v>
                </c:pt>
                <c:pt idx="784">
                  <c:v>-18520.83608390755</c:v>
                </c:pt>
                <c:pt idx="785">
                  <c:v>-18576.421749234694</c:v>
                </c:pt>
                <c:pt idx="786">
                  <c:v>-18632.44105028754</c:v>
                </c:pt>
                <c:pt idx="787">
                  <c:v>-18688.876923044303</c:v>
                </c:pt>
                <c:pt idx="788">
                  <c:v>-18745.712176591453</c:v>
                </c:pt>
                <c:pt idx="789">
                  <c:v>-18802.929498360158</c:v>
                </c:pt>
                <c:pt idx="790">
                  <c:v>-18860.511459399946</c:v>
                </c:pt>
                <c:pt idx="791">
                  <c:v>-18918.440519687687</c:v>
                </c:pt>
                <c:pt idx="792">
                  <c:v>-18976.699033470421</c:v>
                </c:pt>
                <c:pt idx="793">
                  <c:v>-19035.269254640501</c:v>
                </c:pt>
                <c:pt idx="794">
                  <c:v>-19094.133342141169</c:v>
                </c:pt>
                <c:pt idx="795">
                  <c:v>-19153.273365401164</c:v>
                </c:pt>
                <c:pt idx="796">
                  <c:v>-19212.671309796471</c:v>
                </c:pt>
                <c:pt idx="797">
                  <c:v>-19272.309082137836</c:v>
                </c:pt>
                <c:pt idx="798">
                  <c:v>-19332.16851618209</c:v>
                </c:pt>
                <c:pt idx="799">
                  <c:v>-19392.231378165743</c:v>
                </c:pt>
                <c:pt idx="800">
                  <c:v>-19452.479372359187</c:v>
                </c:pt>
                <c:pt idx="801">
                  <c:v>-19512.89414663977</c:v>
                </c:pt>
                <c:pt idx="802">
                  <c:v>-19573.457298081983</c:v>
                </c:pt>
                <c:pt idx="803">
                  <c:v>-19634.150378563216</c:v>
                </c:pt>
                <c:pt idx="804">
                  <c:v>-19694.954900383196</c:v>
                </c:pt>
                <c:pt idx="805">
                  <c:v>-19755.852341895556</c:v>
                </c:pt>
                <c:pt idx="806">
                  <c:v>-19816.824153149701</c:v>
                </c:pt>
                <c:pt idx="807">
                  <c:v>-19877.851761541246</c:v>
                </c:pt>
                <c:pt idx="808">
                  <c:v>-19938.916577469503</c:v>
                </c:pt>
                <c:pt idx="809">
                  <c:v>-19999.999999999993</c:v>
                </c:pt>
                <c:pt idx="810">
                  <c:v>-20061.083422530493</c:v>
                </c:pt>
                <c:pt idx="811">
                  <c:v>-20122.148238458751</c:v>
                </c:pt>
                <c:pt idx="812">
                  <c:v>-20183.175846850296</c:v>
                </c:pt>
                <c:pt idx="813">
                  <c:v>-20244.147658104441</c:v>
                </c:pt>
                <c:pt idx="814">
                  <c:v>-20305.0450996168</c:v>
                </c:pt>
                <c:pt idx="815">
                  <c:v>-20365.849621436781</c:v>
                </c:pt>
                <c:pt idx="816">
                  <c:v>-20426.542701918013</c:v>
                </c:pt>
                <c:pt idx="817">
                  <c:v>-20487.105853360226</c:v>
                </c:pt>
                <c:pt idx="818">
                  <c:v>-20547.52062764081</c:v>
                </c:pt>
                <c:pt idx="819">
                  <c:v>-20607.768621834253</c:v>
                </c:pt>
                <c:pt idx="820">
                  <c:v>-20667.831483817899</c:v>
                </c:pt>
                <c:pt idx="821">
                  <c:v>-20727.690917862161</c:v>
                </c:pt>
                <c:pt idx="822">
                  <c:v>-20787.328690203525</c:v>
                </c:pt>
                <c:pt idx="823">
                  <c:v>-20846.726634598832</c:v>
                </c:pt>
                <c:pt idx="824">
                  <c:v>-20905.866657858827</c:v>
                </c:pt>
                <c:pt idx="825">
                  <c:v>-20964.730745359499</c:v>
                </c:pt>
                <c:pt idx="826">
                  <c:v>-21023.300966529576</c:v>
                </c:pt>
                <c:pt idx="827">
                  <c:v>-21081.559480312309</c:v>
                </c:pt>
                <c:pt idx="828">
                  <c:v>-21139.48854060005</c:v>
                </c:pt>
                <c:pt idx="829">
                  <c:v>-21197.070501639839</c:v>
                </c:pt>
                <c:pt idx="830">
                  <c:v>-21254.287823408551</c:v>
                </c:pt>
                <c:pt idx="831">
                  <c:v>-21311.123076955693</c:v>
                </c:pt>
                <c:pt idx="832">
                  <c:v>-21367.558949712457</c:v>
                </c:pt>
                <c:pt idx="833">
                  <c:v>-21423.578250765302</c:v>
                </c:pt>
                <c:pt idx="834">
                  <c:v>-21479.163916092446</c:v>
                </c:pt>
                <c:pt idx="835">
                  <c:v>-21534.299013761771</c:v>
                </c:pt>
                <c:pt idx="836">
                  <c:v>-21588.966749088417</c:v>
                </c:pt>
                <c:pt idx="837">
                  <c:v>-21643.150469750617</c:v>
                </c:pt>
                <c:pt idx="838">
                  <c:v>-21696.833670862175</c:v>
                </c:pt>
                <c:pt idx="839">
                  <c:v>-21750.000000000004</c:v>
                </c:pt>
                <c:pt idx="840">
                  <c:v>-21802.633262185187</c:v>
                </c:pt>
                <c:pt idx="841">
                  <c:v>-21854.717424816212</c:v>
                </c:pt>
                <c:pt idx="842">
                  <c:v>-21906.236622552598</c:v>
                </c:pt>
                <c:pt idx="843">
                  <c:v>-21957.175162147614</c:v>
                </c:pt>
                <c:pt idx="844">
                  <c:v>-22007.517527228658</c:v>
                </c:pt>
                <c:pt idx="845">
                  <c:v>-22057.248383023652</c:v>
                </c:pt>
                <c:pt idx="846">
                  <c:v>-22106.35258103217</c:v>
                </c:pt>
                <c:pt idx="847">
                  <c:v>-22154.8151636398</c:v>
                </c:pt>
                <c:pt idx="848">
                  <c:v>-22202.62136867443</c:v>
                </c:pt>
                <c:pt idx="849">
                  <c:v>-22249.756633902885</c:v>
                </c:pt>
                <c:pt idx="850">
                  <c:v>-22296.206601466773</c:v>
                </c:pt>
                <c:pt idx="851">
                  <c:v>-22341.957122256004</c:v>
                </c:pt>
                <c:pt idx="852">
                  <c:v>-22386.994260218744</c:v>
                </c:pt>
                <c:pt idx="853">
                  <c:v>-22431.304296606493</c:v>
                </c:pt>
                <c:pt idx="854">
                  <c:v>-22474.873734152916</c:v>
                </c:pt>
                <c:pt idx="855">
                  <c:v>-22517.689301185277</c:v>
                </c:pt>
                <c:pt idx="856">
                  <c:v>-22559.737955667093</c:v>
                </c:pt>
                <c:pt idx="857">
                  <c:v>-22601.00688917088</c:v>
                </c:pt>
                <c:pt idx="858">
                  <c:v>-22641.4835307797</c:v>
                </c:pt>
                <c:pt idx="859">
                  <c:v>-22681.155550916421</c:v>
                </c:pt>
                <c:pt idx="860">
                  <c:v>-22720.010865099397</c:v>
                </c:pt>
                <c:pt idx="861">
                  <c:v>-22758.037637623525</c:v>
                </c:pt>
                <c:pt idx="862">
                  <c:v>-22795.224285165521</c:v>
                </c:pt>
                <c:pt idx="863">
                  <c:v>-22831.559480312317</c:v>
                </c:pt>
                <c:pt idx="864">
                  <c:v>-22867.032155011471</c:v>
                </c:pt>
                <c:pt idx="865">
                  <c:v>-22901.631503942648</c:v>
                </c:pt>
                <c:pt idx="866">
                  <c:v>-22935.346987808982</c:v>
                </c:pt>
                <c:pt idx="867">
                  <c:v>-22968.168336547489</c:v>
                </c:pt>
                <c:pt idx="868">
                  <c:v>-23000.085552457396</c:v>
                </c:pt>
                <c:pt idx="869">
                  <c:v>-23031.088913245534</c:v>
                </c:pt>
                <c:pt idx="870">
                  <c:v>-23061.168974987882</c:v>
                </c:pt>
                <c:pt idx="871">
                  <c:v>-23090.31657500624</c:v>
                </c:pt>
                <c:pt idx="872">
                  <c:v>-23118.522834659288</c:v>
                </c:pt>
                <c:pt idx="873">
                  <c:v>-23145.779162047082</c:v>
                </c:pt>
                <c:pt idx="874">
                  <c:v>-23172.077254628271</c:v>
                </c:pt>
                <c:pt idx="875">
                  <c:v>-23197.409101749105</c:v>
                </c:pt>
                <c:pt idx="876">
                  <c:v>-23221.766987083542</c:v>
                </c:pt>
                <c:pt idx="877">
                  <c:v>-23245.143490983755</c:v>
                </c:pt>
                <c:pt idx="878">
                  <c:v>-23267.531492740207</c:v>
                </c:pt>
                <c:pt idx="879">
                  <c:v>-23288.924172750678</c:v>
                </c:pt>
                <c:pt idx="880">
                  <c:v>-23309.315014597611</c:v>
                </c:pt>
                <c:pt idx="881">
                  <c:v>-23328.697807033037</c:v>
                </c:pt>
                <c:pt idx="882">
                  <c:v>-23347.066645870622</c:v>
                </c:pt>
                <c:pt idx="883">
                  <c:v>-23364.415935784116</c:v>
                </c:pt>
                <c:pt idx="884">
                  <c:v>-23380.740392011739</c:v>
                </c:pt>
                <c:pt idx="885">
                  <c:v>-23396.035041965988</c:v>
                </c:pt>
                <c:pt idx="886">
                  <c:v>-23410.295226748323</c:v>
                </c:pt>
                <c:pt idx="887">
                  <c:v>-23423.516602568321</c:v>
                </c:pt>
                <c:pt idx="888">
                  <c:v>-23435.695142066823</c:v>
                </c:pt>
                <c:pt idx="889">
                  <c:v>-23446.827135542728</c:v>
                </c:pt>
                <c:pt idx="890">
                  <c:v>-23456.909192082981</c:v>
                </c:pt>
                <c:pt idx="891">
                  <c:v>-23465.938240595497</c:v>
                </c:pt>
                <c:pt idx="892">
                  <c:v>-23473.911530744626</c:v>
                </c:pt>
                <c:pt idx="893">
                  <c:v>-23480.826633788958</c:v>
                </c:pt>
                <c:pt idx="894">
                  <c:v>-23486.681443321108</c:v>
                </c:pt>
                <c:pt idx="895">
                  <c:v>-23491.474175909385</c:v>
                </c:pt>
                <c:pt idx="896">
                  <c:v>-23495.203371641008</c:v>
                </c:pt>
                <c:pt idx="897">
                  <c:v>-23497.867894566836</c:v>
                </c:pt>
                <c:pt idx="898">
                  <c:v>-23499.46693304737</c:v>
                </c:pt>
                <c:pt idx="899">
                  <c:v>-23500</c:v>
                </c:pt>
                <c:pt idx="900">
                  <c:v>-23499.46693304737</c:v>
                </c:pt>
                <c:pt idx="901">
                  <c:v>-23497.867894566836</c:v>
                </c:pt>
                <c:pt idx="902">
                  <c:v>-23495.203371641008</c:v>
                </c:pt>
                <c:pt idx="903">
                  <c:v>-23491.474175909385</c:v>
                </c:pt>
                <c:pt idx="904">
                  <c:v>-23486.681443321111</c:v>
                </c:pt>
                <c:pt idx="905">
                  <c:v>-23480.826633788958</c:v>
                </c:pt>
                <c:pt idx="906">
                  <c:v>-23473.911530744626</c:v>
                </c:pt>
                <c:pt idx="907">
                  <c:v>-23465.938240595497</c:v>
                </c:pt>
                <c:pt idx="908">
                  <c:v>-23456.909192082981</c:v>
                </c:pt>
                <c:pt idx="909">
                  <c:v>-23446.827135542728</c:v>
                </c:pt>
                <c:pt idx="910">
                  <c:v>-23435.695142066823</c:v>
                </c:pt>
                <c:pt idx="911">
                  <c:v>-23423.516602568321</c:v>
                </c:pt>
                <c:pt idx="912">
                  <c:v>-23410.295226748323</c:v>
                </c:pt>
                <c:pt idx="913">
                  <c:v>-23396.035041965988</c:v>
                </c:pt>
                <c:pt idx="914">
                  <c:v>-23380.740392011739</c:v>
                </c:pt>
                <c:pt idx="915">
                  <c:v>-23364.41593578412</c:v>
                </c:pt>
                <c:pt idx="916">
                  <c:v>-23347.066645870626</c:v>
                </c:pt>
                <c:pt idx="917">
                  <c:v>-23328.697807033041</c:v>
                </c:pt>
                <c:pt idx="918">
                  <c:v>-23309.315014597611</c:v>
                </c:pt>
                <c:pt idx="919">
                  <c:v>-23288.924172750681</c:v>
                </c:pt>
                <c:pt idx="920">
                  <c:v>-23267.531492740203</c:v>
                </c:pt>
                <c:pt idx="921">
                  <c:v>-23245.143490983755</c:v>
                </c:pt>
                <c:pt idx="922">
                  <c:v>-23221.766987083542</c:v>
                </c:pt>
                <c:pt idx="923">
                  <c:v>-23197.409101749101</c:v>
                </c:pt>
                <c:pt idx="924">
                  <c:v>-23172.077254628275</c:v>
                </c:pt>
                <c:pt idx="925">
                  <c:v>-23145.779162047085</c:v>
                </c:pt>
                <c:pt idx="926">
                  <c:v>-23118.522834659288</c:v>
                </c:pt>
                <c:pt idx="927">
                  <c:v>-23090.316575006244</c:v>
                </c:pt>
                <c:pt idx="928">
                  <c:v>-23061.168974987886</c:v>
                </c:pt>
                <c:pt idx="929">
                  <c:v>-23031.088913245538</c:v>
                </c:pt>
                <c:pt idx="930">
                  <c:v>-23000.085552457393</c:v>
                </c:pt>
                <c:pt idx="931">
                  <c:v>-22968.168336547489</c:v>
                </c:pt>
                <c:pt idx="932">
                  <c:v>-22935.346987808985</c:v>
                </c:pt>
                <c:pt idx="933">
                  <c:v>-22901.631503942648</c:v>
                </c:pt>
                <c:pt idx="934">
                  <c:v>-22867.032155011471</c:v>
                </c:pt>
                <c:pt idx="935">
                  <c:v>-22831.559480312317</c:v>
                </c:pt>
                <c:pt idx="936">
                  <c:v>-22795.224285165528</c:v>
                </c:pt>
                <c:pt idx="937">
                  <c:v>-22758.037637623533</c:v>
                </c:pt>
                <c:pt idx="938">
                  <c:v>-22720.010865099401</c:v>
                </c:pt>
                <c:pt idx="939">
                  <c:v>-22681.155550916425</c:v>
                </c:pt>
                <c:pt idx="940">
                  <c:v>-22641.483530779708</c:v>
                </c:pt>
                <c:pt idx="941">
                  <c:v>-22601.00688917088</c:v>
                </c:pt>
                <c:pt idx="942">
                  <c:v>-22559.7379556671</c:v>
                </c:pt>
                <c:pt idx="943">
                  <c:v>-22517.689301185284</c:v>
                </c:pt>
                <c:pt idx="944">
                  <c:v>-22474.873734152923</c:v>
                </c:pt>
                <c:pt idx="945">
                  <c:v>-22431.304296606493</c:v>
                </c:pt>
                <c:pt idx="946">
                  <c:v>-22386.994260218751</c:v>
                </c:pt>
                <c:pt idx="947">
                  <c:v>-22341.957122256001</c:v>
                </c:pt>
                <c:pt idx="948">
                  <c:v>-22296.206601466776</c:v>
                </c:pt>
                <c:pt idx="949">
                  <c:v>-22249.756633902893</c:v>
                </c:pt>
                <c:pt idx="950">
                  <c:v>-22202.62136867443</c:v>
                </c:pt>
                <c:pt idx="951">
                  <c:v>-22154.815163639803</c:v>
                </c:pt>
                <c:pt idx="952">
                  <c:v>-22106.352581032173</c:v>
                </c:pt>
                <c:pt idx="953">
                  <c:v>-22057.248383023652</c:v>
                </c:pt>
                <c:pt idx="954">
                  <c:v>-22007.517527228661</c:v>
                </c:pt>
                <c:pt idx="955">
                  <c:v>-21957.175162147618</c:v>
                </c:pt>
                <c:pt idx="956">
                  <c:v>-21906.236622552591</c:v>
                </c:pt>
                <c:pt idx="957">
                  <c:v>-21854.717424816215</c:v>
                </c:pt>
                <c:pt idx="958">
                  <c:v>-21802.633262185191</c:v>
                </c:pt>
                <c:pt idx="959">
                  <c:v>-21750.000000000007</c:v>
                </c:pt>
                <c:pt idx="960">
                  <c:v>-21696.833670862179</c:v>
                </c:pt>
                <c:pt idx="961">
                  <c:v>-21643.150469750621</c:v>
                </c:pt>
                <c:pt idx="962">
                  <c:v>-21588.96674908842</c:v>
                </c:pt>
                <c:pt idx="963">
                  <c:v>-21534.299013761767</c:v>
                </c:pt>
                <c:pt idx="964">
                  <c:v>-21479.16391609245</c:v>
                </c:pt>
                <c:pt idx="965">
                  <c:v>-21423.578250765306</c:v>
                </c:pt>
                <c:pt idx="966">
                  <c:v>-21367.558949712467</c:v>
                </c:pt>
                <c:pt idx="967">
                  <c:v>-21311.123076955693</c:v>
                </c:pt>
                <c:pt idx="968">
                  <c:v>-21254.287823408555</c:v>
                </c:pt>
                <c:pt idx="969">
                  <c:v>-21197.070501639846</c:v>
                </c:pt>
                <c:pt idx="970">
                  <c:v>-21139.488540600047</c:v>
                </c:pt>
                <c:pt idx="971">
                  <c:v>-21081.559480312317</c:v>
                </c:pt>
                <c:pt idx="972">
                  <c:v>-21023.300966529583</c:v>
                </c:pt>
                <c:pt idx="973">
                  <c:v>-20964.730745359506</c:v>
                </c:pt>
                <c:pt idx="974">
                  <c:v>-20905.866657858824</c:v>
                </c:pt>
                <c:pt idx="975">
                  <c:v>-20846.726634598843</c:v>
                </c:pt>
                <c:pt idx="976">
                  <c:v>-20787.328690203536</c:v>
                </c:pt>
                <c:pt idx="977">
                  <c:v>-20727.690917862157</c:v>
                </c:pt>
                <c:pt idx="978">
                  <c:v>-20667.83148381791</c:v>
                </c:pt>
                <c:pt idx="979">
                  <c:v>-20607.768621834264</c:v>
                </c:pt>
                <c:pt idx="980">
                  <c:v>-20547.520627640806</c:v>
                </c:pt>
                <c:pt idx="981">
                  <c:v>-20487.105853360234</c:v>
                </c:pt>
                <c:pt idx="982">
                  <c:v>-20426.54270191801</c:v>
                </c:pt>
                <c:pt idx="983">
                  <c:v>-20365.849621436784</c:v>
                </c:pt>
                <c:pt idx="984">
                  <c:v>-20305.045099616807</c:v>
                </c:pt>
                <c:pt idx="985">
                  <c:v>-20244.147658104434</c:v>
                </c:pt>
                <c:pt idx="986">
                  <c:v>-20183.175846850299</c:v>
                </c:pt>
                <c:pt idx="987">
                  <c:v>-20122.148238458754</c:v>
                </c:pt>
                <c:pt idx="988">
                  <c:v>-20061.083422530497</c:v>
                </c:pt>
                <c:pt idx="989">
                  <c:v>-19999.999999999996</c:v>
                </c:pt>
                <c:pt idx="990">
                  <c:v>-19938.916577469507</c:v>
                </c:pt>
                <c:pt idx="991">
                  <c:v>-19877.851761541249</c:v>
                </c:pt>
                <c:pt idx="992">
                  <c:v>-19816.824153149693</c:v>
                </c:pt>
                <c:pt idx="993">
                  <c:v>-19755.852341895559</c:v>
                </c:pt>
                <c:pt idx="994">
                  <c:v>-19694.9549003832</c:v>
                </c:pt>
                <c:pt idx="995">
                  <c:v>-19634.150378563219</c:v>
                </c:pt>
                <c:pt idx="996">
                  <c:v>-19573.457298081983</c:v>
                </c:pt>
                <c:pt idx="997">
                  <c:v>-19512.894146639774</c:v>
                </c:pt>
                <c:pt idx="998">
                  <c:v>-19452.479372359197</c:v>
                </c:pt>
                <c:pt idx="999">
                  <c:v>-19392.231378165754</c:v>
                </c:pt>
              </c:numCache>
            </c:numRef>
          </c:xVal>
          <c:yVal>
            <c:numRef>
              <c:f>Calculs!$O$6:$O$1005</c:f>
              <c:numCache>
                <c:formatCode>0.000</c:formatCode>
                <c:ptCount val="1000"/>
                <c:pt idx="0">
                  <c:v>10061.083422530492</c:v>
                </c:pt>
                <c:pt idx="1">
                  <c:v>10122.148238458753</c:v>
                </c:pt>
                <c:pt idx="2">
                  <c:v>10183.175846850303</c:v>
                </c:pt>
                <c:pt idx="3">
                  <c:v>10244.147658104439</c:v>
                </c:pt>
                <c:pt idx="4">
                  <c:v>10305.045099616804</c:v>
                </c:pt>
                <c:pt idx="5">
                  <c:v>10365.849621436788</c:v>
                </c:pt>
                <c:pt idx="6">
                  <c:v>10426.542701918017</c:v>
                </c:pt>
                <c:pt idx="7">
                  <c:v>10487.10585336023</c:v>
                </c:pt>
                <c:pt idx="8">
                  <c:v>10547.520627640808</c:v>
                </c:pt>
                <c:pt idx="9">
                  <c:v>10607.768621834257</c:v>
                </c:pt>
                <c:pt idx="10">
                  <c:v>10667.831483817907</c:v>
                </c:pt>
                <c:pt idx="11">
                  <c:v>10727.690917862157</c:v>
                </c:pt>
                <c:pt idx="12">
                  <c:v>10787.328690203527</c:v>
                </c:pt>
                <c:pt idx="13">
                  <c:v>10846.726634598837</c:v>
                </c:pt>
                <c:pt idx="14">
                  <c:v>10905.866657858822</c:v>
                </c:pt>
                <c:pt idx="15">
                  <c:v>10964.730745359497</c:v>
                </c:pt>
                <c:pt idx="16">
                  <c:v>11023.300966529579</c:v>
                </c:pt>
                <c:pt idx="17">
                  <c:v>11081.559480312317</c:v>
                </c:pt>
                <c:pt idx="18">
                  <c:v>11139.488540600049</c:v>
                </c:pt>
                <c:pt idx="19">
                  <c:v>11197.070501639841</c:v>
                </c:pt>
                <c:pt idx="20">
                  <c:v>11254.287823408551</c:v>
                </c:pt>
                <c:pt idx="21">
                  <c:v>11311.123076955691</c:v>
                </c:pt>
                <c:pt idx="22">
                  <c:v>11367.558949712458</c:v>
                </c:pt>
                <c:pt idx="23">
                  <c:v>11423.5782507653</c:v>
                </c:pt>
                <c:pt idx="24">
                  <c:v>11479.163916092448</c:v>
                </c:pt>
                <c:pt idx="25">
                  <c:v>11534.299013761771</c:v>
                </c:pt>
                <c:pt idx="26">
                  <c:v>11588.966749088413</c:v>
                </c:pt>
                <c:pt idx="27">
                  <c:v>11643.150469750617</c:v>
                </c:pt>
                <c:pt idx="28">
                  <c:v>11696.833670862179</c:v>
                </c:pt>
                <c:pt idx="29">
                  <c:v>11750</c:v>
                </c:pt>
                <c:pt idx="30">
                  <c:v>11802.633262185189</c:v>
                </c:pt>
                <c:pt idx="31">
                  <c:v>11854.717424816217</c:v>
                </c:pt>
                <c:pt idx="32">
                  <c:v>11906.236622552595</c:v>
                </c:pt>
                <c:pt idx="33">
                  <c:v>11957.175162147614</c:v>
                </c:pt>
                <c:pt idx="34">
                  <c:v>12007.517527228661</c:v>
                </c:pt>
                <c:pt idx="35">
                  <c:v>12057.248383023656</c:v>
                </c:pt>
                <c:pt idx="36">
                  <c:v>12106.35258103217</c:v>
                </c:pt>
                <c:pt idx="37">
                  <c:v>12154.815163639803</c:v>
                </c:pt>
                <c:pt idx="38">
                  <c:v>12202.62136867443</c:v>
                </c:pt>
                <c:pt idx="39">
                  <c:v>12249.756633902887</c:v>
                </c:pt>
                <c:pt idx="40">
                  <c:v>12296.206601466776</c:v>
                </c:pt>
                <c:pt idx="41">
                  <c:v>12341.957122256004</c:v>
                </c:pt>
                <c:pt idx="42">
                  <c:v>12386.994260218744</c:v>
                </c:pt>
                <c:pt idx="43">
                  <c:v>12431.30429660649</c:v>
                </c:pt>
                <c:pt idx="44">
                  <c:v>12474.873734152916</c:v>
                </c:pt>
                <c:pt idx="45">
                  <c:v>12517.689301185279</c:v>
                </c:pt>
                <c:pt idx="46">
                  <c:v>12559.737955667097</c:v>
                </c:pt>
                <c:pt idx="47">
                  <c:v>12601.00688917088</c:v>
                </c:pt>
                <c:pt idx="48">
                  <c:v>12641.483530779702</c:v>
                </c:pt>
                <c:pt idx="49">
                  <c:v>12681.155550916423</c:v>
                </c:pt>
                <c:pt idx="50">
                  <c:v>12720.010865099397</c:v>
                </c:pt>
                <c:pt idx="51">
                  <c:v>12758.037637623527</c:v>
                </c:pt>
                <c:pt idx="52">
                  <c:v>12795.224285165525</c:v>
                </c:pt>
                <c:pt idx="53">
                  <c:v>12831.559480312317</c:v>
                </c:pt>
                <c:pt idx="54">
                  <c:v>12867.032155011471</c:v>
                </c:pt>
                <c:pt idx="55">
                  <c:v>12901.631503942646</c:v>
                </c:pt>
                <c:pt idx="56">
                  <c:v>12935.346987808984</c:v>
                </c:pt>
                <c:pt idx="57">
                  <c:v>12968.168336547491</c:v>
                </c:pt>
                <c:pt idx="58">
                  <c:v>13000.085552457393</c:v>
                </c:pt>
                <c:pt idx="59">
                  <c:v>13031.088913245534</c:v>
                </c:pt>
                <c:pt idx="60">
                  <c:v>13061.168974987886</c:v>
                </c:pt>
                <c:pt idx="61">
                  <c:v>13090.316575006244</c:v>
                </c:pt>
                <c:pt idx="62">
                  <c:v>13118.522834659287</c:v>
                </c:pt>
                <c:pt idx="63">
                  <c:v>13145.779162047085</c:v>
                </c:pt>
                <c:pt idx="64">
                  <c:v>13172.077254628275</c:v>
                </c:pt>
                <c:pt idx="65">
                  <c:v>13197.409101749103</c:v>
                </c:pt>
                <c:pt idx="66">
                  <c:v>13221.766987083542</c:v>
                </c:pt>
                <c:pt idx="67">
                  <c:v>13245.143490983755</c:v>
                </c:pt>
                <c:pt idx="68">
                  <c:v>13267.531492740207</c:v>
                </c:pt>
                <c:pt idx="69">
                  <c:v>13288.92417275068</c:v>
                </c:pt>
                <c:pt idx="70">
                  <c:v>13309.315014597609</c:v>
                </c:pt>
                <c:pt idx="71">
                  <c:v>13328.697807033037</c:v>
                </c:pt>
                <c:pt idx="72">
                  <c:v>13347.066645870624</c:v>
                </c:pt>
                <c:pt idx="73">
                  <c:v>13364.415935784116</c:v>
                </c:pt>
                <c:pt idx="74">
                  <c:v>13380.740392011739</c:v>
                </c:pt>
                <c:pt idx="75">
                  <c:v>13396.035041965988</c:v>
                </c:pt>
                <c:pt idx="76">
                  <c:v>13410.295226748323</c:v>
                </c:pt>
                <c:pt idx="77">
                  <c:v>13423.516602568319</c:v>
                </c:pt>
                <c:pt idx="78">
                  <c:v>13435.695142066823</c:v>
                </c:pt>
                <c:pt idx="79">
                  <c:v>13446.827135542728</c:v>
                </c:pt>
                <c:pt idx="80">
                  <c:v>13456.909192082981</c:v>
                </c:pt>
                <c:pt idx="81">
                  <c:v>13465.938240595497</c:v>
                </c:pt>
                <c:pt idx="82">
                  <c:v>13473.911530744626</c:v>
                </c:pt>
                <c:pt idx="83">
                  <c:v>13480.826633788956</c:v>
                </c:pt>
                <c:pt idx="84">
                  <c:v>13486.681443321109</c:v>
                </c:pt>
                <c:pt idx="85">
                  <c:v>13491.474175909385</c:v>
                </c:pt>
                <c:pt idx="86">
                  <c:v>13495.203371641008</c:v>
                </c:pt>
                <c:pt idx="87">
                  <c:v>13497.867894566836</c:v>
                </c:pt>
                <c:pt idx="88">
                  <c:v>13499.46693304737</c:v>
                </c:pt>
                <c:pt idx="89">
                  <c:v>13500</c:v>
                </c:pt>
                <c:pt idx="90">
                  <c:v>13499.46693304737</c:v>
                </c:pt>
                <c:pt idx="91">
                  <c:v>13497.867894566836</c:v>
                </c:pt>
                <c:pt idx="92">
                  <c:v>13495.203371641008</c:v>
                </c:pt>
                <c:pt idx="93">
                  <c:v>13491.474175909385</c:v>
                </c:pt>
                <c:pt idx="94">
                  <c:v>13486.681443321109</c:v>
                </c:pt>
                <c:pt idx="95">
                  <c:v>13480.826633788956</c:v>
                </c:pt>
                <c:pt idx="96">
                  <c:v>13473.911530744626</c:v>
                </c:pt>
                <c:pt idx="97">
                  <c:v>13465.938240595497</c:v>
                </c:pt>
                <c:pt idx="98">
                  <c:v>13456.909192082981</c:v>
                </c:pt>
                <c:pt idx="99">
                  <c:v>13446.827135542728</c:v>
                </c:pt>
                <c:pt idx="100">
                  <c:v>13435.695142066823</c:v>
                </c:pt>
                <c:pt idx="101">
                  <c:v>13423.516602568319</c:v>
                </c:pt>
                <c:pt idx="102">
                  <c:v>13410.295226748323</c:v>
                </c:pt>
                <c:pt idx="103">
                  <c:v>13396.035041965988</c:v>
                </c:pt>
                <c:pt idx="104">
                  <c:v>13380.740392011739</c:v>
                </c:pt>
                <c:pt idx="105">
                  <c:v>13364.415935784116</c:v>
                </c:pt>
                <c:pt idx="106">
                  <c:v>13347.066645870626</c:v>
                </c:pt>
                <c:pt idx="107">
                  <c:v>13328.697807033037</c:v>
                </c:pt>
                <c:pt idx="108">
                  <c:v>13309.315014597609</c:v>
                </c:pt>
                <c:pt idx="109">
                  <c:v>13288.92417275068</c:v>
                </c:pt>
                <c:pt idx="110">
                  <c:v>13267.531492740207</c:v>
                </c:pt>
                <c:pt idx="111">
                  <c:v>13245.143490983755</c:v>
                </c:pt>
                <c:pt idx="112">
                  <c:v>13221.766987083542</c:v>
                </c:pt>
                <c:pt idx="113">
                  <c:v>13197.409101749103</c:v>
                </c:pt>
                <c:pt idx="114">
                  <c:v>13172.077254628275</c:v>
                </c:pt>
                <c:pt idx="115">
                  <c:v>13145.779162047085</c:v>
                </c:pt>
                <c:pt idx="116">
                  <c:v>13118.522834659288</c:v>
                </c:pt>
                <c:pt idx="117">
                  <c:v>13090.316575006245</c:v>
                </c:pt>
                <c:pt idx="118">
                  <c:v>13061.168974987886</c:v>
                </c:pt>
                <c:pt idx="119">
                  <c:v>13031.088913245536</c:v>
                </c:pt>
                <c:pt idx="120">
                  <c:v>13000.085552457393</c:v>
                </c:pt>
                <c:pt idx="121">
                  <c:v>12968.168336547491</c:v>
                </c:pt>
                <c:pt idx="122">
                  <c:v>12935.346987808984</c:v>
                </c:pt>
                <c:pt idx="123">
                  <c:v>12901.631503942646</c:v>
                </c:pt>
                <c:pt idx="124">
                  <c:v>12867.032155011471</c:v>
                </c:pt>
                <c:pt idx="125">
                  <c:v>12831.559480312317</c:v>
                </c:pt>
                <c:pt idx="126">
                  <c:v>12795.224285165525</c:v>
                </c:pt>
                <c:pt idx="127">
                  <c:v>12758.037637623527</c:v>
                </c:pt>
                <c:pt idx="128">
                  <c:v>12720.010865099399</c:v>
                </c:pt>
                <c:pt idx="129">
                  <c:v>12681.155550916423</c:v>
                </c:pt>
                <c:pt idx="130">
                  <c:v>12641.4835307797</c:v>
                </c:pt>
                <c:pt idx="131">
                  <c:v>12601.00688917088</c:v>
                </c:pt>
                <c:pt idx="132">
                  <c:v>12559.737955667097</c:v>
                </c:pt>
                <c:pt idx="133">
                  <c:v>12517.689301185281</c:v>
                </c:pt>
                <c:pt idx="134">
                  <c:v>12474.873734152916</c:v>
                </c:pt>
                <c:pt idx="135">
                  <c:v>12431.30429660649</c:v>
                </c:pt>
                <c:pt idx="136">
                  <c:v>12386.994260218746</c:v>
                </c:pt>
                <c:pt idx="137">
                  <c:v>12341.957122256004</c:v>
                </c:pt>
                <c:pt idx="138">
                  <c:v>12296.206601466776</c:v>
                </c:pt>
                <c:pt idx="139">
                  <c:v>12249.756633902889</c:v>
                </c:pt>
                <c:pt idx="140">
                  <c:v>12202.621368674432</c:v>
                </c:pt>
                <c:pt idx="141">
                  <c:v>12154.815163639803</c:v>
                </c:pt>
                <c:pt idx="142">
                  <c:v>12106.352581032168</c:v>
                </c:pt>
                <c:pt idx="143">
                  <c:v>12057.248383023656</c:v>
                </c:pt>
                <c:pt idx="144">
                  <c:v>12007.517527228661</c:v>
                </c:pt>
                <c:pt idx="145">
                  <c:v>11957.175162147614</c:v>
                </c:pt>
                <c:pt idx="146">
                  <c:v>11906.236622552595</c:v>
                </c:pt>
                <c:pt idx="147">
                  <c:v>11854.717424816217</c:v>
                </c:pt>
                <c:pt idx="148">
                  <c:v>11802.633262185191</c:v>
                </c:pt>
                <c:pt idx="149">
                  <c:v>11750</c:v>
                </c:pt>
                <c:pt idx="150">
                  <c:v>11696.833670862179</c:v>
                </c:pt>
                <c:pt idx="151">
                  <c:v>11643.150469750619</c:v>
                </c:pt>
                <c:pt idx="152">
                  <c:v>11588.966749088413</c:v>
                </c:pt>
                <c:pt idx="153">
                  <c:v>11534.299013761771</c:v>
                </c:pt>
                <c:pt idx="154">
                  <c:v>11479.163916092448</c:v>
                </c:pt>
                <c:pt idx="155">
                  <c:v>11423.578250765302</c:v>
                </c:pt>
                <c:pt idx="156">
                  <c:v>11367.55894971246</c:v>
                </c:pt>
                <c:pt idx="157">
                  <c:v>11311.123076955693</c:v>
                </c:pt>
                <c:pt idx="158">
                  <c:v>11254.287823408551</c:v>
                </c:pt>
                <c:pt idx="159">
                  <c:v>11197.070501639841</c:v>
                </c:pt>
                <c:pt idx="160">
                  <c:v>11139.48854060005</c:v>
                </c:pt>
                <c:pt idx="161">
                  <c:v>11081.559480312317</c:v>
                </c:pt>
                <c:pt idx="162">
                  <c:v>11023.300966529579</c:v>
                </c:pt>
                <c:pt idx="163">
                  <c:v>10964.730745359499</c:v>
                </c:pt>
                <c:pt idx="164">
                  <c:v>10905.866657858824</c:v>
                </c:pt>
                <c:pt idx="165">
                  <c:v>10846.726634598837</c:v>
                </c:pt>
                <c:pt idx="166">
                  <c:v>10787.328690203527</c:v>
                </c:pt>
                <c:pt idx="167">
                  <c:v>10727.690917862157</c:v>
                </c:pt>
                <c:pt idx="168">
                  <c:v>10667.831483817907</c:v>
                </c:pt>
                <c:pt idx="169">
                  <c:v>10607.768621834257</c:v>
                </c:pt>
                <c:pt idx="170">
                  <c:v>10547.520627640808</c:v>
                </c:pt>
                <c:pt idx="171">
                  <c:v>10487.10585336023</c:v>
                </c:pt>
                <c:pt idx="172">
                  <c:v>10426.542701918017</c:v>
                </c:pt>
                <c:pt idx="173">
                  <c:v>10365.849621436788</c:v>
                </c:pt>
                <c:pt idx="174">
                  <c:v>10305.045099616806</c:v>
                </c:pt>
                <c:pt idx="175">
                  <c:v>10244.147658104439</c:v>
                </c:pt>
                <c:pt idx="176">
                  <c:v>10183.175846850303</c:v>
                </c:pt>
                <c:pt idx="177">
                  <c:v>10122.148238458753</c:v>
                </c:pt>
                <c:pt idx="178">
                  <c:v>10061.083422530492</c:v>
                </c:pt>
                <c:pt idx="179">
                  <c:v>10000</c:v>
                </c:pt>
                <c:pt idx="180">
                  <c:v>9938.9165774695084</c:v>
                </c:pt>
                <c:pt idx="181">
                  <c:v>9877.8517615412475</c:v>
                </c:pt>
                <c:pt idx="182">
                  <c:v>9816.8241531496969</c:v>
                </c:pt>
                <c:pt idx="183">
                  <c:v>9755.8523418955629</c:v>
                </c:pt>
                <c:pt idx="184">
                  <c:v>9694.954900383198</c:v>
                </c:pt>
                <c:pt idx="185">
                  <c:v>9634.150378563214</c:v>
                </c:pt>
                <c:pt idx="186">
                  <c:v>9573.457298081983</c:v>
                </c:pt>
                <c:pt idx="187">
                  <c:v>9512.89414663977</c:v>
                </c:pt>
                <c:pt idx="188">
                  <c:v>9452.479372359192</c:v>
                </c:pt>
                <c:pt idx="189">
                  <c:v>9392.2313781657431</c:v>
                </c:pt>
                <c:pt idx="190">
                  <c:v>9332.1685161820933</c:v>
                </c:pt>
                <c:pt idx="191">
                  <c:v>9272.3090821378428</c:v>
                </c:pt>
                <c:pt idx="192">
                  <c:v>9212.671309796473</c:v>
                </c:pt>
                <c:pt idx="193">
                  <c:v>9153.2733654011645</c:v>
                </c:pt>
                <c:pt idx="194">
                  <c:v>9094.1333421411782</c:v>
                </c:pt>
                <c:pt idx="195">
                  <c:v>9035.2692546405033</c:v>
                </c:pt>
                <c:pt idx="196">
                  <c:v>8976.6990334704224</c:v>
                </c:pt>
                <c:pt idx="197">
                  <c:v>8918.4405196876833</c:v>
                </c:pt>
                <c:pt idx="198">
                  <c:v>8860.5114593999515</c:v>
                </c:pt>
                <c:pt idx="199">
                  <c:v>8802.9294983601594</c:v>
                </c:pt>
                <c:pt idx="200">
                  <c:v>8745.712176591449</c:v>
                </c:pt>
                <c:pt idx="201">
                  <c:v>8688.8769230443086</c:v>
                </c:pt>
                <c:pt idx="202">
                  <c:v>8632.4410502875435</c:v>
                </c:pt>
                <c:pt idx="203">
                  <c:v>8576.4217492347016</c:v>
                </c:pt>
                <c:pt idx="204">
                  <c:v>8520.8360839075522</c:v>
                </c:pt>
                <c:pt idx="205">
                  <c:v>8465.7009862382292</c:v>
                </c:pt>
                <c:pt idx="206">
                  <c:v>8411.0332509115888</c:v>
                </c:pt>
                <c:pt idx="207">
                  <c:v>8356.849530249383</c:v>
                </c:pt>
                <c:pt idx="208">
                  <c:v>8303.1663291378209</c:v>
                </c:pt>
                <c:pt idx="209">
                  <c:v>8250</c:v>
                </c:pt>
                <c:pt idx="210">
                  <c:v>8197.3667378148111</c:v>
                </c:pt>
                <c:pt idx="211">
                  <c:v>8145.2825751837827</c:v>
                </c:pt>
                <c:pt idx="212">
                  <c:v>8093.7633774474052</c:v>
                </c:pt>
                <c:pt idx="213">
                  <c:v>8042.8248378523867</c:v>
                </c:pt>
                <c:pt idx="214">
                  <c:v>7992.4824727713394</c:v>
                </c:pt>
                <c:pt idx="215">
                  <c:v>7942.7516169763439</c:v>
                </c:pt>
                <c:pt idx="216">
                  <c:v>7893.647418967832</c:v>
                </c:pt>
                <c:pt idx="217">
                  <c:v>7845.1848363601976</c:v>
                </c:pt>
                <c:pt idx="218">
                  <c:v>7797.3786313255678</c:v>
                </c:pt>
                <c:pt idx="219">
                  <c:v>7750.2433660971128</c:v>
                </c:pt>
                <c:pt idx="220">
                  <c:v>7703.7933985332238</c:v>
                </c:pt>
                <c:pt idx="221">
                  <c:v>7658.0428777439956</c:v>
                </c:pt>
                <c:pt idx="222">
                  <c:v>7613.0057397812561</c:v>
                </c:pt>
                <c:pt idx="223">
                  <c:v>7568.6957033935087</c:v>
                </c:pt>
                <c:pt idx="224">
                  <c:v>7525.1262658470841</c:v>
                </c:pt>
                <c:pt idx="225">
                  <c:v>7482.3106988147219</c:v>
                </c:pt>
                <c:pt idx="226">
                  <c:v>7440.2620443329051</c:v>
                </c:pt>
                <c:pt idx="227">
                  <c:v>7398.9931108291203</c:v>
                </c:pt>
                <c:pt idx="228">
                  <c:v>7358.5164692202998</c:v>
                </c:pt>
                <c:pt idx="229">
                  <c:v>7318.8444490835773</c:v>
                </c:pt>
                <c:pt idx="230">
                  <c:v>7279.9891349006011</c:v>
                </c:pt>
                <c:pt idx="231">
                  <c:v>7241.9623623764728</c:v>
                </c:pt>
                <c:pt idx="232">
                  <c:v>7204.7757148344754</c:v>
                </c:pt>
                <c:pt idx="233">
                  <c:v>7168.4405196876842</c:v>
                </c:pt>
                <c:pt idx="234">
                  <c:v>7132.9678449885296</c:v>
                </c:pt>
                <c:pt idx="235">
                  <c:v>7098.3684960573555</c:v>
                </c:pt>
                <c:pt idx="236">
                  <c:v>7064.6530121910164</c:v>
                </c:pt>
                <c:pt idx="237">
                  <c:v>7031.831663452509</c:v>
                </c:pt>
                <c:pt idx="238">
                  <c:v>6999.9144475426074</c:v>
                </c:pt>
                <c:pt idx="239">
                  <c:v>6968.9110867544659</c:v>
                </c:pt>
                <c:pt idx="240">
                  <c:v>6938.831025012114</c:v>
                </c:pt>
                <c:pt idx="241">
                  <c:v>6909.6834249937556</c:v>
                </c:pt>
                <c:pt idx="242">
                  <c:v>6881.4771653407133</c:v>
                </c:pt>
                <c:pt idx="243">
                  <c:v>6854.2208379529166</c:v>
                </c:pt>
                <c:pt idx="244">
                  <c:v>6827.9227453717258</c:v>
                </c:pt>
                <c:pt idx="245">
                  <c:v>6802.5908982508972</c:v>
                </c:pt>
                <c:pt idx="246">
                  <c:v>6778.2330129164593</c:v>
                </c:pt>
                <c:pt idx="247">
                  <c:v>6754.8565090162447</c:v>
                </c:pt>
                <c:pt idx="248">
                  <c:v>6732.4685072597949</c:v>
                </c:pt>
                <c:pt idx="249">
                  <c:v>6711.0758272493213</c:v>
                </c:pt>
                <c:pt idx="250">
                  <c:v>6690.6849854023912</c:v>
                </c:pt>
                <c:pt idx="251">
                  <c:v>6671.302192966963</c:v>
                </c:pt>
                <c:pt idx="252">
                  <c:v>6652.9333541293763</c:v>
                </c:pt>
                <c:pt idx="253">
                  <c:v>6635.5840642158837</c:v>
                </c:pt>
                <c:pt idx="254">
                  <c:v>6619.2596079882605</c:v>
                </c:pt>
                <c:pt idx="255">
                  <c:v>6603.9649580340119</c:v>
                </c:pt>
                <c:pt idx="256">
                  <c:v>6589.7047732516767</c:v>
                </c:pt>
                <c:pt idx="257">
                  <c:v>6576.4833974316807</c:v>
                </c:pt>
                <c:pt idx="258">
                  <c:v>6564.3048579331771</c:v>
                </c:pt>
                <c:pt idx="259">
                  <c:v>6553.1728644572722</c:v>
                </c:pt>
                <c:pt idx="260">
                  <c:v>6543.0908079170185</c:v>
                </c:pt>
                <c:pt idx="261">
                  <c:v>6534.0617594045034</c:v>
                </c:pt>
                <c:pt idx="262">
                  <c:v>6526.0884692553727</c:v>
                </c:pt>
                <c:pt idx="263">
                  <c:v>6519.1733662110437</c:v>
                </c:pt>
                <c:pt idx="264">
                  <c:v>6513.3185566788907</c:v>
                </c:pt>
                <c:pt idx="265">
                  <c:v>6508.5258240906151</c:v>
                </c:pt>
                <c:pt idx="266">
                  <c:v>6504.7966283589922</c:v>
                </c:pt>
                <c:pt idx="267">
                  <c:v>6502.1321054331656</c:v>
                </c:pt>
                <c:pt idx="268">
                  <c:v>6500.5330669526302</c:v>
                </c:pt>
                <c:pt idx="269">
                  <c:v>6500</c:v>
                </c:pt>
                <c:pt idx="270">
                  <c:v>6500.5330669526302</c:v>
                </c:pt>
                <c:pt idx="271">
                  <c:v>6502.1321054331647</c:v>
                </c:pt>
                <c:pt idx="272">
                  <c:v>6504.7966283589922</c:v>
                </c:pt>
                <c:pt idx="273">
                  <c:v>6508.5258240906151</c:v>
                </c:pt>
                <c:pt idx="274">
                  <c:v>6513.3185566788907</c:v>
                </c:pt>
                <c:pt idx="275">
                  <c:v>6519.1733662110437</c:v>
                </c:pt>
                <c:pt idx="276">
                  <c:v>6526.0884692553736</c:v>
                </c:pt>
                <c:pt idx="277">
                  <c:v>6534.0617594045034</c:v>
                </c:pt>
                <c:pt idx="278">
                  <c:v>6543.0908079170176</c:v>
                </c:pt>
                <c:pt idx="279">
                  <c:v>6553.1728644572713</c:v>
                </c:pt>
                <c:pt idx="280">
                  <c:v>6564.3048579331753</c:v>
                </c:pt>
                <c:pt idx="281">
                  <c:v>6576.4833974316798</c:v>
                </c:pt>
                <c:pt idx="282">
                  <c:v>6589.7047732516767</c:v>
                </c:pt>
                <c:pt idx="283">
                  <c:v>6603.9649580340119</c:v>
                </c:pt>
                <c:pt idx="284">
                  <c:v>6619.2596079882615</c:v>
                </c:pt>
                <c:pt idx="285">
                  <c:v>6635.5840642158837</c:v>
                </c:pt>
                <c:pt idx="286">
                  <c:v>6652.9333541293763</c:v>
                </c:pt>
                <c:pt idx="287">
                  <c:v>6671.3021929669621</c:v>
                </c:pt>
                <c:pt idx="288">
                  <c:v>6690.6849854023912</c:v>
                </c:pt>
                <c:pt idx="289">
                  <c:v>6711.0758272493204</c:v>
                </c:pt>
                <c:pt idx="290">
                  <c:v>6732.4685072597931</c:v>
                </c:pt>
                <c:pt idx="291">
                  <c:v>6754.8565090162447</c:v>
                </c:pt>
                <c:pt idx="292">
                  <c:v>6778.2330129164584</c:v>
                </c:pt>
                <c:pt idx="293">
                  <c:v>6802.5908982508972</c:v>
                </c:pt>
                <c:pt idx="294">
                  <c:v>6827.9227453717249</c:v>
                </c:pt>
                <c:pt idx="295">
                  <c:v>6854.2208379529147</c:v>
                </c:pt>
                <c:pt idx="296">
                  <c:v>6881.4771653407124</c:v>
                </c:pt>
                <c:pt idx="297">
                  <c:v>6909.6834249937547</c:v>
                </c:pt>
                <c:pt idx="298">
                  <c:v>6938.831025012114</c:v>
                </c:pt>
                <c:pt idx="299">
                  <c:v>6968.911086754465</c:v>
                </c:pt>
                <c:pt idx="300">
                  <c:v>6999.9144475426074</c:v>
                </c:pt>
                <c:pt idx="301">
                  <c:v>7031.831663452509</c:v>
                </c:pt>
                <c:pt idx="302">
                  <c:v>7064.6530121910146</c:v>
                </c:pt>
                <c:pt idx="303">
                  <c:v>7098.3684960573528</c:v>
                </c:pt>
                <c:pt idx="304">
                  <c:v>7132.9678449885287</c:v>
                </c:pt>
                <c:pt idx="305">
                  <c:v>7168.4405196876833</c:v>
                </c:pt>
                <c:pt idx="306">
                  <c:v>7204.7757148344745</c:v>
                </c:pt>
                <c:pt idx="307">
                  <c:v>7241.9623623764737</c:v>
                </c:pt>
                <c:pt idx="308">
                  <c:v>7279.989134900602</c:v>
                </c:pt>
                <c:pt idx="309">
                  <c:v>7318.8444490835764</c:v>
                </c:pt>
                <c:pt idx="310">
                  <c:v>7358.516469220297</c:v>
                </c:pt>
                <c:pt idx="311">
                  <c:v>7398.9931108291185</c:v>
                </c:pt>
                <c:pt idx="312">
                  <c:v>7440.2620443329015</c:v>
                </c:pt>
                <c:pt idx="313">
                  <c:v>7482.3106988147192</c:v>
                </c:pt>
                <c:pt idx="314">
                  <c:v>7525.1262658470832</c:v>
                </c:pt>
                <c:pt idx="315">
                  <c:v>7568.6957033935087</c:v>
                </c:pt>
                <c:pt idx="316">
                  <c:v>7613.0057397812561</c:v>
                </c:pt>
                <c:pt idx="317">
                  <c:v>7658.0428777439965</c:v>
                </c:pt>
                <c:pt idx="318">
                  <c:v>7703.7933985332238</c:v>
                </c:pt>
                <c:pt idx="319">
                  <c:v>7750.243366097111</c:v>
                </c:pt>
                <c:pt idx="320">
                  <c:v>7797.3786313255678</c:v>
                </c:pt>
                <c:pt idx="321">
                  <c:v>7845.1848363601939</c:v>
                </c:pt>
                <c:pt idx="322">
                  <c:v>7893.6474189678311</c:v>
                </c:pt>
                <c:pt idx="323">
                  <c:v>7942.751616976343</c:v>
                </c:pt>
                <c:pt idx="324">
                  <c:v>7992.4824727713376</c:v>
                </c:pt>
                <c:pt idx="325">
                  <c:v>8042.824837852384</c:v>
                </c:pt>
                <c:pt idx="326">
                  <c:v>8093.7633774474052</c:v>
                </c:pt>
                <c:pt idx="327">
                  <c:v>8145.28257518378</c:v>
                </c:pt>
                <c:pt idx="328">
                  <c:v>8197.3667378148093</c:v>
                </c:pt>
                <c:pt idx="329">
                  <c:v>8249.9999999999982</c:v>
                </c:pt>
                <c:pt idx="330">
                  <c:v>8303.1663291378209</c:v>
                </c:pt>
                <c:pt idx="331">
                  <c:v>8356.849530249383</c:v>
                </c:pt>
                <c:pt idx="332">
                  <c:v>8411.0332509115851</c:v>
                </c:pt>
                <c:pt idx="333">
                  <c:v>8465.7009862382311</c:v>
                </c:pt>
                <c:pt idx="334">
                  <c:v>8520.8360839075503</c:v>
                </c:pt>
                <c:pt idx="335">
                  <c:v>8576.4217492346997</c:v>
                </c:pt>
                <c:pt idx="336">
                  <c:v>8632.441050287538</c:v>
                </c:pt>
                <c:pt idx="337">
                  <c:v>8688.8769230443067</c:v>
                </c:pt>
                <c:pt idx="338">
                  <c:v>8745.7121765914471</c:v>
                </c:pt>
                <c:pt idx="339">
                  <c:v>8802.9294983601594</c:v>
                </c:pt>
                <c:pt idx="340">
                  <c:v>8860.5114593999479</c:v>
                </c:pt>
                <c:pt idx="341">
                  <c:v>8918.4405196876833</c:v>
                </c:pt>
                <c:pt idx="342">
                  <c:v>8976.6990334704224</c:v>
                </c:pt>
                <c:pt idx="343">
                  <c:v>9035.2692546405015</c:v>
                </c:pt>
                <c:pt idx="344">
                  <c:v>9094.1333421411782</c:v>
                </c:pt>
                <c:pt idx="345">
                  <c:v>9153.2733654011627</c:v>
                </c:pt>
                <c:pt idx="346">
                  <c:v>9212.6713097964712</c:v>
                </c:pt>
                <c:pt idx="347">
                  <c:v>9272.309082137841</c:v>
                </c:pt>
                <c:pt idx="348">
                  <c:v>9332.1685161820933</c:v>
                </c:pt>
                <c:pt idx="349">
                  <c:v>9392.2313781657413</c:v>
                </c:pt>
                <c:pt idx="350">
                  <c:v>9452.4793723591902</c:v>
                </c:pt>
                <c:pt idx="351">
                  <c:v>9512.89414663977</c:v>
                </c:pt>
                <c:pt idx="352">
                  <c:v>9573.4572980819812</c:v>
                </c:pt>
                <c:pt idx="353">
                  <c:v>9634.1503785632121</c:v>
                </c:pt>
                <c:pt idx="354">
                  <c:v>9694.9549003831962</c:v>
                </c:pt>
                <c:pt idx="355">
                  <c:v>9755.8523418955629</c:v>
                </c:pt>
                <c:pt idx="356">
                  <c:v>9816.8241531496951</c:v>
                </c:pt>
                <c:pt idx="357">
                  <c:v>9877.8517615412475</c:v>
                </c:pt>
                <c:pt idx="358">
                  <c:v>9938.9165774695048</c:v>
                </c:pt>
                <c:pt idx="359">
                  <c:v>10000</c:v>
                </c:pt>
                <c:pt idx="360">
                  <c:v>10061.083422530492</c:v>
                </c:pt>
                <c:pt idx="361">
                  <c:v>10122.148238458751</c:v>
                </c:pt>
                <c:pt idx="362">
                  <c:v>10183.175846850303</c:v>
                </c:pt>
                <c:pt idx="363">
                  <c:v>10244.147658104437</c:v>
                </c:pt>
                <c:pt idx="364">
                  <c:v>10305.045099616806</c:v>
                </c:pt>
                <c:pt idx="365">
                  <c:v>10365.849621436786</c:v>
                </c:pt>
                <c:pt idx="366">
                  <c:v>10426.542701918017</c:v>
                </c:pt>
                <c:pt idx="367">
                  <c:v>10487.105853360226</c:v>
                </c:pt>
                <c:pt idx="368">
                  <c:v>10547.520627640808</c:v>
                </c:pt>
                <c:pt idx="369">
                  <c:v>10607.768621834255</c:v>
                </c:pt>
                <c:pt idx="370">
                  <c:v>10667.831483817909</c:v>
                </c:pt>
                <c:pt idx="371">
                  <c:v>10727.690917862155</c:v>
                </c:pt>
                <c:pt idx="372">
                  <c:v>10787.328690203527</c:v>
                </c:pt>
                <c:pt idx="373">
                  <c:v>10846.726634598839</c:v>
                </c:pt>
                <c:pt idx="374">
                  <c:v>10905.86665785882</c:v>
                </c:pt>
                <c:pt idx="375">
                  <c:v>10964.730745359499</c:v>
                </c:pt>
                <c:pt idx="376">
                  <c:v>11023.300966529578</c:v>
                </c:pt>
                <c:pt idx="377">
                  <c:v>11081.559480312315</c:v>
                </c:pt>
                <c:pt idx="378">
                  <c:v>11139.488540600047</c:v>
                </c:pt>
                <c:pt idx="379">
                  <c:v>11197.070501639841</c:v>
                </c:pt>
                <c:pt idx="380">
                  <c:v>11254.287823408547</c:v>
                </c:pt>
                <c:pt idx="381">
                  <c:v>11311.123076955691</c:v>
                </c:pt>
                <c:pt idx="382">
                  <c:v>11367.558949712455</c:v>
                </c:pt>
                <c:pt idx="383">
                  <c:v>11423.578250765298</c:v>
                </c:pt>
                <c:pt idx="384">
                  <c:v>11479.163916092448</c:v>
                </c:pt>
                <c:pt idx="385">
                  <c:v>11534.299013761771</c:v>
                </c:pt>
                <c:pt idx="386">
                  <c:v>11588.966749088417</c:v>
                </c:pt>
                <c:pt idx="387">
                  <c:v>11643.150469750617</c:v>
                </c:pt>
                <c:pt idx="388">
                  <c:v>11696.833670862181</c:v>
                </c:pt>
                <c:pt idx="389">
                  <c:v>11749.999999999998</c:v>
                </c:pt>
                <c:pt idx="390">
                  <c:v>11802.633262185189</c:v>
                </c:pt>
                <c:pt idx="391">
                  <c:v>11854.717424816215</c:v>
                </c:pt>
                <c:pt idx="392">
                  <c:v>11906.236622552593</c:v>
                </c:pt>
                <c:pt idx="393">
                  <c:v>11957.175162147612</c:v>
                </c:pt>
                <c:pt idx="394">
                  <c:v>12007.517527228661</c:v>
                </c:pt>
                <c:pt idx="395">
                  <c:v>12057.248383023658</c:v>
                </c:pt>
                <c:pt idx="396">
                  <c:v>12106.352581032168</c:v>
                </c:pt>
                <c:pt idx="397">
                  <c:v>12154.815163639803</c:v>
                </c:pt>
                <c:pt idx="398">
                  <c:v>12202.621368674429</c:v>
                </c:pt>
                <c:pt idx="399">
                  <c:v>12249.756633902887</c:v>
                </c:pt>
                <c:pt idx="400">
                  <c:v>12296.206601466774</c:v>
                </c:pt>
                <c:pt idx="401">
                  <c:v>12341.957122256004</c:v>
                </c:pt>
                <c:pt idx="402">
                  <c:v>12386.994260218742</c:v>
                </c:pt>
                <c:pt idx="403">
                  <c:v>12431.30429660649</c:v>
                </c:pt>
                <c:pt idx="404">
                  <c:v>12474.873734152914</c:v>
                </c:pt>
                <c:pt idx="405">
                  <c:v>12517.689301185277</c:v>
                </c:pt>
                <c:pt idx="406">
                  <c:v>12559.737955667097</c:v>
                </c:pt>
                <c:pt idx="407">
                  <c:v>12601.006889170878</c:v>
                </c:pt>
                <c:pt idx="408">
                  <c:v>12641.483530779702</c:v>
                </c:pt>
                <c:pt idx="409">
                  <c:v>12681.155550916423</c:v>
                </c:pt>
                <c:pt idx="410">
                  <c:v>12720.010865099399</c:v>
                </c:pt>
                <c:pt idx="411">
                  <c:v>12758.037637623525</c:v>
                </c:pt>
                <c:pt idx="412">
                  <c:v>12795.224285165525</c:v>
                </c:pt>
                <c:pt idx="413">
                  <c:v>12831.559480312313</c:v>
                </c:pt>
                <c:pt idx="414">
                  <c:v>12867.03215501147</c:v>
                </c:pt>
                <c:pt idx="415">
                  <c:v>12901.631503942646</c:v>
                </c:pt>
                <c:pt idx="416">
                  <c:v>12935.346987808984</c:v>
                </c:pt>
                <c:pt idx="417">
                  <c:v>12968.168336547491</c:v>
                </c:pt>
                <c:pt idx="418">
                  <c:v>13000.085552457393</c:v>
                </c:pt>
                <c:pt idx="419">
                  <c:v>13031.088913245536</c:v>
                </c:pt>
                <c:pt idx="420">
                  <c:v>13061.168974987884</c:v>
                </c:pt>
                <c:pt idx="421">
                  <c:v>13090.316575006244</c:v>
                </c:pt>
                <c:pt idx="422">
                  <c:v>13118.522834659287</c:v>
                </c:pt>
                <c:pt idx="423">
                  <c:v>13145.779162047083</c:v>
                </c:pt>
                <c:pt idx="424">
                  <c:v>13172.077254628275</c:v>
                </c:pt>
                <c:pt idx="425">
                  <c:v>13197.409101749103</c:v>
                </c:pt>
                <c:pt idx="426">
                  <c:v>13221.766987083542</c:v>
                </c:pt>
                <c:pt idx="427">
                  <c:v>13245.143490983755</c:v>
                </c:pt>
                <c:pt idx="428">
                  <c:v>13267.531492740207</c:v>
                </c:pt>
                <c:pt idx="429">
                  <c:v>13288.924172750678</c:v>
                </c:pt>
                <c:pt idx="430">
                  <c:v>13309.315014597609</c:v>
                </c:pt>
                <c:pt idx="431">
                  <c:v>13328.697807033037</c:v>
                </c:pt>
                <c:pt idx="432">
                  <c:v>13347.066645870626</c:v>
                </c:pt>
                <c:pt idx="433">
                  <c:v>13364.415935784116</c:v>
                </c:pt>
                <c:pt idx="434">
                  <c:v>13380.740392011739</c:v>
                </c:pt>
                <c:pt idx="435">
                  <c:v>13396.035041965986</c:v>
                </c:pt>
                <c:pt idx="436">
                  <c:v>13410.295226748323</c:v>
                </c:pt>
                <c:pt idx="437">
                  <c:v>13423.516602568319</c:v>
                </c:pt>
                <c:pt idx="438">
                  <c:v>13435.695142066823</c:v>
                </c:pt>
                <c:pt idx="439">
                  <c:v>13446.827135542728</c:v>
                </c:pt>
                <c:pt idx="440">
                  <c:v>13456.909192082981</c:v>
                </c:pt>
                <c:pt idx="441">
                  <c:v>13465.938240595497</c:v>
                </c:pt>
                <c:pt idx="442">
                  <c:v>13473.911530744626</c:v>
                </c:pt>
                <c:pt idx="443">
                  <c:v>13480.826633788956</c:v>
                </c:pt>
                <c:pt idx="444">
                  <c:v>13486.681443321109</c:v>
                </c:pt>
                <c:pt idx="445">
                  <c:v>13491.474175909385</c:v>
                </c:pt>
                <c:pt idx="446">
                  <c:v>13495.203371641008</c:v>
                </c:pt>
                <c:pt idx="447">
                  <c:v>13497.867894566836</c:v>
                </c:pt>
                <c:pt idx="448">
                  <c:v>13499.46693304737</c:v>
                </c:pt>
                <c:pt idx="449">
                  <c:v>13500</c:v>
                </c:pt>
                <c:pt idx="450">
                  <c:v>13499.46693304737</c:v>
                </c:pt>
                <c:pt idx="451">
                  <c:v>13497.867894566836</c:v>
                </c:pt>
                <c:pt idx="452">
                  <c:v>13495.203371641008</c:v>
                </c:pt>
                <c:pt idx="453">
                  <c:v>13491.474175909385</c:v>
                </c:pt>
                <c:pt idx="454">
                  <c:v>13486.681443321109</c:v>
                </c:pt>
                <c:pt idx="455">
                  <c:v>13480.826633788956</c:v>
                </c:pt>
                <c:pt idx="456">
                  <c:v>13473.911530744626</c:v>
                </c:pt>
                <c:pt idx="457">
                  <c:v>13465.938240595497</c:v>
                </c:pt>
                <c:pt idx="458">
                  <c:v>13456.909192082981</c:v>
                </c:pt>
                <c:pt idx="459">
                  <c:v>13446.827135542728</c:v>
                </c:pt>
                <c:pt idx="460">
                  <c:v>13435.695142066823</c:v>
                </c:pt>
                <c:pt idx="461">
                  <c:v>13423.516602568319</c:v>
                </c:pt>
                <c:pt idx="462">
                  <c:v>13410.295226748323</c:v>
                </c:pt>
                <c:pt idx="463">
                  <c:v>13396.035041965988</c:v>
                </c:pt>
                <c:pt idx="464">
                  <c:v>13380.740392011739</c:v>
                </c:pt>
                <c:pt idx="465">
                  <c:v>13364.415935784116</c:v>
                </c:pt>
                <c:pt idx="466">
                  <c:v>13347.066645870626</c:v>
                </c:pt>
                <c:pt idx="467">
                  <c:v>13328.697807033037</c:v>
                </c:pt>
                <c:pt idx="468">
                  <c:v>13309.315014597611</c:v>
                </c:pt>
                <c:pt idx="469">
                  <c:v>13288.92417275068</c:v>
                </c:pt>
                <c:pt idx="470">
                  <c:v>13267.531492740207</c:v>
                </c:pt>
                <c:pt idx="471">
                  <c:v>13245.143490983757</c:v>
                </c:pt>
                <c:pt idx="472">
                  <c:v>13221.766987083542</c:v>
                </c:pt>
                <c:pt idx="473">
                  <c:v>13197.409101749103</c:v>
                </c:pt>
                <c:pt idx="474">
                  <c:v>13172.077254628275</c:v>
                </c:pt>
                <c:pt idx="475">
                  <c:v>13145.779162047085</c:v>
                </c:pt>
                <c:pt idx="476">
                  <c:v>13118.522834659287</c:v>
                </c:pt>
                <c:pt idx="477">
                  <c:v>13090.316575006245</c:v>
                </c:pt>
                <c:pt idx="478">
                  <c:v>13061.168974987886</c:v>
                </c:pt>
                <c:pt idx="479">
                  <c:v>13031.088913245538</c:v>
                </c:pt>
                <c:pt idx="480">
                  <c:v>13000.085552457393</c:v>
                </c:pt>
                <c:pt idx="481">
                  <c:v>12968.168336547489</c:v>
                </c:pt>
                <c:pt idx="482">
                  <c:v>12935.346987808985</c:v>
                </c:pt>
                <c:pt idx="483">
                  <c:v>12901.631503942646</c:v>
                </c:pt>
                <c:pt idx="484">
                  <c:v>12867.032155011473</c:v>
                </c:pt>
                <c:pt idx="485">
                  <c:v>12831.559480312317</c:v>
                </c:pt>
                <c:pt idx="486">
                  <c:v>12795.224285165528</c:v>
                </c:pt>
                <c:pt idx="487">
                  <c:v>12758.037637623529</c:v>
                </c:pt>
                <c:pt idx="488">
                  <c:v>12720.010865099397</c:v>
                </c:pt>
                <c:pt idx="489">
                  <c:v>12681.155550916426</c:v>
                </c:pt>
                <c:pt idx="490">
                  <c:v>12641.483530779704</c:v>
                </c:pt>
                <c:pt idx="491">
                  <c:v>12601.00688917088</c:v>
                </c:pt>
                <c:pt idx="492">
                  <c:v>12559.737955667095</c:v>
                </c:pt>
                <c:pt idx="493">
                  <c:v>12517.689301185279</c:v>
                </c:pt>
                <c:pt idx="494">
                  <c:v>12474.873734152916</c:v>
                </c:pt>
                <c:pt idx="495">
                  <c:v>12431.304296606491</c:v>
                </c:pt>
                <c:pt idx="496">
                  <c:v>12386.994260218744</c:v>
                </c:pt>
                <c:pt idx="497">
                  <c:v>12341.957122256006</c:v>
                </c:pt>
                <c:pt idx="498">
                  <c:v>12296.206601466776</c:v>
                </c:pt>
                <c:pt idx="499">
                  <c:v>12249.756633902891</c:v>
                </c:pt>
                <c:pt idx="500">
                  <c:v>12202.621368674432</c:v>
                </c:pt>
                <c:pt idx="501">
                  <c:v>12154.815163639803</c:v>
                </c:pt>
                <c:pt idx="502">
                  <c:v>12106.352581032172</c:v>
                </c:pt>
                <c:pt idx="503">
                  <c:v>12057.248383023656</c:v>
                </c:pt>
                <c:pt idx="504">
                  <c:v>12007.517527228665</c:v>
                </c:pt>
                <c:pt idx="505">
                  <c:v>11957.175162147616</c:v>
                </c:pt>
                <c:pt idx="506">
                  <c:v>11906.236622552595</c:v>
                </c:pt>
                <c:pt idx="507">
                  <c:v>11854.717424816215</c:v>
                </c:pt>
                <c:pt idx="508">
                  <c:v>11802.633262185191</c:v>
                </c:pt>
                <c:pt idx="509">
                  <c:v>11750</c:v>
                </c:pt>
                <c:pt idx="510">
                  <c:v>11696.833670862183</c:v>
                </c:pt>
                <c:pt idx="511">
                  <c:v>11643.150469750619</c:v>
                </c:pt>
                <c:pt idx="512">
                  <c:v>11588.966749088413</c:v>
                </c:pt>
                <c:pt idx="513">
                  <c:v>11534.299013761773</c:v>
                </c:pt>
                <c:pt idx="514">
                  <c:v>11479.163916092448</c:v>
                </c:pt>
                <c:pt idx="515">
                  <c:v>11423.578250765304</c:v>
                </c:pt>
                <c:pt idx="516">
                  <c:v>11367.558949712458</c:v>
                </c:pt>
                <c:pt idx="517">
                  <c:v>11311.123076955697</c:v>
                </c:pt>
                <c:pt idx="518">
                  <c:v>11254.287823408553</c:v>
                </c:pt>
                <c:pt idx="519">
                  <c:v>11197.070501639841</c:v>
                </c:pt>
                <c:pt idx="520">
                  <c:v>11139.488540600052</c:v>
                </c:pt>
                <c:pt idx="521">
                  <c:v>11081.559480312317</c:v>
                </c:pt>
                <c:pt idx="522">
                  <c:v>11023.300966529578</c:v>
                </c:pt>
                <c:pt idx="523">
                  <c:v>10964.730745359493</c:v>
                </c:pt>
                <c:pt idx="524">
                  <c:v>10905.866657858824</c:v>
                </c:pt>
                <c:pt idx="525">
                  <c:v>10846.726634598836</c:v>
                </c:pt>
                <c:pt idx="526">
                  <c:v>10787.328690203529</c:v>
                </c:pt>
                <c:pt idx="527">
                  <c:v>10727.690917862157</c:v>
                </c:pt>
                <c:pt idx="528">
                  <c:v>10667.83148381791</c:v>
                </c:pt>
                <c:pt idx="529">
                  <c:v>10607.768621834257</c:v>
                </c:pt>
                <c:pt idx="530">
                  <c:v>10547.520627640812</c:v>
                </c:pt>
                <c:pt idx="531">
                  <c:v>10487.105853360232</c:v>
                </c:pt>
                <c:pt idx="532">
                  <c:v>10426.542701918022</c:v>
                </c:pt>
                <c:pt idx="533">
                  <c:v>10365.84962143679</c:v>
                </c:pt>
                <c:pt idx="534">
                  <c:v>10305.045099616804</c:v>
                </c:pt>
                <c:pt idx="535">
                  <c:v>10244.147658104443</c:v>
                </c:pt>
                <c:pt idx="536">
                  <c:v>10183.175846850305</c:v>
                </c:pt>
                <c:pt idx="537">
                  <c:v>10122.148238458753</c:v>
                </c:pt>
                <c:pt idx="538">
                  <c:v>10061.08342253049</c:v>
                </c:pt>
                <c:pt idx="539">
                  <c:v>10000.000000000002</c:v>
                </c:pt>
                <c:pt idx="540">
                  <c:v>9938.9165774695066</c:v>
                </c:pt>
                <c:pt idx="541">
                  <c:v>9877.8517615412493</c:v>
                </c:pt>
                <c:pt idx="542">
                  <c:v>9816.8241531496969</c:v>
                </c:pt>
                <c:pt idx="543">
                  <c:v>9755.8523418955592</c:v>
                </c:pt>
                <c:pt idx="544">
                  <c:v>9694.954900383198</c:v>
                </c:pt>
                <c:pt idx="545">
                  <c:v>9634.1503785632121</c:v>
                </c:pt>
                <c:pt idx="546">
                  <c:v>9573.4572980819867</c:v>
                </c:pt>
                <c:pt idx="547">
                  <c:v>9512.8941466397719</c:v>
                </c:pt>
                <c:pt idx="548">
                  <c:v>9452.4793723591956</c:v>
                </c:pt>
                <c:pt idx="549">
                  <c:v>9392.2313781657467</c:v>
                </c:pt>
                <c:pt idx="550">
                  <c:v>9332.1685161820988</c:v>
                </c:pt>
                <c:pt idx="551">
                  <c:v>9272.3090821378464</c:v>
                </c:pt>
                <c:pt idx="552">
                  <c:v>9212.671309796473</c:v>
                </c:pt>
                <c:pt idx="553">
                  <c:v>9153.2733654011608</c:v>
                </c:pt>
                <c:pt idx="554">
                  <c:v>9094.1333421411728</c:v>
                </c:pt>
                <c:pt idx="555">
                  <c:v>9035.2692546405033</c:v>
                </c:pt>
                <c:pt idx="556">
                  <c:v>8976.6990334704187</c:v>
                </c:pt>
                <c:pt idx="557">
                  <c:v>8918.4405196876851</c:v>
                </c:pt>
                <c:pt idx="558">
                  <c:v>8860.5114593999497</c:v>
                </c:pt>
                <c:pt idx="559">
                  <c:v>8802.9294983601612</c:v>
                </c:pt>
                <c:pt idx="560">
                  <c:v>8745.712176591449</c:v>
                </c:pt>
                <c:pt idx="561">
                  <c:v>8688.8769230443122</c:v>
                </c:pt>
                <c:pt idx="562">
                  <c:v>8632.4410502875435</c:v>
                </c:pt>
                <c:pt idx="563">
                  <c:v>8576.4217492347052</c:v>
                </c:pt>
                <c:pt idx="564">
                  <c:v>8520.836083907554</c:v>
                </c:pt>
                <c:pt idx="565">
                  <c:v>8465.7009862382292</c:v>
                </c:pt>
                <c:pt idx="566">
                  <c:v>8411.0332509115906</c:v>
                </c:pt>
                <c:pt idx="567">
                  <c:v>8356.8495302493848</c:v>
                </c:pt>
                <c:pt idx="568">
                  <c:v>8303.1663291378209</c:v>
                </c:pt>
                <c:pt idx="569">
                  <c:v>8249.9999999999982</c:v>
                </c:pt>
                <c:pt idx="570">
                  <c:v>8197.3667378148111</c:v>
                </c:pt>
                <c:pt idx="571">
                  <c:v>8145.2825751837809</c:v>
                </c:pt>
                <c:pt idx="572">
                  <c:v>8093.763377447407</c:v>
                </c:pt>
                <c:pt idx="573">
                  <c:v>8042.8248378523858</c:v>
                </c:pt>
                <c:pt idx="574">
                  <c:v>7992.4824727713421</c:v>
                </c:pt>
                <c:pt idx="575">
                  <c:v>7942.7516169763458</c:v>
                </c:pt>
                <c:pt idx="576">
                  <c:v>7893.6474189678302</c:v>
                </c:pt>
                <c:pt idx="577">
                  <c:v>7845.1848363601985</c:v>
                </c:pt>
                <c:pt idx="578">
                  <c:v>7797.3786313255696</c:v>
                </c:pt>
                <c:pt idx="579">
                  <c:v>7750.2433660971155</c:v>
                </c:pt>
                <c:pt idx="580">
                  <c:v>7703.7933985332256</c:v>
                </c:pt>
                <c:pt idx="581">
                  <c:v>7658.0428777440011</c:v>
                </c:pt>
                <c:pt idx="582">
                  <c:v>7613.0057397812579</c:v>
                </c:pt>
                <c:pt idx="583">
                  <c:v>7568.6957033935105</c:v>
                </c:pt>
                <c:pt idx="584">
                  <c:v>7525.1262658470823</c:v>
                </c:pt>
                <c:pt idx="585">
                  <c:v>7482.3106988147229</c:v>
                </c:pt>
                <c:pt idx="586">
                  <c:v>7440.2620443329033</c:v>
                </c:pt>
                <c:pt idx="587">
                  <c:v>7398.9931108291185</c:v>
                </c:pt>
                <c:pt idx="588">
                  <c:v>7358.5164692202989</c:v>
                </c:pt>
                <c:pt idx="589">
                  <c:v>7318.8444490835764</c:v>
                </c:pt>
                <c:pt idx="590">
                  <c:v>7279.9891349006029</c:v>
                </c:pt>
                <c:pt idx="591">
                  <c:v>7241.9623623764728</c:v>
                </c:pt>
                <c:pt idx="592">
                  <c:v>7204.7757148344772</c:v>
                </c:pt>
                <c:pt idx="593">
                  <c:v>7168.4405196876851</c:v>
                </c:pt>
                <c:pt idx="594">
                  <c:v>7132.9678449885323</c:v>
                </c:pt>
                <c:pt idx="595">
                  <c:v>7098.3684960573555</c:v>
                </c:pt>
                <c:pt idx="596">
                  <c:v>7064.6530121910191</c:v>
                </c:pt>
                <c:pt idx="597">
                  <c:v>7031.8316634525108</c:v>
                </c:pt>
                <c:pt idx="598">
                  <c:v>6999.9144475426074</c:v>
                </c:pt>
                <c:pt idx="599">
                  <c:v>6968.9110867544641</c:v>
                </c:pt>
                <c:pt idx="600">
                  <c:v>6938.831025012114</c:v>
                </c:pt>
                <c:pt idx="601">
                  <c:v>6909.6834249937565</c:v>
                </c:pt>
                <c:pt idx="602">
                  <c:v>6881.4771653407115</c:v>
                </c:pt>
                <c:pt idx="603">
                  <c:v>6854.2208379529166</c:v>
                </c:pt>
                <c:pt idx="604">
                  <c:v>6827.9227453717249</c:v>
                </c:pt>
                <c:pt idx="605">
                  <c:v>6802.5908982508981</c:v>
                </c:pt>
                <c:pt idx="606">
                  <c:v>6778.2330129164593</c:v>
                </c:pt>
                <c:pt idx="607">
                  <c:v>6754.8565090162465</c:v>
                </c:pt>
                <c:pt idx="608">
                  <c:v>6732.4685072597949</c:v>
                </c:pt>
                <c:pt idx="609">
                  <c:v>6711.0758272493204</c:v>
                </c:pt>
                <c:pt idx="610">
                  <c:v>6690.6849854023931</c:v>
                </c:pt>
                <c:pt idx="611">
                  <c:v>6671.302192966963</c:v>
                </c:pt>
                <c:pt idx="612">
                  <c:v>6652.9333541293781</c:v>
                </c:pt>
                <c:pt idx="613">
                  <c:v>6635.5840642158846</c:v>
                </c:pt>
                <c:pt idx="614">
                  <c:v>6619.2596079882615</c:v>
                </c:pt>
                <c:pt idx="615">
                  <c:v>6603.9649580340119</c:v>
                </c:pt>
                <c:pt idx="616">
                  <c:v>6589.7047732516767</c:v>
                </c:pt>
                <c:pt idx="617">
                  <c:v>6576.4833974316807</c:v>
                </c:pt>
                <c:pt idx="618">
                  <c:v>6564.3048579331753</c:v>
                </c:pt>
                <c:pt idx="619">
                  <c:v>6553.1728644572722</c:v>
                </c:pt>
                <c:pt idx="620">
                  <c:v>6543.0908079170176</c:v>
                </c:pt>
                <c:pt idx="621">
                  <c:v>6534.0617594045043</c:v>
                </c:pt>
                <c:pt idx="622">
                  <c:v>6526.0884692553727</c:v>
                </c:pt>
                <c:pt idx="623">
                  <c:v>6519.1733662110437</c:v>
                </c:pt>
                <c:pt idx="624">
                  <c:v>6513.3185566788907</c:v>
                </c:pt>
                <c:pt idx="625">
                  <c:v>6508.5258240906151</c:v>
                </c:pt>
                <c:pt idx="626">
                  <c:v>6504.7966283589922</c:v>
                </c:pt>
                <c:pt idx="627">
                  <c:v>6502.1321054331656</c:v>
                </c:pt>
                <c:pt idx="628">
                  <c:v>6500.5330669526302</c:v>
                </c:pt>
                <c:pt idx="629">
                  <c:v>6500</c:v>
                </c:pt>
                <c:pt idx="630">
                  <c:v>6500.5330669526302</c:v>
                </c:pt>
                <c:pt idx="631">
                  <c:v>6502.1321054331647</c:v>
                </c:pt>
                <c:pt idx="632">
                  <c:v>6504.7966283589922</c:v>
                </c:pt>
                <c:pt idx="633">
                  <c:v>6508.5258240906151</c:v>
                </c:pt>
                <c:pt idx="634">
                  <c:v>6513.3185566788907</c:v>
                </c:pt>
                <c:pt idx="635">
                  <c:v>6519.1733662110437</c:v>
                </c:pt>
                <c:pt idx="636">
                  <c:v>6526.0884692553727</c:v>
                </c:pt>
                <c:pt idx="637">
                  <c:v>6534.0617594045034</c:v>
                </c:pt>
                <c:pt idx="638">
                  <c:v>6543.0908079170176</c:v>
                </c:pt>
                <c:pt idx="639">
                  <c:v>6553.1728644572713</c:v>
                </c:pt>
                <c:pt idx="640">
                  <c:v>6564.3048579331762</c:v>
                </c:pt>
                <c:pt idx="641">
                  <c:v>6576.4833974316798</c:v>
                </c:pt>
                <c:pt idx="642">
                  <c:v>6589.7047732516767</c:v>
                </c:pt>
                <c:pt idx="643">
                  <c:v>6603.964958034011</c:v>
                </c:pt>
                <c:pt idx="644">
                  <c:v>6619.2596079882605</c:v>
                </c:pt>
                <c:pt idx="645">
                  <c:v>6635.5840642158837</c:v>
                </c:pt>
                <c:pt idx="646">
                  <c:v>6652.9333541293763</c:v>
                </c:pt>
                <c:pt idx="647">
                  <c:v>6671.3021929669612</c:v>
                </c:pt>
                <c:pt idx="648">
                  <c:v>6690.6849854023912</c:v>
                </c:pt>
                <c:pt idx="649">
                  <c:v>6711.0758272493204</c:v>
                </c:pt>
                <c:pt idx="650">
                  <c:v>6732.4685072597931</c:v>
                </c:pt>
                <c:pt idx="651">
                  <c:v>6754.8565090162429</c:v>
                </c:pt>
                <c:pt idx="652">
                  <c:v>6778.2330129164602</c:v>
                </c:pt>
                <c:pt idx="653">
                  <c:v>6802.5908982508972</c:v>
                </c:pt>
                <c:pt idx="654">
                  <c:v>6827.9227453717231</c:v>
                </c:pt>
                <c:pt idx="655">
                  <c:v>6854.2208379529129</c:v>
                </c:pt>
                <c:pt idx="656">
                  <c:v>6881.4771653407133</c:v>
                </c:pt>
                <c:pt idx="657">
                  <c:v>6909.6834249937547</c:v>
                </c:pt>
                <c:pt idx="658">
                  <c:v>6938.8310250121121</c:v>
                </c:pt>
                <c:pt idx="659">
                  <c:v>6968.9110867544623</c:v>
                </c:pt>
                <c:pt idx="660">
                  <c:v>6999.9144475426065</c:v>
                </c:pt>
                <c:pt idx="661">
                  <c:v>7031.831663452509</c:v>
                </c:pt>
                <c:pt idx="662">
                  <c:v>7064.6530121910146</c:v>
                </c:pt>
                <c:pt idx="663">
                  <c:v>7098.3684960573537</c:v>
                </c:pt>
                <c:pt idx="664">
                  <c:v>7132.9678449885305</c:v>
                </c:pt>
                <c:pt idx="665">
                  <c:v>7168.4405196876833</c:v>
                </c:pt>
                <c:pt idx="666">
                  <c:v>7204.7757148344717</c:v>
                </c:pt>
                <c:pt idx="667">
                  <c:v>7241.9623623764746</c:v>
                </c:pt>
                <c:pt idx="668">
                  <c:v>7279.9891349006011</c:v>
                </c:pt>
                <c:pt idx="669">
                  <c:v>7318.8444490835736</c:v>
                </c:pt>
                <c:pt idx="670">
                  <c:v>7358.5164692202925</c:v>
                </c:pt>
                <c:pt idx="671">
                  <c:v>7398.9931108291203</c:v>
                </c:pt>
                <c:pt idx="672">
                  <c:v>7440.2620443329015</c:v>
                </c:pt>
                <c:pt idx="673">
                  <c:v>7482.3106988147156</c:v>
                </c:pt>
                <c:pt idx="674">
                  <c:v>7525.1262658470841</c:v>
                </c:pt>
                <c:pt idx="675">
                  <c:v>7568.6957033935078</c:v>
                </c:pt>
                <c:pt idx="676">
                  <c:v>7613.0057397812552</c:v>
                </c:pt>
                <c:pt idx="677">
                  <c:v>7658.0428777439938</c:v>
                </c:pt>
                <c:pt idx="678">
                  <c:v>7703.7933985332238</c:v>
                </c:pt>
                <c:pt idx="679">
                  <c:v>7750.2433660971128</c:v>
                </c:pt>
                <c:pt idx="680">
                  <c:v>7797.3786313255669</c:v>
                </c:pt>
                <c:pt idx="681">
                  <c:v>7845.1848363601912</c:v>
                </c:pt>
                <c:pt idx="682">
                  <c:v>7893.647418967832</c:v>
                </c:pt>
                <c:pt idx="683">
                  <c:v>7942.751616976343</c:v>
                </c:pt>
                <c:pt idx="684">
                  <c:v>7992.482472771334</c:v>
                </c:pt>
                <c:pt idx="685">
                  <c:v>8042.8248378523895</c:v>
                </c:pt>
                <c:pt idx="686">
                  <c:v>8093.7633774474052</c:v>
                </c:pt>
                <c:pt idx="687">
                  <c:v>8145.282575183779</c:v>
                </c:pt>
                <c:pt idx="688">
                  <c:v>8197.3667378148039</c:v>
                </c:pt>
                <c:pt idx="689">
                  <c:v>8250</c:v>
                </c:pt>
                <c:pt idx="690">
                  <c:v>8303.1663291378172</c:v>
                </c:pt>
                <c:pt idx="691">
                  <c:v>8356.8495302493811</c:v>
                </c:pt>
                <c:pt idx="692">
                  <c:v>8411.0332509115815</c:v>
                </c:pt>
                <c:pt idx="693">
                  <c:v>8465.7009862382274</c:v>
                </c:pt>
                <c:pt idx="694">
                  <c:v>8520.8360839075522</c:v>
                </c:pt>
                <c:pt idx="695">
                  <c:v>8576.4217492346961</c:v>
                </c:pt>
                <c:pt idx="696">
                  <c:v>8632.4410502875471</c:v>
                </c:pt>
                <c:pt idx="697">
                  <c:v>8688.8769230443086</c:v>
                </c:pt>
                <c:pt idx="698">
                  <c:v>8745.7121765914471</c:v>
                </c:pt>
                <c:pt idx="699">
                  <c:v>8802.929498360154</c:v>
                </c:pt>
                <c:pt idx="700">
                  <c:v>8860.5114593999533</c:v>
                </c:pt>
                <c:pt idx="701">
                  <c:v>8918.4405196876833</c:v>
                </c:pt>
                <c:pt idx="702">
                  <c:v>8976.6990334704169</c:v>
                </c:pt>
                <c:pt idx="703">
                  <c:v>9035.2692546404996</c:v>
                </c:pt>
                <c:pt idx="704">
                  <c:v>9094.1333421411764</c:v>
                </c:pt>
                <c:pt idx="705">
                  <c:v>9153.273365401159</c:v>
                </c:pt>
                <c:pt idx="706">
                  <c:v>9212.6713097964712</c:v>
                </c:pt>
                <c:pt idx="707">
                  <c:v>9272.3090821378428</c:v>
                </c:pt>
                <c:pt idx="708">
                  <c:v>9332.1685161820897</c:v>
                </c:pt>
                <c:pt idx="709">
                  <c:v>9392.2313781657431</c:v>
                </c:pt>
                <c:pt idx="710">
                  <c:v>9452.4793723591865</c:v>
                </c:pt>
                <c:pt idx="711">
                  <c:v>9512.8941466397755</c:v>
                </c:pt>
                <c:pt idx="712">
                  <c:v>9573.457298081983</c:v>
                </c:pt>
                <c:pt idx="713">
                  <c:v>9634.1503785632085</c:v>
                </c:pt>
                <c:pt idx="714">
                  <c:v>9694.9549003832017</c:v>
                </c:pt>
                <c:pt idx="715">
                  <c:v>9755.8523418955629</c:v>
                </c:pt>
                <c:pt idx="716">
                  <c:v>9816.8241531496933</c:v>
                </c:pt>
                <c:pt idx="717">
                  <c:v>9877.8517615412402</c:v>
                </c:pt>
                <c:pt idx="718">
                  <c:v>9938.9165774695102</c:v>
                </c:pt>
                <c:pt idx="719">
                  <c:v>9999.9999999999982</c:v>
                </c:pt>
                <c:pt idx="720">
                  <c:v>10061.083422530486</c:v>
                </c:pt>
                <c:pt idx="721">
                  <c:v>10122.148238458751</c:v>
                </c:pt>
                <c:pt idx="722">
                  <c:v>10183.175846850303</c:v>
                </c:pt>
                <c:pt idx="723">
                  <c:v>10244.147658104434</c:v>
                </c:pt>
                <c:pt idx="724">
                  <c:v>10305.045099616802</c:v>
                </c:pt>
                <c:pt idx="725">
                  <c:v>10365.849621436788</c:v>
                </c:pt>
                <c:pt idx="726">
                  <c:v>10426.542701918019</c:v>
                </c:pt>
                <c:pt idx="727">
                  <c:v>10487.105853360228</c:v>
                </c:pt>
                <c:pt idx="728">
                  <c:v>10547.520627640803</c:v>
                </c:pt>
                <c:pt idx="729">
                  <c:v>10607.768621834261</c:v>
                </c:pt>
                <c:pt idx="730">
                  <c:v>10667.831483817907</c:v>
                </c:pt>
                <c:pt idx="731">
                  <c:v>10727.690917862154</c:v>
                </c:pt>
                <c:pt idx="732">
                  <c:v>10787.32869020352</c:v>
                </c:pt>
                <c:pt idx="733">
                  <c:v>10846.726634598837</c:v>
                </c:pt>
                <c:pt idx="734">
                  <c:v>10905.86665785882</c:v>
                </c:pt>
                <c:pt idx="735">
                  <c:v>10964.730745359491</c:v>
                </c:pt>
                <c:pt idx="736">
                  <c:v>11023.300966529581</c:v>
                </c:pt>
                <c:pt idx="737">
                  <c:v>11081.559480312315</c:v>
                </c:pt>
                <c:pt idx="738">
                  <c:v>11139.488540600049</c:v>
                </c:pt>
                <c:pt idx="739">
                  <c:v>11197.070501639837</c:v>
                </c:pt>
                <c:pt idx="740">
                  <c:v>11254.287823408551</c:v>
                </c:pt>
                <c:pt idx="741">
                  <c:v>11311.123076955693</c:v>
                </c:pt>
                <c:pt idx="742">
                  <c:v>11367.558949712457</c:v>
                </c:pt>
                <c:pt idx="743">
                  <c:v>11423.578250765295</c:v>
                </c:pt>
                <c:pt idx="744">
                  <c:v>11479.16391609245</c:v>
                </c:pt>
                <c:pt idx="745">
                  <c:v>11534.299013761771</c:v>
                </c:pt>
                <c:pt idx="746">
                  <c:v>11588.966749088409</c:v>
                </c:pt>
                <c:pt idx="747">
                  <c:v>11643.150469750621</c:v>
                </c:pt>
                <c:pt idx="748">
                  <c:v>11696.833670862179</c:v>
                </c:pt>
                <c:pt idx="749">
                  <c:v>11749.999999999996</c:v>
                </c:pt>
                <c:pt idx="750">
                  <c:v>11802.633262185183</c:v>
                </c:pt>
                <c:pt idx="751">
                  <c:v>11854.717424816219</c:v>
                </c:pt>
                <c:pt idx="752">
                  <c:v>11906.236622552593</c:v>
                </c:pt>
                <c:pt idx="753">
                  <c:v>11957.175162147614</c:v>
                </c:pt>
                <c:pt idx="754">
                  <c:v>12007.517527228658</c:v>
                </c:pt>
                <c:pt idx="755">
                  <c:v>12057.248383023654</c:v>
                </c:pt>
                <c:pt idx="756">
                  <c:v>12106.35258103217</c:v>
                </c:pt>
                <c:pt idx="757">
                  <c:v>12154.815163639802</c:v>
                </c:pt>
                <c:pt idx="758">
                  <c:v>12202.62136867443</c:v>
                </c:pt>
                <c:pt idx="759">
                  <c:v>12249.756633902889</c:v>
                </c:pt>
                <c:pt idx="760">
                  <c:v>12296.206601466774</c:v>
                </c:pt>
                <c:pt idx="761">
                  <c:v>12341.957122255999</c:v>
                </c:pt>
                <c:pt idx="762">
                  <c:v>12386.994260218748</c:v>
                </c:pt>
                <c:pt idx="763">
                  <c:v>12431.30429660649</c:v>
                </c:pt>
                <c:pt idx="764">
                  <c:v>12474.873734152912</c:v>
                </c:pt>
                <c:pt idx="765">
                  <c:v>12517.689301185274</c:v>
                </c:pt>
                <c:pt idx="766">
                  <c:v>12559.737955667097</c:v>
                </c:pt>
                <c:pt idx="767">
                  <c:v>12601.006889170876</c:v>
                </c:pt>
                <c:pt idx="768">
                  <c:v>12641.4835307797</c:v>
                </c:pt>
                <c:pt idx="769">
                  <c:v>12681.155550916425</c:v>
                </c:pt>
                <c:pt idx="770">
                  <c:v>12720.010865099397</c:v>
                </c:pt>
                <c:pt idx="771">
                  <c:v>12758.037637623527</c:v>
                </c:pt>
                <c:pt idx="772">
                  <c:v>12795.224285165523</c:v>
                </c:pt>
                <c:pt idx="773">
                  <c:v>12831.559480312319</c:v>
                </c:pt>
                <c:pt idx="774">
                  <c:v>12867.032155011471</c:v>
                </c:pt>
                <c:pt idx="775">
                  <c:v>12901.631503942644</c:v>
                </c:pt>
                <c:pt idx="776">
                  <c:v>12935.34698780898</c:v>
                </c:pt>
                <c:pt idx="777">
                  <c:v>12968.168336547491</c:v>
                </c:pt>
                <c:pt idx="778">
                  <c:v>13000.085552457393</c:v>
                </c:pt>
                <c:pt idx="779">
                  <c:v>13031.088913245532</c:v>
                </c:pt>
                <c:pt idx="780">
                  <c:v>13061.168974987886</c:v>
                </c:pt>
                <c:pt idx="781">
                  <c:v>13090.316575006244</c:v>
                </c:pt>
                <c:pt idx="782">
                  <c:v>13118.522834659285</c:v>
                </c:pt>
                <c:pt idx="783">
                  <c:v>13145.779162047083</c:v>
                </c:pt>
                <c:pt idx="784">
                  <c:v>13172.077254628275</c:v>
                </c:pt>
                <c:pt idx="785">
                  <c:v>13197.409101749101</c:v>
                </c:pt>
                <c:pt idx="786">
                  <c:v>13221.766987083542</c:v>
                </c:pt>
                <c:pt idx="787">
                  <c:v>13245.143490983754</c:v>
                </c:pt>
                <c:pt idx="788">
                  <c:v>13267.531492740207</c:v>
                </c:pt>
                <c:pt idx="789">
                  <c:v>13288.92417275068</c:v>
                </c:pt>
                <c:pt idx="790">
                  <c:v>13309.315014597607</c:v>
                </c:pt>
                <c:pt idx="791">
                  <c:v>13328.697807033039</c:v>
                </c:pt>
                <c:pt idx="792">
                  <c:v>13347.066645870626</c:v>
                </c:pt>
                <c:pt idx="793">
                  <c:v>13364.415935784114</c:v>
                </c:pt>
                <c:pt idx="794">
                  <c:v>13380.740392011738</c:v>
                </c:pt>
                <c:pt idx="795">
                  <c:v>13396.035041965988</c:v>
                </c:pt>
                <c:pt idx="796">
                  <c:v>13410.295226748323</c:v>
                </c:pt>
                <c:pt idx="797">
                  <c:v>13423.516602568317</c:v>
                </c:pt>
                <c:pt idx="798">
                  <c:v>13435.695142066823</c:v>
                </c:pt>
                <c:pt idx="799">
                  <c:v>13446.827135542728</c:v>
                </c:pt>
                <c:pt idx="800">
                  <c:v>13456.909192082981</c:v>
                </c:pt>
                <c:pt idx="801">
                  <c:v>13465.938240595497</c:v>
                </c:pt>
                <c:pt idx="802">
                  <c:v>13473.911530744626</c:v>
                </c:pt>
                <c:pt idx="803">
                  <c:v>13480.826633788956</c:v>
                </c:pt>
                <c:pt idx="804">
                  <c:v>13486.681443321109</c:v>
                </c:pt>
                <c:pt idx="805">
                  <c:v>13491.474175909385</c:v>
                </c:pt>
                <c:pt idx="806">
                  <c:v>13495.203371641008</c:v>
                </c:pt>
                <c:pt idx="807">
                  <c:v>13497.867894566836</c:v>
                </c:pt>
                <c:pt idx="808">
                  <c:v>13499.46693304737</c:v>
                </c:pt>
                <c:pt idx="809">
                  <c:v>13500</c:v>
                </c:pt>
                <c:pt idx="810">
                  <c:v>13499.46693304737</c:v>
                </c:pt>
                <c:pt idx="811">
                  <c:v>13497.867894566836</c:v>
                </c:pt>
                <c:pt idx="812">
                  <c:v>13495.203371641008</c:v>
                </c:pt>
                <c:pt idx="813">
                  <c:v>13491.474175909385</c:v>
                </c:pt>
                <c:pt idx="814">
                  <c:v>13486.681443321109</c:v>
                </c:pt>
                <c:pt idx="815">
                  <c:v>13480.826633788958</c:v>
                </c:pt>
                <c:pt idx="816">
                  <c:v>13473.911530744628</c:v>
                </c:pt>
                <c:pt idx="817">
                  <c:v>13465.938240595497</c:v>
                </c:pt>
                <c:pt idx="818">
                  <c:v>13456.909192082981</c:v>
                </c:pt>
                <c:pt idx="819">
                  <c:v>13446.827135542728</c:v>
                </c:pt>
                <c:pt idx="820">
                  <c:v>13435.695142066825</c:v>
                </c:pt>
                <c:pt idx="821">
                  <c:v>13423.516602568319</c:v>
                </c:pt>
                <c:pt idx="822">
                  <c:v>13410.295226748323</c:v>
                </c:pt>
                <c:pt idx="823">
                  <c:v>13396.035041965988</c:v>
                </c:pt>
                <c:pt idx="824">
                  <c:v>13380.740392011738</c:v>
                </c:pt>
                <c:pt idx="825">
                  <c:v>13364.415935784116</c:v>
                </c:pt>
                <c:pt idx="826">
                  <c:v>13347.066645870626</c:v>
                </c:pt>
                <c:pt idx="827">
                  <c:v>13328.697807033041</c:v>
                </c:pt>
                <c:pt idx="828">
                  <c:v>13309.315014597609</c:v>
                </c:pt>
                <c:pt idx="829">
                  <c:v>13288.924172750681</c:v>
                </c:pt>
                <c:pt idx="830">
                  <c:v>13267.531492740207</c:v>
                </c:pt>
                <c:pt idx="831">
                  <c:v>13245.143490983755</c:v>
                </c:pt>
                <c:pt idx="832">
                  <c:v>13221.766987083542</c:v>
                </c:pt>
                <c:pt idx="833">
                  <c:v>13197.409101749103</c:v>
                </c:pt>
                <c:pt idx="834">
                  <c:v>13172.077254628277</c:v>
                </c:pt>
                <c:pt idx="835">
                  <c:v>13145.779162047085</c:v>
                </c:pt>
                <c:pt idx="836">
                  <c:v>13118.522834659287</c:v>
                </c:pt>
                <c:pt idx="837">
                  <c:v>13090.316575006245</c:v>
                </c:pt>
                <c:pt idx="838">
                  <c:v>13061.16897498789</c:v>
                </c:pt>
                <c:pt idx="839">
                  <c:v>13031.088913245534</c:v>
                </c:pt>
                <c:pt idx="840">
                  <c:v>13000.085552457394</c:v>
                </c:pt>
                <c:pt idx="841">
                  <c:v>12968.168336547495</c:v>
                </c:pt>
                <c:pt idx="842">
                  <c:v>12935.346987808982</c:v>
                </c:pt>
                <c:pt idx="843">
                  <c:v>12901.631503942646</c:v>
                </c:pt>
                <c:pt idx="844">
                  <c:v>12867.032155011473</c:v>
                </c:pt>
                <c:pt idx="845">
                  <c:v>12831.559480312317</c:v>
                </c:pt>
                <c:pt idx="846">
                  <c:v>12795.224285165525</c:v>
                </c:pt>
                <c:pt idx="847">
                  <c:v>12758.037637623529</c:v>
                </c:pt>
                <c:pt idx="848">
                  <c:v>12720.010865099399</c:v>
                </c:pt>
                <c:pt idx="849">
                  <c:v>12681.155550916426</c:v>
                </c:pt>
                <c:pt idx="850">
                  <c:v>12641.483530779704</c:v>
                </c:pt>
                <c:pt idx="851">
                  <c:v>12601.00688917088</c:v>
                </c:pt>
                <c:pt idx="852">
                  <c:v>12559.7379556671</c:v>
                </c:pt>
                <c:pt idx="853">
                  <c:v>12517.689301185275</c:v>
                </c:pt>
                <c:pt idx="854">
                  <c:v>12474.873734152916</c:v>
                </c:pt>
                <c:pt idx="855">
                  <c:v>12431.304296606493</c:v>
                </c:pt>
                <c:pt idx="856">
                  <c:v>12386.994260218749</c:v>
                </c:pt>
                <c:pt idx="857">
                  <c:v>12341.957122256003</c:v>
                </c:pt>
                <c:pt idx="858">
                  <c:v>12296.206601466776</c:v>
                </c:pt>
                <c:pt idx="859">
                  <c:v>12249.756633902893</c:v>
                </c:pt>
                <c:pt idx="860">
                  <c:v>12202.621368674434</c:v>
                </c:pt>
                <c:pt idx="861">
                  <c:v>12154.815163639803</c:v>
                </c:pt>
                <c:pt idx="862">
                  <c:v>12106.352581032173</c:v>
                </c:pt>
                <c:pt idx="863">
                  <c:v>12057.248383023658</c:v>
                </c:pt>
                <c:pt idx="864">
                  <c:v>12007.517527228661</c:v>
                </c:pt>
                <c:pt idx="865">
                  <c:v>11957.175162147611</c:v>
                </c:pt>
                <c:pt idx="866">
                  <c:v>11906.236622552595</c:v>
                </c:pt>
                <c:pt idx="867">
                  <c:v>11854.717424816221</c:v>
                </c:pt>
                <c:pt idx="868">
                  <c:v>11802.633262185187</c:v>
                </c:pt>
                <c:pt idx="869">
                  <c:v>11750</c:v>
                </c:pt>
                <c:pt idx="870">
                  <c:v>11696.833670862183</c:v>
                </c:pt>
                <c:pt idx="871">
                  <c:v>11643.150469750624</c:v>
                </c:pt>
                <c:pt idx="872">
                  <c:v>11588.966749088413</c:v>
                </c:pt>
                <c:pt idx="873">
                  <c:v>11534.299013761774</c:v>
                </c:pt>
                <c:pt idx="874">
                  <c:v>11479.163916092453</c:v>
                </c:pt>
                <c:pt idx="875">
                  <c:v>11423.578250765298</c:v>
                </c:pt>
                <c:pt idx="876">
                  <c:v>11367.55894971246</c:v>
                </c:pt>
                <c:pt idx="877">
                  <c:v>11311.123076955697</c:v>
                </c:pt>
                <c:pt idx="878">
                  <c:v>11254.287823408555</c:v>
                </c:pt>
                <c:pt idx="879">
                  <c:v>11197.070501639841</c:v>
                </c:pt>
                <c:pt idx="880">
                  <c:v>11139.488540600047</c:v>
                </c:pt>
                <c:pt idx="881">
                  <c:v>11081.559480312319</c:v>
                </c:pt>
                <c:pt idx="882">
                  <c:v>11023.300966529585</c:v>
                </c:pt>
                <c:pt idx="883">
                  <c:v>10964.730745359495</c:v>
                </c:pt>
                <c:pt idx="884">
                  <c:v>10905.866657858824</c:v>
                </c:pt>
                <c:pt idx="885">
                  <c:v>10846.726634598841</c:v>
                </c:pt>
                <c:pt idx="886">
                  <c:v>10787.328690203523</c:v>
                </c:pt>
                <c:pt idx="887">
                  <c:v>10727.690917862157</c:v>
                </c:pt>
                <c:pt idx="888">
                  <c:v>10667.83148381791</c:v>
                </c:pt>
                <c:pt idx="889">
                  <c:v>10607.768621834264</c:v>
                </c:pt>
                <c:pt idx="890">
                  <c:v>10547.520627640806</c:v>
                </c:pt>
                <c:pt idx="891">
                  <c:v>10487.105853360232</c:v>
                </c:pt>
                <c:pt idx="892">
                  <c:v>10426.542701918022</c:v>
                </c:pt>
                <c:pt idx="893">
                  <c:v>10365.849621436791</c:v>
                </c:pt>
                <c:pt idx="894">
                  <c:v>10305.045099616806</c:v>
                </c:pt>
                <c:pt idx="895">
                  <c:v>10244.147658104437</c:v>
                </c:pt>
                <c:pt idx="896">
                  <c:v>10183.175846850307</c:v>
                </c:pt>
                <c:pt idx="897">
                  <c:v>10122.148238458754</c:v>
                </c:pt>
                <c:pt idx="898">
                  <c:v>10061.08342253049</c:v>
                </c:pt>
                <c:pt idx="899">
                  <c:v>10000.000000000002</c:v>
                </c:pt>
                <c:pt idx="900">
                  <c:v>9938.9165774695139</c:v>
                </c:pt>
                <c:pt idx="901">
                  <c:v>9877.8517615412438</c:v>
                </c:pt>
                <c:pt idx="902">
                  <c:v>9816.8241531496969</c:v>
                </c:pt>
                <c:pt idx="903">
                  <c:v>9755.8523418955665</c:v>
                </c:pt>
                <c:pt idx="904">
                  <c:v>9694.9549003832053</c:v>
                </c:pt>
                <c:pt idx="905">
                  <c:v>9634.1503785632121</c:v>
                </c:pt>
                <c:pt idx="906">
                  <c:v>9573.4572980819885</c:v>
                </c:pt>
                <c:pt idx="907">
                  <c:v>9512.8941466397791</c:v>
                </c:pt>
                <c:pt idx="908">
                  <c:v>9452.4793723591902</c:v>
                </c:pt>
                <c:pt idx="909">
                  <c:v>9392.2313781657467</c:v>
                </c:pt>
                <c:pt idx="910">
                  <c:v>9332.1685161820933</c:v>
                </c:pt>
                <c:pt idx="911">
                  <c:v>9272.3090821378464</c:v>
                </c:pt>
                <c:pt idx="912">
                  <c:v>9212.6713097964748</c:v>
                </c:pt>
                <c:pt idx="913">
                  <c:v>9153.2733654011627</c:v>
                </c:pt>
                <c:pt idx="914">
                  <c:v>9094.13334214118</c:v>
                </c:pt>
                <c:pt idx="915">
                  <c:v>9035.2692546405087</c:v>
                </c:pt>
                <c:pt idx="916">
                  <c:v>8976.699033470426</c:v>
                </c:pt>
                <c:pt idx="917">
                  <c:v>8918.4405196876924</c:v>
                </c:pt>
                <c:pt idx="918">
                  <c:v>8860.5114593999515</c:v>
                </c:pt>
                <c:pt idx="919">
                  <c:v>8802.9294983601631</c:v>
                </c:pt>
                <c:pt idx="920">
                  <c:v>8745.7121765914453</c:v>
                </c:pt>
                <c:pt idx="921">
                  <c:v>8688.8769230443067</c:v>
                </c:pt>
                <c:pt idx="922">
                  <c:v>8632.4410502875435</c:v>
                </c:pt>
                <c:pt idx="923">
                  <c:v>8576.4217492346943</c:v>
                </c:pt>
                <c:pt idx="924">
                  <c:v>8520.8360839075503</c:v>
                </c:pt>
                <c:pt idx="925">
                  <c:v>8465.7009862382311</c:v>
                </c:pt>
                <c:pt idx="926">
                  <c:v>8411.0332509115906</c:v>
                </c:pt>
                <c:pt idx="927">
                  <c:v>8356.8495302493793</c:v>
                </c:pt>
                <c:pt idx="928">
                  <c:v>8303.1663291378209</c:v>
                </c:pt>
                <c:pt idx="929">
                  <c:v>8250.0000000000036</c:v>
                </c:pt>
                <c:pt idx="930">
                  <c:v>8197.3667378148057</c:v>
                </c:pt>
                <c:pt idx="931">
                  <c:v>8145.2825751837818</c:v>
                </c:pt>
                <c:pt idx="932">
                  <c:v>8093.7633774474079</c:v>
                </c:pt>
                <c:pt idx="933">
                  <c:v>8042.8248378523922</c:v>
                </c:pt>
                <c:pt idx="934">
                  <c:v>7992.4824727713376</c:v>
                </c:pt>
                <c:pt idx="935">
                  <c:v>7942.7516169763458</c:v>
                </c:pt>
                <c:pt idx="936">
                  <c:v>7893.6474189678356</c:v>
                </c:pt>
                <c:pt idx="937">
                  <c:v>7845.1848363602039</c:v>
                </c:pt>
                <c:pt idx="938">
                  <c:v>7797.3786313255696</c:v>
                </c:pt>
                <c:pt idx="939">
                  <c:v>7750.2433660971164</c:v>
                </c:pt>
                <c:pt idx="940">
                  <c:v>7703.7933985332311</c:v>
                </c:pt>
                <c:pt idx="941">
                  <c:v>7658.0428777439965</c:v>
                </c:pt>
                <c:pt idx="942">
                  <c:v>7613.0057397812579</c:v>
                </c:pt>
                <c:pt idx="943">
                  <c:v>7568.695703393515</c:v>
                </c:pt>
                <c:pt idx="944">
                  <c:v>7525.1262658470914</c:v>
                </c:pt>
                <c:pt idx="945">
                  <c:v>7482.3106988147229</c:v>
                </c:pt>
                <c:pt idx="946">
                  <c:v>7440.2620443329079</c:v>
                </c:pt>
                <c:pt idx="947">
                  <c:v>7398.9931108291185</c:v>
                </c:pt>
                <c:pt idx="948">
                  <c:v>7358.5164692202998</c:v>
                </c:pt>
                <c:pt idx="949">
                  <c:v>7318.8444490835809</c:v>
                </c:pt>
                <c:pt idx="950">
                  <c:v>7279.9891349005993</c:v>
                </c:pt>
                <c:pt idx="951">
                  <c:v>7241.9623623764737</c:v>
                </c:pt>
                <c:pt idx="952">
                  <c:v>7204.7757148344772</c:v>
                </c:pt>
                <c:pt idx="953">
                  <c:v>7168.4405196876814</c:v>
                </c:pt>
                <c:pt idx="954">
                  <c:v>7132.9678449885287</c:v>
                </c:pt>
                <c:pt idx="955">
                  <c:v>7098.3684960573564</c:v>
                </c:pt>
                <c:pt idx="956">
                  <c:v>7064.6530121910127</c:v>
                </c:pt>
                <c:pt idx="957">
                  <c:v>7031.831663452509</c:v>
                </c:pt>
                <c:pt idx="958">
                  <c:v>6999.9144475426083</c:v>
                </c:pt>
                <c:pt idx="959">
                  <c:v>6968.9110867544678</c:v>
                </c:pt>
                <c:pt idx="960">
                  <c:v>6938.831025012114</c:v>
                </c:pt>
                <c:pt idx="961">
                  <c:v>6909.6834249937565</c:v>
                </c:pt>
                <c:pt idx="962">
                  <c:v>6881.4771653407151</c:v>
                </c:pt>
                <c:pt idx="963">
                  <c:v>6854.2208379529147</c:v>
                </c:pt>
                <c:pt idx="964">
                  <c:v>6827.9227453717249</c:v>
                </c:pt>
                <c:pt idx="965">
                  <c:v>6802.590898250899</c:v>
                </c:pt>
                <c:pt idx="966">
                  <c:v>6778.233012916462</c:v>
                </c:pt>
                <c:pt idx="967">
                  <c:v>6754.8565090162447</c:v>
                </c:pt>
                <c:pt idx="968">
                  <c:v>6732.4685072597949</c:v>
                </c:pt>
                <c:pt idx="969">
                  <c:v>6711.0758272493231</c:v>
                </c:pt>
                <c:pt idx="970">
                  <c:v>6690.6849854023912</c:v>
                </c:pt>
                <c:pt idx="971">
                  <c:v>6671.302192966963</c:v>
                </c:pt>
                <c:pt idx="972">
                  <c:v>6652.9333541293781</c:v>
                </c:pt>
                <c:pt idx="973">
                  <c:v>6635.5840642158864</c:v>
                </c:pt>
                <c:pt idx="974">
                  <c:v>6619.2596079882615</c:v>
                </c:pt>
                <c:pt idx="975">
                  <c:v>6603.9649580340138</c:v>
                </c:pt>
                <c:pt idx="976">
                  <c:v>6589.7047732516785</c:v>
                </c:pt>
                <c:pt idx="977">
                  <c:v>6576.4833974316807</c:v>
                </c:pt>
                <c:pt idx="978">
                  <c:v>6564.3048579331771</c:v>
                </c:pt>
                <c:pt idx="979">
                  <c:v>6553.1728644572731</c:v>
                </c:pt>
                <c:pt idx="980">
                  <c:v>6543.0908079170176</c:v>
                </c:pt>
                <c:pt idx="981">
                  <c:v>6534.0617594045043</c:v>
                </c:pt>
                <c:pt idx="982">
                  <c:v>6526.0884692553718</c:v>
                </c:pt>
                <c:pt idx="983">
                  <c:v>6519.1733662110437</c:v>
                </c:pt>
                <c:pt idx="984">
                  <c:v>6513.3185566788907</c:v>
                </c:pt>
                <c:pt idx="985">
                  <c:v>6508.5258240906151</c:v>
                </c:pt>
                <c:pt idx="986">
                  <c:v>6504.7966283589913</c:v>
                </c:pt>
                <c:pt idx="987">
                  <c:v>6502.1321054331647</c:v>
                </c:pt>
                <c:pt idx="988">
                  <c:v>6500.5330669526302</c:v>
                </c:pt>
                <c:pt idx="989">
                  <c:v>6500</c:v>
                </c:pt>
                <c:pt idx="990">
                  <c:v>6500.5330669526302</c:v>
                </c:pt>
                <c:pt idx="991">
                  <c:v>6502.1321054331647</c:v>
                </c:pt>
                <c:pt idx="992">
                  <c:v>6504.7966283589922</c:v>
                </c:pt>
                <c:pt idx="993">
                  <c:v>6508.5258240906151</c:v>
                </c:pt>
                <c:pt idx="994">
                  <c:v>6513.3185566788907</c:v>
                </c:pt>
                <c:pt idx="995">
                  <c:v>6519.1733662110428</c:v>
                </c:pt>
                <c:pt idx="996">
                  <c:v>6526.0884692553736</c:v>
                </c:pt>
                <c:pt idx="997">
                  <c:v>6534.0617594045034</c:v>
                </c:pt>
                <c:pt idx="998">
                  <c:v>6543.0908079170167</c:v>
                </c:pt>
                <c:pt idx="999">
                  <c:v>6553.1728644572704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4A-4ABD-A04D-ECD5E14780CD}"/>
            </c:ext>
          </c:extLst>
        </c:ser>
        <c:ser>
          <c:idx val="2"/>
          <c:order val="2"/>
          <c:spPr>
            <a:ln w="19050" cap="rnd">
              <a:solidFill>
                <a:srgbClr val="FF3300"/>
              </a:solidFill>
              <a:round/>
            </a:ln>
            <a:effectLst/>
          </c:spPr>
          <c:marker>
            <c:symbol val="none"/>
          </c:marker>
          <c:xVal>
            <c:numRef>
              <c:f>Calculs!$R$6:$R$1005</c:f>
              <c:numCache>
                <c:formatCode>0.000</c:formatCode>
                <c:ptCount val="1000"/>
                <c:pt idx="0">
                  <c:v>-0.76152421804363257</c:v>
                </c:pt>
                <c:pt idx="1">
                  <c:v>-3.0458649045212951</c:v>
                </c:pt>
                <c:pt idx="2">
                  <c:v>-6.8523262271310159</c:v>
                </c:pt>
                <c:pt idx="3">
                  <c:v>-12.179748700878918</c:v>
                </c:pt>
                <c:pt idx="4">
                  <c:v>-19.026509541272389</c:v>
                </c:pt>
                <c:pt idx="5">
                  <c:v>-27.390523158633187</c:v>
                </c:pt>
                <c:pt idx="6">
                  <c:v>-37.269241793390393</c:v>
                </c:pt>
                <c:pt idx="7">
                  <c:v>-48.659656292148611</c:v>
                </c:pt>
                <c:pt idx="8">
                  <c:v>-61.558297024311287</c:v>
                </c:pt>
                <c:pt idx="9">
                  <c:v>-75.961234938959933</c:v>
                </c:pt>
                <c:pt idx="10">
                  <c:v>-91.864082761680038</c:v>
                </c:pt>
                <c:pt idx="11">
                  <c:v>-109.26199633097167</c:v>
                </c:pt>
                <c:pt idx="12">
                  <c:v>-128.14967607382368</c:v>
                </c:pt>
                <c:pt idx="13">
                  <c:v>-148.52136862001771</c:v>
                </c:pt>
                <c:pt idx="14">
                  <c:v>-170.37086855465805</c:v>
                </c:pt>
                <c:pt idx="15">
                  <c:v>-193.69152030840542</c:v>
                </c:pt>
                <c:pt idx="16">
                  <c:v>-218.47622018482252</c:v>
                </c:pt>
                <c:pt idx="17">
                  <c:v>-244.71741852423202</c:v>
                </c:pt>
                <c:pt idx="18">
                  <c:v>-272.40712200341568</c:v>
                </c:pt>
                <c:pt idx="19">
                  <c:v>-301.53689607045817</c:v>
                </c:pt>
                <c:pt idx="20">
                  <c:v>-332.09786751399133</c:v>
                </c:pt>
                <c:pt idx="21">
                  <c:v>-364.0807271660633</c:v>
                </c:pt>
                <c:pt idx="22">
                  <c:v>-397.47573273779835</c:v>
                </c:pt>
                <c:pt idx="23">
                  <c:v>-432.27271178699539</c:v>
                </c:pt>
                <c:pt idx="24">
                  <c:v>-468.46106481674997</c:v>
                </c:pt>
                <c:pt idx="25">
                  <c:v>-506.02976850416508</c:v>
                </c:pt>
                <c:pt idx="26">
                  <c:v>-544.96737905816008</c:v>
                </c:pt>
                <c:pt idx="27">
                  <c:v>-585.26203570536472</c:v>
                </c:pt>
                <c:pt idx="28">
                  <c:v>-626.90146430302138</c:v>
                </c:pt>
                <c:pt idx="29">
                  <c:v>-669.8729810778068</c:v>
                </c:pt>
                <c:pt idx="30">
                  <c:v>-714.16349648943833</c:v>
                </c:pt>
                <c:pt idx="31">
                  <c:v>-759.75951921787055</c:v>
                </c:pt>
                <c:pt idx="32">
                  <c:v>-806.64716027287977</c:v>
                </c:pt>
                <c:pt idx="33">
                  <c:v>-854.81213722479151</c:v>
                </c:pt>
                <c:pt idx="34">
                  <c:v>-904.23977855504108</c:v>
                </c:pt>
                <c:pt idx="35">
                  <c:v>-954.91502812526278</c:v>
                </c:pt>
                <c:pt idx="36">
                  <c:v>-1006.822449763536</c:v>
                </c:pt>
                <c:pt idx="37">
                  <c:v>-1059.9462319663899</c:v>
                </c:pt>
                <c:pt idx="38">
                  <c:v>-1114.2701927151456</c:v>
                </c:pt>
                <c:pt idx="39">
                  <c:v>-1169.7777844051097</c:v>
                </c:pt>
                <c:pt idx="40">
                  <c:v>-1226.4520988861395</c:v>
                </c:pt>
                <c:pt idx="41">
                  <c:v>-1284.2758726130287</c:v>
                </c:pt>
                <c:pt idx="42">
                  <c:v>-1343.2314919041473</c:v>
                </c:pt>
                <c:pt idx="43">
                  <c:v>-1403.3009983067441</c:v>
                </c:pt>
                <c:pt idx="44">
                  <c:v>-1464.466094067262</c:v>
                </c:pt>
                <c:pt idx="45">
                  <c:v>-1526.7081477050133</c:v>
                </c:pt>
                <c:pt idx="46">
                  <c:v>-1590.0081996875078</c:v>
                </c:pt>
                <c:pt idx="47">
                  <c:v>-1654.3469682057089</c:v>
                </c:pt>
                <c:pt idx="48">
                  <c:v>-1719.7048550474638</c:v>
                </c:pt>
                <c:pt idx="49">
                  <c:v>-1786.0619515673034</c:v>
                </c:pt>
                <c:pt idx="50">
                  <c:v>-1853.3980447508125</c:v>
                </c:pt>
                <c:pt idx="51">
                  <c:v>-1921.6926233717086</c:v>
                </c:pt>
                <c:pt idx="52">
                  <c:v>-1990.9248842397583</c:v>
                </c:pt>
                <c:pt idx="53">
                  <c:v>-2061.0737385376342</c:v>
                </c:pt>
                <c:pt idx="54">
                  <c:v>-2132.1178182447693</c:v>
                </c:pt>
                <c:pt idx="55">
                  <c:v>-2204.0354826462662</c:v>
                </c:pt>
                <c:pt idx="56">
                  <c:v>-2276.8048249248641</c:v>
                </c:pt>
                <c:pt idx="57">
                  <c:v>-2350.4036788339754</c:v>
                </c:pt>
                <c:pt idx="58">
                  <c:v>-2424.8096254497282</c:v>
                </c:pt>
                <c:pt idx="59">
                  <c:v>-2499.9999999999995</c:v>
                </c:pt>
                <c:pt idx="60">
                  <c:v>-2575.9518987683145</c:v>
                </c:pt>
                <c:pt idx="61">
                  <c:v>-2652.6421860705459</c:v>
                </c:pt>
                <c:pt idx="62">
                  <c:v>-2730.047501302266</c:v>
                </c:pt>
                <c:pt idx="63">
                  <c:v>-2808.1442660546127</c:v>
                </c:pt>
                <c:pt idx="64">
                  <c:v>-2886.9086912965026</c:v>
                </c:pt>
                <c:pt idx="65">
                  <c:v>-2966.316784620999</c:v>
                </c:pt>
                <c:pt idx="66">
                  <c:v>-3046.3443575536303</c:v>
                </c:pt>
                <c:pt idx="67">
                  <c:v>-3126.96703292044</c:v>
                </c:pt>
                <c:pt idx="68">
                  <c:v>-3208.1602522734984</c:v>
                </c:pt>
                <c:pt idx="69">
                  <c:v>-3289.8992833716557</c:v>
                </c:pt>
                <c:pt idx="70">
                  <c:v>-3372.1592277142163</c:v>
                </c:pt>
                <c:pt idx="71">
                  <c:v>-3454.9150281252628</c:v>
                </c:pt>
                <c:pt idx="72">
                  <c:v>-3538.1414763863158</c:v>
                </c:pt>
                <c:pt idx="73">
                  <c:v>-3621.8132209150044</c:v>
                </c:pt>
                <c:pt idx="74">
                  <c:v>-3705.904774487396</c:v>
                </c:pt>
                <c:pt idx="75">
                  <c:v>-3790.3905220016604</c:v>
                </c:pt>
                <c:pt idx="76">
                  <c:v>-3875.2447282806752</c:v>
                </c:pt>
                <c:pt idx="77">
                  <c:v>-3960.4415459112024</c:v>
                </c:pt>
                <c:pt idx="78">
                  <c:v>-4045.9550231172752</c:v>
                </c:pt>
                <c:pt idx="79">
                  <c:v>-4131.7591116653475</c:v>
                </c:pt>
                <c:pt idx="80">
                  <c:v>-4217.8276747988457</c:v>
                </c:pt>
                <c:pt idx="81">
                  <c:v>-4304.1344951996716</c:v>
                </c:pt>
                <c:pt idx="82">
                  <c:v>-4390.6532829742628</c:v>
                </c:pt>
                <c:pt idx="83">
                  <c:v>-4477.3576836617331</c:v>
                </c:pt>
                <c:pt idx="84">
                  <c:v>-4564.2212862617089</c:v>
                </c:pt>
                <c:pt idx="85">
                  <c:v>-4651.2176312793727</c:v>
                </c:pt>
                <c:pt idx="86">
                  <c:v>-4738.3202187852803</c:v>
                </c:pt>
                <c:pt idx="87">
                  <c:v>-4825.5025164874942</c:v>
                </c:pt>
                <c:pt idx="88">
                  <c:v>-4912.7379678135831</c:v>
                </c:pt>
                <c:pt idx="89">
                  <c:v>-5000</c:v>
                </c:pt>
                <c:pt idx="90">
                  <c:v>-5087.2620321864169</c:v>
                </c:pt>
                <c:pt idx="91">
                  <c:v>-5174.497483512504</c:v>
                </c:pt>
                <c:pt idx="92">
                  <c:v>-5261.6797812147179</c:v>
                </c:pt>
                <c:pt idx="93">
                  <c:v>-5348.7823687206264</c:v>
                </c:pt>
                <c:pt idx="94">
                  <c:v>-5435.7787137382911</c:v>
                </c:pt>
                <c:pt idx="95">
                  <c:v>-5522.6423163382669</c:v>
                </c:pt>
                <c:pt idx="96">
                  <c:v>-5609.3467170257372</c:v>
                </c:pt>
                <c:pt idx="97">
                  <c:v>-5695.8655048003266</c:v>
                </c:pt>
                <c:pt idx="98">
                  <c:v>-5782.1723252011552</c:v>
                </c:pt>
                <c:pt idx="99">
                  <c:v>-5868.2408883346516</c:v>
                </c:pt>
                <c:pt idx="100">
                  <c:v>-5954.0449768827239</c:v>
                </c:pt>
                <c:pt idx="101">
                  <c:v>-6039.5584540887958</c:v>
                </c:pt>
                <c:pt idx="102">
                  <c:v>-6124.7552717193239</c:v>
                </c:pt>
                <c:pt idx="103">
                  <c:v>-6209.6094779983387</c:v>
                </c:pt>
                <c:pt idx="104">
                  <c:v>-6294.095225512604</c:v>
                </c:pt>
                <c:pt idx="105">
                  <c:v>-6378.1867790849956</c:v>
                </c:pt>
                <c:pt idx="106">
                  <c:v>-6461.8585236136832</c:v>
                </c:pt>
                <c:pt idx="107">
                  <c:v>-6545.0849718747368</c:v>
                </c:pt>
                <c:pt idx="108">
                  <c:v>-6627.8407722857819</c:v>
                </c:pt>
                <c:pt idx="109">
                  <c:v>-6710.1007166283434</c:v>
                </c:pt>
                <c:pt idx="110">
                  <c:v>-6791.8397477265016</c:v>
                </c:pt>
                <c:pt idx="111">
                  <c:v>-6873.03296707956</c:v>
                </c:pt>
                <c:pt idx="112">
                  <c:v>-6953.6556424463679</c:v>
                </c:pt>
                <c:pt idx="113">
                  <c:v>-7033.6832153790001</c:v>
                </c:pt>
                <c:pt idx="114">
                  <c:v>-7113.0913087034969</c:v>
                </c:pt>
                <c:pt idx="115">
                  <c:v>-7191.8557339453873</c:v>
                </c:pt>
                <c:pt idx="116">
                  <c:v>-7269.952498697734</c:v>
                </c:pt>
                <c:pt idx="117">
                  <c:v>-7347.3578139294532</c:v>
                </c:pt>
                <c:pt idx="118">
                  <c:v>-7424.048101231685</c:v>
                </c:pt>
                <c:pt idx="119">
                  <c:v>-7499.9999999999991</c:v>
                </c:pt>
                <c:pt idx="120">
                  <c:v>-7575.1903745502714</c:v>
                </c:pt>
                <c:pt idx="121">
                  <c:v>-7649.5963211660237</c:v>
                </c:pt>
                <c:pt idx="122">
                  <c:v>-7723.1951750751359</c:v>
                </c:pt>
                <c:pt idx="123">
                  <c:v>-7795.9645173537338</c:v>
                </c:pt>
                <c:pt idx="124">
                  <c:v>-7867.8821817552289</c:v>
                </c:pt>
                <c:pt idx="125">
                  <c:v>-7938.9262614623658</c:v>
                </c:pt>
                <c:pt idx="126">
                  <c:v>-8009.0751157602417</c:v>
                </c:pt>
                <c:pt idx="127">
                  <c:v>-8078.3073766282914</c:v>
                </c:pt>
                <c:pt idx="128">
                  <c:v>-8146.6019552491862</c:v>
                </c:pt>
                <c:pt idx="129">
                  <c:v>-8213.9380484326975</c:v>
                </c:pt>
                <c:pt idx="130">
                  <c:v>-8280.2951449525372</c:v>
                </c:pt>
                <c:pt idx="131">
                  <c:v>-8345.6530317942907</c:v>
                </c:pt>
                <c:pt idx="132">
                  <c:v>-8409.9918003124913</c:v>
                </c:pt>
                <c:pt idx="133">
                  <c:v>-8473.2918522949858</c:v>
                </c:pt>
                <c:pt idx="134">
                  <c:v>-8535.533905932738</c:v>
                </c:pt>
                <c:pt idx="135">
                  <c:v>-8596.6990016932559</c:v>
                </c:pt>
                <c:pt idx="136">
                  <c:v>-8656.7685080958527</c:v>
                </c:pt>
                <c:pt idx="137">
                  <c:v>-8715.7241273869695</c:v>
                </c:pt>
                <c:pt idx="138">
                  <c:v>-8773.5479011138596</c:v>
                </c:pt>
                <c:pt idx="139">
                  <c:v>-8830.2222155948893</c:v>
                </c:pt>
                <c:pt idx="140">
                  <c:v>-8885.7298072848535</c:v>
                </c:pt>
                <c:pt idx="141">
                  <c:v>-8940.0537680336092</c:v>
                </c:pt>
                <c:pt idx="142">
                  <c:v>-8993.1775502364653</c:v>
                </c:pt>
                <c:pt idx="143">
                  <c:v>-9045.0849718747377</c:v>
                </c:pt>
                <c:pt idx="144">
                  <c:v>-9095.760221444958</c:v>
                </c:pt>
                <c:pt idx="145">
                  <c:v>-9145.1878627752085</c:v>
                </c:pt>
                <c:pt idx="146">
                  <c:v>-9193.352839727122</c:v>
                </c:pt>
                <c:pt idx="147">
                  <c:v>-9240.2404807821295</c:v>
                </c:pt>
                <c:pt idx="148">
                  <c:v>-9285.8365035105599</c:v>
                </c:pt>
                <c:pt idx="149">
                  <c:v>-9330.1270189221941</c:v>
                </c:pt>
                <c:pt idx="150">
                  <c:v>-9373.0985356969795</c:v>
                </c:pt>
                <c:pt idx="151">
                  <c:v>-9414.7379642946325</c:v>
                </c:pt>
                <c:pt idx="152">
                  <c:v>-9455.0326209418381</c:v>
                </c:pt>
                <c:pt idx="153">
                  <c:v>-9493.970231495834</c:v>
                </c:pt>
                <c:pt idx="154">
                  <c:v>-9531.5389351832491</c:v>
                </c:pt>
                <c:pt idx="155">
                  <c:v>-9567.7272882130037</c:v>
                </c:pt>
                <c:pt idx="156">
                  <c:v>-9602.5242672622007</c:v>
                </c:pt>
                <c:pt idx="157">
                  <c:v>-9635.9192728339367</c:v>
                </c:pt>
                <c:pt idx="158">
                  <c:v>-9667.9021324860078</c:v>
                </c:pt>
                <c:pt idx="159">
                  <c:v>-9698.4631039295418</c:v>
                </c:pt>
                <c:pt idx="160">
                  <c:v>-9727.5928779965834</c:v>
                </c:pt>
                <c:pt idx="161">
                  <c:v>-9755.2825814757671</c:v>
                </c:pt>
                <c:pt idx="162">
                  <c:v>-9781.5237798151775</c:v>
                </c:pt>
                <c:pt idx="163">
                  <c:v>-9806.3084796915937</c:v>
                </c:pt>
                <c:pt idx="164">
                  <c:v>-9829.629131445341</c:v>
                </c:pt>
                <c:pt idx="165">
                  <c:v>-9851.4786313799814</c:v>
                </c:pt>
                <c:pt idx="166">
                  <c:v>-9871.8503239261772</c:v>
                </c:pt>
                <c:pt idx="167">
                  <c:v>-9890.7380036690283</c:v>
                </c:pt>
                <c:pt idx="168">
                  <c:v>-9908.13591723832</c:v>
                </c:pt>
                <c:pt idx="169">
                  <c:v>-9924.0387650610392</c:v>
                </c:pt>
                <c:pt idx="170">
                  <c:v>-9938.4417029756878</c:v>
                </c:pt>
                <c:pt idx="171">
                  <c:v>-9951.3403437078523</c:v>
                </c:pt>
                <c:pt idx="172">
                  <c:v>-9962.7307582066096</c:v>
                </c:pt>
                <c:pt idx="173">
                  <c:v>-9972.6094768413677</c:v>
                </c:pt>
                <c:pt idx="174">
                  <c:v>-9980.9734904587276</c:v>
                </c:pt>
                <c:pt idx="175">
                  <c:v>-9987.8202512991211</c:v>
                </c:pt>
                <c:pt idx="176">
                  <c:v>-9993.1476737728699</c:v>
                </c:pt>
                <c:pt idx="177">
                  <c:v>-9996.9541350954787</c:v>
                </c:pt>
                <c:pt idx="178">
                  <c:v>-9999.2384757819564</c:v>
                </c:pt>
                <c:pt idx="179">
                  <c:v>-10000</c:v>
                </c:pt>
                <c:pt idx="180">
                  <c:v>-9999.2384757819564</c:v>
                </c:pt>
                <c:pt idx="181">
                  <c:v>-9996.9541350954787</c:v>
                </c:pt>
                <c:pt idx="182">
                  <c:v>-9993.1476737728699</c:v>
                </c:pt>
                <c:pt idx="183">
                  <c:v>-9987.8202512991229</c:v>
                </c:pt>
                <c:pt idx="184">
                  <c:v>-9980.9734904587276</c:v>
                </c:pt>
                <c:pt idx="185">
                  <c:v>-9972.6094768413677</c:v>
                </c:pt>
                <c:pt idx="186">
                  <c:v>-9962.7307582066096</c:v>
                </c:pt>
                <c:pt idx="187">
                  <c:v>-9951.3403437078523</c:v>
                </c:pt>
                <c:pt idx="188">
                  <c:v>-9938.4417029756878</c:v>
                </c:pt>
                <c:pt idx="189">
                  <c:v>-9924.0387650610392</c:v>
                </c:pt>
                <c:pt idx="190">
                  <c:v>-9908.13591723832</c:v>
                </c:pt>
                <c:pt idx="191">
                  <c:v>-9890.7380036690283</c:v>
                </c:pt>
                <c:pt idx="192">
                  <c:v>-9871.8503239261772</c:v>
                </c:pt>
                <c:pt idx="193">
                  <c:v>-9851.4786313799814</c:v>
                </c:pt>
                <c:pt idx="194">
                  <c:v>-9829.629131445341</c:v>
                </c:pt>
                <c:pt idx="195">
                  <c:v>-9806.3084796915937</c:v>
                </c:pt>
                <c:pt idx="196">
                  <c:v>-9781.5237798151775</c:v>
                </c:pt>
                <c:pt idx="197">
                  <c:v>-9755.2825814757671</c:v>
                </c:pt>
                <c:pt idx="198">
                  <c:v>-9727.5928779965834</c:v>
                </c:pt>
                <c:pt idx="199">
                  <c:v>-9698.4631039295418</c:v>
                </c:pt>
                <c:pt idx="200">
                  <c:v>-9667.9021324860078</c:v>
                </c:pt>
                <c:pt idx="201">
                  <c:v>-9635.9192728339367</c:v>
                </c:pt>
                <c:pt idx="202">
                  <c:v>-9602.5242672622007</c:v>
                </c:pt>
                <c:pt idx="203">
                  <c:v>-9567.7272882130055</c:v>
                </c:pt>
                <c:pt idx="204">
                  <c:v>-9531.5389351832491</c:v>
                </c:pt>
                <c:pt idx="205">
                  <c:v>-9493.9702314958358</c:v>
                </c:pt>
                <c:pt idx="206">
                  <c:v>-9455.0326209418417</c:v>
                </c:pt>
                <c:pt idx="207">
                  <c:v>-9414.7379642946344</c:v>
                </c:pt>
                <c:pt idx="208">
                  <c:v>-9373.0985356969795</c:v>
                </c:pt>
                <c:pt idx="209">
                  <c:v>-9330.1270189221941</c:v>
                </c:pt>
                <c:pt idx="210">
                  <c:v>-9285.8365035105617</c:v>
                </c:pt>
                <c:pt idx="211">
                  <c:v>-9240.2404807821295</c:v>
                </c:pt>
                <c:pt idx="212">
                  <c:v>-9193.3528397271202</c:v>
                </c:pt>
                <c:pt idx="213">
                  <c:v>-9145.1878627752085</c:v>
                </c:pt>
                <c:pt idx="214">
                  <c:v>-9095.7602214449598</c:v>
                </c:pt>
                <c:pt idx="215">
                  <c:v>-9045.0849718747377</c:v>
                </c:pt>
                <c:pt idx="216">
                  <c:v>-8993.1775502364653</c:v>
                </c:pt>
                <c:pt idx="217">
                  <c:v>-8940.053768033611</c:v>
                </c:pt>
                <c:pt idx="218">
                  <c:v>-8885.7298072848535</c:v>
                </c:pt>
                <c:pt idx="219">
                  <c:v>-8830.2222155948912</c:v>
                </c:pt>
                <c:pt idx="220">
                  <c:v>-8773.5479011138596</c:v>
                </c:pt>
                <c:pt idx="221">
                  <c:v>-8715.7241273869713</c:v>
                </c:pt>
                <c:pt idx="222">
                  <c:v>-8656.7685080958527</c:v>
                </c:pt>
                <c:pt idx="223">
                  <c:v>-8596.6990016932559</c:v>
                </c:pt>
                <c:pt idx="224">
                  <c:v>-8535.533905932738</c:v>
                </c:pt>
                <c:pt idx="225">
                  <c:v>-8473.2918522949876</c:v>
                </c:pt>
                <c:pt idx="226">
                  <c:v>-8409.9918003124949</c:v>
                </c:pt>
                <c:pt idx="227">
                  <c:v>-8345.6530317942925</c:v>
                </c:pt>
                <c:pt idx="228">
                  <c:v>-8280.295144952539</c:v>
                </c:pt>
                <c:pt idx="229">
                  <c:v>-8213.9380484326975</c:v>
                </c:pt>
                <c:pt idx="230">
                  <c:v>-8146.6019552491853</c:v>
                </c:pt>
                <c:pt idx="231">
                  <c:v>-8078.3073766282905</c:v>
                </c:pt>
                <c:pt idx="232">
                  <c:v>-8009.0751157602408</c:v>
                </c:pt>
                <c:pt idx="233">
                  <c:v>-7938.9262614623658</c:v>
                </c:pt>
                <c:pt idx="234">
                  <c:v>-7867.8821817552325</c:v>
                </c:pt>
                <c:pt idx="235">
                  <c:v>-7795.9645173537356</c:v>
                </c:pt>
                <c:pt idx="236">
                  <c:v>-7723.195175075135</c:v>
                </c:pt>
                <c:pt idx="237">
                  <c:v>-7649.5963211660255</c:v>
                </c:pt>
                <c:pt idx="238">
                  <c:v>-7575.1903745502723</c:v>
                </c:pt>
                <c:pt idx="239">
                  <c:v>-7500.0000000000018</c:v>
                </c:pt>
                <c:pt idx="240">
                  <c:v>-7424.0481012316841</c:v>
                </c:pt>
                <c:pt idx="241">
                  <c:v>-7347.3578139294532</c:v>
                </c:pt>
                <c:pt idx="242">
                  <c:v>-7269.952498697734</c:v>
                </c:pt>
                <c:pt idx="243">
                  <c:v>-7191.8557339453891</c:v>
                </c:pt>
                <c:pt idx="244">
                  <c:v>-7113.0913087034996</c:v>
                </c:pt>
                <c:pt idx="245">
                  <c:v>-7033.6832153790001</c:v>
                </c:pt>
                <c:pt idx="246">
                  <c:v>-6953.6556424463688</c:v>
                </c:pt>
                <c:pt idx="247">
                  <c:v>-6873.0329670795618</c:v>
                </c:pt>
                <c:pt idx="248">
                  <c:v>-6791.8397477265034</c:v>
                </c:pt>
                <c:pt idx="249">
                  <c:v>-6710.1007166283471</c:v>
                </c:pt>
                <c:pt idx="250">
                  <c:v>-6627.8407722857828</c:v>
                </c:pt>
                <c:pt idx="251">
                  <c:v>-6545.0849718747377</c:v>
                </c:pt>
                <c:pt idx="252">
                  <c:v>-6461.858523613686</c:v>
                </c:pt>
                <c:pt idx="253">
                  <c:v>-6378.1867790849947</c:v>
                </c:pt>
                <c:pt idx="254">
                  <c:v>-6294.0952255126031</c:v>
                </c:pt>
                <c:pt idx="255">
                  <c:v>-6209.6094779983387</c:v>
                </c:pt>
                <c:pt idx="256">
                  <c:v>-6124.7552717193266</c:v>
                </c:pt>
                <c:pt idx="257">
                  <c:v>-6039.5584540887994</c:v>
                </c:pt>
                <c:pt idx="258">
                  <c:v>-5954.0449768827275</c:v>
                </c:pt>
                <c:pt idx="259">
                  <c:v>-5868.2408883346516</c:v>
                </c:pt>
                <c:pt idx="260">
                  <c:v>-5782.1723252011552</c:v>
                </c:pt>
                <c:pt idx="261">
                  <c:v>-5695.8655048003247</c:v>
                </c:pt>
                <c:pt idx="262">
                  <c:v>-5609.3467170257354</c:v>
                </c:pt>
                <c:pt idx="263">
                  <c:v>-5522.6423163382669</c:v>
                </c:pt>
                <c:pt idx="264">
                  <c:v>-5435.7787137382911</c:v>
                </c:pt>
                <c:pt idx="265">
                  <c:v>-5348.7823687206283</c:v>
                </c:pt>
                <c:pt idx="266">
                  <c:v>-5261.6797812147215</c:v>
                </c:pt>
                <c:pt idx="267">
                  <c:v>-5174.4974835125086</c:v>
                </c:pt>
                <c:pt idx="268">
                  <c:v>-5087.2620321864179</c:v>
                </c:pt>
                <c:pt idx="269">
                  <c:v>-5000.0000000000009</c:v>
                </c:pt>
                <c:pt idx="270">
                  <c:v>-4912.737967813584</c:v>
                </c:pt>
                <c:pt idx="271">
                  <c:v>-4825.5025164874933</c:v>
                </c:pt>
                <c:pt idx="272">
                  <c:v>-4738.3202187852803</c:v>
                </c:pt>
                <c:pt idx="273">
                  <c:v>-4651.2176312793736</c:v>
                </c:pt>
                <c:pt idx="274">
                  <c:v>-4564.2212862617107</c:v>
                </c:pt>
                <c:pt idx="275">
                  <c:v>-4477.3576836617349</c:v>
                </c:pt>
                <c:pt idx="276">
                  <c:v>-4390.6532829742619</c:v>
                </c:pt>
                <c:pt idx="277">
                  <c:v>-4304.1344951996725</c:v>
                </c:pt>
                <c:pt idx="278">
                  <c:v>-4217.8276747988466</c:v>
                </c:pt>
                <c:pt idx="279">
                  <c:v>-4131.7591116653502</c:v>
                </c:pt>
                <c:pt idx="280">
                  <c:v>-4045.9550231172789</c:v>
                </c:pt>
                <c:pt idx="281">
                  <c:v>-3960.441545911207</c:v>
                </c:pt>
                <c:pt idx="282">
                  <c:v>-3875.2447282806752</c:v>
                </c:pt>
                <c:pt idx="283">
                  <c:v>-3790.3905220016627</c:v>
                </c:pt>
                <c:pt idx="284">
                  <c:v>-3705.9047744873942</c:v>
                </c:pt>
                <c:pt idx="285">
                  <c:v>-3621.8132209150031</c:v>
                </c:pt>
                <c:pt idx="286">
                  <c:v>-3538.1414763863168</c:v>
                </c:pt>
                <c:pt idx="287">
                  <c:v>-3454.9150281252641</c:v>
                </c:pt>
                <c:pt idx="288">
                  <c:v>-3372.1592277142181</c:v>
                </c:pt>
                <c:pt idx="289">
                  <c:v>-3289.8992833716593</c:v>
                </c:pt>
                <c:pt idx="290">
                  <c:v>-3208.160252273502</c:v>
                </c:pt>
                <c:pt idx="291">
                  <c:v>-3126.96703292044</c:v>
                </c:pt>
                <c:pt idx="292">
                  <c:v>-3046.3443575536326</c:v>
                </c:pt>
                <c:pt idx="293">
                  <c:v>-2966.3167846209972</c:v>
                </c:pt>
                <c:pt idx="294">
                  <c:v>-2886.9086912965022</c:v>
                </c:pt>
                <c:pt idx="295">
                  <c:v>-2808.1442660546131</c:v>
                </c:pt>
                <c:pt idx="296">
                  <c:v>-2730.0475013022669</c:v>
                </c:pt>
                <c:pt idx="297">
                  <c:v>-2652.6421860705477</c:v>
                </c:pt>
                <c:pt idx="298">
                  <c:v>-2575.9518987683173</c:v>
                </c:pt>
                <c:pt idx="299">
                  <c:v>-2499.9999999999995</c:v>
                </c:pt>
                <c:pt idx="300">
                  <c:v>-2424.8096254497291</c:v>
                </c:pt>
                <c:pt idx="301">
                  <c:v>-2350.4036788339768</c:v>
                </c:pt>
                <c:pt idx="302">
                  <c:v>-2276.8048249248668</c:v>
                </c:pt>
                <c:pt idx="303">
                  <c:v>-2204.035482646269</c:v>
                </c:pt>
                <c:pt idx="304">
                  <c:v>-2132.1178182447698</c:v>
                </c:pt>
                <c:pt idx="305">
                  <c:v>-2061.0737385376356</c:v>
                </c:pt>
                <c:pt idx="306">
                  <c:v>-1990.9248842397601</c:v>
                </c:pt>
                <c:pt idx="307">
                  <c:v>-1921.6926233717072</c:v>
                </c:pt>
                <c:pt idx="308">
                  <c:v>-1853.3980447508125</c:v>
                </c:pt>
                <c:pt idx="309">
                  <c:v>-1786.0619515673038</c:v>
                </c:pt>
                <c:pt idx="310">
                  <c:v>-1719.7048550474647</c:v>
                </c:pt>
                <c:pt idx="311">
                  <c:v>-1654.3469682057112</c:v>
                </c:pt>
                <c:pt idx="312">
                  <c:v>-1590.0081996875097</c:v>
                </c:pt>
                <c:pt idx="313">
                  <c:v>-1526.7081477050169</c:v>
                </c:pt>
                <c:pt idx="314">
                  <c:v>-1464.4660940672634</c:v>
                </c:pt>
                <c:pt idx="315">
                  <c:v>-1403.3009983067459</c:v>
                </c:pt>
                <c:pt idx="316">
                  <c:v>-1343.2314919041464</c:v>
                </c:pt>
                <c:pt idx="317">
                  <c:v>-1284.2758726130287</c:v>
                </c:pt>
                <c:pt idx="318">
                  <c:v>-1226.4520988861404</c:v>
                </c:pt>
                <c:pt idx="319">
                  <c:v>-1169.7777844051111</c:v>
                </c:pt>
                <c:pt idx="320">
                  <c:v>-1114.270192715147</c:v>
                </c:pt>
                <c:pt idx="321">
                  <c:v>-1059.9462319663921</c:v>
                </c:pt>
                <c:pt idx="322">
                  <c:v>-1006.822449763536</c:v>
                </c:pt>
                <c:pt idx="323">
                  <c:v>-954.91502812526323</c:v>
                </c:pt>
                <c:pt idx="324">
                  <c:v>-904.23977855504199</c:v>
                </c:pt>
                <c:pt idx="325">
                  <c:v>-854.81213722479333</c:v>
                </c:pt>
                <c:pt idx="326">
                  <c:v>-806.64716027287977</c:v>
                </c:pt>
                <c:pt idx="327">
                  <c:v>-759.75951921787328</c:v>
                </c:pt>
                <c:pt idx="328">
                  <c:v>-714.16349648943924</c:v>
                </c:pt>
                <c:pt idx="329">
                  <c:v>-669.87298107780771</c:v>
                </c:pt>
                <c:pt idx="330">
                  <c:v>-626.90146430302048</c:v>
                </c:pt>
                <c:pt idx="331">
                  <c:v>-585.26203570536563</c:v>
                </c:pt>
                <c:pt idx="332">
                  <c:v>-544.96737905816099</c:v>
                </c:pt>
                <c:pt idx="333">
                  <c:v>-506.02976850416417</c:v>
                </c:pt>
                <c:pt idx="334">
                  <c:v>-468.46106481675179</c:v>
                </c:pt>
                <c:pt idx="335">
                  <c:v>-432.27271178699539</c:v>
                </c:pt>
                <c:pt idx="336">
                  <c:v>-397.47573273780017</c:v>
                </c:pt>
                <c:pt idx="337">
                  <c:v>-364.0807271660633</c:v>
                </c:pt>
                <c:pt idx="338">
                  <c:v>-332.09786751399224</c:v>
                </c:pt>
                <c:pt idx="339">
                  <c:v>-301.53689607045817</c:v>
                </c:pt>
                <c:pt idx="340">
                  <c:v>-272.4071220034175</c:v>
                </c:pt>
                <c:pt idx="341">
                  <c:v>-244.71741852423202</c:v>
                </c:pt>
                <c:pt idx="342">
                  <c:v>-218.47622018482161</c:v>
                </c:pt>
                <c:pt idx="343">
                  <c:v>-193.69152030840633</c:v>
                </c:pt>
                <c:pt idx="344">
                  <c:v>-170.37086855465805</c:v>
                </c:pt>
                <c:pt idx="345">
                  <c:v>-148.52136862001771</c:v>
                </c:pt>
                <c:pt idx="346">
                  <c:v>-128.14967607382459</c:v>
                </c:pt>
                <c:pt idx="347">
                  <c:v>-109.26199633097167</c:v>
                </c:pt>
                <c:pt idx="348">
                  <c:v>-91.864082761680038</c:v>
                </c:pt>
                <c:pt idx="349">
                  <c:v>-75.961234938960843</c:v>
                </c:pt>
                <c:pt idx="350">
                  <c:v>-61.558297024311287</c:v>
                </c:pt>
                <c:pt idx="351">
                  <c:v>-48.659656292148611</c:v>
                </c:pt>
                <c:pt idx="352">
                  <c:v>-37.269241793390393</c:v>
                </c:pt>
                <c:pt idx="353">
                  <c:v>-27.390523158633187</c:v>
                </c:pt>
                <c:pt idx="354">
                  <c:v>-19.026509541272389</c:v>
                </c:pt>
                <c:pt idx="355">
                  <c:v>-12.179748700878008</c:v>
                </c:pt>
                <c:pt idx="356">
                  <c:v>-6.8523262271310159</c:v>
                </c:pt>
                <c:pt idx="357">
                  <c:v>-3.0458649045212951</c:v>
                </c:pt>
                <c:pt idx="358">
                  <c:v>-0.76152421804363257</c:v>
                </c:pt>
                <c:pt idx="359">
                  <c:v>0</c:v>
                </c:pt>
                <c:pt idx="360">
                  <c:v>-0.76152421804363257</c:v>
                </c:pt>
                <c:pt idx="361">
                  <c:v>-3.0458649045212951</c:v>
                </c:pt>
                <c:pt idx="362">
                  <c:v>-6.8523262271310159</c:v>
                </c:pt>
                <c:pt idx="363">
                  <c:v>-12.179748700878008</c:v>
                </c:pt>
                <c:pt idx="364">
                  <c:v>-19.026509541272389</c:v>
                </c:pt>
                <c:pt idx="365">
                  <c:v>-27.390523158633187</c:v>
                </c:pt>
                <c:pt idx="366">
                  <c:v>-37.269241793390393</c:v>
                </c:pt>
                <c:pt idx="367">
                  <c:v>-48.659656292147702</c:v>
                </c:pt>
                <c:pt idx="368">
                  <c:v>-61.558297024311287</c:v>
                </c:pt>
                <c:pt idx="369">
                  <c:v>-75.961234938959024</c:v>
                </c:pt>
                <c:pt idx="370">
                  <c:v>-91.864082761680947</c:v>
                </c:pt>
                <c:pt idx="371">
                  <c:v>-109.26199633097076</c:v>
                </c:pt>
                <c:pt idx="372">
                  <c:v>-128.14967607382368</c:v>
                </c:pt>
                <c:pt idx="373">
                  <c:v>-148.52136862001862</c:v>
                </c:pt>
                <c:pt idx="374">
                  <c:v>-170.37086855465805</c:v>
                </c:pt>
                <c:pt idx="375">
                  <c:v>-193.69152030840633</c:v>
                </c:pt>
                <c:pt idx="376">
                  <c:v>-218.47622018482252</c:v>
                </c:pt>
                <c:pt idx="377">
                  <c:v>-244.71741852423202</c:v>
                </c:pt>
                <c:pt idx="378">
                  <c:v>-272.40712200341477</c:v>
                </c:pt>
                <c:pt idx="379">
                  <c:v>-301.53689607045817</c:v>
                </c:pt>
                <c:pt idx="380">
                  <c:v>-332.09786751398951</c:v>
                </c:pt>
                <c:pt idx="381">
                  <c:v>-364.0807271660633</c:v>
                </c:pt>
                <c:pt idx="382">
                  <c:v>-397.47573273779562</c:v>
                </c:pt>
                <c:pt idx="383">
                  <c:v>-432.27271178699448</c:v>
                </c:pt>
                <c:pt idx="384">
                  <c:v>-468.46106481674997</c:v>
                </c:pt>
                <c:pt idx="385">
                  <c:v>-506.02976850416508</c:v>
                </c:pt>
                <c:pt idx="386">
                  <c:v>-544.9673790581619</c:v>
                </c:pt>
                <c:pt idx="387">
                  <c:v>-585.26203570536381</c:v>
                </c:pt>
                <c:pt idx="388">
                  <c:v>-626.90146430302138</c:v>
                </c:pt>
                <c:pt idx="389">
                  <c:v>-669.87298107780498</c:v>
                </c:pt>
                <c:pt idx="390">
                  <c:v>-714.16349648943833</c:v>
                </c:pt>
                <c:pt idx="391">
                  <c:v>-759.75951921786873</c:v>
                </c:pt>
                <c:pt idx="392">
                  <c:v>-806.64716027287795</c:v>
                </c:pt>
                <c:pt idx="393">
                  <c:v>-854.81213722478969</c:v>
                </c:pt>
                <c:pt idx="394">
                  <c:v>-904.23977855504108</c:v>
                </c:pt>
                <c:pt idx="395">
                  <c:v>-954.91502812526505</c:v>
                </c:pt>
                <c:pt idx="396">
                  <c:v>-1006.8224497635342</c:v>
                </c:pt>
                <c:pt idx="397">
                  <c:v>-1059.9462319663912</c:v>
                </c:pt>
                <c:pt idx="398">
                  <c:v>-1114.2701927151429</c:v>
                </c:pt>
                <c:pt idx="399">
                  <c:v>-1169.7777844051093</c:v>
                </c:pt>
                <c:pt idx="400">
                  <c:v>-1226.4520988861386</c:v>
                </c:pt>
                <c:pt idx="401">
                  <c:v>-1284.2758726130301</c:v>
                </c:pt>
                <c:pt idx="402">
                  <c:v>-1343.2314919041451</c:v>
                </c:pt>
                <c:pt idx="403">
                  <c:v>-1403.3009983067441</c:v>
                </c:pt>
                <c:pt idx="404">
                  <c:v>-1464.4660940672584</c:v>
                </c:pt>
                <c:pt idx="405">
                  <c:v>-1526.7081477050119</c:v>
                </c:pt>
                <c:pt idx="406">
                  <c:v>-1590.0081996875083</c:v>
                </c:pt>
                <c:pt idx="407">
                  <c:v>-1654.3469682057057</c:v>
                </c:pt>
                <c:pt idx="408">
                  <c:v>-1719.7048550474628</c:v>
                </c:pt>
                <c:pt idx="409">
                  <c:v>-1786.061951567302</c:v>
                </c:pt>
                <c:pt idx="410">
                  <c:v>-1853.3980447508143</c:v>
                </c:pt>
                <c:pt idx="411">
                  <c:v>-1921.6926233717058</c:v>
                </c:pt>
                <c:pt idx="412">
                  <c:v>-1990.9248842397583</c:v>
                </c:pt>
                <c:pt idx="413">
                  <c:v>-2061.0737385376297</c:v>
                </c:pt>
                <c:pt idx="414">
                  <c:v>-2132.1178182447675</c:v>
                </c:pt>
                <c:pt idx="415">
                  <c:v>-2204.0354826462667</c:v>
                </c:pt>
                <c:pt idx="416">
                  <c:v>-2276.8048249248645</c:v>
                </c:pt>
                <c:pt idx="417">
                  <c:v>-2350.4036788339745</c:v>
                </c:pt>
                <c:pt idx="418">
                  <c:v>-2424.8096254497277</c:v>
                </c:pt>
                <c:pt idx="419">
                  <c:v>-2500.0000000000014</c:v>
                </c:pt>
                <c:pt idx="420">
                  <c:v>-2575.9518987683114</c:v>
                </c:pt>
                <c:pt idx="421">
                  <c:v>-2652.6421860705459</c:v>
                </c:pt>
                <c:pt idx="422">
                  <c:v>-2730.0475013022647</c:v>
                </c:pt>
                <c:pt idx="423">
                  <c:v>-2808.1442660546109</c:v>
                </c:pt>
                <c:pt idx="424">
                  <c:v>-2886.9086912964999</c:v>
                </c:pt>
                <c:pt idx="425">
                  <c:v>-2966.316784620999</c:v>
                </c:pt>
                <c:pt idx="426">
                  <c:v>-3046.3443575536344</c:v>
                </c:pt>
                <c:pt idx="427">
                  <c:v>-3126.9670329204382</c:v>
                </c:pt>
                <c:pt idx="428">
                  <c:v>-3208.1602522735002</c:v>
                </c:pt>
                <c:pt idx="429">
                  <c:v>-3289.8992833716525</c:v>
                </c:pt>
                <c:pt idx="430">
                  <c:v>-3372.1592277142163</c:v>
                </c:pt>
                <c:pt idx="431">
                  <c:v>-3454.9150281252614</c:v>
                </c:pt>
                <c:pt idx="432">
                  <c:v>-3538.1414763863186</c:v>
                </c:pt>
                <c:pt idx="433">
                  <c:v>-3621.8132209150008</c:v>
                </c:pt>
                <c:pt idx="434">
                  <c:v>-3705.904774487396</c:v>
                </c:pt>
                <c:pt idx="435">
                  <c:v>-3790.3905220016559</c:v>
                </c:pt>
                <c:pt idx="436">
                  <c:v>-3875.2447282806734</c:v>
                </c:pt>
                <c:pt idx="437">
                  <c:v>-3960.4415459112051</c:v>
                </c:pt>
                <c:pt idx="438">
                  <c:v>-4045.955023117272</c:v>
                </c:pt>
                <c:pt idx="439">
                  <c:v>-4131.7591116653475</c:v>
                </c:pt>
                <c:pt idx="440">
                  <c:v>-4217.8276747988439</c:v>
                </c:pt>
                <c:pt idx="441">
                  <c:v>-4304.1344951996743</c:v>
                </c:pt>
                <c:pt idx="442">
                  <c:v>-4390.6532829742591</c:v>
                </c:pt>
                <c:pt idx="443">
                  <c:v>-4477.3576836617322</c:v>
                </c:pt>
                <c:pt idx="444">
                  <c:v>-4564.2212862617034</c:v>
                </c:pt>
                <c:pt idx="445">
                  <c:v>-4651.2176312793717</c:v>
                </c:pt>
                <c:pt idx="446">
                  <c:v>-4738.3202187852776</c:v>
                </c:pt>
                <c:pt idx="447">
                  <c:v>-4825.502516487496</c:v>
                </c:pt>
                <c:pt idx="448">
                  <c:v>-4912.7379678135821</c:v>
                </c:pt>
                <c:pt idx="449">
                  <c:v>-4999.9999999999982</c:v>
                </c:pt>
                <c:pt idx="450">
                  <c:v>-5087.2620321864197</c:v>
                </c:pt>
                <c:pt idx="451">
                  <c:v>-5174.4974835125013</c:v>
                </c:pt>
                <c:pt idx="452">
                  <c:v>-5261.6797812147188</c:v>
                </c:pt>
                <c:pt idx="453">
                  <c:v>-5348.782368720621</c:v>
                </c:pt>
                <c:pt idx="454">
                  <c:v>-5435.7787137382893</c:v>
                </c:pt>
                <c:pt idx="455">
                  <c:v>-5522.6423163382642</c:v>
                </c:pt>
                <c:pt idx="456">
                  <c:v>-5609.3467170257381</c:v>
                </c:pt>
                <c:pt idx="457">
                  <c:v>-5695.865504800322</c:v>
                </c:pt>
                <c:pt idx="458">
                  <c:v>-5782.1723252011489</c:v>
                </c:pt>
                <c:pt idx="459">
                  <c:v>-5868.2408883346488</c:v>
                </c:pt>
                <c:pt idx="460">
                  <c:v>-5954.0449768827248</c:v>
                </c:pt>
                <c:pt idx="461">
                  <c:v>-6039.5584540888012</c:v>
                </c:pt>
                <c:pt idx="462">
                  <c:v>-6124.7552717193239</c:v>
                </c:pt>
                <c:pt idx="463">
                  <c:v>-6209.6094779983414</c:v>
                </c:pt>
                <c:pt idx="464">
                  <c:v>-6294.0952255126012</c:v>
                </c:pt>
                <c:pt idx="465">
                  <c:v>-6378.1867790849965</c:v>
                </c:pt>
                <c:pt idx="466">
                  <c:v>-6461.8585236136787</c:v>
                </c:pt>
                <c:pt idx="467">
                  <c:v>-6545.0849718747359</c:v>
                </c:pt>
                <c:pt idx="468">
                  <c:v>-6627.8407722857773</c:v>
                </c:pt>
                <c:pt idx="469">
                  <c:v>-6710.1007166283398</c:v>
                </c:pt>
                <c:pt idx="470">
                  <c:v>-6791.8397477265016</c:v>
                </c:pt>
                <c:pt idx="471">
                  <c:v>-6873.0329670795545</c:v>
                </c:pt>
                <c:pt idx="472">
                  <c:v>-6953.655642446367</c:v>
                </c:pt>
                <c:pt idx="473">
                  <c:v>-7033.6832153790019</c:v>
                </c:pt>
                <c:pt idx="474">
                  <c:v>-7113.0913087034933</c:v>
                </c:pt>
                <c:pt idx="475">
                  <c:v>-7191.8557339453864</c:v>
                </c:pt>
                <c:pt idx="476">
                  <c:v>-7269.9524986977367</c:v>
                </c:pt>
                <c:pt idx="477">
                  <c:v>-7347.3578139294514</c:v>
                </c:pt>
                <c:pt idx="478">
                  <c:v>-7424.0481012316859</c:v>
                </c:pt>
                <c:pt idx="479">
                  <c:v>-7499.9999999999964</c:v>
                </c:pt>
                <c:pt idx="480">
                  <c:v>-7575.1903745502696</c:v>
                </c:pt>
                <c:pt idx="481">
                  <c:v>-7649.5963211660273</c:v>
                </c:pt>
                <c:pt idx="482">
                  <c:v>-7723.1951750751323</c:v>
                </c:pt>
                <c:pt idx="483">
                  <c:v>-7795.9645173537347</c:v>
                </c:pt>
                <c:pt idx="484">
                  <c:v>-7867.8821817552262</c:v>
                </c:pt>
                <c:pt idx="485">
                  <c:v>-7938.926261462364</c:v>
                </c:pt>
                <c:pt idx="486">
                  <c:v>-8009.0751157602353</c:v>
                </c:pt>
                <c:pt idx="487">
                  <c:v>-8078.3073766282887</c:v>
                </c:pt>
                <c:pt idx="488">
                  <c:v>-8146.6019552491871</c:v>
                </c:pt>
                <c:pt idx="489">
                  <c:v>-8213.9380484326921</c:v>
                </c:pt>
                <c:pt idx="490">
                  <c:v>-8280.2951449525353</c:v>
                </c:pt>
                <c:pt idx="491">
                  <c:v>-8345.6530317942925</c:v>
                </c:pt>
                <c:pt idx="492">
                  <c:v>-8409.9918003124949</c:v>
                </c:pt>
                <c:pt idx="493">
                  <c:v>-8473.2918522949858</c:v>
                </c:pt>
                <c:pt idx="494">
                  <c:v>-8535.5339059327398</c:v>
                </c:pt>
                <c:pt idx="495">
                  <c:v>-8596.6990016932541</c:v>
                </c:pt>
                <c:pt idx="496">
                  <c:v>-8656.7685080958527</c:v>
                </c:pt>
                <c:pt idx="497">
                  <c:v>-8715.7241273869677</c:v>
                </c:pt>
                <c:pt idx="498">
                  <c:v>-8773.5479011138596</c:v>
                </c:pt>
                <c:pt idx="499">
                  <c:v>-8830.2222155948857</c:v>
                </c:pt>
                <c:pt idx="500">
                  <c:v>-8885.7298072848516</c:v>
                </c:pt>
                <c:pt idx="501">
                  <c:v>-8940.0537680336092</c:v>
                </c:pt>
                <c:pt idx="502">
                  <c:v>-8993.1775502364617</c:v>
                </c:pt>
                <c:pt idx="503">
                  <c:v>-9045.0849718747359</c:v>
                </c:pt>
                <c:pt idx="504">
                  <c:v>-9095.7602214449544</c:v>
                </c:pt>
                <c:pt idx="505">
                  <c:v>-9145.1878627752067</c:v>
                </c:pt>
                <c:pt idx="506">
                  <c:v>-9193.3528397271202</c:v>
                </c:pt>
                <c:pt idx="507">
                  <c:v>-9240.2404807821313</c:v>
                </c:pt>
                <c:pt idx="508">
                  <c:v>-9285.8365035105599</c:v>
                </c:pt>
                <c:pt idx="509">
                  <c:v>-9330.1270189221941</c:v>
                </c:pt>
                <c:pt idx="510">
                  <c:v>-9373.0985356969759</c:v>
                </c:pt>
                <c:pt idx="511">
                  <c:v>-9414.7379642946344</c:v>
                </c:pt>
                <c:pt idx="512">
                  <c:v>-9455.0326209418417</c:v>
                </c:pt>
                <c:pt idx="513">
                  <c:v>-9493.970231495834</c:v>
                </c:pt>
                <c:pt idx="514">
                  <c:v>-9531.5389351832491</c:v>
                </c:pt>
                <c:pt idx="515">
                  <c:v>-9567.7272882130019</c:v>
                </c:pt>
                <c:pt idx="516">
                  <c:v>-9602.5242672622007</c:v>
                </c:pt>
                <c:pt idx="517">
                  <c:v>-9635.9192728339331</c:v>
                </c:pt>
                <c:pt idx="518">
                  <c:v>-9667.9021324860078</c:v>
                </c:pt>
                <c:pt idx="519">
                  <c:v>-9698.4631039295418</c:v>
                </c:pt>
                <c:pt idx="520">
                  <c:v>-9727.5928779965834</c:v>
                </c:pt>
                <c:pt idx="521">
                  <c:v>-9755.2825814757671</c:v>
                </c:pt>
                <c:pt idx="522">
                  <c:v>-9781.5237798151775</c:v>
                </c:pt>
                <c:pt idx="523">
                  <c:v>-9806.3084796915955</c:v>
                </c:pt>
                <c:pt idx="524">
                  <c:v>-9829.629131445341</c:v>
                </c:pt>
                <c:pt idx="525">
                  <c:v>-9851.4786313799832</c:v>
                </c:pt>
                <c:pt idx="526">
                  <c:v>-9871.8503239261754</c:v>
                </c:pt>
                <c:pt idx="527">
                  <c:v>-9890.7380036690283</c:v>
                </c:pt>
                <c:pt idx="528">
                  <c:v>-9908.13591723832</c:v>
                </c:pt>
                <c:pt idx="529">
                  <c:v>-9924.0387650610392</c:v>
                </c:pt>
                <c:pt idx="530">
                  <c:v>-9938.4417029756878</c:v>
                </c:pt>
                <c:pt idx="531">
                  <c:v>-9951.3403437078523</c:v>
                </c:pt>
                <c:pt idx="532">
                  <c:v>-9962.7307582066096</c:v>
                </c:pt>
                <c:pt idx="533">
                  <c:v>-9972.6094768413677</c:v>
                </c:pt>
                <c:pt idx="534">
                  <c:v>-9980.9734904587276</c:v>
                </c:pt>
                <c:pt idx="535">
                  <c:v>-9987.8202512991211</c:v>
                </c:pt>
                <c:pt idx="536">
                  <c:v>-9993.1476737728699</c:v>
                </c:pt>
                <c:pt idx="537">
                  <c:v>-9996.9541350954787</c:v>
                </c:pt>
                <c:pt idx="538">
                  <c:v>-9999.2384757819564</c:v>
                </c:pt>
                <c:pt idx="539">
                  <c:v>-10000</c:v>
                </c:pt>
                <c:pt idx="540">
                  <c:v>-9999.2384757819564</c:v>
                </c:pt>
                <c:pt idx="541">
                  <c:v>-9996.9541350954787</c:v>
                </c:pt>
                <c:pt idx="542">
                  <c:v>-9993.1476737728699</c:v>
                </c:pt>
                <c:pt idx="543">
                  <c:v>-9987.8202512991211</c:v>
                </c:pt>
                <c:pt idx="544">
                  <c:v>-9980.9734904587276</c:v>
                </c:pt>
                <c:pt idx="545">
                  <c:v>-9972.6094768413677</c:v>
                </c:pt>
                <c:pt idx="546">
                  <c:v>-9962.7307582066096</c:v>
                </c:pt>
                <c:pt idx="547">
                  <c:v>-9951.3403437078523</c:v>
                </c:pt>
                <c:pt idx="548">
                  <c:v>-9938.4417029756896</c:v>
                </c:pt>
                <c:pt idx="549">
                  <c:v>-9924.038765061041</c:v>
                </c:pt>
                <c:pt idx="550">
                  <c:v>-9908.1359172383218</c:v>
                </c:pt>
                <c:pt idx="551">
                  <c:v>-9890.7380036690301</c:v>
                </c:pt>
                <c:pt idx="552">
                  <c:v>-9871.8503239261772</c:v>
                </c:pt>
                <c:pt idx="553">
                  <c:v>-9851.4786313799814</c:v>
                </c:pt>
                <c:pt idx="554">
                  <c:v>-9829.629131445341</c:v>
                </c:pt>
                <c:pt idx="555">
                  <c:v>-9806.3084796915937</c:v>
                </c:pt>
                <c:pt idx="556">
                  <c:v>-9781.5237798151757</c:v>
                </c:pt>
                <c:pt idx="557">
                  <c:v>-9755.2825814757671</c:v>
                </c:pt>
                <c:pt idx="558">
                  <c:v>-9727.5928779965834</c:v>
                </c:pt>
                <c:pt idx="559">
                  <c:v>-9698.4631039295436</c:v>
                </c:pt>
                <c:pt idx="560">
                  <c:v>-9667.9021324860078</c:v>
                </c:pt>
                <c:pt idx="561">
                  <c:v>-9635.9192728339403</c:v>
                </c:pt>
                <c:pt idx="562">
                  <c:v>-9602.5242672622026</c:v>
                </c:pt>
                <c:pt idx="563">
                  <c:v>-9567.7272882130073</c:v>
                </c:pt>
                <c:pt idx="564">
                  <c:v>-9531.5389351832528</c:v>
                </c:pt>
                <c:pt idx="565">
                  <c:v>-9493.970231495834</c:v>
                </c:pt>
                <c:pt idx="566">
                  <c:v>-9455.0326209418417</c:v>
                </c:pt>
                <c:pt idx="567">
                  <c:v>-9414.7379642946362</c:v>
                </c:pt>
                <c:pt idx="568">
                  <c:v>-9373.0985356969795</c:v>
                </c:pt>
                <c:pt idx="569">
                  <c:v>-9330.1270189221905</c:v>
                </c:pt>
                <c:pt idx="570">
                  <c:v>-9285.8365035105635</c:v>
                </c:pt>
                <c:pt idx="571">
                  <c:v>-9240.2404807821295</c:v>
                </c:pt>
                <c:pt idx="572">
                  <c:v>-9193.352839727122</c:v>
                </c:pt>
                <c:pt idx="573">
                  <c:v>-9145.1878627752085</c:v>
                </c:pt>
                <c:pt idx="574">
                  <c:v>-9095.7602214449616</c:v>
                </c:pt>
                <c:pt idx="575">
                  <c:v>-9045.0849718747377</c:v>
                </c:pt>
                <c:pt idx="576">
                  <c:v>-8993.1775502364635</c:v>
                </c:pt>
                <c:pt idx="577">
                  <c:v>-8940.0537680336129</c:v>
                </c:pt>
                <c:pt idx="578">
                  <c:v>-8885.7298072848535</c:v>
                </c:pt>
                <c:pt idx="579">
                  <c:v>-8830.2222155948948</c:v>
                </c:pt>
                <c:pt idx="580">
                  <c:v>-8773.5479011138614</c:v>
                </c:pt>
                <c:pt idx="581">
                  <c:v>-8715.7241273869768</c:v>
                </c:pt>
                <c:pt idx="582">
                  <c:v>-8656.7685080958563</c:v>
                </c:pt>
                <c:pt idx="583">
                  <c:v>-8596.6990016932559</c:v>
                </c:pt>
                <c:pt idx="584">
                  <c:v>-8535.5339059327362</c:v>
                </c:pt>
                <c:pt idx="585">
                  <c:v>-8473.2918522949876</c:v>
                </c:pt>
                <c:pt idx="586">
                  <c:v>-8409.9918003124913</c:v>
                </c:pt>
                <c:pt idx="587">
                  <c:v>-8345.6530317942888</c:v>
                </c:pt>
                <c:pt idx="588">
                  <c:v>-8280.2951449525372</c:v>
                </c:pt>
                <c:pt idx="589">
                  <c:v>-8213.9380484326957</c:v>
                </c:pt>
                <c:pt idx="590">
                  <c:v>-8146.6019552491898</c:v>
                </c:pt>
                <c:pt idx="591">
                  <c:v>-8078.3073766282914</c:v>
                </c:pt>
                <c:pt idx="592">
                  <c:v>-8009.0751157602463</c:v>
                </c:pt>
                <c:pt idx="593">
                  <c:v>-7938.9262614623676</c:v>
                </c:pt>
                <c:pt idx="594">
                  <c:v>-7867.8821817552362</c:v>
                </c:pt>
                <c:pt idx="595">
                  <c:v>-7795.9645173537374</c:v>
                </c:pt>
                <c:pt idx="596">
                  <c:v>-7723.1951750751432</c:v>
                </c:pt>
                <c:pt idx="597">
                  <c:v>-7649.5963211660301</c:v>
                </c:pt>
                <c:pt idx="598">
                  <c:v>-7575.1903745502732</c:v>
                </c:pt>
                <c:pt idx="599">
                  <c:v>-7499.9999999999991</c:v>
                </c:pt>
                <c:pt idx="600">
                  <c:v>-7424.0481012316814</c:v>
                </c:pt>
                <c:pt idx="601">
                  <c:v>-7347.357813929455</c:v>
                </c:pt>
                <c:pt idx="602">
                  <c:v>-7269.9524986977322</c:v>
                </c:pt>
                <c:pt idx="603">
                  <c:v>-7191.8557339453891</c:v>
                </c:pt>
                <c:pt idx="604">
                  <c:v>-7113.0913087034969</c:v>
                </c:pt>
                <c:pt idx="605">
                  <c:v>-7033.6832153790056</c:v>
                </c:pt>
                <c:pt idx="606">
                  <c:v>-6953.6556424463706</c:v>
                </c:pt>
                <c:pt idx="607">
                  <c:v>-6873.0329670795672</c:v>
                </c:pt>
                <c:pt idx="608">
                  <c:v>-6791.8397477265044</c:v>
                </c:pt>
                <c:pt idx="609">
                  <c:v>-6710.1007166283434</c:v>
                </c:pt>
                <c:pt idx="610">
                  <c:v>-6627.8407722857883</c:v>
                </c:pt>
                <c:pt idx="611">
                  <c:v>-6545.0849718747395</c:v>
                </c:pt>
                <c:pt idx="612">
                  <c:v>-6461.8585236136905</c:v>
                </c:pt>
                <c:pt idx="613">
                  <c:v>-6378.1867790849992</c:v>
                </c:pt>
                <c:pt idx="614">
                  <c:v>-6294.0952255126049</c:v>
                </c:pt>
                <c:pt idx="615">
                  <c:v>-6209.6094779983359</c:v>
                </c:pt>
                <c:pt idx="616">
                  <c:v>-6124.7552717193275</c:v>
                </c:pt>
                <c:pt idx="617">
                  <c:v>-6039.5584540887958</c:v>
                </c:pt>
                <c:pt idx="618">
                  <c:v>-5954.0449768827202</c:v>
                </c:pt>
                <c:pt idx="619">
                  <c:v>-5868.2408883346525</c:v>
                </c:pt>
                <c:pt idx="620">
                  <c:v>-5782.1723252011525</c:v>
                </c:pt>
                <c:pt idx="621">
                  <c:v>-5695.8655048003302</c:v>
                </c:pt>
                <c:pt idx="622">
                  <c:v>-5609.3467170257372</c:v>
                </c:pt>
                <c:pt idx="623">
                  <c:v>-5522.6423163382724</c:v>
                </c:pt>
                <c:pt idx="624">
                  <c:v>-5435.7787137382929</c:v>
                </c:pt>
                <c:pt idx="625">
                  <c:v>-5348.7823687206337</c:v>
                </c:pt>
                <c:pt idx="626">
                  <c:v>-5261.6797812147224</c:v>
                </c:pt>
                <c:pt idx="627">
                  <c:v>-5174.497483512514</c:v>
                </c:pt>
                <c:pt idx="628">
                  <c:v>-5087.2620321864233</c:v>
                </c:pt>
                <c:pt idx="629">
                  <c:v>-5000.0000000000018</c:v>
                </c:pt>
                <c:pt idx="630">
                  <c:v>-4912.7379678135812</c:v>
                </c:pt>
                <c:pt idx="631">
                  <c:v>-4825.5025164874996</c:v>
                </c:pt>
                <c:pt idx="632">
                  <c:v>-4738.3202187852812</c:v>
                </c:pt>
                <c:pt idx="633">
                  <c:v>-4651.2176312793708</c:v>
                </c:pt>
                <c:pt idx="634">
                  <c:v>-4564.2212862617116</c:v>
                </c:pt>
                <c:pt idx="635">
                  <c:v>-4477.3576836617322</c:v>
                </c:pt>
                <c:pt idx="636">
                  <c:v>-4390.6532829742673</c:v>
                </c:pt>
                <c:pt idx="637">
                  <c:v>-4304.1344951996743</c:v>
                </c:pt>
                <c:pt idx="638">
                  <c:v>-4217.8276747988521</c:v>
                </c:pt>
                <c:pt idx="639">
                  <c:v>-4131.7591116653512</c:v>
                </c:pt>
                <c:pt idx="640">
                  <c:v>-4045.9550231172757</c:v>
                </c:pt>
                <c:pt idx="641">
                  <c:v>-3960.4415459112083</c:v>
                </c:pt>
                <c:pt idx="642">
                  <c:v>-3875.2447282806766</c:v>
                </c:pt>
                <c:pt idx="643">
                  <c:v>-3790.3905220016686</c:v>
                </c:pt>
                <c:pt idx="644">
                  <c:v>-3705.9047744873997</c:v>
                </c:pt>
                <c:pt idx="645">
                  <c:v>-3621.8132209150044</c:v>
                </c:pt>
                <c:pt idx="646">
                  <c:v>-3538.1414763863131</c:v>
                </c:pt>
                <c:pt idx="647">
                  <c:v>-3454.9150281252651</c:v>
                </c:pt>
                <c:pt idx="648">
                  <c:v>-3372.1592277142154</c:v>
                </c:pt>
                <c:pt idx="649">
                  <c:v>-3289.8992833716602</c:v>
                </c:pt>
                <c:pt idx="650">
                  <c:v>-3208.1602522734993</c:v>
                </c:pt>
                <c:pt idx="651">
                  <c:v>-3126.9670329204455</c:v>
                </c:pt>
                <c:pt idx="652">
                  <c:v>-3046.3443575536257</c:v>
                </c:pt>
                <c:pt idx="653">
                  <c:v>-2966.3167846209981</c:v>
                </c:pt>
                <c:pt idx="654">
                  <c:v>-2886.9086912965067</c:v>
                </c:pt>
                <c:pt idx="655">
                  <c:v>-2808.1442660546222</c:v>
                </c:pt>
                <c:pt idx="656">
                  <c:v>-2730.0475013022642</c:v>
                </c:pt>
                <c:pt idx="657">
                  <c:v>-2652.6421860705491</c:v>
                </c:pt>
                <c:pt idx="658">
                  <c:v>-2575.9518987683223</c:v>
                </c:pt>
                <c:pt idx="659">
                  <c:v>-2500.0000000000045</c:v>
                </c:pt>
                <c:pt idx="660">
                  <c:v>-2424.8096254497304</c:v>
                </c:pt>
                <c:pt idx="661">
                  <c:v>-2350.403678833974</c:v>
                </c:pt>
                <c:pt idx="662">
                  <c:v>-2276.8048249248677</c:v>
                </c:pt>
                <c:pt idx="663">
                  <c:v>-2204.0354826462662</c:v>
                </c:pt>
                <c:pt idx="664">
                  <c:v>-2132.117818244767</c:v>
                </c:pt>
                <c:pt idx="665">
                  <c:v>-2061.073738537636</c:v>
                </c:pt>
                <c:pt idx="666">
                  <c:v>-1990.9248842397647</c:v>
                </c:pt>
                <c:pt idx="667">
                  <c:v>-1921.6926233717054</c:v>
                </c:pt>
                <c:pt idx="668">
                  <c:v>-1853.3980447508138</c:v>
                </c:pt>
                <c:pt idx="669">
                  <c:v>-1786.0619515673084</c:v>
                </c:pt>
                <c:pt idx="670">
                  <c:v>-1719.7048550474724</c:v>
                </c:pt>
                <c:pt idx="671">
                  <c:v>-1654.3469682057084</c:v>
                </c:pt>
                <c:pt idx="672">
                  <c:v>-1590.008199687511</c:v>
                </c:pt>
                <c:pt idx="673">
                  <c:v>-1526.708147705021</c:v>
                </c:pt>
                <c:pt idx="674">
                  <c:v>-1464.4660940672611</c:v>
                </c:pt>
                <c:pt idx="675">
                  <c:v>-1403.3009983067468</c:v>
                </c:pt>
                <c:pt idx="676">
                  <c:v>-1343.2314919041478</c:v>
                </c:pt>
                <c:pt idx="677">
                  <c:v>-1284.2758726130323</c:v>
                </c:pt>
                <c:pt idx="678">
                  <c:v>-1226.4520988861409</c:v>
                </c:pt>
                <c:pt idx="679">
                  <c:v>-1169.7777844051088</c:v>
                </c:pt>
                <c:pt idx="680">
                  <c:v>-1114.2701927151484</c:v>
                </c:pt>
                <c:pt idx="681">
                  <c:v>-1059.9462319663962</c:v>
                </c:pt>
                <c:pt idx="682">
                  <c:v>-1006.8224497635338</c:v>
                </c:pt>
                <c:pt idx="683">
                  <c:v>-954.9150281252646</c:v>
                </c:pt>
                <c:pt idx="684">
                  <c:v>-904.23977855504563</c:v>
                </c:pt>
                <c:pt idx="685">
                  <c:v>-854.81213722478878</c:v>
                </c:pt>
                <c:pt idx="686">
                  <c:v>-806.64716027288068</c:v>
                </c:pt>
                <c:pt idx="687">
                  <c:v>-759.75951921787328</c:v>
                </c:pt>
                <c:pt idx="688">
                  <c:v>-714.1634964894447</c:v>
                </c:pt>
                <c:pt idx="689">
                  <c:v>-669.8729810778068</c:v>
                </c:pt>
                <c:pt idx="690">
                  <c:v>-626.9014643030232</c:v>
                </c:pt>
                <c:pt idx="691">
                  <c:v>-585.26203570536654</c:v>
                </c:pt>
                <c:pt idx="692">
                  <c:v>-544.96737905816371</c:v>
                </c:pt>
                <c:pt idx="693">
                  <c:v>-506.0297685041669</c:v>
                </c:pt>
                <c:pt idx="694">
                  <c:v>-468.46106481674997</c:v>
                </c:pt>
                <c:pt idx="695">
                  <c:v>-432.27271178699812</c:v>
                </c:pt>
                <c:pt idx="696">
                  <c:v>-397.47573273779562</c:v>
                </c:pt>
                <c:pt idx="697">
                  <c:v>-364.08072716606239</c:v>
                </c:pt>
                <c:pt idx="698">
                  <c:v>-332.09786751399224</c:v>
                </c:pt>
                <c:pt idx="699">
                  <c:v>-301.5368960704609</c:v>
                </c:pt>
                <c:pt idx="700">
                  <c:v>-272.40712200341477</c:v>
                </c:pt>
                <c:pt idx="701">
                  <c:v>-244.71741852423293</c:v>
                </c:pt>
                <c:pt idx="702">
                  <c:v>-218.47622018482525</c:v>
                </c:pt>
                <c:pt idx="703">
                  <c:v>-193.69152030840633</c:v>
                </c:pt>
                <c:pt idx="704">
                  <c:v>-170.37086855465895</c:v>
                </c:pt>
                <c:pt idx="705">
                  <c:v>-148.52136862001953</c:v>
                </c:pt>
                <c:pt idx="706">
                  <c:v>-128.14967607382459</c:v>
                </c:pt>
                <c:pt idx="707">
                  <c:v>-109.26199633097167</c:v>
                </c:pt>
                <c:pt idx="708">
                  <c:v>-91.864082761680947</c:v>
                </c:pt>
                <c:pt idx="709">
                  <c:v>-75.961234938959933</c:v>
                </c:pt>
                <c:pt idx="710">
                  <c:v>-61.558297024312196</c:v>
                </c:pt>
                <c:pt idx="711">
                  <c:v>-48.659656292147702</c:v>
                </c:pt>
                <c:pt idx="712">
                  <c:v>-37.269241793390393</c:v>
                </c:pt>
                <c:pt idx="713">
                  <c:v>-27.390523158634096</c:v>
                </c:pt>
                <c:pt idx="714">
                  <c:v>-19.02650954127148</c:v>
                </c:pt>
                <c:pt idx="715">
                  <c:v>-12.179748700878008</c:v>
                </c:pt>
                <c:pt idx="716">
                  <c:v>-6.8523262271310159</c:v>
                </c:pt>
                <c:pt idx="717">
                  <c:v>-3.0458649045212951</c:v>
                </c:pt>
                <c:pt idx="718">
                  <c:v>-0.76152421804363257</c:v>
                </c:pt>
                <c:pt idx="719">
                  <c:v>0</c:v>
                </c:pt>
                <c:pt idx="720">
                  <c:v>-0.76152421804363257</c:v>
                </c:pt>
                <c:pt idx="721">
                  <c:v>-3.0458649045212951</c:v>
                </c:pt>
                <c:pt idx="722">
                  <c:v>-6.8523262271310159</c:v>
                </c:pt>
                <c:pt idx="723">
                  <c:v>-12.179748700878008</c:v>
                </c:pt>
                <c:pt idx="724">
                  <c:v>-19.026509541272389</c:v>
                </c:pt>
                <c:pt idx="725">
                  <c:v>-27.390523158633187</c:v>
                </c:pt>
                <c:pt idx="726">
                  <c:v>-37.269241793390393</c:v>
                </c:pt>
                <c:pt idx="727">
                  <c:v>-48.659656292148611</c:v>
                </c:pt>
                <c:pt idx="728">
                  <c:v>-61.558297024310377</c:v>
                </c:pt>
                <c:pt idx="729">
                  <c:v>-75.961234938960843</c:v>
                </c:pt>
                <c:pt idx="730">
                  <c:v>-91.864082761680038</c:v>
                </c:pt>
                <c:pt idx="731">
                  <c:v>-109.26199633097076</c:v>
                </c:pt>
                <c:pt idx="732">
                  <c:v>-128.14967607382187</c:v>
                </c:pt>
                <c:pt idx="733">
                  <c:v>-148.52136862001862</c:v>
                </c:pt>
                <c:pt idx="734">
                  <c:v>-170.37086855465714</c:v>
                </c:pt>
                <c:pt idx="735">
                  <c:v>-193.6915203084036</c:v>
                </c:pt>
                <c:pt idx="736">
                  <c:v>-218.47622018482343</c:v>
                </c:pt>
                <c:pt idx="737">
                  <c:v>-244.71741852423111</c:v>
                </c:pt>
                <c:pt idx="738">
                  <c:v>-272.40712200341659</c:v>
                </c:pt>
                <c:pt idx="739">
                  <c:v>-301.53689607045635</c:v>
                </c:pt>
                <c:pt idx="740">
                  <c:v>-332.09786751399042</c:v>
                </c:pt>
                <c:pt idx="741">
                  <c:v>-364.08072716606421</c:v>
                </c:pt>
                <c:pt idx="742">
                  <c:v>-397.47573273779744</c:v>
                </c:pt>
                <c:pt idx="743">
                  <c:v>-432.27271178699266</c:v>
                </c:pt>
                <c:pt idx="744">
                  <c:v>-468.46106481675179</c:v>
                </c:pt>
                <c:pt idx="745">
                  <c:v>-506.02976850416417</c:v>
                </c:pt>
                <c:pt idx="746">
                  <c:v>-544.96737905815735</c:v>
                </c:pt>
                <c:pt idx="747">
                  <c:v>-585.26203570536745</c:v>
                </c:pt>
                <c:pt idx="748">
                  <c:v>-626.90146430302048</c:v>
                </c:pt>
                <c:pt idx="749">
                  <c:v>-669.87298107780407</c:v>
                </c:pt>
                <c:pt idx="750">
                  <c:v>-714.16349648943287</c:v>
                </c:pt>
                <c:pt idx="751">
                  <c:v>-759.75951921787055</c:v>
                </c:pt>
                <c:pt idx="752">
                  <c:v>-806.64716027287795</c:v>
                </c:pt>
                <c:pt idx="753">
                  <c:v>-854.81213722479151</c:v>
                </c:pt>
                <c:pt idx="754">
                  <c:v>-904.2397785550379</c:v>
                </c:pt>
                <c:pt idx="755">
                  <c:v>-954.91502812526141</c:v>
                </c:pt>
                <c:pt idx="756">
                  <c:v>-1006.8224497635365</c:v>
                </c:pt>
                <c:pt idx="757">
                  <c:v>-1059.9462319663871</c:v>
                </c:pt>
                <c:pt idx="758">
                  <c:v>-1114.2701927151447</c:v>
                </c:pt>
                <c:pt idx="759">
                  <c:v>-1169.7777844051116</c:v>
                </c:pt>
                <c:pt idx="760">
                  <c:v>-1226.4520988861382</c:v>
                </c:pt>
                <c:pt idx="761">
                  <c:v>-1284.2758726130232</c:v>
                </c:pt>
                <c:pt idx="762">
                  <c:v>-1343.2314919041501</c:v>
                </c:pt>
                <c:pt idx="763">
                  <c:v>-1403.3009983067427</c:v>
                </c:pt>
                <c:pt idx="764">
                  <c:v>-1464.466094067257</c:v>
                </c:pt>
                <c:pt idx="765">
                  <c:v>-1526.7081477050046</c:v>
                </c:pt>
                <c:pt idx="766">
                  <c:v>-1590.0081996875078</c:v>
                </c:pt>
                <c:pt idx="767">
                  <c:v>-1654.3469682057048</c:v>
                </c:pt>
                <c:pt idx="768">
                  <c:v>-1719.7048550474619</c:v>
                </c:pt>
                <c:pt idx="769">
                  <c:v>-1786.0619515673043</c:v>
                </c:pt>
                <c:pt idx="770">
                  <c:v>-1853.3980447508097</c:v>
                </c:pt>
                <c:pt idx="771">
                  <c:v>-1921.6926233717081</c:v>
                </c:pt>
                <c:pt idx="772">
                  <c:v>-1990.9248842397537</c:v>
                </c:pt>
                <c:pt idx="773">
                  <c:v>-2061.0737385376392</c:v>
                </c:pt>
                <c:pt idx="774">
                  <c:v>-2132.1178182447702</c:v>
                </c:pt>
                <c:pt idx="775">
                  <c:v>-2204.0354826462622</c:v>
                </c:pt>
                <c:pt idx="776">
                  <c:v>-2276.8048249248563</c:v>
                </c:pt>
                <c:pt idx="777">
                  <c:v>-2350.4036788339772</c:v>
                </c:pt>
                <c:pt idx="778">
                  <c:v>-2424.8096254497264</c:v>
                </c:pt>
                <c:pt idx="779">
                  <c:v>-2499.9999999999927</c:v>
                </c:pt>
                <c:pt idx="780">
                  <c:v>-2575.9518987683182</c:v>
                </c:pt>
                <c:pt idx="781">
                  <c:v>-2652.6421860705445</c:v>
                </c:pt>
                <c:pt idx="782">
                  <c:v>-2730.0475013022597</c:v>
                </c:pt>
                <c:pt idx="783">
                  <c:v>-2808.1442660546095</c:v>
                </c:pt>
                <c:pt idx="784">
                  <c:v>-2886.9086912965026</c:v>
                </c:pt>
                <c:pt idx="785">
                  <c:v>-2966.3167846209935</c:v>
                </c:pt>
                <c:pt idx="786">
                  <c:v>-3046.3443575536294</c:v>
                </c:pt>
                <c:pt idx="787">
                  <c:v>-3126.9670329204328</c:v>
                </c:pt>
                <c:pt idx="788">
                  <c:v>-3208.1602522735029</c:v>
                </c:pt>
                <c:pt idx="789">
                  <c:v>-3289.8992833716557</c:v>
                </c:pt>
                <c:pt idx="790">
                  <c:v>-3372.1592277142108</c:v>
                </c:pt>
                <c:pt idx="791">
                  <c:v>-3454.9150281252687</c:v>
                </c:pt>
                <c:pt idx="792">
                  <c:v>-3538.1414763863168</c:v>
                </c:pt>
                <c:pt idx="793">
                  <c:v>-3621.8132209149994</c:v>
                </c:pt>
                <c:pt idx="794">
                  <c:v>-3705.904774487386</c:v>
                </c:pt>
                <c:pt idx="795">
                  <c:v>-3790.3905220016636</c:v>
                </c:pt>
                <c:pt idx="796">
                  <c:v>-3875.244728280672</c:v>
                </c:pt>
                <c:pt idx="797">
                  <c:v>-3960.4415459111951</c:v>
                </c:pt>
                <c:pt idx="798">
                  <c:v>-4045.9550231172707</c:v>
                </c:pt>
                <c:pt idx="799">
                  <c:v>-4131.7591116653466</c:v>
                </c:pt>
                <c:pt idx="800">
                  <c:v>-4217.8276747988384</c:v>
                </c:pt>
                <c:pt idx="801">
                  <c:v>-4304.1344951996689</c:v>
                </c:pt>
                <c:pt idx="802">
                  <c:v>-4390.6532829742628</c:v>
                </c:pt>
                <c:pt idx="803">
                  <c:v>-4477.3576836617358</c:v>
                </c:pt>
                <c:pt idx="804">
                  <c:v>-4564.2212862617071</c:v>
                </c:pt>
                <c:pt idx="805">
                  <c:v>-4651.2176312793654</c:v>
                </c:pt>
                <c:pt idx="806">
                  <c:v>-4738.3202187852858</c:v>
                </c:pt>
                <c:pt idx="807">
                  <c:v>-4825.5025164874942</c:v>
                </c:pt>
                <c:pt idx="808">
                  <c:v>-4912.7379678135767</c:v>
                </c:pt>
                <c:pt idx="809">
                  <c:v>-4999.9999999999882</c:v>
                </c:pt>
                <c:pt idx="810">
                  <c:v>-5087.2620321864179</c:v>
                </c:pt>
                <c:pt idx="811">
                  <c:v>-5174.4974835125004</c:v>
                </c:pt>
                <c:pt idx="812">
                  <c:v>-5261.6797812147088</c:v>
                </c:pt>
                <c:pt idx="813">
                  <c:v>-5348.7823687206283</c:v>
                </c:pt>
                <c:pt idx="814">
                  <c:v>-5435.7787137382875</c:v>
                </c:pt>
                <c:pt idx="815">
                  <c:v>-5522.6423163382588</c:v>
                </c:pt>
                <c:pt idx="816">
                  <c:v>-5609.3467170257318</c:v>
                </c:pt>
                <c:pt idx="817">
                  <c:v>-5695.8655048003257</c:v>
                </c:pt>
                <c:pt idx="818">
                  <c:v>-5782.1723252011561</c:v>
                </c:pt>
                <c:pt idx="819">
                  <c:v>-5868.2408883346479</c:v>
                </c:pt>
                <c:pt idx="820">
                  <c:v>-5954.0449768827148</c:v>
                </c:pt>
                <c:pt idx="821">
                  <c:v>-6039.5584540887994</c:v>
                </c:pt>
                <c:pt idx="822">
                  <c:v>-6124.755271719323</c:v>
                </c:pt>
                <c:pt idx="823">
                  <c:v>-6209.6094779983314</c:v>
                </c:pt>
                <c:pt idx="824">
                  <c:v>-6294.0952255126085</c:v>
                </c:pt>
                <c:pt idx="825">
                  <c:v>-6378.1867790849956</c:v>
                </c:pt>
                <c:pt idx="826">
                  <c:v>-6461.8585236136778</c:v>
                </c:pt>
                <c:pt idx="827">
                  <c:v>-6545.0849718747259</c:v>
                </c:pt>
                <c:pt idx="828">
                  <c:v>-6627.8407722857837</c:v>
                </c:pt>
                <c:pt idx="829">
                  <c:v>-6710.1007166283389</c:v>
                </c:pt>
                <c:pt idx="830">
                  <c:v>-6791.8397477265007</c:v>
                </c:pt>
                <c:pt idx="831">
                  <c:v>-6873.0329670795618</c:v>
                </c:pt>
                <c:pt idx="832">
                  <c:v>-6953.6556424463661</c:v>
                </c:pt>
                <c:pt idx="833">
                  <c:v>-7033.683215379001</c:v>
                </c:pt>
                <c:pt idx="834">
                  <c:v>-7113.0913087034924</c:v>
                </c:pt>
                <c:pt idx="835">
                  <c:v>-7191.8557339453855</c:v>
                </c:pt>
                <c:pt idx="836">
                  <c:v>-7269.9524986977358</c:v>
                </c:pt>
                <c:pt idx="837">
                  <c:v>-7347.3578139294505</c:v>
                </c:pt>
                <c:pt idx="838">
                  <c:v>-7424.0481012316768</c:v>
                </c:pt>
                <c:pt idx="839">
                  <c:v>-7500.0000000000027</c:v>
                </c:pt>
                <c:pt idx="840">
                  <c:v>-7575.1903745502696</c:v>
                </c:pt>
                <c:pt idx="841">
                  <c:v>-7649.5963211660182</c:v>
                </c:pt>
                <c:pt idx="842">
                  <c:v>-7723.1951750751396</c:v>
                </c:pt>
                <c:pt idx="843">
                  <c:v>-7795.9645173537338</c:v>
                </c:pt>
                <c:pt idx="844">
                  <c:v>-7867.8821817552252</c:v>
                </c:pt>
                <c:pt idx="845">
                  <c:v>-7938.926261462364</c:v>
                </c:pt>
                <c:pt idx="846">
                  <c:v>-8009.0751157602417</c:v>
                </c:pt>
                <c:pt idx="847">
                  <c:v>-8078.3073766282878</c:v>
                </c:pt>
                <c:pt idx="848">
                  <c:v>-8146.6019552491862</c:v>
                </c:pt>
                <c:pt idx="849">
                  <c:v>-8213.9380484326903</c:v>
                </c:pt>
                <c:pt idx="850">
                  <c:v>-8280.2951449525335</c:v>
                </c:pt>
                <c:pt idx="851">
                  <c:v>-8345.6530317942907</c:v>
                </c:pt>
                <c:pt idx="852">
                  <c:v>-8409.9918003124876</c:v>
                </c:pt>
                <c:pt idx="853">
                  <c:v>-8473.2918522949913</c:v>
                </c:pt>
                <c:pt idx="854">
                  <c:v>-8535.533905932738</c:v>
                </c:pt>
                <c:pt idx="855">
                  <c:v>-8596.6990016932541</c:v>
                </c:pt>
                <c:pt idx="856">
                  <c:v>-8656.7685080958472</c:v>
                </c:pt>
                <c:pt idx="857">
                  <c:v>-8715.7241273869731</c:v>
                </c:pt>
                <c:pt idx="858">
                  <c:v>-8773.5479011138577</c:v>
                </c:pt>
                <c:pt idx="859">
                  <c:v>-8830.2222155948857</c:v>
                </c:pt>
                <c:pt idx="860">
                  <c:v>-8885.7298072848516</c:v>
                </c:pt>
                <c:pt idx="861">
                  <c:v>-8940.0537680336092</c:v>
                </c:pt>
                <c:pt idx="862">
                  <c:v>-8993.1775502364599</c:v>
                </c:pt>
                <c:pt idx="863">
                  <c:v>-9045.0849718747359</c:v>
                </c:pt>
                <c:pt idx="864">
                  <c:v>-9095.760221444958</c:v>
                </c:pt>
                <c:pt idx="865">
                  <c:v>-9145.1878627752121</c:v>
                </c:pt>
                <c:pt idx="866">
                  <c:v>-9193.3528397271184</c:v>
                </c:pt>
                <c:pt idx="867">
                  <c:v>-9240.2404807821258</c:v>
                </c:pt>
                <c:pt idx="868">
                  <c:v>-9285.8365035105635</c:v>
                </c:pt>
                <c:pt idx="869">
                  <c:v>-9330.1270189221941</c:v>
                </c:pt>
                <c:pt idx="870">
                  <c:v>-9373.0985356969759</c:v>
                </c:pt>
                <c:pt idx="871">
                  <c:v>-9414.7379642946289</c:v>
                </c:pt>
                <c:pt idx="872">
                  <c:v>-9455.0326209418399</c:v>
                </c:pt>
                <c:pt idx="873">
                  <c:v>-9493.970231495834</c:v>
                </c:pt>
                <c:pt idx="874">
                  <c:v>-9531.5389351832455</c:v>
                </c:pt>
                <c:pt idx="875">
                  <c:v>-9567.7272882130055</c:v>
                </c:pt>
                <c:pt idx="876">
                  <c:v>-9602.5242672622007</c:v>
                </c:pt>
                <c:pt idx="877">
                  <c:v>-9635.9192728339331</c:v>
                </c:pt>
                <c:pt idx="878">
                  <c:v>-9667.9021324860078</c:v>
                </c:pt>
                <c:pt idx="879">
                  <c:v>-9698.4631039295418</c:v>
                </c:pt>
                <c:pt idx="880">
                  <c:v>-9727.5928779965852</c:v>
                </c:pt>
                <c:pt idx="881">
                  <c:v>-9755.2825814757671</c:v>
                </c:pt>
                <c:pt idx="882">
                  <c:v>-9781.5237798151757</c:v>
                </c:pt>
                <c:pt idx="883">
                  <c:v>-9806.3084796915955</c:v>
                </c:pt>
                <c:pt idx="884">
                  <c:v>-9829.629131445341</c:v>
                </c:pt>
                <c:pt idx="885">
                  <c:v>-9851.4786313799814</c:v>
                </c:pt>
                <c:pt idx="886">
                  <c:v>-9871.8503239261772</c:v>
                </c:pt>
                <c:pt idx="887">
                  <c:v>-9890.7380036690283</c:v>
                </c:pt>
                <c:pt idx="888">
                  <c:v>-9908.13591723832</c:v>
                </c:pt>
                <c:pt idx="889">
                  <c:v>-9924.0387650610392</c:v>
                </c:pt>
                <c:pt idx="890">
                  <c:v>-9938.4417029756878</c:v>
                </c:pt>
                <c:pt idx="891">
                  <c:v>-9951.3403437078523</c:v>
                </c:pt>
                <c:pt idx="892">
                  <c:v>-9962.7307582066096</c:v>
                </c:pt>
                <c:pt idx="893">
                  <c:v>-9972.6094768413659</c:v>
                </c:pt>
                <c:pt idx="894">
                  <c:v>-9980.9734904587276</c:v>
                </c:pt>
                <c:pt idx="895">
                  <c:v>-9987.8202512991229</c:v>
                </c:pt>
                <c:pt idx="896">
                  <c:v>-9993.1476737728699</c:v>
                </c:pt>
                <c:pt idx="897">
                  <c:v>-9996.9541350954787</c:v>
                </c:pt>
                <c:pt idx="898">
                  <c:v>-9999.2384757819564</c:v>
                </c:pt>
                <c:pt idx="899">
                  <c:v>-10000</c:v>
                </c:pt>
                <c:pt idx="900">
                  <c:v>-9999.2384757819564</c:v>
                </c:pt>
                <c:pt idx="901">
                  <c:v>-9996.9541350954787</c:v>
                </c:pt>
                <c:pt idx="902">
                  <c:v>-9993.1476737728699</c:v>
                </c:pt>
                <c:pt idx="903">
                  <c:v>-9987.8202512991229</c:v>
                </c:pt>
                <c:pt idx="904">
                  <c:v>-9980.9734904587276</c:v>
                </c:pt>
                <c:pt idx="905">
                  <c:v>-9972.6094768413677</c:v>
                </c:pt>
                <c:pt idx="906">
                  <c:v>-9962.7307582066114</c:v>
                </c:pt>
                <c:pt idx="907">
                  <c:v>-9951.3403437078523</c:v>
                </c:pt>
                <c:pt idx="908">
                  <c:v>-9938.4417029756878</c:v>
                </c:pt>
                <c:pt idx="909">
                  <c:v>-9924.038765061041</c:v>
                </c:pt>
                <c:pt idx="910">
                  <c:v>-9908.13591723832</c:v>
                </c:pt>
                <c:pt idx="911">
                  <c:v>-9890.7380036690301</c:v>
                </c:pt>
                <c:pt idx="912">
                  <c:v>-9871.8503239261772</c:v>
                </c:pt>
                <c:pt idx="913">
                  <c:v>-9851.4786313799814</c:v>
                </c:pt>
                <c:pt idx="914">
                  <c:v>-9829.6291314453429</c:v>
                </c:pt>
                <c:pt idx="915">
                  <c:v>-9806.3084796915973</c:v>
                </c:pt>
                <c:pt idx="916">
                  <c:v>-9781.5237798151793</c:v>
                </c:pt>
                <c:pt idx="917">
                  <c:v>-9755.2825814757707</c:v>
                </c:pt>
                <c:pt idx="918">
                  <c:v>-9727.5928779965834</c:v>
                </c:pt>
                <c:pt idx="919">
                  <c:v>-9698.4631039295436</c:v>
                </c:pt>
                <c:pt idx="920">
                  <c:v>-9667.9021324860059</c:v>
                </c:pt>
                <c:pt idx="921">
                  <c:v>-9635.9192728339367</c:v>
                </c:pt>
                <c:pt idx="922">
                  <c:v>-9602.5242672622026</c:v>
                </c:pt>
                <c:pt idx="923">
                  <c:v>-9567.7272882130019</c:v>
                </c:pt>
                <c:pt idx="924">
                  <c:v>-9531.5389351832491</c:v>
                </c:pt>
                <c:pt idx="925">
                  <c:v>-9493.9702314958358</c:v>
                </c:pt>
                <c:pt idx="926">
                  <c:v>-9455.0326209418417</c:v>
                </c:pt>
                <c:pt idx="927">
                  <c:v>-9414.7379642946325</c:v>
                </c:pt>
                <c:pt idx="928">
                  <c:v>-9373.0985356969795</c:v>
                </c:pt>
                <c:pt idx="929">
                  <c:v>-9330.1270189221959</c:v>
                </c:pt>
                <c:pt idx="930">
                  <c:v>-9285.836503510558</c:v>
                </c:pt>
                <c:pt idx="931">
                  <c:v>-9240.2404807821295</c:v>
                </c:pt>
                <c:pt idx="932">
                  <c:v>-9193.352839727122</c:v>
                </c:pt>
                <c:pt idx="933">
                  <c:v>-9145.1878627752139</c:v>
                </c:pt>
                <c:pt idx="934">
                  <c:v>-9095.760221444958</c:v>
                </c:pt>
                <c:pt idx="935">
                  <c:v>-9045.0849718747395</c:v>
                </c:pt>
                <c:pt idx="936">
                  <c:v>-8993.177550236469</c:v>
                </c:pt>
                <c:pt idx="937">
                  <c:v>-8940.0537680336183</c:v>
                </c:pt>
                <c:pt idx="938">
                  <c:v>-8885.7298072848553</c:v>
                </c:pt>
                <c:pt idx="939">
                  <c:v>-8830.2222155948948</c:v>
                </c:pt>
                <c:pt idx="940">
                  <c:v>-8773.5479011138686</c:v>
                </c:pt>
                <c:pt idx="941">
                  <c:v>-8715.7241273869713</c:v>
                </c:pt>
                <c:pt idx="942">
                  <c:v>-8656.7685080958563</c:v>
                </c:pt>
                <c:pt idx="943">
                  <c:v>-8596.6990016932632</c:v>
                </c:pt>
                <c:pt idx="944">
                  <c:v>-8535.5339059327489</c:v>
                </c:pt>
                <c:pt idx="945">
                  <c:v>-8473.2918522949894</c:v>
                </c:pt>
                <c:pt idx="946">
                  <c:v>-8409.9918003124985</c:v>
                </c:pt>
                <c:pt idx="947">
                  <c:v>-8345.6530317942888</c:v>
                </c:pt>
                <c:pt idx="948">
                  <c:v>-8280.295144952539</c:v>
                </c:pt>
                <c:pt idx="949">
                  <c:v>-8213.938048432703</c:v>
                </c:pt>
                <c:pt idx="950">
                  <c:v>-8146.6019552491844</c:v>
                </c:pt>
                <c:pt idx="951">
                  <c:v>-8078.3073766282923</c:v>
                </c:pt>
                <c:pt idx="952">
                  <c:v>-8009.0751157602463</c:v>
                </c:pt>
                <c:pt idx="953">
                  <c:v>-7938.9262614623613</c:v>
                </c:pt>
                <c:pt idx="954">
                  <c:v>-7867.8821817552307</c:v>
                </c:pt>
                <c:pt idx="955">
                  <c:v>-7795.9645173537383</c:v>
                </c:pt>
                <c:pt idx="956">
                  <c:v>-7723.1951750751286</c:v>
                </c:pt>
                <c:pt idx="957">
                  <c:v>-7649.5963211660237</c:v>
                </c:pt>
                <c:pt idx="958">
                  <c:v>-7575.1903745502741</c:v>
                </c:pt>
                <c:pt idx="959">
                  <c:v>-7500.0000000000073</c:v>
                </c:pt>
                <c:pt idx="960">
                  <c:v>-7424.0481012316832</c:v>
                </c:pt>
                <c:pt idx="961">
                  <c:v>-7347.3578139294559</c:v>
                </c:pt>
                <c:pt idx="962">
                  <c:v>-7269.9524986977412</c:v>
                </c:pt>
                <c:pt idx="963">
                  <c:v>-7191.8557339453828</c:v>
                </c:pt>
                <c:pt idx="964">
                  <c:v>-7113.0913087034978</c:v>
                </c:pt>
                <c:pt idx="965">
                  <c:v>-7033.6832153790074</c:v>
                </c:pt>
                <c:pt idx="966">
                  <c:v>-6953.6556424463797</c:v>
                </c:pt>
                <c:pt idx="967">
                  <c:v>-6873.03296707956</c:v>
                </c:pt>
                <c:pt idx="968">
                  <c:v>-6791.8397477265062</c:v>
                </c:pt>
                <c:pt idx="969">
                  <c:v>-6710.1007166283534</c:v>
                </c:pt>
                <c:pt idx="970">
                  <c:v>-6627.840772285781</c:v>
                </c:pt>
                <c:pt idx="971">
                  <c:v>-6545.0849718747404</c:v>
                </c:pt>
                <c:pt idx="972">
                  <c:v>-6461.8585236136914</c:v>
                </c:pt>
                <c:pt idx="973">
                  <c:v>-6378.1867790850092</c:v>
                </c:pt>
                <c:pt idx="974">
                  <c:v>-6294.0952255126058</c:v>
                </c:pt>
                <c:pt idx="975">
                  <c:v>-6209.6094779983459</c:v>
                </c:pt>
                <c:pt idx="976">
                  <c:v>-6124.7552717193375</c:v>
                </c:pt>
                <c:pt idx="977">
                  <c:v>-6039.5584540887967</c:v>
                </c:pt>
                <c:pt idx="978">
                  <c:v>-5954.0449768827293</c:v>
                </c:pt>
                <c:pt idx="979">
                  <c:v>-5868.2408883346625</c:v>
                </c:pt>
                <c:pt idx="980">
                  <c:v>-5782.1723252011534</c:v>
                </c:pt>
                <c:pt idx="981">
                  <c:v>-5695.8655048003311</c:v>
                </c:pt>
                <c:pt idx="982">
                  <c:v>-5609.34671702573</c:v>
                </c:pt>
                <c:pt idx="983">
                  <c:v>-5522.6423163382651</c:v>
                </c:pt>
                <c:pt idx="984">
                  <c:v>-5435.7787137382938</c:v>
                </c:pt>
                <c:pt idx="985">
                  <c:v>-5348.7823687206173</c:v>
                </c:pt>
                <c:pt idx="986">
                  <c:v>-5261.6797812147151</c:v>
                </c:pt>
                <c:pt idx="987">
                  <c:v>-5174.4974835125058</c:v>
                </c:pt>
                <c:pt idx="988">
                  <c:v>-5087.2620321864242</c:v>
                </c:pt>
                <c:pt idx="989">
                  <c:v>-4999.9999999999945</c:v>
                </c:pt>
                <c:pt idx="990">
                  <c:v>-4912.7379678135821</c:v>
                </c:pt>
                <c:pt idx="991">
                  <c:v>-4825.5025164875005</c:v>
                </c:pt>
                <c:pt idx="992">
                  <c:v>-4738.3202187852739</c:v>
                </c:pt>
                <c:pt idx="993">
                  <c:v>-4651.2176312793717</c:v>
                </c:pt>
                <c:pt idx="994">
                  <c:v>-4564.2212862617125</c:v>
                </c:pt>
                <c:pt idx="995">
                  <c:v>-4477.3576836617422</c:v>
                </c:pt>
                <c:pt idx="996">
                  <c:v>-4390.6532829742591</c:v>
                </c:pt>
                <c:pt idx="997">
                  <c:v>-4304.1344951996753</c:v>
                </c:pt>
                <c:pt idx="998">
                  <c:v>-4217.827674798853</c:v>
                </c:pt>
                <c:pt idx="999">
                  <c:v>-4131.7591116653612</c:v>
                </c:pt>
              </c:numCache>
            </c:numRef>
          </c:xVal>
          <c:yVal>
            <c:numRef>
              <c:f>Calculs!$S$6:$S$1005</c:f>
              <c:numCache>
                <c:formatCode>General</c:formatCode>
                <c:ptCount val="1000"/>
                <c:pt idx="0">
                  <c:v>-14912.737967813582</c:v>
                </c:pt>
                <c:pt idx="1">
                  <c:v>-14825.502516487495</c:v>
                </c:pt>
                <c:pt idx="2">
                  <c:v>-14738.32021878528</c:v>
                </c:pt>
                <c:pt idx="3">
                  <c:v>-14651.217631279373</c:v>
                </c:pt>
                <c:pt idx="4">
                  <c:v>-14564.221286261709</c:v>
                </c:pt>
                <c:pt idx="5">
                  <c:v>-14477.357683661732</c:v>
                </c:pt>
                <c:pt idx="6">
                  <c:v>-14390.653282974263</c:v>
                </c:pt>
                <c:pt idx="7">
                  <c:v>-14304.134495199673</c:v>
                </c:pt>
                <c:pt idx="8">
                  <c:v>-14217.827674798846</c:v>
                </c:pt>
                <c:pt idx="9">
                  <c:v>-14131.759111665348</c:v>
                </c:pt>
                <c:pt idx="10">
                  <c:v>-14045.955023117276</c:v>
                </c:pt>
                <c:pt idx="11">
                  <c:v>-13960.441545911202</c:v>
                </c:pt>
                <c:pt idx="12">
                  <c:v>-13875.244728280675</c:v>
                </c:pt>
                <c:pt idx="13">
                  <c:v>-13790.39052200166</c:v>
                </c:pt>
                <c:pt idx="14">
                  <c:v>-13705.904774487397</c:v>
                </c:pt>
                <c:pt idx="15">
                  <c:v>-13621.813220915004</c:v>
                </c:pt>
                <c:pt idx="16">
                  <c:v>-13538.141476386316</c:v>
                </c:pt>
                <c:pt idx="17">
                  <c:v>-13454.915028125262</c:v>
                </c:pt>
                <c:pt idx="18">
                  <c:v>-13372.159227714217</c:v>
                </c:pt>
                <c:pt idx="19">
                  <c:v>-13289.899283371657</c:v>
                </c:pt>
                <c:pt idx="20">
                  <c:v>-13208.160252273499</c:v>
                </c:pt>
                <c:pt idx="21">
                  <c:v>-13126.96703292044</c:v>
                </c:pt>
                <c:pt idx="22">
                  <c:v>-13046.344357553631</c:v>
                </c:pt>
                <c:pt idx="23">
                  <c:v>-12966.316784621</c:v>
                </c:pt>
                <c:pt idx="24">
                  <c:v>-12886.908691296503</c:v>
                </c:pt>
                <c:pt idx="25">
                  <c:v>-12808.144266054613</c:v>
                </c:pt>
                <c:pt idx="26">
                  <c:v>-12730.047501302266</c:v>
                </c:pt>
                <c:pt idx="27">
                  <c:v>-12652.642186070545</c:v>
                </c:pt>
                <c:pt idx="28">
                  <c:v>-12575.951898768315</c:v>
                </c:pt>
                <c:pt idx="29">
                  <c:v>-12500</c:v>
                </c:pt>
                <c:pt idx="30">
                  <c:v>-12424.809625449729</c:v>
                </c:pt>
                <c:pt idx="31">
                  <c:v>-12350.403678833976</c:v>
                </c:pt>
                <c:pt idx="32">
                  <c:v>-12276.804824924864</c:v>
                </c:pt>
                <c:pt idx="33">
                  <c:v>-12204.035482646264</c:v>
                </c:pt>
                <c:pt idx="34">
                  <c:v>-12132.117818244769</c:v>
                </c:pt>
                <c:pt idx="35">
                  <c:v>-12061.073738537634</c:v>
                </c:pt>
                <c:pt idx="36">
                  <c:v>-11990.924884239759</c:v>
                </c:pt>
                <c:pt idx="37">
                  <c:v>-11921.692623371709</c:v>
                </c:pt>
                <c:pt idx="38">
                  <c:v>-11853.398044750813</c:v>
                </c:pt>
                <c:pt idx="39">
                  <c:v>-11786.061951567304</c:v>
                </c:pt>
                <c:pt idx="40">
                  <c:v>-11719.704855047465</c:v>
                </c:pt>
                <c:pt idx="41">
                  <c:v>-11654.346968205709</c:v>
                </c:pt>
                <c:pt idx="42">
                  <c:v>-11590.008199687509</c:v>
                </c:pt>
                <c:pt idx="43">
                  <c:v>-11526.708147705014</c:v>
                </c:pt>
                <c:pt idx="44">
                  <c:v>-11464.466094067262</c:v>
                </c:pt>
                <c:pt idx="45">
                  <c:v>-11403.300998306744</c:v>
                </c:pt>
                <c:pt idx="46">
                  <c:v>-11343.231491904147</c:v>
                </c:pt>
                <c:pt idx="47">
                  <c:v>-11284.275872613029</c:v>
                </c:pt>
                <c:pt idx="48">
                  <c:v>-11226.45209888614</c:v>
                </c:pt>
                <c:pt idx="49">
                  <c:v>-11169.777784405109</c:v>
                </c:pt>
                <c:pt idx="50">
                  <c:v>-11114.270192715147</c:v>
                </c:pt>
                <c:pt idx="51">
                  <c:v>-11059.946231966391</c:v>
                </c:pt>
                <c:pt idx="52">
                  <c:v>-11006.822449763536</c:v>
                </c:pt>
                <c:pt idx="53">
                  <c:v>-10954.915028125262</c:v>
                </c:pt>
                <c:pt idx="54">
                  <c:v>-10904.239778555042</c:v>
                </c:pt>
                <c:pt idx="55">
                  <c:v>-10854.812137224792</c:v>
                </c:pt>
                <c:pt idx="56">
                  <c:v>-10806.647160272882</c:v>
                </c:pt>
                <c:pt idx="57">
                  <c:v>-10759.759519217871</c:v>
                </c:pt>
                <c:pt idx="58">
                  <c:v>-10714.16349648944</c:v>
                </c:pt>
                <c:pt idx="59">
                  <c:v>-10669.872981077806</c:v>
                </c:pt>
                <c:pt idx="60">
                  <c:v>-10626.90146430302</c:v>
                </c:pt>
                <c:pt idx="61">
                  <c:v>-10585.262035705366</c:v>
                </c:pt>
                <c:pt idx="62">
                  <c:v>-10544.967379058162</c:v>
                </c:pt>
                <c:pt idx="63">
                  <c:v>-10506.029768504166</c:v>
                </c:pt>
                <c:pt idx="64">
                  <c:v>-10468.461064816751</c:v>
                </c:pt>
                <c:pt idx="65">
                  <c:v>-10432.272711786994</c:v>
                </c:pt>
                <c:pt idx="66">
                  <c:v>-10397.475732737799</c:v>
                </c:pt>
                <c:pt idx="67">
                  <c:v>-10364.080727166063</c:v>
                </c:pt>
                <c:pt idx="68">
                  <c:v>-10332.097867513992</c:v>
                </c:pt>
                <c:pt idx="69">
                  <c:v>-10301.536896070458</c:v>
                </c:pt>
                <c:pt idx="70">
                  <c:v>-10272.407122003417</c:v>
                </c:pt>
                <c:pt idx="71">
                  <c:v>-10244.717418524233</c:v>
                </c:pt>
                <c:pt idx="72">
                  <c:v>-10218.476220184823</c:v>
                </c:pt>
                <c:pt idx="73">
                  <c:v>-10193.691520308406</c:v>
                </c:pt>
                <c:pt idx="74">
                  <c:v>-10170.370868554659</c:v>
                </c:pt>
                <c:pt idx="75">
                  <c:v>-10148.521368620019</c:v>
                </c:pt>
                <c:pt idx="76">
                  <c:v>-10128.149676073823</c:v>
                </c:pt>
                <c:pt idx="77">
                  <c:v>-10109.261996330972</c:v>
                </c:pt>
                <c:pt idx="78">
                  <c:v>-10091.86408276168</c:v>
                </c:pt>
                <c:pt idx="79">
                  <c:v>-10075.961234938961</c:v>
                </c:pt>
                <c:pt idx="80">
                  <c:v>-10061.558297024312</c:v>
                </c:pt>
                <c:pt idx="81">
                  <c:v>-10048.659656292148</c:v>
                </c:pt>
                <c:pt idx="82">
                  <c:v>-10037.26924179339</c:v>
                </c:pt>
                <c:pt idx="83">
                  <c:v>-10027.390523158632</c:v>
                </c:pt>
                <c:pt idx="84">
                  <c:v>-10019.026509541272</c:v>
                </c:pt>
                <c:pt idx="85">
                  <c:v>-10012.179748700879</c:v>
                </c:pt>
                <c:pt idx="86">
                  <c:v>-10006.85232622713</c:v>
                </c:pt>
                <c:pt idx="87">
                  <c:v>-10003.045864904521</c:v>
                </c:pt>
                <c:pt idx="88">
                  <c:v>-10000.761524218044</c:v>
                </c:pt>
                <c:pt idx="89">
                  <c:v>-10000</c:v>
                </c:pt>
                <c:pt idx="90">
                  <c:v>-10000.761524218044</c:v>
                </c:pt>
                <c:pt idx="91">
                  <c:v>-10003.045864904521</c:v>
                </c:pt>
                <c:pt idx="92">
                  <c:v>-10006.85232622713</c:v>
                </c:pt>
                <c:pt idx="93">
                  <c:v>-10012.179748700879</c:v>
                </c:pt>
                <c:pt idx="94">
                  <c:v>-10019.026509541272</c:v>
                </c:pt>
                <c:pt idx="95">
                  <c:v>-10027.390523158632</c:v>
                </c:pt>
                <c:pt idx="96">
                  <c:v>-10037.26924179339</c:v>
                </c:pt>
                <c:pt idx="97">
                  <c:v>-10048.659656292148</c:v>
                </c:pt>
                <c:pt idx="98">
                  <c:v>-10061.558297024312</c:v>
                </c:pt>
                <c:pt idx="99">
                  <c:v>-10075.961234938961</c:v>
                </c:pt>
                <c:pt idx="100">
                  <c:v>-10091.86408276168</c:v>
                </c:pt>
                <c:pt idx="101">
                  <c:v>-10109.261996330972</c:v>
                </c:pt>
                <c:pt idx="102">
                  <c:v>-10128.149676073823</c:v>
                </c:pt>
                <c:pt idx="103">
                  <c:v>-10148.521368620019</c:v>
                </c:pt>
                <c:pt idx="104">
                  <c:v>-10170.370868554659</c:v>
                </c:pt>
                <c:pt idx="105">
                  <c:v>-10193.691520308406</c:v>
                </c:pt>
                <c:pt idx="106">
                  <c:v>-10218.476220184823</c:v>
                </c:pt>
                <c:pt idx="107">
                  <c:v>-10244.717418524233</c:v>
                </c:pt>
                <c:pt idx="108">
                  <c:v>-10272.407122003417</c:v>
                </c:pt>
                <c:pt idx="109">
                  <c:v>-10301.536896070458</c:v>
                </c:pt>
                <c:pt idx="110">
                  <c:v>-10332.097867513992</c:v>
                </c:pt>
                <c:pt idx="111">
                  <c:v>-10364.080727166063</c:v>
                </c:pt>
                <c:pt idx="112">
                  <c:v>-10397.475732737799</c:v>
                </c:pt>
                <c:pt idx="113">
                  <c:v>-10432.272711786994</c:v>
                </c:pt>
                <c:pt idx="114">
                  <c:v>-10468.461064816751</c:v>
                </c:pt>
                <c:pt idx="115">
                  <c:v>-10506.029768504166</c:v>
                </c:pt>
                <c:pt idx="116">
                  <c:v>-10544.96737905816</c:v>
                </c:pt>
                <c:pt idx="117">
                  <c:v>-10585.262035705364</c:v>
                </c:pt>
                <c:pt idx="118">
                  <c:v>-10626.90146430302</c:v>
                </c:pt>
                <c:pt idx="119">
                  <c:v>-10669.872981077806</c:v>
                </c:pt>
                <c:pt idx="120">
                  <c:v>-10714.163496489438</c:v>
                </c:pt>
                <c:pt idx="121">
                  <c:v>-10759.759519217871</c:v>
                </c:pt>
                <c:pt idx="122">
                  <c:v>-10806.647160272882</c:v>
                </c:pt>
                <c:pt idx="123">
                  <c:v>-10854.812137224792</c:v>
                </c:pt>
                <c:pt idx="124">
                  <c:v>-10904.23977855504</c:v>
                </c:pt>
                <c:pt idx="125">
                  <c:v>-10954.915028125262</c:v>
                </c:pt>
                <c:pt idx="126">
                  <c:v>-11006.822449763536</c:v>
                </c:pt>
                <c:pt idx="127">
                  <c:v>-11059.946231966391</c:v>
                </c:pt>
                <c:pt idx="128">
                  <c:v>-11114.270192715145</c:v>
                </c:pt>
                <c:pt idx="129">
                  <c:v>-11169.777784405109</c:v>
                </c:pt>
                <c:pt idx="130">
                  <c:v>-11226.45209888614</c:v>
                </c:pt>
                <c:pt idx="131">
                  <c:v>-11284.275872613029</c:v>
                </c:pt>
                <c:pt idx="132">
                  <c:v>-11343.231491904147</c:v>
                </c:pt>
                <c:pt idx="133">
                  <c:v>-11403.300998306742</c:v>
                </c:pt>
                <c:pt idx="134">
                  <c:v>-11464.466094067262</c:v>
                </c:pt>
                <c:pt idx="135">
                  <c:v>-11526.708147705014</c:v>
                </c:pt>
                <c:pt idx="136">
                  <c:v>-11590.008199687507</c:v>
                </c:pt>
                <c:pt idx="137">
                  <c:v>-11654.346968205708</c:v>
                </c:pt>
                <c:pt idx="138">
                  <c:v>-11719.704855047465</c:v>
                </c:pt>
                <c:pt idx="139">
                  <c:v>-11786.061951567302</c:v>
                </c:pt>
                <c:pt idx="140">
                  <c:v>-11853.398044750811</c:v>
                </c:pt>
                <c:pt idx="141">
                  <c:v>-11921.692623371708</c:v>
                </c:pt>
                <c:pt idx="142">
                  <c:v>-11990.924884239759</c:v>
                </c:pt>
                <c:pt idx="143">
                  <c:v>-12061.073738537634</c:v>
                </c:pt>
                <c:pt idx="144">
                  <c:v>-12132.117818244767</c:v>
                </c:pt>
                <c:pt idx="145">
                  <c:v>-12204.035482646264</c:v>
                </c:pt>
                <c:pt idx="146">
                  <c:v>-12276.804824924864</c:v>
                </c:pt>
                <c:pt idx="147">
                  <c:v>-12350.403678833976</c:v>
                </c:pt>
                <c:pt idx="148">
                  <c:v>-12424.809625449729</c:v>
                </c:pt>
                <c:pt idx="149">
                  <c:v>-12500</c:v>
                </c:pt>
                <c:pt idx="150">
                  <c:v>-12575.951898768315</c:v>
                </c:pt>
                <c:pt idx="151">
                  <c:v>-12652.642186070545</c:v>
                </c:pt>
                <c:pt idx="152">
                  <c:v>-12730.047501302266</c:v>
                </c:pt>
                <c:pt idx="153">
                  <c:v>-12808.144266054613</c:v>
                </c:pt>
                <c:pt idx="154">
                  <c:v>-12886.908691296503</c:v>
                </c:pt>
                <c:pt idx="155">
                  <c:v>-12966.316784620998</c:v>
                </c:pt>
                <c:pt idx="156">
                  <c:v>-13046.344357553629</c:v>
                </c:pt>
                <c:pt idx="157">
                  <c:v>-13126.967032920438</c:v>
                </c:pt>
                <c:pt idx="158">
                  <c:v>-13208.160252273499</c:v>
                </c:pt>
                <c:pt idx="159">
                  <c:v>-13289.899283371655</c:v>
                </c:pt>
                <c:pt idx="160">
                  <c:v>-13372.159227714215</c:v>
                </c:pt>
                <c:pt idx="161">
                  <c:v>-13454.915028125262</c:v>
                </c:pt>
                <c:pt idx="162">
                  <c:v>-13538.141476386314</c:v>
                </c:pt>
                <c:pt idx="163">
                  <c:v>-13621.813220915003</c:v>
                </c:pt>
                <c:pt idx="164">
                  <c:v>-13705.904774487395</c:v>
                </c:pt>
                <c:pt idx="165">
                  <c:v>-13790.39052200166</c:v>
                </c:pt>
                <c:pt idx="166">
                  <c:v>-13875.244728280675</c:v>
                </c:pt>
                <c:pt idx="167">
                  <c:v>-13960.441545911202</c:v>
                </c:pt>
                <c:pt idx="168">
                  <c:v>-14045.955023117274</c:v>
                </c:pt>
                <c:pt idx="169">
                  <c:v>-14131.759111665349</c:v>
                </c:pt>
                <c:pt idx="170">
                  <c:v>-14217.827674798846</c:v>
                </c:pt>
                <c:pt idx="171">
                  <c:v>-14304.134495199671</c:v>
                </c:pt>
                <c:pt idx="172">
                  <c:v>-14390.653282974263</c:v>
                </c:pt>
                <c:pt idx="173">
                  <c:v>-14477.357683661732</c:v>
                </c:pt>
                <c:pt idx="174">
                  <c:v>-14564.221286261707</c:v>
                </c:pt>
                <c:pt idx="175">
                  <c:v>-14651.217631279373</c:v>
                </c:pt>
                <c:pt idx="176">
                  <c:v>-14738.32021878528</c:v>
                </c:pt>
                <c:pt idx="177">
                  <c:v>-14825.502516487497</c:v>
                </c:pt>
                <c:pt idx="178">
                  <c:v>-14912.737967813582</c:v>
                </c:pt>
                <c:pt idx="179">
                  <c:v>-15000</c:v>
                </c:pt>
                <c:pt idx="180">
                  <c:v>-15087.262032186416</c:v>
                </c:pt>
                <c:pt idx="181">
                  <c:v>-15174.497483512505</c:v>
                </c:pt>
                <c:pt idx="182">
                  <c:v>-15261.679781214718</c:v>
                </c:pt>
                <c:pt idx="183">
                  <c:v>-15348.782368720624</c:v>
                </c:pt>
                <c:pt idx="184">
                  <c:v>-15435.778713738289</c:v>
                </c:pt>
                <c:pt idx="185">
                  <c:v>-15522.642316338266</c:v>
                </c:pt>
                <c:pt idx="186">
                  <c:v>-15609.346717025739</c:v>
                </c:pt>
                <c:pt idx="187">
                  <c:v>-15695.865504800327</c:v>
                </c:pt>
                <c:pt idx="188">
                  <c:v>-15782.172325201154</c:v>
                </c:pt>
                <c:pt idx="189">
                  <c:v>-15868.240888334652</c:v>
                </c:pt>
                <c:pt idx="190">
                  <c:v>-15954.044976882724</c:v>
                </c:pt>
                <c:pt idx="191">
                  <c:v>-16039.558454088796</c:v>
                </c:pt>
                <c:pt idx="192">
                  <c:v>-16124.755271719325</c:v>
                </c:pt>
                <c:pt idx="193">
                  <c:v>-16209.609477998338</c:v>
                </c:pt>
                <c:pt idx="194">
                  <c:v>-16294.095225512601</c:v>
                </c:pt>
                <c:pt idx="195">
                  <c:v>-16378.186779084996</c:v>
                </c:pt>
                <c:pt idx="196">
                  <c:v>-16461.858523613682</c:v>
                </c:pt>
                <c:pt idx="197">
                  <c:v>-16545.084971874738</c:v>
                </c:pt>
                <c:pt idx="198">
                  <c:v>-16627.840772285785</c:v>
                </c:pt>
                <c:pt idx="199">
                  <c:v>-16710.100716628342</c:v>
                </c:pt>
                <c:pt idx="200">
                  <c:v>-16791.839747726503</c:v>
                </c:pt>
                <c:pt idx="201">
                  <c:v>-16873.032967079562</c:v>
                </c:pt>
                <c:pt idx="202">
                  <c:v>-16953.655642446367</c:v>
                </c:pt>
                <c:pt idx="203">
                  <c:v>-17033.683215378998</c:v>
                </c:pt>
                <c:pt idx="204">
                  <c:v>-17113.091308703497</c:v>
                </c:pt>
                <c:pt idx="205">
                  <c:v>-17191.855733945384</c:v>
                </c:pt>
                <c:pt idx="206">
                  <c:v>-17269.95249869773</c:v>
                </c:pt>
                <c:pt idx="207">
                  <c:v>-17347.357813929455</c:v>
                </c:pt>
                <c:pt idx="208">
                  <c:v>-17424.048101231685</c:v>
                </c:pt>
                <c:pt idx="209">
                  <c:v>-17500</c:v>
                </c:pt>
                <c:pt idx="210">
                  <c:v>-17575.190374550271</c:v>
                </c:pt>
                <c:pt idx="211">
                  <c:v>-17649.596321166024</c:v>
                </c:pt>
                <c:pt idx="212">
                  <c:v>-17723.195175075136</c:v>
                </c:pt>
                <c:pt idx="213">
                  <c:v>-17795.964517353732</c:v>
                </c:pt>
                <c:pt idx="214">
                  <c:v>-17867.882181755231</c:v>
                </c:pt>
                <c:pt idx="215">
                  <c:v>-17938.926261462366</c:v>
                </c:pt>
                <c:pt idx="216">
                  <c:v>-18009.075115760239</c:v>
                </c:pt>
                <c:pt idx="217">
                  <c:v>-18078.307376628291</c:v>
                </c:pt>
                <c:pt idx="218">
                  <c:v>-18146.601955249189</c:v>
                </c:pt>
                <c:pt idx="219">
                  <c:v>-18213.938048432698</c:v>
                </c:pt>
                <c:pt idx="220">
                  <c:v>-18280.295144952535</c:v>
                </c:pt>
                <c:pt idx="221">
                  <c:v>-18345.653031794292</c:v>
                </c:pt>
                <c:pt idx="222">
                  <c:v>-18409.991800312491</c:v>
                </c:pt>
                <c:pt idx="223">
                  <c:v>-18473.291852294988</c:v>
                </c:pt>
                <c:pt idx="224">
                  <c:v>-18535.533905932738</c:v>
                </c:pt>
                <c:pt idx="225">
                  <c:v>-18596.699001693254</c:v>
                </c:pt>
                <c:pt idx="226">
                  <c:v>-18656.768508095851</c:v>
                </c:pt>
                <c:pt idx="227">
                  <c:v>-18715.724127386969</c:v>
                </c:pt>
                <c:pt idx="228">
                  <c:v>-18773.54790111386</c:v>
                </c:pt>
                <c:pt idx="229">
                  <c:v>-18830.222215594891</c:v>
                </c:pt>
                <c:pt idx="230">
                  <c:v>-18885.729807284857</c:v>
                </c:pt>
                <c:pt idx="231">
                  <c:v>-18940.053768033609</c:v>
                </c:pt>
                <c:pt idx="232">
                  <c:v>-18993.177550236465</c:v>
                </c:pt>
                <c:pt idx="233">
                  <c:v>-19045.084971874738</c:v>
                </c:pt>
                <c:pt idx="234">
                  <c:v>-19095.760221444958</c:v>
                </c:pt>
                <c:pt idx="235">
                  <c:v>-19145.187862775208</c:v>
                </c:pt>
                <c:pt idx="236">
                  <c:v>-19193.352839727122</c:v>
                </c:pt>
                <c:pt idx="237">
                  <c:v>-19240.240480782129</c:v>
                </c:pt>
                <c:pt idx="238">
                  <c:v>-19285.83650351056</c:v>
                </c:pt>
                <c:pt idx="239">
                  <c:v>-19330.12701892219</c:v>
                </c:pt>
                <c:pt idx="240">
                  <c:v>-19373.09853569698</c:v>
                </c:pt>
                <c:pt idx="241">
                  <c:v>-19414.737964294636</c:v>
                </c:pt>
                <c:pt idx="242">
                  <c:v>-19455.032620941838</c:v>
                </c:pt>
                <c:pt idx="243">
                  <c:v>-19493.970231495834</c:v>
                </c:pt>
                <c:pt idx="244">
                  <c:v>-19531.538935183249</c:v>
                </c:pt>
                <c:pt idx="245">
                  <c:v>-19567.727288213006</c:v>
                </c:pt>
                <c:pt idx="246">
                  <c:v>-19602.524267262201</c:v>
                </c:pt>
                <c:pt idx="247">
                  <c:v>-19635.919272833937</c:v>
                </c:pt>
                <c:pt idx="248">
                  <c:v>-19667.902132486008</c:v>
                </c:pt>
                <c:pt idx="249">
                  <c:v>-19698.463103929542</c:v>
                </c:pt>
                <c:pt idx="250">
                  <c:v>-19727.592877996583</c:v>
                </c:pt>
                <c:pt idx="251">
                  <c:v>-19755.282581475767</c:v>
                </c:pt>
                <c:pt idx="252">
                  <c:v>-19781.523779815176</c:v>
                </c:pt>
                <c:pt idx="253">
                  <c:v>-19806.308479691594</c:v>
                </c:pt>
                <c:pt idx="254">
                  <c:v>-19829.629131445341</c:v>
                </c:pt>
                <c:pt idx="255">
                  <c:v>-19851.478631379981</c:v>
                </c:pt>
                <c:pt idx="256">
                  <c:v>-19871.850323926177</c:v>
                </c:pt>
                <c:pt idx="257">
                  <c:v>-19890.73800366903</c:v>
                </c:pt>
                <c:pt idx="258">
                  <c:v>-19908.13591723832</c:v>
                </c:pt>
                <c:pt idx="259">
                  <c:v>-19924.038765061039</c:v>
                </c:pt>
                <c:pt idx="260">
                  <c:v>-19938.441702975688</c:v>
                </c:pt>
                <c:pt idx="261">
                  <c:v>-19951.340343707852</c:v>
                </c:pt>
                <c:pt idx="262">
                  <c:v>-19962.73075820661</c:v>
                </c:pt>
                <c:pt idx="263">
                  <c:v>-19972.609476841368</c:v>
                </c:pt>
                <c:pt idx="264">
                  <c:v>-19980.973490458728</c:v>
                </c:pt>
                <c:pt idx="265">
                  <c:v>-19987.820251299119</c:v>
                </c:pt>
                <c:pt idx="266">
                  <c:v>-19993.14767377287</c:v>
                </c:pt>
                <c:pt idx="267">
                  <c:v>-19996.954135095479</c:v>
                </c:pt>
                <c:pt idx="268">
                  <c:v>-19999.238475781956</c:v>
                </c:pt>
                <c:pt idx="269">
                  <c:v>-20000</c:v>
                </c:pt>
                <c:pt idx="270">
                  <c:v>-19999.238475781956</c:v>
                </c:pt>
                <c:pt idx="271">
                  <c:v>-19996.954135095479</c:v>
                </c:pt>
                <c:pt idx="272">
                  <c:v>-19993.14767377287</c:v>
                </c:pt>
                <c:pt idx="273">
                  <c:v>-19987.820251299123</c:v>
                </c:pt>
                <c:pt idx="274">
                  <c:v>-19980.973490458728</c:v>
                </c:pt>
                <c:pt idx="275">
                  <c:v>-19972.609476841368</c:v>
                </c:pt>
                <c:pt idx="276">
                  <c:v>-19962.73075820661</c:v>
                </c:pt>
                <c:pt idx="277">
                  <c:v>-19951.340343707852</c:v>
                </c:pt>
                <c:pt idx="278">
                  <c:v>-19938.441702975688</c:v>
                </c:pt>
                <c:pt idx="279">
                  <c:v>-19924.038765061043</c:v>
                </c:pt>
                <c:pt idx="280">
                  <c:v>-19908.13591723832</c:v>
                </c:pt>
                <c:pt idx="281">
                  <c:v>-19890.73800366903</c:v>
                </c:pt>
                <c:pt idx="282">
                  <c:v>-19871.850323926177</c:v>
                </c:pt>
                <c:pt idx="283">
                  <c:v>-19851.478631379985</c:v>
                </c:pt>
                <c:pt idx="284">
                  <c:v>-19829.629131445341</c:v>
                </c:pt>
                <c:pt idx="285">
                  <c:v>-19806.308479691594</c:v>
                </c:pt>
                <c:pt idx="286">
                  <c:v>-19781.523779815179</c:v>
                </c:pt>
                <c:pt idx="287">
                  <c:v>-19755.282581475767</c:v>
                </c:pt>
                <c:pt idx="288">
                  <c:v>-19727.592877996583</c:v>
                </c:pt>
                <c:pt idx="289">
                  <c:v>-19698.463103929542</c:v>
                </c:pt>
                <c:pt idx="290">
                  <c:v>-19667.902132486011</c:v>
                </c:pt>
                <c:pt idx="291">
                  <c:v>-19635.919272833937</c:v>
                </c:pt>
                <c:pt idx="292">
                  <c:v>-19602.524267262204</c:v>
                </c:pt>
                <c:pt idx="293">
                  <c:v>-19567.727288213006</c:v>
                </c:pt>
                <c:pt idx="294">
                  <c:v>-19531.538935183249</c:v>
                </c:pt>
                <c:pt idx="295">
                  <c:v>-19493.970231495834</c:v>
                </c:pt>
                <c:pt idx="296">
                  <c:v>-19455.032620941842</c:v>
                </c:pt>
                <c:pt idx="297">
                  <c:v>-19414.737964294636</c:v>
                </c:pt>
                <c:pt idx="298">
                  <c:v>-19373.09853569698</c:v>
                </c:pt>
                <c:pt idx="299">
                  <c:v>-19330.127018922194</c:v>
                </c:pt>
                <c:pt idx="300">
                  <c:v>-19285.83650351056</c:v>
                </c:pt>
                <c:pt idx="301">
                  <c:v>-19240.240480782129</c:v>
                </c:pt>
                <c:pt idx="302">
                  <c:v>-19193.352839727122</c:v>
                </c:pt>
                <c:pt idx="303">
                  <c:v>-19145.187862775208</c:v>
                </c:pt>
                <c:pt idx="304">
                  <c:v>-19095.760221444958</c:v>
                </c:pt>
                <c:pt idx="305">
                  <c:v>-19045.084971874738</c:v>
                </c:pt>
                <c:pt idx="306">
                  <c:v>-18993.177550236465</c:v>
                </c:pt>
                <c:pt idx="307">
                  <c:v>-18940.053768033609</c:v>
                </c:pt>
                <c:pt idx="308">
                  <c:v>-18885.729807284853</c:v>
                </c:pt>
                <c:pt idx="309">
                  <c:v>-18830.222215594891</c:v>
                </c:pt>
                <c:pt idx="310">
                  <c:v>-18773.54790111386</c:v>
                </c:pt>
                <c:pt idx="311">
                  <c:v>-18715.724127386973</c:v>
                </c:pt>
                <c:pt idx="312">
                  <c:v>-18656.768508095854</c:v>
                </c:pt>
                <c:pt idx="313">
                  <c:v>-18596.699001693258</c:v>
                </c:pt>
                <c:pt idx="314">
                  <c:v>-18535.533905932738</c:v>
                </c:pt>
                <c:pt idx="315">
                  <c:v>-18473.291852294988</c:v>
                </c:pt>
                <c:pt idx="316">
                  <c:v>-18409.991800312491</c:v>
                </c:pt>
                <c:pt idx="317">
                  <c:v>-18345.653031794289</c:v>
                </c:pt>
                <c:pt idx="318">
                  <c:v>-18280.295144952535</c:v>
                </c:pt>
                <c:pt idx="319">
                  <c:v>-18213.938048432698</c:v>
                </c:pt>
                <c:pt idx="320">
                  <c:v>-18146.601955249189</c:v>
                </c:pt>
                <c:pt idx="321">
                  <c:v>-18078.307376628294</c:v>
                </c:pt>
                <c:pt idx="322">
                  <c:v>-18009.075115760243</c:v>
                </c:pt>
                <c:pt idx="323">
                  <c:v>-17938.926261462366</c:v>
                </c:pt>
                <c:pt idx="324">
                  <c:v>-17867.882181755231</c:v>
                </c:pt>
                <c:pt idx="325">
                  <c:v>-17795.964517353736</c:v>
                </c:pt>
                <c:pt idx="326">
                  <c:v>-17723.195175075136</c:v>
                </c:pt>
                <c:pt idx="327">
                  <c:v>-17649.596321166027</c:v>
                </c:pt>
                <c:pt idx="328">
                  <c:v>-17575.190374550271</c:v>
                </c:pt>
                <c:pt idx="329">
                  <c:v>-17500.000000000004</c:v>
                </c:pt>
                <c:pt idx="330">
                  <c:v>-17424.048101231685</c:v>
                </c:pt>
                <c:pt idx="331">
                  <c:v>-17347.357813929455</c:v>
                </c:pt>
                <c:pt idx="332">
                  <c:v>-17269.952498697734</c:v>
                </c:pt>
                <c:pt idx="333">
                  <c:v>-17191.855733945384</c:v>
                </c:pt>
                <c:pt idx="334">
                  <c:v>-17113.091308703501</c:v>
                </c:pt>
                <c:pt idx="335">
                  <c:v>-17033.683215379002</c:v>
                </c:pt>
                <c:pt idx="336">
                  <c:v>-16953.655642446374</c:v>
                </c:pt>
                <c:pt idx="337">
                  <c:v>-16873.032967079562</c:v>
                </c:pt>
                <c:pt idx="338">
                  <c:v>-16791.839747726503</c:v>
                </c:pt>
                <c:pt idx="339">
                  <c:v>-16710.100716628342</c:v>
                </c:pt>
                <c:pt idx="340">
                  <c:v>-16627.840772285788</c:v>
                </c:pt>
                <c:pt idx="341">
                  <c:v>-16545.084971874738</c:v>
                </c:pt>
                <c:pt idx="342">
                  <c:v>-16461.858523613682</c:v>
                </c:pt>
                <c:pt idx="343">
                  <c:v>-16378.186779084999</c:v>
                </c:pt>
                <c:pt idx="344">
                  <c:v>-16294.095225512603</c:v>
                </c:pt>
                <c:pt idx="345">
                  <c:v>-16209.60947799834</c:v>
                </c:pt>
                <c:pt idx="346">
                  <c:v>-16124.755271719327</c:v>
                </c:pt>
                <c:pt idx="347">
                  <c:v>-16039.558454088799</c:v>
                </c:pt>
                <c:pt idx="348">
                  <c:v>-15954.044976882724</c:v>
                </c:pt>
                <c:pt idx="349">
                  <c:v>-15868.240888334656</c:v>
                </c:pt>
                <c:pt idx="350">
                  <c:v>-15782.172325201156</c:v>
                </c:pt>
                <c:pt idx="351">
                  <c:v>-15695.865504800329</c:v>
                </c:pt>
                <c:pt idx="352">
                  <c:v>-15609.346717025741</c:v>
                </c:pt>
                <c:pt idx="353">
                  <c:v>-15522.642316338268</c:v>
                </c:pt>
                <c:pt idx="354">
                  <c:v>-15435.778713738291</c:v>
                </c:pt>
                <c:pt idx="355">
                  <c:v>-15348.782368720624</c:v>
                </c:pt>
                <c:pt idx="356">
                  <c:v>-15261.679781214722</c:v>
                </c:pt>
                <c:pt idx="357">
                  <c:v>-15174.497483512505</c:v>
                </c:pt>
                <c:pt idx="358">
                  <c:v>-15087.262032186421</c:v>
                </c:pt>
                <c:pt idx="359">
                  <c:v>-15000.000000000002</c:v>
                </c:pt>
                <c:pt idx="360">
                  <c:v>-14912.737967813584</c:v>
                </c:pt>
                <c:pt idx="361">
                  <c:v>-14825.502516487499</c:v>
                </c:pt>
                <c:pt idx="362">
                  <c:v>-14738.32021878528</c:v>
                </c:pt>
                <c:pt idx="363">
                  <c:v>-14651.217631279374</c:v>
                </c:pt>
                <c:pt idx="364">
                  <c:v>-14564.221286261707</c:v>
                </c:pt>
                <c:pt idx="365">
                  <c:v>-14477.357683661736</c:v>
                </c:pt>
                <c:pt idx="366">
                  <c:v>-14390.653282974261</c:v>
                </c:pt>
                <c:pt idx="367">
                  <c:v>-14304.134495199678</c:v>
                </c:pt>
                <c:pt idx="368">
                  <c:v>-14217.827674798848</c:v>
                </c:pt>
                <c:pt idx="369">
                  <c:v>-14131.759111665351</c:v>
                </c:pt>
                <c:pt idx="370">
                  <c:v>-14045.955023117274</c:v>
                </c:pt>
                <c:pt idx="371">
                  <c:v>-13960.441545911208</c:v>
                </c:pt>
                <c:pt idx="372">
                  <c:v>-13875.244728280675</c:v>
                </c:pt>
                <c:pt idx="373">
                  <c:v>-13790.390522001659</c:v>
                </c:pt>
                <c:pt idx="374">
                  <c:v>-13705.904774487399</c:v>
                </c:pt>
                <c:pt idx="375">
                  <c:v>-13621.813220915003</c:v>
                </c:pt>
                <c:pt idx="376">
                  <c:v>-13538.141476386318</c:v>
                </c:pt>
                <c:pt idx="377">
                  <c:v>-13454.915028125264</c:v>
                </c:pt>
                <c:pt idx="378">
                  <c:v>-13372.159227714219</c:v>
                </c:pt>
                <c:pt idx="379">
                  <c:v>-13289.899283371655</c:v>
                </c:pt>
                <c:pt idx="380">
                  <c:v>-13208.160252273503</c:v>
                </c:pt>
                <c:pt idx="381">
                  <c:v>-13126.96703292044</c:v>
                </c:pt>
                <c:pt idx="382">
                  <c:v>-13046.344357553637</c:v>
                </c:pt>
                <c:pt idx="383">
                  <c:v>-12966.316784621002</c:v>
                </c:pt>
                <c:pt idx="384">
                  <c:v>-12886.908691296503</c:v>
                </c:pt>
                <c:pt idx="385">
                  <c:v>-12808.144266054613</c:v>
                </c:pt>
                <c:pt idx="386">
                  <c:v>-12730.047501302262</c:v>
                </c:pt>
                <c:pt idx="387">
                  <c:v>-12652.642186070549</c:v>
                </c:pt>
                <c:pt idx="388">
                  <c:v>-12575.951898768315</c:v>
                </c:pt>
                <c:pt idx="389">
                  <c:v>-12500.000000000004</c:v>
                </c:pt>
                <c:pt idx="390">
                  <c:v>-12424.80962544973</c:v>
                </c:pt>
                <c:pt idx="391">
                  <c:v>-12350.403678833976</c:v>
                </c:pt>
                <c:pt idx="392">
                  <c:v>-12276.804824924868</c:v>
                </c:pt>
                <c:pt idx="393">
                  <c:v>-12204.035482646268</c:v>
                </c:pt>
                <c:pt idx="394">
                  <c:v>-12132.117818244769</c:v>
                </c:pt>
                <c:pt idx="395">
                  <c:v>-12061.073738537632</c:v>
                </c:pt>
                <c:pt idx="396">
                  <c:v>-11990.924884239761</c:v>
                </c:pt>
                <c:pt idx="397">
                  <c:v>-11921.692623371708</c:v>
                </c:pt>
                <c:pt idx="398">
                  <c:v>-11853.398044750815</c:v>
                </c:pt>
                <c:pt idx="399">
                  <c:v>-11786.061951567304</c:v>
                </c:pt>
                <c:pt idx="400">
                  <c:v>-11719.704855047465</c:v>
                </c:pt>
                <c:pt idx="401">
                  <c:v>-11654.346968205708</c:v>
                </c:pt>
                <c:pt idx="402">
                  <c:v>-11590.008199687511</c:v>
                </c:pt>
                <c:pt idx="403">
                  <c:v>-11526.708147705014</c:v>
                </c:pt>
                <c:pt idx="404">
                  <c:v>-11464.466094067266</c:v>
                </c:pt>
                <c:pt idx="405">
                  <c:v>-11403.300998306746</c:v>
                </c:pt>
                <c:pt idx="406">
                  <c:v>-11343.231491904146</c:v>
                </c:pt>
                <c:pt idx="407">
                  <c:v>-11284.275872613031</c:v>
                </c:pt>
                <c:pt idx="408">
                  <c:v>-11226.45209888614</c:v>
                </c:pt>
                <c:pt idx="409">
                  <c:v>-11169.777784405111</c:v>
                </c:pt>
                <c:pt idx="410">
                  <c:v>-11114.270192715145</c:v>
                </c:pt>
                <c:pt idx="411">
                  <c:v>-11059.946231966393</c:v>
                </c:pt>
                <c:pt idx="412">
                  <c:v>-11006.822449763536</c:v>
                </c:pt>
                <c:pt idx="413">
                  <c:v>-10954.915028125266</c:v>
                </c:pt>
                <c:pt idx="414">
                  <c:v>-10904.239778555042</c:v>
                </c:pt>
                <c:pt idx="415">
                  <c:v>-10854.812137224792</c:v>
                </c:pt>
                <c:pt idx="416">
                  <c:v>-10806.64716027288</c:v>
                </c:pt>
                <c:pt idx="417">
                  <c:v>-10759.759519217871</c:v>
                </c:pt>
                <c:pt idx="418">
                  <c:v>-10714.16349648944</c:v>
                </c:pt>
                <c:pt idx="419">
                  <c:v>-10669.872981077806</c:v>
                </c:pt>
                <c:pt idx="420">
                  <c:v>-10626.901464303024</c:v>
                </c:pt>
                <c:pt idx="421">
                  <c:v>-10585.262035705366</c:v>
                </c:pt>
                <c:pt idx="422">
                  <c:v>-10544.967379058162</c:v>
                </c:pt>
                <c:pt idx="423">
                  <c:v>-10506.029768504166</c:v>
                </c:pt>
                <c:pt idx="424">
                  <c:v>-10468.461064816751</c:v>
                </c:pt>
                <c:pt idx="425">
                  <c:v>-10432.272711786994</c:v>
                </c:pt>
                <c:pt idx="426">
                  <c:v>-10397.475732737797</c:v>
                </c:pt>
                <c:pt idx="427">
                  <c:v>-10364.080727166063</c:v>
                </c:pt>
                <c:pt idx="428">
                  <c:v>-10332.09786751399</c:v>
                </c:pt>
                <c:pt idx="429">
                  <c:v>-10301.536896070458</c:v>
                </c:pt>
                <c:pt idx="430">
                  <c:v>-10272.407122003417</c:v>
                </c:pt>
                <c:pt idx="431">
                  <c:v>-10244.717418524233</c:v>
                </c:pt>
                <c:pt idx="432">
                  <c:v>-10218.476220184823</c:v>
                </c:pt>
                <c:pt idx="433">
                  <c:v>-10193.691520308406</c:v>
                </c:pt>
                <c:pt idx="434">
                  <c:v>-10170.370868554659</c:v>
                </c:pt>
                <c:pt idx="435">
                  <c:v>-10148.521368620019</c:v>
                </c:pt>
                <c:pt idx="436">
                  <c:v>-10128.149676073825</c:v>
                </c:pt>
                <c:pt idx="437">
                  <c:v>-10109.261996330972</c:v>
                </c:pt>
                <c:pt idx="438">
                  <c:v>-10091.86408276168</c:v>
                </c:pt>
                <c:pt idx="439">
                  <c:v>-10075.961234938961</c:v>
                </c:pt>
                <c:pt idx="440">
                  <c:v>-10061.558297024312</c:v>
                </c:pt>
                <c:pt idx="441">
                  <c:v>-10048.659656292148</c:v>
                </c:pt>
                <c:pt idx="442">
                  <c:v>-10037.26924179339</c:v>
                </c:pt>
                <c:pt idx="443">
                  <c:v>-10027.390523158632</c:v>
                </c:pt>
                <c:pt idx="444">
                  <c:v>-10019.026509541272</c:v>
                </c:pt>
                <c:pt idx="445">
                  <c:v>-10012.179748700879</c:v>
                </c:pt>
                <c:pt idx="446">
                  <c:v>-10006.85232622713</c:v>
                </c:pt>
                <c:pt idx="447">
                  <c:v>-10003.045864904521</c:v>
                </c:pt>
                <c:pt idx="448">
                  <c:v>-10000.761524218044</c:v>
                </c:pt>
                <c:pt idx="449">
                  <c:v>-10000</c:v>
                </c:pt>
                <c:pt idx="450">
                  <c:v>-10000.761524218044</c:v>
                </c:pt>
                <c:pt idx="451">
                  <c:v>-10003.045864904521</c:v>
                </c:pt>
                <c:pt idx="452">
                  <c:v>-10006.85232622713</c:v>
                </c:pt>
                <c:pt idx="453">
                  <c:v>-10012.179748700877</c:v>
                </c:pt>
                <c:pt idx="454">
                  <c:v>-10019.026509541272</c:v>
                </c:pt>
                <c:pt idx="455">
                  <c:v>-10027.390523158632</c:v>
                </c:pt>
                <c:pt idx="456">
                  <c:v>-10037.26924179339</c:v>
                </c:pt>
                <c:pt idx="457">
                  <c:v>-10048.659656292148</c:v>
                </c:pt>
                <c:pt idx="458">
                  <c:v>-10061.55829702431</c:v>
                </c:pt>
                <c:pt idx="459">
                  <c:v>-10075.961234938959</c:v>
                </c:pt>
                <c:pt idx="460">
                  <c:v>-10091.86408276168</c:v>
                </c:pt>
                <c:pt idx="461">
                  <c:v>-10109.261996330973</c:v>
                </c:pt>
                <c:pt idx="462">
                  <c:v>-10128.149676073823</c:v>
                </c:pt>
                <c:pt idx="463">
                  <c:v>-10148.521368620019</c:v>
                </c:pt>
                <c:pt idx="464">
                  <c:v>-10170.370868554659</c:v>
                </c:pt>
                <c:pt idx="465">
                  <c:v>-10193.691520308406</c:v>
                </c:pt>
                <c:pt idx="466">
                  <c:v>-10218.476220184821</c:v>
                </c:pt>
                <c:pt idx="467">
                  <c:v>-10244.717418524233</c:v>
                </c:pt>
                <c:pt idx="468">
                  <c:v>-10272.407122003413</c:v>
                </c:pt>
                <c:pt idx="469">
                  <c:v>-10301.536896070456</c:v>
                </c:pt>
                <c:pt idx="470">
                  <c:v>-10332.097867513992</c:v>
                </c:pt>
                <c:pt idx="471">
                  <c:v>-10364.08072716606</c:v>
                </c:pt>
                <c:pt idx="472">
                  <c:v>-10397.475732737797</c:v>
                </c:pt>
                <c:pt idx="473">
                  <c:v>-10432.272711786996</c:v>
                </c:pt>
                <c:pt idx="474">
                  <c:v>-10468.461064816749</c:v>
                </c:pt>
                <c:pt idx="475">
                  <c:v>-10506.029768504166</c:v>
                </c:pt>
                <c:pt idx="476">
                  <c:v>-10544.967379058162</c:v>
                </c:pt>
                <c:pt idx="477">
                  <c:v>-10585.262035705364</c:v>
                </c:pt>
                <c:pt idx="478">
                  <c:v>-10626.90146430302</c:v>
                </c:pt>
                <c:pt idx="479">
                  <c:v>-10669.872981077804</c:v>
                </c:pt>
                <c:pt idx="480">
                  <c:v>-10714.163496489437</c:v>
                </c:pt>
                <c:pt idx="481">
                  <c:v>-10759.759519217871</c:v>
                </c:pt>
                <c:pt idx="482">
                  <c:v>-10806.647160272878</c:v>
                </c:pt>
                <c:pt idx="483">
                  <c:v>-10854.812137224792</c:v>
                </c:pt>
                <c:pt idx="484">
                  <c:v>-10904.239778555038</c:v>
                </c:pt>
                <c:pt idx="485">
                  <c:v>-10954.915028125262</c:v>
                </c:pt>
                <c:pt idx="486">
                  <c:v>-11006.822449763531</c:v>
                </c:pt>
                <c:pt idx="487">
                  <c:v>-11059.946231966387</c:v>
                </c:pt>
                <c:pt idx="488">
                  <c:v>-11114.270192715147</c:v>
                </c:pt>
                <c:pt idx="489">
                  <c:v>-11169.777784405105</c:v>
                </c:pt>
                <c:pt idx="490">
                  <c:v>-11226.452098886139</c:v>
                </c:pt>
                <c:pt idx="491">
                  <c:v>-11284.275872613031</c:v>
                </c:pt>
                <c:pt idx="492">
                  <c:v>-11343.231491904151</c:v>
                </c:pt>
                <c:pt idx="493">
                  <c:v>-11403.300998306744</c:v>
                </c:pt>
                <c:pt idx="494">
                  <c:v>-11464.466094067264</c:v>
                </c:pt>
                <c:pt idx="495">
                  <c:v>-11526.708147705012</c:v>
                </c:pt>
                <c:pt idx="496">
                  <c:v>-11590.008199687509</c:v>
                </c:pt>
                <c:pt idx="497">
                  <c:v>-11654.346968205706</c:v>
                </c:pt>
                <c:pt idx="498">
                  <c:v>-11719.704855047463</c:v>
                </c:pt>
                <c:pt idx="499">
                  <c:v>-11786.061951567299</c:v>
                </c:pt>
                <c:pt idx="500">
                  <c:v>-11853.398044750811</c:v>
                </c:pt>
                <c:pt idx="501">
                  <c:v>-11921.692623371709</c:v>
                </c:pt>
                <c:pt idx="502">
                  <c:v>-11990.924884239754</c:v>
                </c:pt>
                <c:pt idx="503">
                  <c:v>-12061.073738537634</c:v>
                </c:pt>
                <c:pt idx="504">
                  <c:v>-12132.117818244764</c:v>
                </c:pt>
                <c:pt idx="505">
                  <c:v>-12204.035482646263</c:v>
                </c:pt>
                <c:pt idx="506">
                  <c:v>-12276.804824924864</c:v>
                </c:pt>
                <c:pt idx="507">
                  <c:v>-12350.403678833978</c:v>
                </c:pt>
                <c:pt idx="508">
                  <c:v>-12424.809625449727</c:v>
                </c:pt>
                <c:pt idx="509">
                  <c:v>-12500</c:v>
                </c:pt>
                <c:pt idx="510">
                  <c:v>-12575.951898768311</c:v>
                </c:pt>
                <c:pt idx="511">
                  <c:v>-12652.642186070545</c:v>
                </c:pt>
                <c:pt idx="512">
                  <c:v>-12730.047501302268</c:v>
                </c:pt>
                <c:pt idx="513">
                  <c:v>-12808.144266054611</c:v>
                </c:pt>
                <c:pt idx="514">
                  <c:v>-12886.908691296503</c:v>
                </c:pt>
                <c:pt idx="515">
                  <c:v>-12966.316784620994</c:v>
                </c:pt>
                <c:pt idx="516">
                  <c:v>-13046.344357553629</c:v>
                </c:pt>
                <c:pt idx="517">
                  <c:v>-13126.967032920433</c:v>
                </c:pt>
                <c:pt idx="518">
                  <c:v>-13208.160252273496</c:v>
                </c:pt>
                <c:pt idx="519">
                  <c:v>-13289.899283371657</c:v>
                </c:pt>
                <c:pt idx="520">
                  <c:v>-13372.159227714212</c:v>
                </c:pt>
                <c:pt idx="521">
                  <c:v>-13454.915028125261</c:v>
                </c:pt>
                <c:pt idx="522">
                  <c:v>-13538.141476386318</c:v>
                </c:pt>
                <c:pt idx="523">
                  <c:v>-13621.81322091501</c:v>
                </c:pt>
                <c:pt idx="524">
                  <c:v>-13705.904774487397</c:v>
                </c:pt>
                <c:pt idx="525">
                  <c:v>-13790.390522001664</c:v>
                </c:pt>
                <c:pt idx="526">
                  <c:v>-13875.244728280673</c:v>
                </c:pt>
                <c:pt idx="527">
                  <c:v>-13960.441545911204</c:v>
                </c:pt>
                <c:pt idx="528">
                  <c:v>-14045.955023117273</c:v>
                </c:pt>
                <c:pt idx="529">
                  <c:v>-14131.759111665348</c:v>
                </c:pt>
                <c:pt idx="530">
                  <c:v>-14217.82767479884</c:v>
                </c:pt>
                <c:pt idx="531">
                  <c:v>-14304.134495199671</c:v>
                </c:pt>
                <c:pt idx="532">
                  <c:v>-14390.653282974254</c:v>
                </c:pt>
                <c:pt idx="533">
                  <c:v>-14477.357683661729</c:v>
                </c:pt>
                <c:pt idx="534">
                  <c:v>-14564.221286261707</c:v>
                </c:pt>
                <c:pt idx="535">
                  <c:v>-14651.217631279367</c:v>
                </c:pt>
                <c:pt idx="536">
                  <c:v>-14738.320218785277</c:v>
                </c:pt>
                <c:pt idx="537">
                  <c:v>-14825.502516487495</c:v>
                </c:pt>
                <c:pt idx="538">
                  <c:v>-14912.737967813586</c:v>
                </c:pt>
                <c:pt idx="539">
                  <c:v>-14999.999999999998</c:v>
                </c:pt>
                <c:pt idx="540">
                  <c:v>-15087.26203218642</c:v>
                </c:pt>
                <c:pt idx="541">
                  <c:v>-15174.497483512501</c:v>
                </c:pt>
                <c:pt idx="542">
                  <c:v>-15261.67978121472</c:v>
                </c:pt>
                <c:pt idx="543">
                  <c:v>-15348.782368720629</c:v>
                </c:pt>
                <c:pt idx="544">
                  <c:v>-15435.778713738289</c:v>
                </c:pt>
                <c:pt idx="545">
                  <c:v>-15522.642316338268</c:v>
                </c:pt>
                <c:pt idx="546">
                  <c:v>-15609.346717025734</c:v>
                </c:pt>
                <c:pt idx="547">
                  <c:v>-15695.865504800326</c:v>
                </c:pt>
                <c:pt idx="548">
                  <c:v>-15782.172325201149</c:v>
                </c:pt>
                <c:pt idx="549">
                  <c:v>-15868.240888334649</c:v>
                </c:pt>
                <c:pt idx="550">
                  <c:v>-15954.044976882717</c:v>
                </c:pt>
                <c:pt idx="551">
                  <c:v>-16039.558454088792</c:v>
                </c:pt>
                <c:pt idx="552">
                  <c:v>-16124.755271719323</c:v>
                </c:pt>
                <c:pt idx="553">
                  <c:v>-16209.60947799834</c:v>
                </c:pt>
                <c:pt idx="554">
                  <c:v>-16294.095225512609</c:v>
                </c:pt>
                <c:pt idx="555">
                  <c:v>-16378.186779084996</c:v>
                </c:pt>
                <c:pt idx="556">
                  <c:v>-16461.858523613686</c:v>
                </c:pt>
                <c:pt idx="557">
                  <c:v>-16545.084971874734</c:v>
                </c:pt>
                <c:pt idx="558">
                  <c:v>-16627.840772285785</c:v>
                </c:pt>
                <c:pt idx="559">
                  <c:v>-16710.100716628342</c:v>
                </c:pt>
                <c:pt idx="560">
                  <c:v>-16791.839747726503</c:v>
                </c:pt>
                <c:pt idx="561">
                  <c:v>-16873.032967079555</c:v>
                </c:pt>
                <c:pt idx="562">
                  <c:v>-16953.655642446367</c:v>
                </c:pt>
                <c:pt idx="563">
                  <c:v>-17033.683215378995</c:v>
                </c:pt>
                <c:pt idx="564">
                  <c:v>-17113.091308703493</c:v>
                </c:pt>
                <c:pt idx="565">
                  <c:v>-17191.855733945387</c:v>
                </c:pt>
                <c:pt idx="566">
                  <c:v>-17269.952498697727</c:v>
                </c:pt>
                <c:pt idx="567">
                  <c:v>-17347.357813929451</c:v>
                </c:pt>
                <c:pt idx="568">
                  <c:v>-17424.048101231685</c:v>
                </c:pt>
                <c:pt idx="569">
                  <c:v>-17500.000000000004</c:v>
                </c:pt>
                <c:pt idx="570">
                  <c:v>-17575.190374550271</c:v>
                </c:pt>
                <c:pt idx="571">
                  <c:v>-17649.596321166027</c:v>
                </c:pt>
                <c:pt idx="572">
                  <c:v>-17723.195175075132</c:v>
                </c:pt>
                <c:pt idx="573">
                  <c:v>-17795.964517353736</c:v>
                </c:pt>
                <c:pt idx="574">
                  <c:v>-17867.882181755227</c:v>
                </c:pt>
                <c:pt idx="575">
                  <c:v>-17938.926261462366</c:v>
                </c:pt>
                <c:pt idx="576">
                  <c:v>-18009.075115760243</c:v>
                </c:pt>
                <c:pt idx="577">
                  <c:v>-18078.307376628287</c:v>
                </c:pt>
                <c:pt idx="578">
                  <c:v>-18146.601955249185</c:v>
                </c:pt>
                <c:pt idx="579">
                  <c:v>-18213.93804843269</c:v>
                </c:pt>
                <c:pt idx="580">
                  <c:v>-18280.295144952535</c:v>
                </c:pt>
                <c:pt idx="581">
                  <c:v>-18345.653031794285</c:v>
                </c:pt>
                <c:pt idx="582">
                  <c:v>-18409.991800312488</c:v>
                </c:pt>
                <c:pt idx="583">
                  <c:v>-18473.291852294984</c:v>
                </c:pt>
                <c:pt idx="584">
                  <c:v>-18535.533905932738</c:v>
                </c:pt>
                <c:pt idx="585">
                  <c:v>-18596.699001693254</c:v>
                </c:pt>
                <c:pt idx="586">
                  <c:v>-18656.768508095854</c:v>
                </c:pt>
                <c:pt idx="587">
                  <c:v>-18715.724127386973</c:v>
                </c:pt>
                <c:pt idx="588">
                  <c:v>-18773.54790111386</c:v>
                </c:pt>
                <c:pt idx="589">
                  <c:v>-18830.222215594891</c:v>
                </c:pt>
                <c:pt idx="590">
                  <c:v>-18885.729807284853</c:v>
                </c:pt>
                <c:pt idx="591">
                  <c:v>-18940.053768033609</c:v>
                </c:pt>
                <c:pt idx="592">
                  <c:v>-18993.177550236462</c:v>
                </c:pt>
                <c:pt idx="593">
                  <c:v>-19045.084971874738</c:v>
                </c:pt>
                <c:pt idx="594">
                  <c:v>-19095.760221444954</c:v>
                </c:pt>
                <c:pt idx="595">
                  <c:v>-19145.187862775208</c:v>
                </c:pt>
                <c:pt idx="596">
                  <c:v>-19193.352839727115</c:v>
                </c:pt>
                <c:pt idx="597">
                  <c:v>-19240.240480782126</c:v>
                </c:pt>
                <c:pt idx="598">
                  <c:v>-19285.83650351056</c:v>
                </c:pt>
                <c:pt idx="599">
                  <c:v>-19330.127018922194</c:v>
                </c:pt>
                <c:pt idx="600">
                  <c:v>-19373.098535696983</c:v>
                </c:pt>
                <c:pt idx="601">
                  <c:v>-19414.737964294633</c:v>
                </c:pt>
                <c:pt idx="602">
                  <c:v>-19455.032620941842</c:v>
                </c:pt>
                <c:pt idx="603">
                  <c:v>-19493.970231495834</c:v>
                </c:pt>
                <c:pt idx="604">
                  <c:v>-19531.538935183249</c:v>
                </c:pt>
                <c:pt idx="605">
                  <c:v>-19567.727288213002</c:v>
                </c:pt>
                <c:pt idx="606">
                  <c:v>-19602.524267262201</c:v>
                </c:pt>
                <c:pt idx="607">
                  <c:v>-19635.919272833933</c:v>
                </c:pt>
                <c:pt idx="608">
                  <c:v>-19667.902132486008</c:v>
                </c:pt>
                <c:pt idx="609">
                  <c:v>-19698.463103929542</c:v>
                </c:pt>
                <c:pt idx="610">
                  <c:v>-19727.592877996583</c:v>
                </c:pt>
                <c:pt idx="611">
                  <c:v>-19755.282581475767</c:v>
                </c:pt>
                <c:pt idx="612">
                  <c:v>-19781.523779815176</c:v>
                </c:pt>
                <c:pt idx="613">
                  <c:v>-19806.308479691594</c:v>
                </c:pt>
                <c:pt idx="614">
                  <c:v>-19829.629131445341</c:v>
                </c:pt>
                <c:pt idx="615">
                  <c:v>-19851.478631379985</c:v>
                </c:pt>
                <c:pt idx="616">
                  <c:v>-19871.850323926177</c:v>
                </c:pt>
                <c:pt idx="617">
                  <c:v>-19890.73800366903</c:v>
                </c:pt>
                <c:pt idx="618">
                  <c:v>-19908.13591723832</c:v>
                </c:pt>
                <c:pt idx="619">
                  <c:v>-19924.038765061039</c:v>
                </c:pt>
                <c:pt idx="620">
                  <c:v>-19938.441702975688</c:v>
                </c:pt>
                <c:pt idx="621">
                  <c:v>-19951.340343707852</c:v>
                </c:pt>
                <c:pt idx="622">
                  <c:v>-19962.73075820661</c:v>
                </c:pt>
                <c:pt idx="623">
                  <c:v>-19972.609476841368</c:v>
                </c:pt>
                <c:pt idx="624">
                  <c:v>-19980.973490458728</c:v>
                </c:pt>
                <c:pt idx="625">
                  <c:v>-19987.820251299119</c:v>
                </c:pt>
                <c:pt idx="626">
                  <c:v>-19993.14767377287</c:v>
                </c:pt>
                <c:pt idx="627">
                  <c:v>-19996.954135095479</c:v>
                </c:pt>
                <c:pt idx="628">
                  <c:v>-19999.238475781956</c:v>
                </c:pt>
                <c:pt idx="629">
                  <c:v>-20000</c:v>
                </c:pt>
                <c:pt idx="630">
                  <c:v>-19999.238475781956</c:v>
                </c:pt>
                <c:pt idx="631">
                  <c:v>-19996.954135095479</c:v>
                </c:pt>
                <c:pt idx="632">
                  <c:v>-19993.14767377287</c:v>
                </c:pt>
                <c:pt idx="633">
                  <c:v>-19987.820251299119</c:v>
                </c:pt>
                <c:pt idx="634">
                  <c:v>-19980.973490458728</c:v>
                </c:pt>
                <c:pt idx="635">
                  <c:v>-19972.609476841368</c:v>
                </c:pt>
                <c:pt idx="636">
                  <c:v>-19962.73075820661</c:v>
                </c:pt>
                <c:pt idx="637">
                  <c:v>-19951.340343707852</c:v>
                </c:pt>
                <c:pt idx="638">
                  <c:v>-19938.441702975688</c:v>
                </c:pt>
                <c:pt idx="639">
                  <c:v>-19924.038765061043</c:v>
                </c:pt>
                <c:pt idx="640">
                  <c:v>-19908.13591723832</c:v>
                </c:pt>
                <c:pt idx="641">
                  <c:v>-19890.73800366903</c:v>
                </c:pt>
                <c:pt idx="642">
                  <c:v>-19871.850323926177</c:v>
                </c:pt>
                <c:pt idx="643">
                  <c:v>-19851.478631379985</c:v>
                </c:pt>
                <c:pt idx="644">
                  <c:v>-19829.629131445341</c:v>
                </c:pt>
                <c:pt idx="645">
                  <c:v>-19806.308479691594</c:v>
                </c:pt>
                <c:pt idx="646">
                  <c:v>-19781.523779815176</c:v>
                </c:pt>
                <c:pt idx="647">
                  <c:v>-19755.282581475767</c:v>
                </c:pt>
                <c:pt idx="648">
                  <c:v>-19727.592877996583</c:v>
                </c:pt>
                <c:pt idx="649">
                  <c:v>-19698.463103929542</c:v>
                </c:pt>
                <c:pt idx="650">
                  <c:v>-19667.902132486008</c:v>
                </c:pt>
                <c:pt idx="651">
                  <c:v>-19635.91927283394</c:v>
                </c:pt>
                <c:pt idx="652">
                  <c:v>-19602.524267262197</c:v>
                </c:pt>
                <c:pt idx="653">
                  <c:v>-19567.727288213006</c:v>
                </c:pt>
                <c:pt idx="654">
                  <c:v>-19531.538935183253</c:v>
                </c:pt>
                <c:pt idx="655">
                  <c:v>-19493.970231495841</c:v>
                </c:pt>
                <c:pt idx="656">
                  <c:v>-19455.032620941838</c:v>
                </c:pt>
                <c:pt idx="657">
                  <c:v>-19414.737964294636</c:v>
                </c:pt>
                <c:pt idx="658">
                  <c:v>-19373.098535696983</c:v>
                </c:pt>
                <c:pt idx="659">
                  <c:v>-19330.127018922198</c:v>
                </c:pt>
                <c:pt idx="660">
                  <c:v>-19285.836503510563</c:v>
                </c:pt>
                <c:pt idx="661">
                  <c:v>-19240.240480782129</c:v>
                </c:pt>
                <c:pt idx="662">
                  <c:v>-19193.352839727122</c:v>
                </c:pt>
                <c:pt idx="663">
                  <c:v>-19145.187862775208</c:v>
                </c:pt>
                <c:pt idx="664">
                  <c:v>-19095.760221444958</c:v>
                </c:pt>
                <c:pt idx="665">
                  <c:v>-19045.084971874738</c:v>
                </c:pt>
                <c:pt idx="666">
                  <c:v>-18993.177550236469</c:v>
                </c:pt>
                <c:pt idx="667">
                  <c:v>-18940.053768033606</c:v>
                </c:pt>
                <c:pt idx="668">
                  <c:v>-18885.729807284857</c:v>
                </c:pt>
                <c:pt idx="669">
                  <c:v>-18830.222215594895</c:v>
                </c:pt>
                <c:pt idx="670">
                  <c:v>-18773.547901113867</c:v>
                </c:pt>
                <c:pt idx="671">
                  <c:v>-18715.724127386969</c:v>
                </c:pt>
                <c:pt idx="672">
                  <c:v>-18656.768508095854</c:v>
                </c:pt>
                <c:pt idx="673">
                  <c:v>-18596.699001693261</c:v>
                </c:pt>
                <c:pt idx="674">
                  <c:v>-18535.533905932738</c:v>
                </c:pt>
                <c:pt idx="675">
                  <c:v>-18473.291852294988</c:v>
                </c:pt>
                <c:pt idx="676">
                  <c:v>-18409.991800312491</c:v>
                </c:pt>
                <c:pt idx="677">
                  <c:v>-18345.653031794296</c:v>
                </c:pt>
                <c:pt idx="678">
                  <c:v>-18280.295144952539</c:v>
                </c:pt>
                <c:pt idx="679">
                  <c:v>-18213.938048432694</c:v>
                </c:pt>
                <c:pt idx="680">
                  <c:v>-18146.601955249189</c:v>
                </c:pt>
                <c:pt idx="681">
                  <c:v>-18078.307376628298</c:v>
                </c:pt>
                <c:pt idx="682">
                  <c:v>-18009.075115760239</c:v>
                </c:pt>
                <c:pt idx="683">
                  <c:v>-17938.926261462366</c:v>
                </c:pt>
                <c:pt idx="684">
                  <c:v>-17867.882181755238</c:v>
                </c:pt>
                <c:pt idx="685">
                  <c:v>-17795.964517353728</c:v>
                </c:pt>
                <c:pt idx="686">
                  <c:v>-17723.195175075136</c:v>
                </c:pt>
                <c:pt idx="687">
                  <c:v>-17649.596321166031</c:v>
                </c:pt>
                <c:pt idx="688">
                  <c:v>-17575.190374550282</c:v>
                </c:pt>
                <c:pt idx="689">
                  <c:v>-17500</c:v>
                </c:pt>
                <c:pt idx="690">
                  <c:v>-17424.048101231689</c:v>
                </c:pt>
                <c:pt idx="691">
                  <c:v>-17347.357813929455</c:v>
                </c:pt>
                <c:pt idx="692">
                  <c:v>-17269.952498697741</c:v>
                </c:pt>
                <c:pt idx="693">
                  <c:v>-17191.855733945391</c:v>
                </c:pt>
                <c:pt idx="694">
                  <c:v>-17113.091308703497</c:v>
                </c:pt>
                <c:pt idx="695">
                  <c:v>-17033.683215379006</c:v>
                </c:pt>
                <c:pt idx="696">
                  <c:v>-16953.655642446363</c:v>
                </c:pt>
                <c:pt idx="697">
                  <c:v>-16873.032967079558</c:v>
                </c:pt>
                <c:pt idx="698">
                  <c:v>-16791.839747726506</c:v>
                </c:pt>
                <c:pt idx="699">
                  <c:v>-16710.100716628353</c:v>
                </c:pt>
                <c:pt idx="700">
                  <c:v>-16627.840772285781</c:v>
                </c:pt>
                <c:pt idx="701">
                  <c:v>-16545.084971874741</c:v>
                </c:pt>
                <c:pt idx="702">
                  <c:v>-16461.85852361369</c:v>
                </c:pt>
                <c:pt idx="703">
                  <c:v>-16378.186779085001</c:v>
                </c:pt>
                <c:pt idx="704">
                  <c:v>-16294.095225512605</c:v>
                </c:pt>
                <c:pt idx="705">
                  <c:v>-16209.609477998345</c:v>
                </c:pt>
                <c:pt idx="706">
                  <c:v>-16124.755271719328</c:v>
                </c:pt>
                <c:pt idx="707">
                  <c:v>-16039.558454088796</c:v>
                </c:pt>
                <c:pt idx="708">
                  <c:v>-15954.044976882729</c:v>
                </c:pt>
                <c:pt idx="709">
                  <c:v>-15868.240888334652</c:v>
                </c:pt>
                <c:pt idx="710">
                  <c:v>-15782.172325201162</c:v>
                </c:pt>
                <c:pt idx="711">
                  <c:v>-15695.865504800322</c:v>
                </c:pt>
                <c:pt idx="712">
                  <c:v>-15609.346717025737</c:v>
                </c:pt>
                <c:pt idx="713">
                  <c:v>-15522.642316338273</c:v>
                </c:pt>
                <c:pt idx="714">
                  <c:v>-15435.778713738284</c:v>
                </c:pt>
                <c:pt idx="715">
                  <c:v>-15348.782368720626</c:v>
                </c:pt>
                <c:pt idx="716">
                  <c:v>-15261.679781214723</c:v>
                </c:pt>
                <c:pt idx="717">
                  <c:v>-15174.497483512514</c:v>
                </c:pt>
                <c:pt idx="718">
                  <c:v>-15087.262032186414</c:v>
                </c:pt>
                <c:pt idx="719">
                  <c:v>-15000.000000000002</c:v>
                </c:pt>
                <c:pt idx="720">
                  <c:v>-14912.737967813589</c:v>
                </c:pt>
                <c:pt idx="721">
                  <c:v>-14825.502516487499</c:v>
                </c:pt>
                <c:pt idx="722">
                  <c:v>-14738.320218785282</c:v>
                </c:pt>
                <c:pt idx="723">
                  <c:v>-14651.21763127938</c:v>
                </c:pt>
                <c:pt idx="724">
                  <c:v>-14564.221286261713</c:v>
                </c:pt>
                <c:pt idx="725">
                  <c:v>-14477.357683661732</c:v>
                </c:pt>
                <c:pt idx="726">
                  <c:v>-14390.653282974259</c:v>
                </c:pt>
                <c:pt idx="727">
                  <c:v>-14304.134495199674</c:v>
                </c:pt>
                <c:pt idx="728">
                  <c:v>-14217.827674798853</c:v>
                </c:pt>
                <c:pt idx="729">
                  <c:v>-14131.759111665342</c:v>
                </c:pt>
                <c:pt idx="730">
                  <c:v>-14045.955023117276</c:v>
                </c:pt>
                <c:pt idx="731">
                  <c:v>-13960.44154591121</c:v>
                </c:pt>
                <c:pt idx="732">
                  <c:v>-13875.244728280686</c:v>
                </c:pt>
                <c:pt idx="733">
                  <c:v>-13790.39052200166</c:v>
                </c:pt>
                <c:pt idx="734">
                  <c:v>-13705.904774487401</c:v>
                </c:pt>
                <c:pt idx="735">
                  <c:v>-13621.813220915014</c:v>
                </c:pt>
                <c:pt idx="736">
                  <c:v>-13538.141476386314</c:v>
                </c:pt>
                <c:pt idx="737">
                  <c:v>-13454.915028125266</c:v>
                </c:pt>
                <c:pt idx="738">
                  <c:v>-13372.159227714215</c:v>
                </c:pt>
                <c:pt idx="739">
                  <c:v>-13289.89928337166</c:v>
                </c:pt>
                <c:pt idx="740">
                  <c:v>-13208.160252273499</c:v>
                </c:pt>
                <c:pt idx="741">
                  <c:v>-13126.967032920438</c:v>
                </c:pt>
                <c:pt idx="742">
                  <c:v>-13046.344357553633</c:v>
                </c:pt>
                <c:pt idx="743">
                  <c:v>-12966.316784621007</c:v>
                </c:pt>
                <c:pt idx="744">
                  <c:v>-12886.908691296499</c:v>
                </c:pt>
                <c:pt idx="745">
                  <c:v>-12808.144266054614</c:v>
                </c:pt>
                <c:pt idx="746">
                  <c:v>-12730.047501302273</c:v>
                </c:pt>
                <c:pt idx="747">
                  <c:v>-12652.642186070541</c:v>
                </c:pt>
                <c:pt idx="748">
                  <c:v>-12575.951898768315</c:v>
                </c:pt>
                <c:pt idx="749">
                  <c:v>-12500.000000000004</c:v>
                </c:pt>
                <c:pt idx="750">
                  <c:v>-12424.809625449738</c:v>
                </c:pt>
                <c:pt idx="751">
                  <c:v>-12350.403678833974</c:v>
                </c:pt>
                <c:pt idx="752">
                  <c:v>-12276.804824924868</c:v>
                </c:pt>
                <c:pt idx="753">
                  <c:v>-12204.035482646266</c:v>
                </c:pt>
                <c:pt idx="754">
                  <c:v>-12132.117818244775</c:v>
                </c:pt>
                <c:pt idx="755">
                  <c:v>-12061.073738537636</c:v>
                </c:pt>
                <c:pt idx="756">
                  <c:v>-11990.924884239757</c:v>
                </c:pt>
                <c:pt idx="757">
                  <c:v>-11921.692623371713</c:v>
                </c:pt>
                <c:pt idx="758">
                  <c:v>-11853.398044750815</c:v>
                </c:pt>
                <c:pt idx="759">
                  <c:v>-11786.061951567302</c:v>
                </c:pt>
                <c:pt idx="760">
                  <c:v>-11719.704855047466</c:v>
                </c:pt>
                <c:pt idx="761">
                  <c:v>-11654.346968205715</c:v>
                </c:pt>
                <c:pt idx="762">
                  <c:v>-11590.008199687505</c:v>
                </c:pt>
                <c:pt idx="763">
                  <c:v>-11526.708147705014</c:v>
                </c:pt>
                <c:pt idx="764">
                  <c:v>-11464.466094067267</c:v>
                </c:pt>
                <c:pt idx="765">
                  <c:v>-11403.300998306753</c:v>
                </c:pt>
                <c:pt idx="766">
                  <c:v>-11343.231491904147</c:v>
                </c:pt>
                <c:pt idx="767">
                  <c:v>-11284.275872613032</c:v>
                </c:pt>
                <c:pt idx="768">
                  <c:v>-11226.452098886142</c:v>
                </c:pt>
                <c:pt idx="769">
                  <c:v>-11169.777784405109</c:v>
                </c:pt>
                <c:pt idx="770">
                  <c:v>-11114.270192715148</c:v>
                </c:pt>
                <c:pt idx="771">
                  <c:v>-11059.946231966391</c:v>
                </c:pt>
                <c:pt idx="772">
                  <c:v>-11006.822449763538</c:v>
                </c:pt>
                <c:pt idx="773">
                  <c:v>-10954.915028125259</c:v>
                </c:pt>
                <c:pt idx="774">
                  <c:v>-10904.23977855504</c:v>
                </c:pt>
                <c:pt idx="775">
                  <c:v>-10854.812137224795</c:v>
                </c:pt>
                <c:pt idx="776">
                  <c:v>-10806.647160272885</c:v>
                </c:pt>
                <c:pt idx="777">
                  <c:v>-10759.759519217869</c:v>
                </c:pt>
                <c:pt idx="778">
                  <c:v>-10714.16349648944</c:v>
                </c:pt>
                <c:pt idx="779">
                  <c:v>-10669.872981077811</c:v>
                </c:pt>
                <c:pt idx="780">
                  <c:v>-10626.901464303019</c:v>
                </c:pt>
                <c:pt idx="781">
                  <c:v>-10585.262035705367</c:v>
                </c:pt>
                <c:pt idx="782">
                  <c:v>-10544.967379058164</c:v>
                </c:pt>
                <c:pt idx="783">
                  <c:v>-10506.029768504166</c:v>
                </c:pt>
                <c:pt idx="784">
                  <c:v>-10468.461064816751</c:v>
                </c:pt>
                <c:pt idx="785">
                  <c:v>-10432.272711786998</c:v>
                </c:pt>
                <c:pt idx="786">
                  <c:v>-10397.475732737799</c:v>
                </c:pt>
                <c:pt idx="787">
                  <c:v>-10364.080727166067</c:v>
                </c:pt>
                <c:pt idx="788">
                  <c:v>-10332.097867513989</c:v>
                </c:pt>
                <c:pt idx="789">
                  <c:v>-10301.536896070458</c:v>
                </c:pt>
                <c:pt idx="790">
                  <c:v>-10272.407122003418</c:v>
                </c:pt>
                <c:pt idx="791">
                  <c:v>-10244.717418524229</c:v>
                </c:pt>
                <c:pt idx="792">
                  <c:v>-10218.476220184823</c:v>
                </c:pt>
                <c:pt idx="793">
                  <c:v>-10193.691520308406</c:v>
                </c:pt>
                <c:pt idx="794">
                  <c:v>-10170.370868554661</c:v>
                </c:pt>
                <c:pt idx="795">
                  <c:v>-10148.521368620017</c:v>
                </c:pt>
                <c:pt idx="796">
                  <c:v>-10128.149676073825</c:v>
                </c:pt>
                <c:pt idx="797">
                  <c:v>-10109.261996330973</c:v>
                </c:pt>
                <c:pt idx="798">
                  <c:v>-10091.86408276168</c:v>
                </c:pt>
                <c:pt idx="799">
                  <c:v>-10075.961234938961</c:v>
                </c:pt>
                <c:pt idx="800">
                  <c:v>-10061.558297024312</c:v>
                </c:pt>
                <c:pt idx="801">
                  <c:v>-10048.659656292148</c:v>
                </c:pt>
                <c:pt idx="802">
                  <c:v>-10037.26924179339</c:v>
                </c:pt>
                <c:pt idx="803">
                  <c:v>-10027.390523158632</c:v>
                </c:pt>
                <c:pt idx="804">
                  <c:v>-10019.026509541272</c:v>
                </c:pt>
                <c:pt idx="805">
                  <c:v>-10012.179748700881</c:v>
                </c:pt>
                <c:pt idx="806">
                  <c:v>-10006.85232622713</c:v>
                </c:pt>
                <c:pt idx="807">
                  <c:v>-10003.045864904521</c:v>
                </c:pt>
                <c:pt idx="808">
                  <c:v>-10000.761524218044</c:v>
                </c:pt>
                <c:pt idx="809">
                  <c:v>-10000</c:v>
                </c:pt>
                <c:pt idx="810">
                  <c:v>-10000.761524218044</c:v>
                </c:pt>
                <c:pt idx="811">
                  <c:v>-10003.045864904521</c:v>
                </c:pt>
                <c:pt idx="812">
                  <c:v>-10006.85232622713</c:v>
                </c:pt>
                <c:pt idx="813">
                  <c:v>-10012.179748700879</c:v>
                </c:pt>
                <c:pt idx="814">
                  <c:v>-10019.026509541272</c:v>
                </c:pt>
                <c:pt idx="815">
                  <c:v>-10027.390523158632</c:v>
                </c:pt>
                <c:pt idx="816">
                  <c:v>-10037.269241793389</c:v>
                </c:pt>
                <c:pt idx="817">
                  <c:v>-10048.659656292148</c:v>
                </c:pt>
                <c:pt idx="818">
                  <c:v>-10061.558297024312</c:v>
                </c:pt>
                <c:pt idx="819">
                  <c:v>-10075.961234938959</c:v>
                </c:pt>
                <c:pt idx="820">
                  <c:v>-10091.864082761678</c:v>
                </c:pt>
                <c:pt idx="821">
                  <c:v>-10109.261996330973</c:v>
                </c:pt>
                <c:pt idx="822">
                  <c:v>-10128.149676073823</c:v>
                </c:pt>
                <c:pt idx="823">
                  <c:v>-10148.521368620015</c:v>
                </c:pt>
                <c:pt idx="824">
                  <c:v>-10170.370868554659</c:v>
                </c:pt>
                <c:pt idx="825">
                  <c:v>-10193.691520308406</c:v>
                </c:pt>
                <c:pt idx="826">
                  <c:v>-10218.476220184821</c:v>
                </c:pt>
                <c:pt idx="827">
                  <c:v>-10244.717418524229</c:v>
                </c:pt>
                <c:pt idx="828">
                  <c:v>-10272.407122003417</c:v>
                </c:pt>
                <c:pt idx="829">
                  <c:v>-10301.536896070456</c:v>
                </c:pt>
                <c:pt idx="830">
                  <c:v>-10332.09786751399</c:v>
                </c:pt>
                <c:pt idx="831">
                  <c:v>-10364.080727166063</c:v>
                </c:pt>
                <c:pt idx="832">
                  <c:v>-10397.475732737797</c:v>
                </c:pt>
                <c:pt idx="833">
                  <c:v>-10432.272711786994</c:v>
                </c:pt>
                <c:pt idx="834">
                  <c:v>-10468.461064816747</c:v>
                </c:pt>
                <c:pt idx="835">
                  <c:v>-10506.029768504164</c:v>
                </c:pt>
                <c:pt idx="836">
                  <c:v>-10544.967379058162</c:v>
                </c:pt>
                <c:pt idx="837">
                  <c:v>-10585.262035705364</c:v>
                </c:pt>
                <c:pt idx="838">
                  <c:v>-10626.901464303017</c:v>
                </c:pt>
                <c:pt idx="839">
                  <c:v>-10669.872981077808</c:v>
                </c:pt>
                <c:pt idx="840">
                  <c:v>-10714.163496489437</c:v>
                </c:pt>
                <c:pt idx="841">
                  <c:v>-10759.759519217867</c:v>
                </c:pt>
                <c:pt idx="842">
                  <c:v>-10806.647160272882</c:v>
                </c:pt>
                <c:pt idx="843">
                  <c:v>-10854.812137224792</c:v>
                </c:pt>
                <c:pt idx="844">
                  <c:v>-10904.239778555038</c:v>
                </c:pt>
                <c:pt idx="845">
                  <c:v>-10954.915028125261</c:v>
                </c:pt>
                <c:pt idx="846">
                  <c:v>-11006.822449763536</c:v>
                </c:pt>
                <c:pt idx="847">
                  <c:v>-11059.946231966387</c:v>
                </c:pt>
                <c:pt idx="848">
                  <c:v>-11114.270192715145</c:v>
                </c:pt>
                <c:pt idx="849">
                  <c:v>-11169.777784405105</c:v>
                </c:pt>
                <c:pt idx="850">
                  <c:v>-11226.452098886137</c:v>
                </c:pt>
                <c:pt idx="851">
                  <c:v>-11284.275872613029</c:v>
                </c:pt>
                <c:pt idx="852">
                  <c:v>-11343.231491904144</c:v>
                </c:pt>
                <c:pt idx="853">
                  <c:v>-11403.30099830675</c:v>
                </c:pt>
                <c:pt idx="854">
                  <c:v>-11464.466094067264</c:v>
                </c:pt>
                <c:pt idx="855">
                  <c:v>-11526.708147705011</c:v>
                </c:pt>
                <c:pt idx="856">
                  <c:v>-11590.008199687501</c:v>
                </c:pt>
                <c:pt idx="857">
                  <c:v>-11654.346968205711</c:v>
                </c:pt>
                <c:pt idx="858">
                  <c:v>-11719.704855047461</c:v>
                </c:pt>
                <c:pt idx="859">
                  <c:v>-11786.061951567297</c:v>
                </c:pt>
                <c:pt idx="860">
                  <c:v>-11853.398044750809</c:v>
                </c:pt>
                <c:pt idx="861">
                  <c:v>-11921.692623371708</c:v>
                </c:pt>
                <c:pt idx="862">
                  <c:v>-11990.924884239754</c:v>
                </c:pt>
                <c:pt idx="863">
                  <c:v>-12061.073738537632</c:v>
                </c:pt>
                <c:pt idx="864">
                  <c:v>-12132.117818244769</c:v>
                </c:pt>
                <c:pt idx="865">
                  <c:v>-12204.03548264627</c:v>
                </c:pt>
                <c:pt idx="866">
                  <c:v>-12276.804824924864</c:v>
                </c:pt>
                <c:pt idx="867">
                  <c:v>-12350.403678833969</c:v>
                </c:pt>
                <c:pt idx="868">
                  <c:v>-12424.809625449734</c:v>
                </c:pt>
                <c:pt idx="869">
                  <c:v>-12500</c:v>
                </c:pt>
                <c:pt idx="870">
                  <c:v>-12575.95189876831</c:v>
                </c:pt>
                <c:pt idx="871">
                  <c:v>-12652.642186070536</c:v>
                </c:pt>
                <c:pt idx="872">
                  <c:v>-12730.047501302268</c:v>
                </c:pt>
                <c:pt idx="873">
                  <c:v>-12808.144266054609</c:v>
                </c:pt>
                <c:pt idx="874">
                  <c:v>-12886.908691296494</c:v>
                </c:pt>
                <c:pt idx="875">
                  <c:v>-12966.316784621002</c:v>
                </c:pt>
                <c:pt idx="876">
                  <c:v>-13046.344357553629</c:v>
                </c:pt>
                <c:pt idx="877">
                  <c:v>-13126.967032920433</c:v>
                </c:pt>
                <c:pt idx="878">
                  <c:v>-13208.160252273494</c:v>
                </c:pt>
                <c:pt idx="879">
                  <c:v>-13289.899283371655</c:v>
                </c:pt>
                <c:pt idx="880">
                  <c:v>-13372.159227714219</c:v>
                </c:pt>
                <c:pt idx="881">
                  <c:v>-13454.915028125261</c:v>
                </c:pt>
                <c:pt idx="882">
                  <c:v>-13538.141476386309</c:v>
                </c:pt>
                <c:pt idx="883">
                  <c:v>-13621.813220915008</c:v>
                </c:pt>
                <c:pt idx="884">
                  <c:v>-13705.904774487395</c:v>
                </c:pt>
                <c:pt idx="885">
                  <c:v>-13790.390522001655</c:v>
                </c:pt>
                <c:pt idx="886">
                  <c:v>-13875.244728280681</c:v>
                </c:pt>
                <c:pt idx="887">
                  <c:v>-13960.441545911202</c:v>
                </c:pt>
                <c:pt idx="888">
                  <c:v>-14045.955023117271</c:v>
                </c:pt>
                <c:pt idx="889">
                  <c:v>-14131.759111665338</c:v>
                </c:pt>
                <c:pt idx="890">
                  <c:v>-14217.827674798848</c:v>
                </c:pt>
                <c:pt idx="891">
                  <c:v>-14304.134495199669</c:v>
                </c:pt>
                <c:pt idx="892">
                  <c:v>-14390.653282974254</c:v>
                </c:pt>
                <c:pt idx="893">
                  <c:v>-14477.357683661727</c:v>
                </c:pt>
                <c:pt idx="894">
                  <c:v>-14564.221286261707</c:v>
                </c:pt>
                <c:pt idx="895">
                  <c:v>-14651.217631279374</c:v>
                </c:pt>
                <c:pt idx="896">
                  <c:v>-14738.320218785277</c:v>
                </c:pt>
                <c:pt idx="897">
                  <c:v>-14825.502516487493</c:v>
                </c:pt>
                <c:pt idx="898">
                  <c:v>-14912.737967813584</c:v>
                </c:pt>
                <c:pt idx="899">
                  <c:v>-14999.999999999996</c:v>
                </c:pt>
                <c:pt idx="900">
                  <c:v>-15087.262032186409</c:v>
                </c:pt>
                <c:pt idx="901">
                  <c:v>-15174.497483512509</c:v>
                </c:pt>
                <c:pt idx="902">
                  <c:v>-15261.679781214718</c:v>
                </c:pt>
                <c:pt idx="903">
                  <c:v>-15348.78236872062</c:v>
                </c:pt>
                <c:pt idx="904">
                  <c:v>-15435.778713738278</c:v>
                </c:pt>
                <c:pt idx="905">
                  <c:v>-15522.642316338268</c:v>
                </c:pt>
                <c:pt idx="906">
                  <c:v>-15609.346717025732</c:v>
                </c:pt>
                <c:pt idx="907">
                  <c:v>-15695.865504800317</c:v>
                </c:pt>
                <c:pt idx="908">
                  <c:v>-15782.172325201156</c:v>
                </c:pt>
                <c:pt idx="909">
                  <c:v>-15868.240888334647</c:v>
                </c:pt>
                <c:pt idx="910">
                  <c:v>-15954.044976882724</c:v>
                </c:pt>
                <c:pt idx="911">
                  <c:v>-16039.55845408879</c:v>
                </c:pt>
                <c:pt idx="912">
                  <c:v>-16124.755271719323</c:v>
                </c:pt>
                <c:pt idx="913">
                  <c:v>-16209.60947799834</c:v>
                </c:pt>
                <c:pt idx="914">
                  <c:v>-16294.095225512599</c:v>
                </c:pt>
                <c:pt idx="915">
                  <c:v>-16378.186779084986</c:v>
                </c:pt>
                <c:pt idx="916">
                  <c:v>-16461.858523613679</c:v>
                </c:pt>
                <c:pt idx="917">
                  <c:v>-16545.084971874727</c:v>
                </c:pt>
                <c:pt idx="918">
                  <c:v>-16627.840772285785</c:v>
                </c:pt>
                <c:pt idx="919">
                  <c:v>-16710.100716628338</c:v>
                </c:pt>
                <c:pt idx="920">
                  <c:v>-16791.83974772651</c:v>
                </c:pt>
                <c:pt idx="921">
                  <c:v>-16873.032967079562</c:v>
                </c:pt>
                <c:pt idx="922">
                  <c:v>-16953.655642446367</c:v>
                </c:pt>
                <c:pt idx="923">
                  <c:v>-17033.683215379009</c:v>
                </c:pt>
                <c:pt idx="924">
                  <c:v>-17113.091308703501</c:v>
                </c:pt>
                <c:pt idx="925">
                  <c:v>-17191.855733945384</c:v>
                </c:pt>
                <c:pt idx="926">
                  <c:v>-17269.952498697727</c:v>
                </c:pt>
                <c:pt idx="927">
                  <c:v>-17347.357813929459</c:v>
                </c:pt>
                <c:pt idx="928">
                  <c:v>-17424.048101231685</c:v>
                </c:pt>
                <c:pt idx="929">
                  <c:v>-17499.999999999993</c:v>
                </c:pt>
                <c:pt idx="930">
                  <c:v>-17575.190374550275</c:v>
                </c:pt>
                <c:pt idx="931">
                  <c:v>-17649.596321166027</c:v>
                </c:pt>
                <c:pt idx="932">
                  <c:v>-17723.195175075132</c:v>
                </c:pt>
                <c:pt idx="933">
                  <c:v>-17795.964517353725</c:v>
                </c:pt>
                <c:pt idx="934">
                  <c:v>-17867.882181755231</c:v>
                </c:pt>
                <c:pt idx="935">
                  <c:v>-17938.926261462362</c:v>
                </c:pt>
                <c:pt idx="936">
                  <c:v>-18009.075115760235</c:v>
                </c:pt>
                <c:pt idx="937">
                  <c:v>-18078.30737662828</c:v>
                </c:pt>
                <c:pt idx="938">
                  <c:v>-18146.601955249185</c:v>
                </c:pt>
                <c:pt idx="939">
                  <c:v>-18213.93804843269</c:v>
                </c:pt>
                <c:pt idx="940">
                  <c:v>-18280.295144952528</c:v>
                </c:pt>
                <c:pt idx="941">
                  <c:v>-18345.653031794289</c:v>
                </c:pt>
                <c:pt idx="942">
                  <c:v>-18409.991800312488</c:v>
                </c:pt>
                <c:pt idx="943">
                  <c:v>-18473.291852294977</c:v>
                </c:pt>
                <c:pt idx="944">
                  <c:v>-18535.533905932727</c:v>
                </c:pt>
                <c:pt idx="945">
                  <c:v>-18596.699001693254</c:v>
                </c:pt>
                <c:pt idx="946">
                  <c:v>-18656.768508095847</c:v>
                </c:pt>
                <c:pt idx="947">
                  <c:v>-18715.724127386973</c:v>
                </c:pt>
                <c:pt idx="948">
                  <c:v>-18773.54790111386</c:v>
                </c:pt>
                <c:pt idx="949">
                  <c:v>-18830.222215594884</c:v>
                </c:pt>
                <c:pt idx="950">
                  <c:v>-18885.729807284857</c:v>
                </c:pt>
                <c:pt idx="951">
                  <c:v>-18940.053768033609</c:v>
                </c:pt>
                <c:pt idx="952">
                  <c:v>-18993.177550236462</c:v>
                </c:pt>
                <c:pt idx="953">
                  <c:v>-19045.084971874741</c:v>
                </c:pt>
                <c:pt idx="954">
                  <c:v>-19095.760221444958</c:v>
                </c:pt>
                <c:pt idx="955">
                  <c:v>-19145.187862775205</c:v>
                </c:pt>
                <c:pt idx="956">
                  <c:v>-19193.352839727122</c:v>
                </c:pt>
                <c:pt idx="957">
                  <c:v>-19240.240480782129</c:v>
                </c:pt>
                <c:pt idx="958">
                  <c:v>-19285.83650351056</c:v>
                </c:pt>
                <c:pt idx="959">
                  <c:v>-19330.12701892219</c:v>
                </c:pt>
                <c:pt idx="960">
                  <c:v>-19373.09853569698</c:v>
                </c:pt>
                <c:pt idx="961">
                  <c:v>-19414.737964294633</c:v>
                </c:pt>
                <c:pt idx="962">
                  <c:v>-19455.032620941834</c:v>
                </c:pt>
                <c:pt idx="963">
                  <c:v>-19493.970231495838</c:v>
                </c:pt>
                <c:pt idx="964">
                  <c:v>-19531.538935183249</c:v>
                </c:pt>
                <c:pt idx="965">
                  <c:v>-19567.727288213002</c:v>
                </c:pt>
                <c:pt idx="966">
                  <c:v>-19602.524267262197</c:v>
                </c:pt>
                <c:pt idx="967">
                  <c:v>-19635.919272833937</c:v>
                </c:pt>
                <c:pt idx="968">
                  <c:v>-19667.902132486008</c:v>
                </c:pt>
                <c:pt idx="969">
                  <c:v>-19698.463103929538</c:v>
                </c:pt>
                <c:pt idx="970">
                  <c:v>-19727.592877996583</c:v>
                </c:pt>
                <c:pt idx="971">
                  <c:v>-19755.282581475767</c:v>
                </c:pt>
                <c:pt idx="972">
                  <c:v>-19781.523779815176</c:v>
                </c:pt>
                <c:pt idx="973">
                  <c:v>-19806.30847969159</c:v>
                </c:pt>
                <c:pt idx="974">
                  <c:v>-19829.629131445341</c:v>
                </c:pt>
                <c:pt idx="975">
                  <c:v>-19851.478631379981</c:v>
                </c:pt>
                <c:pt idx="976">
                  <c:v>-19871.850323926174</c:v>
                </c:pt>
                <c:pt idx="977">
                  <c:v>-19890.73800366903</c:v>
                </c:pt>
                <c:pt idx="978">
                  <c:v>-19908.13591723832</c:v>
                </c:pt>
                <c:pt idx="979">
                  <c:v>-19924.038765061039</c:v>
                </c:pt>
                <c:pt idx="980">
                  <c:v>-19938.441702975688</c:v>
                </c:pt>
                <c:pt idx="981">
                  <c:v>-19951.340343707852</c:v>
                </c:pt>
                <c:pt idx="982">
                  <c:v>-19962.730758206613</c:v>
                </c:pt>
                <c:pt idx="983">
                  <c:v>-19972.609476841368</c:v>
                </c:pt>
                <c:pt idx="984">
                  <c:v>-19980.973490458728</c:v>
                </c:pt>
                <c:pt idx="985">
                  <c:v>-19987.820251299123</c:v>
                </c:pt>
                <c:pt idx="986">
                  <c:v>-19993.14767377287</c:v>
                </c:pt>
                <c:pt idx="987">
                  <c:v>-19996.954135095479</c:v>
                </c:pt>
                <c:pt idx="988">
                  <c:v>-19999.238475781956</c:v>
                </c:pt>
                <c:pt idx="989">
                  <c:v>-20000</c:v>
                </c:pt>
                <c:pt idx="990">
                  <c:v>-19999.238475781956</c:v>
                </c:pt>
                <c:pt idx="991">
                  <c:v>-19996.954135095479</c:v>
                </c:pt>
                <c:pt idx="992">
                  <c:v>-19993.14767377287</c:v>
                </c:pt>
                <c:pt idx="993">
                  <c:v>-19987.820251299119</c:v>
                </c:pt>
                <c:pt idx="994">
                  <c:v>-19980.973490458728</c:v>
                </c:pt>
                <c:pt idx="995">
                  <c:v>-19972.609476841368</c:v>
                </c:pt>
                <c:pt idx="996">
                  <c:v>-19962.73075820661</c:v>
                </c:pt>
                <c:pt idx="997">
                  <c:v>-19951.340343707852</c:v>
                </c:pt>
                <c:pt idx="998">
                  <c:v>-19938.441702975688</c:v>
                </c:pt>
                <c:pt idx="999">
                  <c:v>-19924.038765061043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4A-4ABD-A04D-ECD5E14780CD}"/>
            </c:ext>
          </c:extLst>
        </c:ser>
        <c:ser>
          <c:idx val="4"/>
          <c:order val="4"/>
          <c:tx>
            <c:v>Ligne</c:v>
          </c:tx>
          <c:spPr>
            <a:ln w="19050" cap="rnd">
              <a:gradFill>
                <a:gsLst>
                  <a:gs pos="24000">
                    <a:schemeClr val="accent1">
                      <a:lumMod val="60000"/>
                      <a:lumOff val="40000"/>
                    </a:schemeClr>
                  </a:gs>
                  <a:gs pos="24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19050" cap="rnd">
                <a:gradFill>
                  <a:gsLst>
                    <a:gs pos="100000">
                      <a:schemeClr val="accent1">
                        <a:lumMod val="60000"/>
                        <a:lumOff val="40000"/>
                      </a:schemeClr>
                    </a:gs>
                    <a:gs pos="100000">
                      <a:schemeClr val="accent1">
                        <a:lumMod val="60000"/>
                        <a:lumOff val="40000"/>
                      </a:schemeClr>
                    </a:gs>
                    <a:gs pos="100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03-3A0B-4AE4-8E43-9A149D407299}"/>
              </c:ext>
            </c:extLst>
          </c:dPt>
          <c:xVal>
            <c:numRef>
              <c:f>('Simulation en mouvement'!$M$13,'Simulation en mouvement'!$Q$11:$Q$12)</c:f>
              <c:numCache>
                <c:formatCode>General</c:formatCode>
                <c:ptCount val="3"/>
                <c:pt idx="0">
                  <c:v>323058.00496092136</c:v>
                </c:pt>
                <c:pt idx="1">
                  <c:v>323058.00496092136</c:v>
                </c:pt>
                <c:pt idx="2">
                  <c:v>323058.00496092136</c:v>
                </c:pt>
              </c:numCache>
            </c:numRef>
          </c:xVal>
          <c:yVal>
            <c:numRef>
              <c:f>('Simulation en mouvement'!$N$13,'Simulation en mouvement'!$R$11:$R$12)</c:f>
              <c:numCache>
                <c:formatCode>General</c:formatCode>
                <c:ptCount val="3"/>
                <c:pt idx="0">
                  <c:v>515323.90663286962</c:v>
                </c:pt>
                <c:pt idx="1">
                  <c:v>515323.90663286962</c:v>
                </c:pt>
                <c:pt idx="2">
                  <c:v>515323.90663286962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0B-4AE4-8E43-9A149D407299}"/>
            </c:ext>
          </c:extLst>
        </c:ser>
        <c:ser>
          <c:idx val="5"/>
          <c:order val="5"/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Calculs!$AO$6:$AO$1005</c:f>
              <c:numCache>
                <c:formatCode>0.000</c:formatCode>
                <c:ptCount val="1000"/>
                <c:pt idx="0">
                  <c:v>12498.857713672935</c:v>
                </c:pt>
                <c:pt idx="1">
                  <c:v>12495.431202643218</c:v>
                </c:pt>
                <c:pt idx="2">
                  <c:v>12489.721510659303</c:v>
                </c:pt>
                <c:pt idx="3">
                  <c:v>12481.730376948683</c:v>
                </c:pt>
                <c:pt idx="4">
                  <c:v>12471.460235688091</c:v>
                </c:pt>
                <c:pt idx="5">
                  <c:v>12458.91421526205</c:v>
                </c:pt>
                <c:pt idx="6">
                  <c:v>12444.096137309916</c:v>
                </c:pt>
                <c:pt idx="7">
                  <c:v>12427.010515561778</c:v>
                </c:pt>
                <c:pt idx="8">
                  <c:v>12407.662554463534</c:v>
                </c:pt>
                <c:pt idx="9">
                  <c:v>12386.058147591561</c:v>
                </c:pt>
                <c:pt idx="10">
                  <c:v>12362.20387585748</c:v>
                </c:pt>
                <c:pt idx="11">
                  <c:v>12336.107005503542</c:v>
                </c:pt>
                <c:pt idx="12">
                  <c:v>12307.775485889264</c:v>
                </c:pt>
                <c:pt idx="13">
                  <c:v>12277.217947069974</c:v>
                </c:pt>
                <c:pt idx="14">
                  <c:v>12244.443697168012</c:v>
                </c:pt>
                <c:pt idx="15">
                  <c:v>12209.462719537391</c:v>
                </c:pt>
                <c:pt idx="16">
                  <c:v>12172.285669722765</c:v>
                </c:pt>
                <c:pt idx="17">
                  <c:v>12132.923872213651</c:v>
                </c:pt>
                <c:pt idx="18">
                  <c:v>12091.389316994875</c:v>
                </c:pt>
                <c:pt idx="19">
                  <c:v>12047.694655894313</c:v>
                </c:pt>
                <c:pt idx="20">
                  <c:v>12001.853198729013</c:v>
                </c:pt>
                <c:pt idx="21">
                  <c:v>11953.878909250907</c:v>
                </c:pt>
                <c:pt idx="22">
                  <c:v>11903.786400893303</c:v>
                </c:pt>
                <c:pt idx="23">
                  <c:v>11851.590932319506</c:v>
                </c:pt>
                <c:pt idx="24">
                  <c:v>11797.308402774874</c:v>
                </c:pt>
                <c:pt idx="25">
                  <c:v>11740.955347243753</c:v>
                </c:pt>
                <c:pt idx="26">
                  <c:v>11682.548931412759</c:v>
                </c:pt>
                <c:pt idx="27">
                  <c:v>11622.106946441952</c:v>
                </c:pt>
                <c:pt idx="28">
                  <c:v>11559.647803545467</c:v>
                </c:pt>
                <c:pt idx="29">
                  <c:v>11495.190528383289</c:v>
                </c:pt>
                <c:pt idx="30">
                  <c:v>11428.754755265843</c:v>
                </c:pt>
                <c:pt idx="31">
                  <c:v>11360.360721173194</c:v>
                </c:pt>
                <c:pt idx="32">
                  <c:v>11290.029259590679</c:v>
                </c:pt>
                <c:pt idx="33">
                  <c:v>11217.781794162813</c:v>
                </c:pt>
                <c:pt idx="34">
                  <c:v>11143.640332167439</c:v>
                </c:pt>
                <c:pt idx="35">
                  <c:v>11067.627457812105</c:v>
                </c:pt>
                <c:pt idx="36">
                  <c:v>10989.766325354696</c:v>
                </c:pt>
                <c:pt idx="37">
                  <c:v>10910.080652050416</c:v>
                </c:pt>
                <c:pt idx="38">
                  <c:v>10828.594710927282</c:v>
                </c:pt>
                <c:pt idx="39">
                  <c:v>10745.333323392335</c:v>
                </c:pt>
                <c:pt idx="40">
                  <c:v>10660.321851670791</c:v>
                </c:pt>
                <c:pt idx="41">
                  <c:v>10573.586191080456</c:v>
                </c:pt>
                <c:pt idx="42">
                  <c:v>10485.152762143778</c:v>
                </c:pt>
                <c:pt idx="43">
                  <c:v>10395.048502539885</c:v>
                </c:pt>
                <c:pt idx="44">
                  <c:v>10303.300858899107</c:v>
                </c:pt>
                <c:pt idx="45">
                  <c:v>10209.93777844248</c:v>
                </c:pt>
                <c:pt idx="46">
                  <c:v>10114.987700468739</c:v>
                </c:pt>
                <c:pt idx="47">
                  <c:v>10018.479547691437</c:v>
                </c:pt>
                <c:pt idx="48">
                  <c:v>9920.4427174288048</c:v>
                </c:pt>
                <c:pt idx="49">
                  <c:v>9820.9070726490463</c:v>
                </c:pt>
                <c:pt idx="50">
                  <c:v>9719.9029328737815</c:v>
                </c:pt>
                <c:pt idx="51">
                  <c:v>9617.4610649424376</c:v>
                </c:pt>
                <c:pt idx="52">
                  <c:v>9513.6126736403639</c:v>
                </c:pt>
                <c:pt idx="53">
                  <c:v>9408.3893921935487</c:v>
                </c:pt>
                <c:pt idx="54">
                  <c:v>9301.8232726328461</c:v>
                </c:pt>
                <c:pt idx="55">
                  <c:v>9193.9467760305997</c:v>
                </c:pt>
                <c:pt idx="56">
                  <c:v>9084.7927626127039</c:v>
                </c:pt>
                <c:pt idx="57">
                  <c:v>8974.3944817490374</c:v>
                </c:pt>
                <c:pt idx="58">
                  <c:v>8862.7855618254071</c:v>
                </c:pt>
                <c:pt idx="59">
                  <c:v>8750</c:v>
                </c:pt>
                <c:pt idx="60">
                  <c:v>8636.0721518475293</c:v>
                </c:pt>
                <c:pt idx="61">
                  <c:v>8521.0367208941825</c:v>
                </c:pt>
                <c:pt idx="62">
                  <c:v>8404.928748046601</c:v>
                </c:pt>
                <c:pt idx="63">
                  <c:v>8287.783600918081</c:v>
                </c:pt>
                <c:pt idx="64">
                  <c:v>8169.6369630552454</c:v>
                </c:pt>
                <c:pt idx="65">
                  <c:v>8050.5248230685011</c:v>
                </c:pt>
                <c:pt idx="66">
                  <c:v>7930.4834636695541</c:v>
                </c:pt>
                <c:pt idx="67">
                  <c:v>7809.549450619339</c:v>
                </c:pt>
                <c:pt idx="68">
                  <c:v>7687.7596215897529</c:v>
                </c:pt>
                <c:pt idx="69">
                  <c:v>7565.1510749425161</c:v>
                </c:pt>
                <c:pt idx="70">
                  <c:v>7441.7611584286751</c:v>
                </c:pt>
                <c:pt idx="71">
                  <c:v>7317.6274578121065</c:v>
                </c:pt>
                <c:pt idx="72">
                  <c:v>7192.7877854205253</c:v>
                </c:pt>
                <c:pt idx="73">
                  <c:v>7067.2801686274943</c:v>
                </c:pt>
                <c:pt idx="74">
                  <c:v>6941.1428382689055</c:v>
                </c:pt>
                <c:pt idx="75">
                  <c:v>6814.4142169975094</c:v>
                </c:pt>
                <c:pt idx="76">
                  <c:v>6687.1329075789872</c:v>
                </c:pt>
                <c:pt idx="77">
                  <c:v>6559.3376811331964</c:v>
                </c:pt>
                <c:pt idx="78">
                  <c:v>6431.0674653240867</c:v>
                </c:pt>
                <c:pt idx="79">
                  <c:v>6302.3613325019778</c:v>
                </c:pt>
                <c:pt idx="80">
                  <c:v>6173.2584878017315</c:v>
                </c:pt>
                <c:pt idx="81">
                  <c:v>6043.798257200493</c:v>
                </c:pt>
                <c:pt idx="82">
                  <c:v>5914.0200755386059</c:v>
                </c:pt>
                <c:pt idx="83">
                  <c:v>5783.9634745074009</c:v>
                </c:pt>
                <c:pt idx="84">
                  <c:v>5653.6680706074358</c:v>
                </c:pt>
                <c:pt idx="85">
                  <c:v>5523.173553080941</c:v>
                </c:pt>
                <c:pt idx="86">
                  <c:v>5392.5196718220795</c:v>
                </c:pt>
                <c:pt idx="87">
                  <c:v>5261.7462252687583</c:v>
                </c:pt>
                <c:pt idx="88">
                  <c:v>5130.893048279625</c:v>
                </c:pt>
                <c:pt idx="89">
                  <c:v>5000.0000000000009</c:v>
                </c:pt>
                <c:pt idx="90">
                  <c:v>4869.1069517203741</c:v>
                </c:pt>
                <c:pt idx="91">
                  <c:v>4738.2537747312444</c:v>
                </c:pt>
                <c:pt idx="92">
                  <c:v>4607.4803281779232</c:v>
                </c:pt>
                <c:pt idx="93">
                  <c:v>4476.8264469190599</c:v>
                </c:pt>
                <c:pt idx="94">
                  <c:v>4346.3319293925633</c:v>
                </c:pt>
                <c:pt idx="95">
                  <c:v>4216.0365254926</c:v>
                </c:pt>
                <c:pt idx="96">
                  <c:v>4085.9799244613946</c:v>
                </c:pt>
                <c:pt idx="97">
                  <c:v>3956.2017427995097</c:v>
                </c:pt>
                <c:pt idx="98">
                  <c:v>3826.7415121982672</c:v>
                </c:pt>
                <c:pt idx="99">
                  <c:v>3697.6386674980226</c:v>
                </c:pt>
                <c:pt idx="100">
                  <c:v>3568.9325346759142</c:v>
                </c:pt>
                <c:pt idx="101">
                  <c:v>3440.6623188668063</c:v>
                </c:pt>
                <c:pt idx="102">
                  <c:v>3312.8670924210137</c:v>
                </c:pt>
                <c:pt idx="103">
                  <c:v>3185.5857830024916</c:v>
                </c:pt>
                <c:pt idx="104">
                  <c:v>3058.8571617310936</c:v>
                </c:pt>
                <c:pt idx="105">
                  <c:v>2932.7198313725071</c:v>
                </c:pt>
                <c:pt idx="106">
                  <c:v>2807.2122145794751</c:v>
                </c:pt>
                <c:pt idx="107">
                  <c:v>2682.3725421878949</c:v>
                </c:pt>
                <c:pt idx="108">
                  <c:v>2558.2388415713267</c:v>
                </c:pt>
                <c:pt idx="109">
                  <c:v>2434.8489250574848</c:v>
                </c:pt>
                <c:pt idx="110">
                  <c:v>2312.240378410248</c:v>
                </c:pt>
                <c:pt idx="111">
                  <c:v>2190.4505493806596</c:v>
                </c:pt>
                <c:pt idx="112">
                  <c:v>2069.5165363304482</c:v>
                </c:pt>
                <c:pt idx="113">
                  <c:v>1949.4751769314998</c:v>
                </c:pt>
                <c:pt idx="114">
                  <c:v>1830.3630369447551</c:v>
                </c:pt>
                <c:pt idx="115">
                  <c:v>1712.2163990819186</c:v>
                </c:pt>
                <c:pt idx="116">
                  <c:v>1595.0712519534</c:v>
                </c:pt>
                <c:pt idx="117">
                  <c:v>1478.9632791058211</c:v>
                </c:pt>
                <c:pt idx="118">
                  <c:v>1363.9278481524725</c:v>
                </c:pt>
                <c:pt idx="119">
                  <c:v>1250.0000000000018</c:v>
                </c:pt>
                <c:pt idx="120">
                  <c:v>1137.2144381745929</c:v>
                </c:pt>
                <c:pt idx="121">
                  <c:v>1025.605518250964</c:v>
                </c:pt>
                <c:pt idx="122">
                  <c:v>915.20723738729703</c:v>
                </c:pt>
                <c:pt idx="123">
                  <c:v>806.05322396940028</c:v>
                </c:pt>
                <c:pt idx="124">
                  <c:v>698.17672736715667</c:v>
                </c:pt>
                <c:pt idx="125">
                  <c:v>591.61060780645221</c:v>
                </c:pt>
                <c:pt idx="126">
                  <c:v>486.38732635963697</c:v>
                </c:pt>
                <c:pt idx="127">
                  <c:v>382.53893505756241</c:v>
                </c:pt>
                <c:pt idx="128">
                  <c:v>280.09706712622028</c:v>
                </c:pt>
                <c:pt idx="129">
                  <c:v>179.0929273509546</c:v>
                </c:pt>
                <c:pt idx="130">
                  <c:v>79.557282571193355</c:v>
                </c:pt>
                <c:pt idx="131">
                  <c:v>-18.479547691436892</c:v>
                </c:pt>
                <c:pt idx="132">
                  <c:v>-114.98770046873778</c:v>
                </c:pt>
                <c:pt idx="133">
                  <c:v>-209.93777844247779</c:v>
                </c:pt>
                <c:pt idx="134">
                  <c:v>-303.30085889910606</c:v>
                </c:pt>
                <c:pt idx="135">
                  <c:v>-395.04850253988388</c:v>
                </c:pt>
                <c:pt idx="136">
                  <c:v>-485.15276214377809</c:v>
                </c:pt>
                <c:pt idx="137">
                  <c:v>-573.58619108045514</c:v>
                </c:pt>
                <c:pt idx="138">
                  <c:v>-660.32185167079024</c:v>
                </c:pt>
                <c:pt idx="139">
                  <c:v>-745.33332339233402</c:v>
                </c:pt>
                <c:pt idx="140">
                  <c:v>-828.59471092728018</c:v>
                </c:pt>
                <c:pt idx="141">
                  <c:v>-910.08065205041385</c:v>
                </c:pt>
                <c:pt idx="142">
                  <c:v>-989.76632535469707</c:v>
                </c:pt>
                <c:pt idx="143">
                  <c:v>-1067.6274578121047</c:v>
                </c:pt>
                <c:pt idx="144">
                  <c:v>-1143.640332167437</c:v>
                </c:pt>
                <c:pt idx="145">
                  <c:v>-1217.7817941628118</c:v>
                </c:pt>
                <c:pt idx="146">
                  <c:v>-1290.0292595906812</c:v>
                </c:pt>
                <c:pt idx="147">
                  <c:v>-1360.3607211731951</c:v>
                </c:pt>
                <c:pt idx="148">
                  <c:v>-1428.7547552658416</c:v>
                </c:pt>
                <c:pt idx="149">
                  <c:v>-1495.1905283832903</c:v>
                </c:pt>
                <c:pt idx="150">
                  <c:v>-1559.6478035454684</c:v>
                </c:pt>
                <c:pt idx="151">
                  <c:v>-1622.1069464419506</c:v>
                </c:pt>
                <c:pt idx="152">
                  <c:v>-1682.5489314127581</c:v>
                </c:pt>
                <c:pt idx="153">
                  <c:v>-1740.9553472437528</c:v>
                </c:pt>
                <c:pt idx="154">
                  <c:v>-1797.3084027748746</c:v>
                </c:pt>
                <c:pt idx="155">
                  <c:v>-1851.5909323195056</c:v>
                </c:pt>
                <c:pt idx="156">
                  <c:v>-1903.7864008933011</c:v>
                </c:pt>
                <c:pt idx="157">
                  <c:v>-1953.8789092509051</c:v>
                </c:pt>
                <c:pt idx="158">
                  <c:v>-2001.8531987290135</c:v>
                </c:pt>
                <c:pt idx="159">
                  <c:v>-2047.6946558943127</c:v>
                </c:pt>
                <c:pt idx="160">
                  <c:v>-2091.3893169948751</c:v>
                </c:pt>
                <c:pt idx="161">
                  <c:v>-2132.9238722136515</c:v>
                </c:pt>
                <c:pt idx="162">
                  <c:v>-2172.2856697227662</c:v>
                </c:pt>
                <c:pt idx="163">
                  <c:v>-2209.4627195373896</c:v>
                </c:pt>
                <c:pt idx="164">
                  <c:v>-2244.4436971680116</c:v>
                </c:pt>
                <c:pt idx="165">
                  <c:v>-2277.2179470699739</c:v>
                </c:pt>
                <c:pt idx="166">
                  <c:v>-2307.775485889264</c:v>
                </c:pt>
                <c:pt idx="167">
                  <c:v>-2336.1070055035425</c:v>
                </c:pt>
                <c:pt idx="168">
                  <c:v>-2362.2038758574799</c:v>
                </c:pt>
                <c:pt idx="169">
                  <c:v>-2386.0581475915606</c:v>
                </c:pt>
                <c:pt idx="170">
                  <c:v>-2407.6625544635326</c:v>
                </c:pt>
                <c:pt idx="171">
                  <c:v>-2427.0105155617766</c:v>
                </c:pt>
                <c:pt idx="172">
                  <c:v>-2444.0961373099153</c:v>
                </c:pt>
                <c:pt idx="173">
                  <c:v>-2458.9142152620498</c:v>
                </c:pt>
                <c:pt idx="174">
                  <c:v>-2471.4602356880914</c:v>
                </c:pt>
                <c:pt idx="175">
                  <c:v>-2481.7303769486816</c:v>
                </c:pt>
                <c:pt idx="176">
                  <c:v>-2489.7215106593039</c:v>
                </c:pt>
                <c:pt idx="177">
                  <c:v>-2495.4312026432181</c:v>
                </c:pt>
                <c:pt idx="178">
                  <c:v>-2498.8577136729346</c:v>
                </c:pt>
                <c:pt idx="179">
                  <c:v>-2500</c:v>
                </c:pt>
                <c:pt idx="180">
                  <c:v>-2498.8577136729346</c:v>
                </c:pt>
                <c:pt idx="181">
                  <c:v>-2495.4312026432181</c:v>
                </c:pt>
                <c:pt idx="182">
                  <c:v>-2489.7215106593039</c:v>
                </c:pt>
                <c:pt idx="183">
                  <c:v>-2481.7303769486825</c:v>
                </c:pt>
                <c:pt idx="184">
                  <c:v>-2471.4602356880914</c:v>
                </c:pt>
                <c:pt idx="185">
                  <c:v>-2458.9142152620507</c:v>
                </c:pt>
                <c:pt idx="186">
                  <c:v>-2444.0961373099153</c:v>
                </c:pt>
                <c:pt idx="187">
                  <c:v>-2427.0105155617766</c:v>
                </c:pt>
                <c:pt idx="188">
                  <c:v>-2407.6625544635335</c:v>
                </c:pt>
                <c:pt idx="189">
                  <c:v>-2386.0581475915606</c:v>
                </c:pt>
                <c:pt idx="190">
                  <c:v>-2362.2038758574799</c:v>
                </c:pt>
                <c:pt idx="191">
                  <c:v>-2336.1070055035425</c:v>
                </c:pt>
                <c:pt idx="192">
                  <c:v>-2307.775485889264</c:v>
                </c:pt>
                <c:pt idx="193">
                  <c:v>-2277.2179470699739</c:v>
                </c:pt>
                <c:pt idx="194">
                  <c:v>-2244.4436971680134</c:v>
                </c:pt>
                <c:pt idx="195">
                  <c:v>-2209.4627195373914</c:v>
                </c:pt>
                <c:pt idx="196">
                  <c:v>-2172.2856697227662</c:v>
                </c:pt>
                <c:pt idx="197">
                  <c:v>-2132.9238722136515</c:v>
                </c:pt>
                <c:pt idx="198">
                  <c:v>-2091.3893169948751</c:v>
                </c:pt>
                <c:pt idx="199">
                  <c:v>-2047.6946558943137</c:v>
                </c:pt>
                <c:pt idx="200">
                  <c:v>-2001.8531987290135</c:v>
                </c:pt>
                <c:pt idx="201">
                  <c:v>-1953.878909250906</c:v>
                </c:pt>
                <c:pt idx="202">
                  <c:v>-1903.7864008933029</c:v>
                </c:pt>
                <c:pt idx="203">
                  <c:v>-1851.5909323195083</c:v>
                </c:pt>
                <c:pt idx="204">
                  <c:v>-1797.3084027748755</c:v>
                </c:pt>
                <c:pt idx="205">
                  <c:v>-1740.9553472437537</c:v>
                </c:pt>
                <c:pt idx="206">
                  <c:v>-1682.5489314127608</c:v>
                </c:pt>
                <c:pt idx="207">
                  <c:v>-1622.1069464419515</c:v>
                </c:pt>
                <c:pt idx="208">
                  <c:v>-1559.6478035454693</c:v>
                </c:pt>
                <c:pt idx="209">
                  <c:v>-1495.1905283832893</c:v>
                </c:pt>
                <c:pt idx="210">
                  <c:v>-1428.7547552658425</c:v>
                </c:pt>
                <c:pt idx="211">
                  <c:v>-1360.3607211731951</c:v>
                </c:pt>
                <c:pt idx="212">
                  <c:v>-1290.0292595906803</c:v>
                </c:pt>
                <c:pt idx="213">
                  <c:v>-1217.7817941628136</c:v>
                </c:pt>
                <c:pt idx="214">
                  <c:v>-1143.6403321674397</c:v>
                </c:pt>
                <c:pt idx="215">
                  <c:v>-1067.6274578121065</c:v>
                </c:pt>
                <c:pt idx="216">
                  <c:v>-989.76632535469798</c:v>
                </c:pt>
                <c:pt idx="217">
                  <c:v>-910.08065205041657</c:v>
                </c:pt>
                <c:pt idx="218">
                  <c:v>-828.59471092728108</c:v>
                </c:pt>
                <c:pt idx="219">
                  <c:v>-745.33332339233493</c:v>
                </c:pt>
                <c:pt idx="220">
                  <c:v>-660.32185167078933</c:v>
                </c:pt>
                <c:pt idx="221">
                  <c:v>-573.58619108045696</c:v>
                </c:pt>
                <c:pt idx="222">
                  <c:v>-485.152762143779</c:v>
                </c:pt>
                <c:pt idx="223">
                  <c:v>-395.04850253988297</c:v>
                </c:pt>
                <c:pt idx="224">
                  <c:v>-303.30085889910788</c:v>
                </c:pt>
                <c:pt idx="225">
                  <c:v>-209.93777844248234</c:v>
                </c:pt>
                <c:pt idx="226">
                  <c:v>-114.98770046874233</c:v>
                </c:pt>
                <c:pt idx="227">
                  <c:v>-18.479547691438711</c:v>
                </c:pt>
                <c:pt idx="228">
                  <c:v>79.557282571193355</c:v>
                </c:pt>
                <c:pt idx="229">
                  <c:v>179.09292735095369</c:v>
                </c:pt>
                <c:pt idx="230">
                  <c:v>280.09706712622119</c:v>
                </c:pt>
                <c:pt idx="231">
                  <c:v>382.53893505756423</c:v>
                </c:pt>
                <c:pt idx="232">
                  <c:v>486.38732635963788</c:v>
                </c:pt>
                <c:pt idx="233">
                  <c:v>591.61060780645039</c:v>
                </c:pt>
                <c:pt idx="234">
                  <c:v>698.17672736715213</c:v>
                </c:pt>
                <c:pt idx="235">
                  <c:v>806.05322396939573</c:v>
                </c:pt>
                <c:pt idx="236">
                  <c:v>915.20723738729748</c:v>
                </c:pt>
                <c:pt idx="237">
                  <c:v>1025.6055182509626</c:v>
                </c:pt>
                <c:pt idx="238">
                  <c:v>1137.2144381745911</c:v>
                </c:pt>
                <c:pt idx="239">
                  <c:v>1249.9999999999968</c:v>
                </c:pt>
                <c:pt idx="240">
                  <c:v>1363.9278481524739</c:v>
                </c:pt>
                <c:pt idx="241">
                  <c:v>1478.9632791058193</c:v>
                </c:pt>
                <c:pt idx="242">
                  <c:v>1595.0712519533981</c:v>
                </c:pt>
                <c:pt idx="243">
                  <c:v>1712.2163990819172</c:v>
                </c:pt>
                <c:pt idx="244">
                  <c:v>1830.3630369447505</c:v>
                </c:pt>
                <c:pt idx="245">
                  <c:v>1949.4751769314994</c:v>
                </c:pt>
                <c:pt idx="246">
                  <c:v>2069.5165363304463</c:v>
                </c:pt>
                <c:pt idx="247">
                  <c:v>2190.4505493806578</c:v>
                </c:pt>
                <c:pt idx="248">
                  <c:v>2312.2403784102448</c:v>
                </c:pt>
                <c:pt idx="249">
                  <c:v>2434.8489250574798</c:v>
                </c:pt>
                <c:pt idx="250">
                  <c:v>2558.2388415713253</c:v>
                </c:pt>
                <c:pt idx="251">
                  <c:v>2682.3725421878935</c:v>
                </c:pt>
                <c:pt idx="252">
                  <c:v>2807.2122145794719</c:v>
                </c:pt>
                <c:pt idx="253">
                  <c:v>2932.7198313725085</c:v>
                </c:pt>
                <c:pt idx="254">
                  <c:v>3058.8571617310954</c:v>
                </c:pt>
                <c:pt idx="255">
                  <c:v>3185.5857830024916</c:v>
                </c:pt>
                <c:pt idx="256">
                  <c:v>3312.8670924210105</c:v>
                </c:pt>
                <c:pt idx="257">
                  <c:v>3440.6623188668018</c:v>
                </c:pt>
                <c:pt idx="258">
                  <c:v>3568.9325346759088</c:v>
                </c:pt>
                <c:pt idx="259">
                  <c:v>3697.6386674980222</c:v>
                </c:pt>
                <c:pt idx="260">
                  <c:v>3826.7415121982672</c:v>
                </c:pt>
                <c:pt idx="261">
                  <c:v>3956.2017427995129</c:v>
                </c:pt>
                <c:pt idx="262">
                  <c:v>4085.979924461396</c:v>
                </c:pt>
                <c:pt idx="263">
                  <c:v>4216.0365254926</c:v>
                </c:pt>
                <c:pt idx="264">
                  <c:v>4346.3319293925633</c:v>
                </c:pt>
                <c:pt idx="265">
                  <c:v>4476.8264469190581</c:v>
                </c:pt>
                <c:pt idx="266">
                  <c:v>4607.4803281779177</c:v>
                </c:pt>
                <c:pt idx="267">
                  <c:v>4738.2537747312381</c:v>
                </c:pt>
                <c:pt idx="268">
                  <c:v>4869.1069517203741</c:v>
                </c:pt>
                <c:pt idx="269">
                  <c:v>4999.9999999999982</c:v>
                </c:pt>
                <c:pt idx="270">
                  <c:v>5130.8930482796231</c:v>
                </c:pt>
                <c:pt idx="271">
                  <c:v>5261.7462252687592</c:v>
                </c:pt>
                <c:pt idx="272">
                  <c:v>5392.5196718220795</c:v>
                </c:pt>
                <c:pt idx="273">
                  <c:v>5523.1735530809392</c:v>
                </c:pt>
                <c:pt idx="274">
                  <c:v>5653.6680706074339</c:v>
                </c:pt>
                <c:pt idx="275">
                  <c:v>5783.9634745073972</c:v>
                </c:pt>
                <c:pt idx="276">
                  <c:v>5914.0200755386077</c:v>
                </c:pt>
                <c:pt idx="277">
                  <c:v>6043.7982572004912</c:v>
                </c:pt>
                <c:pt idx="278">
                  <c:v>6173.2584878017296</c:v>
                </c:pt>
                <c:pt idx="279">
                  <c:v>6302.3613325019751</c:v>
                </c:pt>
                <c:pt idx="280">
                  <c:v>6431.0674653240821</c:v>
                </c:pt>
                <c:pt idx="281">
                  <c:v>6559.3376811331891</c:v>
                </c:pt>
                <c:pt idx="282">
                  <c:v>6687.1329075789872</c:v>
                </c:pt>
                <c:pt idx="283">
                  <c:v>6814.4142169975057</c:v>
                </c:pt>
                <c:pt idx="284">
                  <c:v>6941.1428382689082</c:v>
                </c:pt>
                <c:pt idx="285">
                  <c:v>7067.2801686274952</c:v>
                </c:pt>
                <c:pt idx="286">
                  <c:v>7192.7877854205253</c:v>
                </c:pt>
                <c:pt idx="287">
                  <c:v>7317.6274578121047</c:v>
                </c:pt>
                <c:pt idx="288">
                  <c:v>7441.7611584286724</c:v>
                </c:pt>
                <c:pt idx="289">
                  <c:v>7565.1510749425106</c:v>
                </c:pt>
                <c:pt idx="290">
                  <c:v>7687.7596215897465</c:v>
                </c:pt>
                <c:pt idx="291">
                  <c:v>7809.549450619339</c:v>
                </c:pt>
                <c:pt idx="292">
                  <c:v>7930.4834636695514</c:v>
                </c:pt>
                <c:pt idx="293">
                  <c:v>8050.5248230685047</c:v>
                </c:pt>
                <c:pt idx="294">
                  <c:v>8169.6369630552472</c:v>
                </c:pt>
                <c:pt idx="295">
                  <c:v>8287.783600918081</c:v>
                </c:pt>
                <c:pt idx="296">
                  <c:v>8404.9287480465991</c:v>
                </c:pt>
                <c:pt idx="297">
                  <c:v>8521.0367208941789</c:v>
                </c:pt>
                <c:pt idx="298">
                  <c:v>8636.0721518475239</c:v>
                </c:pt>
                <c:pt idx="299">
                  <c:v>8750</c:v>
                </c:pt>
                <c:pt idx="300">
                  <c:v>8862.7855618254071</c:v>
                </c:pt>
                <c:pt idx="301">
                  <c:v>8974.3944817490355</c:v>
                </c:pt>
                <c:pt idx="302">
                  <c:v>9084.7927626127002</c:v>
                </c:pt>
                <c:pt idx="303">
                  <c:v>9193.9467760305961</c:v>
                </c:pt>
                <c:pt idx="304">
                  <c:v>9301.8232726328461</c:v>
                </c:pt>
                <c:pt idx="305">
                  <c:v>9408.3893921935469</c:v>
                </c:pt>
                <c:pt idx="306">
                  <c:v>9513.6126736403603</c:v>
                </c:pt>
                <c:pt idx="307">
                  <c:v>9617.4610649424394</c:v>
                </c:pt>
                <c:pt idx="308">
                  <c:v>9719.9029328737815</c:v>
                </c:pt>
                <c:pt idx="309">
                  <c:v>9820.9070726490445</c:v>
                </c:pt>
                <c:pt idx="310">
                  <c:v>9920.442717428803</c:v>
                </c:pt>
                <c:pt idx="311">
                  <c:v>10018.479547691433</c:v>
                </c:pt>
                <c:pt idx="312">
                  <c:v>10114.987700468735</c:v>
                </c:pt>
                <c:pt idx="313">
                  <c:v>10209.937778442474</c:v>
                </c:pt>
                <c:pt idx="314">
                  <c:v>10303.300858899105</c:v>
                </c:pt>
                <c:pt idx="315">
                  <c:v>10395.048502539881</c:v>
                </c:pt>
                <c:pt idx="316">
                  <c:v>10485.15276214378</c:v>
                </c:pt>
                <c:pt idx="317">
                  <c:v>10573.586191080456</c:v>
                </c:pt>
                <c:pt idx="318">
                  <c:v>10660.321851670789</c:v>
                </c:pt>
                <c:pt idx="319">
                  <c:v>10745.333323392333</c:v>
                </c:pt>
                <c:pt idx="320">
                  <c:v>10828.594710927278</c:v>
                </c:pt>
                <c:pt idx="321">
                  <c:v>10910.080652050412</c:v>
                </c:pt>
                <c:pt idx="322">
                  <c:v>10989.766325354696</c:v>
                </c:pt>
                <c:pt idx="323">
                  <c:v>11067.627457812105</c:v>
                </c:pt>
                <c:pt idx="324">
                  <c:v>11143.640332167437</c:v>
                </c:pt>
                <c:pt idx="325">
                  <c:v>11217.781794162811</c:v>
                </c:pt>
                <c:pt idx="326">
                  <c:v>11290.029259590679</c:v>
                </c:pt>
                <c:pt idx="327">
                  <c:v>11360.360721173191</c:v>
                </c:pt>
                <c:pt idx="328">
                  <c:v>11428.75475526584</c:v>
                </c:pt>
                <c:pt idx="329">
                  <c:v>11495.190528383288</c:v>
                </c:pt>
                <c:pt idx="330">
                  <c:v>11559.647803545469</c:v>
                </c:pt>
                <c:pt idx="331">
                  <c:v>11622.106946441952</c:v>
                </c:pt>
                <c:pt idx="332">
                  <c:v>11682.548931412759</c:v>
                </c:pt>
                <c:pt idx="333">
                  <c:v>11740.955347243755</c:v>
                </c:pt>
                <c:pt idx="334">
                  <c:v>11797.308402774874</c:v>
                </c:pt>
                <c:pt idx="335">
                  <c:v>11851.590932319508</c:v>
                </c:pt>
                <c:pt idx="336">
                  <c:v>11903.786400893299</c:v>
                </c:pt>
                <c:pt idx="337">
                  <c:v>11953.878909250905</c:v>
                </c:pt>
                <c:pt idx="338">
                  <c:v>12001.853198729012</c:v>
                </c:pt>
                <c:pt idx="339">
                  <c:v>12047.694655894313</c:v>
                </c:pt>
                <c:pt idx="340">
                  <c:v>12091.389316994875</c:v>
                </c:pt>
                <c:pt idx="341">
                  <c:v>12132.923872213651</c:v>
                </c:pt>
                <c:pt idx="342">
                  <c:v>12172.285669722767</c:v>
                </c:pt>
                <c:pt idx="343">
                  <c:v>12209.462719537391</c:v>
                </c:pt>
                <c:pt idx="344">
                  <c:v>12244.443697168012</c:v>
                </c:pt>
                <c:pt idx="345">
                  <c:v>12277.217947069974</c:v>
                </c:pt>
                <c:pt idx="346">
                  <c:v>12307.775485889262</c:v>
                </c:pt>
                <c:pt idx="347">
                  <c:v>12336.107005503542</c:v>
                </c:pt>
                <c:pt idx="348">
                  <c:v>12362.20387585748</c:v>
                </c:pt>
                <c:pt idx="349">
                  <c:v>12386.058147591561</c:v>
                </c:pt>
                <c:pt idx="350">
                  <c:v>12407.662554463532</c:v>
                </c:pt>
                <c:pt idx="351">
                  <c:v>12427.010515561777</c:v>
                </c:pt>
                <c:pt idx="352">
                  <c:v>12444.096137309916</c:v>
                </c:pt>
                <c:pt idx="353">
                  <c:v>12458.91421526205</c:v>
                </c:pt>
                <c:pt idx="354">
                  <c:v>12471.460235688091</c:v>
                </c:pt>
                <c:pt idx="355">
                  <c:v>12481.730376948683</c:v>
                </c:pt>
                <c:pt idx="356">
                  <c:v>12489.721510659303</c:v>
                </c:pt>
                <c:pt idx="357">
                  <c:v>12495.431202643218</c:v>
                </c:pt>
                <c:pt idx="358">
                  <c:v>12498.857713672935</c:v>
                </c:pt>
                <c:pt idx="359">
                  <c:v>12500</c:v>
                </c:pt>
                <c:pt idx="360">
                  <c:v>12498.857713672935</c:v>
                </c:pt>
                <c:pt idx="361">
                  <c:v>12495.431202643218</c:v>
                </c:pt>
                <c:pt idx="362">
                  <c:v>12489.721510659303</c:v>
                </c:pt>
                <c:pt idx="363">
                  <c:v>12481.730376948683</c:v>
                </c:pt>
                <c:pt idx="364">
                  <c:v>12471.46023568809</c:v>
                </c:pt>
                <c:pt idx="365">
                  <c:v>12458.914215262052</c:v>
                </c:pt>
                <c:pt idx="366">
                  <c:v>12444.096137309916</c:v>
                </c:pt>
                <c:pt idx="367">
                  <c:v>12427.010515561778</c:v>
                </c:pt>
                <c:pt idx="368">
                  <c:v>12407.662554463534</c:v>
                </c:pt>
                <c:pt idx="369">
                  <c:v>12386.058147591561</c:v>
                </c:pt>
                <c:pt idx="370">
                  <c:v>12362.203875857478</c:v>
                </c:pt>
                <c:pt idx="371">
                  <c:v>12336.107005503543</c:v>
                </c:pt>
                <c:pt idx="372">
                  <c:v>12307.775485889264</c:v>
                </c:pt>
                <c:pt idx="373">
                  <c:v>12277.217947069974</c:v>
                </c:pt>
                <c:pt idx="374">
                  <c:v>12244.443697168013</c:v>
                </c:pt>
                <c:pt idx="375">
                  <c:v>12209.462719537391</c:v>
                </c:pt>
                <c:pt idx="376">
                  <c:v>12172.285669722765</c:v>
                </c:pt>
                <c:pt idx="377">
                  <c:v>12132.923872213652</c:v>
                </c:pt>
                <c:pt idx="378">
                  <c:v>12091.389316994877</c:v>
                </c:pt>
                <c:pt idx="379">
                  <c:v>12047.694655894313</c:v>
                </c:pt>
                <c:pt idx="380">
                  <c:v>12001.853198729015</c:v>
                </c:pt>
                <c:pt idx="381">
                  <c:v>11953.878909250907</c:v>
                </c:pt>
                <c:pt idx="382">
                  <c:v>11903.786400893307</c:v>
                </c:pt>
                <c:pt idx="383">
                  <c:v>11851.590932319508</c:v>
                </c:pt>
                <c:pt idx="384">
                  <c:v>11797.308402774874</c:v>
                </c:pt>
                <c:pt idx="385">
                  <c:v>11740.955347243753</c:v>
                </c:pt>
                <c:pt idx="386">
                  <c:v>11682.548931412757</c:v>
                </c:pt>
                <c:pt idx="387">
                  <c:v>11622.106946441954</c:v>
                </c:pt>
                <c:pt idx="388">
                  <c:v>11559.647803545467</c:v>
                </c:pt>
                <c:pt idx="389">
                  <c:v>11495.190528383293</c:v>
                </c:pt>
                <c:pt idx="390">
                  <c:v>11428.754755265843</c:v>
                </c:pt>
                <c:pt idx="391">
                  <c:v>11360.360721173196</c:v>
                </c:pt>
                <c:pt idx="392">
                  <c:v>11290.029259590683</c:v>
                </c:pt>
                <c:pt idx="393">
                  <c:v>11217.781794162816</c:v>
                </c:pt>
                <c:pt idx="394">
                  <c:v>11143.640332167439</c:v>
                </c:pt>
                <c:pt idx="395">
                  <c:v>11067.627457812103</c:v>
                </c:pt>
                <c:pt idx="396">
                  <c:v>10989.7663253547</c:v>
                </c:pt>
                <c:pt idx="397">
                  <c:v>10910.080652050414</c:v>
                </c:pt>
                <c:pt idx="398">
                  <c:v>10828.594710927286</c:v>
                </c:pt>
                <c:pt idx="399">
                  <c:v>10745.333323392337</c:v>
                </c:pt>
                <c:pt idx="400">
                  <c:v>10660.321851670793</c:v>
                </c:pt>
                <c:pt idx="401">
                  <c:v>10573.586191080456</c:v>
                </c:pt>
                <c:pt idx="402">
                  <c:v>10485.152762143782</c:v>
                </c:pt>
                <c:pt idx="403">
                  <c:v>10395.048502539885</c:v>
                </c:pt>
                <c:pt idx="404">
                  <c:v>10303.300858899112</c:v>
                </c:pt>
                <c:pt idx="405">
                  <c:v>10209.937778442483</c:v>
                </c:pt>
                <c:pt idx="406">
                  <c:v>10114.987700468737</c:v>
                </c:pt>
                <c:pt idx="407">
                  <c:v>10018.479547691441</c:v>
                </c:pt>
                <c:pt idx="408">
                  <c:v>9920.4427174288066</c:v>
                </c:pt>
                <c:pt idx="409">
                  <c:v>9820.9070726490463</c:v>
                </c:pt>
                <c:pt idx="410">
                  <c:v>9719.9029328737779</c:v>
                </c:pt>
                <c:pt idx="411">
                  <c:v>9617.4610649424412</c:v>
                </c:pt>
                <c:pt idx="412">
                  <c:v>9513.6126736403639</c:v>
                </c:pt>
                <c:pt idx="413">
                  <c:v>9408.389392193556</c:v>
                </c:pt>
                <c:pt idx="414">
                  <c:v>9301.8232726328497</c:v>
                </c:pt>
                <c:pt idx="415">
                  <c:v>9193.9467760305997</c:v>
                </c:pt>
                <c:pt idx="416">
                  <c:v>9084.7927626127021</c:v>
                </c:pt>
                <c:pt idx="417">
                  <c:v>8974.3944817490374</c:v>
                </c:pt>
                <c:pt idx="418">
                  <c:v>8862.7855618254089</c:v>
                </c:pt>
                <c:pt idx="419">
                  <c:v>8749.9999999999982</c:v>
                </c:pt>
                <c:pt idx="420">
                  <c:v>8636.072151847533</c:v>
                </c:pt>
                <c:pt idx="421">
                  <c:v>8521.0367208941825</c:v>
                </c:pt>
                <c:pt idx="422">
                  <c:v>8404.9287480466028</c:v>
                </c:pt>
                <c:pt idx="423">
                  <c:v>8287.7836009180828</c:v>
                </c:pt>
                <c:pt idx="424">
                  <c:v>8169.6369630552508</c:v>
                </c:pt>
                <c:pt idx="425">
                  <c:v>8050.5248230685011</c:v>
                </c:pt>
                <c:pt idx="426">
                  <c:v>7930.4834636695487</c:v>
                </c:pt>
                <c:pt idx="427">
                  <c:v>7809.5494506193427</c:v>
                </c:pt>
                <c:pt idx="428">
                  <c:v>7687.7596215897502</c:v>
                </c:pt>
                <c:pt idx="429">
                  <c:v>7565.1510749425215</c:v>
                </c:pt>
                <c:pt idx="430">
                  <c:v>7441.7611584286751</c:v>
                </c:pt>
                <c:pt idx="431">
                  <c:v>7317.6274578121083</c:v>
                </c:pt>
                <c:pt idx="432">
                  <c:v>7192.7877854205226</c:v>
                </c:pt>
                <c:pt idx="433">
                  <c:v>7067.2801686274988</c:v>
                </c:pt>
                <c:pt idx="434">
                  <c:v>6941.1428382689055</c:v>
                </c:pt>
                <c:pt idx="435">
                  <c:v>6814.4142169975157</c:v>
                </c:pt>
                <c:pt idx="436">
                  <c:v>6687.1329075789909</c:v>
                </c:pt>
                <c:pt idx="437">
                  <c:v>6559.3376811331927</c:v>
                </c:pt>
                <c:pt idx="438">
                  <c:v>6431.0674653240922</c:v>
                </c:pt>
                <c:pt idx="439">
                  <c:v>6302.3613325019778</c:v>
                </c:pt>
                <c:pt idx="440">
                  <c:v>6173.2584878017333</c:v>
                </c:pt>
                <c:pt idx="441">
                  <c:v>6043.7982572004876</c:v>
                </c:pt>
                <c:pt idx="442">
                  <c:v>5914.0200755386113</c:v>
                </c:pt>
                <c:pt idx="443">
                  <c:v>5783.9634745074009</c:v>
                </c:pt>
                <c:pt idx="444">
                  <c:v>5653.6680706074449</c:v>
                </c:pt>
                <c:pt idx="445">
                  <c:v>5523.1735530809428</c:v>
                </c:pt>
                <c:pt idx="446">
                  <c:v>5392.5196718220832</c:v>
                </c:pt>
                <c:pt idx="447">
                  <c:v>5261.7462252687565</c:v>
                </c:pt>
                <c:pt idx="448">
                  <c:v>5130.8930482796268</c:v>
                </c:pt>
                <c:pt idx="449">
                  <c:v>5000.0000000000027</c:v>
                </c:pt>
                <c:pt idx="450">
                  <c:v>4869.1069517203705</c:v>
                </c:pt>
                <c:pt idx="451">
                  <c:v>4738.2537747312481</c:v>
                </c:pt>
                <c:pt idx="452">
                  <c:v>4607.4803281779214</c:v>
                </c:pt>
                <c:pt idx="453">
                  <c:v>4476.8264469190681</c:v>
                </c:pt>
                <c:pt idx="454">
                  <c:v>4346.331929392567</c:v>
                </c:pt>
                <c:pt idx="455">
                  <c:v>4216.0365254926037</c:v>
                </c:pt>
                <c:pt idx="456">
                  <c:v>4085.9799244613932</c:v>
                </c:pt>
                <c:pt idx="457">
                  <c:v>3956.201742799517</c:v>
                </c:pt>
                <c:pt idx="458">
                  <c:v>3826.7415121982776</c:v>
                </c:pt>
                <c:pt idx="459">
                  <c:v>3697.6386674980258</c:v>
                </c:pt>
                <c:pt idx="460">
                  <c:v>3568.9325346759124</c:v>
                </c:pt>
                <c:pt idx="461">
                  <c:v>3440.6623188667986</c:v>
                </c:pt>
                <c:pt idx="462">
                  <c:v>3312.8670924210141</c:v>
                </c:pt>
                <c:pt idx="463">
                  <c:v>3185.5857830024888</c:v>
                </c:pt>
                <c:pt idx="464">
                  <c:v>3058.8571617310986</c:v>
                </c:pt>
                <c:pt idx="465">
                  <c:v>2932.7198313725053</c:v>
                </c:pt>
                <c:pt idx="466">
                  <c:v>2807.2122145794815</c:v>
                </c:pt>
                <c:pt idx="467">
                  <c:v>2682.3725421878967</c:v>
                </c:pt>
                <c:pt idx="468">
                  <c:v>2558.2388415713349</c:v>
                </c:pt>
                <c:pt idx="469">
                  <c:v>2434.8489250574899</c:v>
                </c:pt>
                <c:pt idx="470">
                  <c:v>2312.240378410248</c:v>
                </c:pt>
                <c:pt idx="471">
                  <c:v>2190.4505493806673</c:v>
                </c:pt>
                <c:pt idx="472">
                  <c:v>2069.5165363304495</c:v>
                </c:pt>
                <c:pt idx="473">
                  <c:v>1949.4751769314967</c:v>
                </c:pt>
                <c:pt idx="474">
                  <c:v>1830.3630369447596</c:v>
                </c:pt>
                <c:pt idx="475">
                  <c:v>1712.2163990819204</c:v>
                </c:pt>
                <c:pt idx="476">
                  <c:v>1595.0712519533954</c:v>
                </c:pt>
                <c:pt idx="477">
                  <c:v>1478.9632791058225</c:v>
                </c:pt>
                <c:pt idx="478">
                  <c:v>1363.9278481524711</c:v>
                </c:pt>
                <c:pt idx="479">
                  <c:v>1250.0000000000059</c:v>
                </c:pt>
                <c:pt idx="480">
                  <c:v>1137.2144381745948</c:v>
                </c:pt>
                <c:pt idx="481">
                  <c:v>1025.6055182509599</c:v>
                </c:pt>
                <c:pt idx="482">
                  <c:v>915.20723738730112</c:v>
                </c:pt>
                <c:pt idx="483">
                  <c:v>806.05322396939846</c:v>
                </c:pt>
                <c:pt idx="484">
                  <c:v>698.17672736716031</c:v>
                </c:pt>
                <c:pt idx="485">
                  <c:v>591.61060780645312</c:v>
                </c:pt>
                <c:pt idx="486">
                  <c:v>486.38732635964607</c:v>
                </c:pt>
                <c:pt idx="487">
                  <c:v>382.53893505756696</c:v>
                </c:pt>
                <c:pt idx="488">
                  <c:v>280.09706712621937</c:v>
                </c:pt>
                <c:pt idx="489">
                  <c:v>179.09292735096187</c:v>
                </c:pt>
                <c:pt idx="490">
                  <c:v>79.557282571197902</c:v>
                </c:pt>
                <c:pt idx="491">
                  <c:v>-18.479547691438711</c:v>
                </c:pt>
                <c:pt idx="492">
                  <c:v>-114.98770046874324</c:v>
                </c:pt>
                <c:pt idx="493">
                  <c:v>-209.9377784424787</c:v>
                </c:pt>
                <c:pt idx="494">
                  <c:v>-303.3008588991097</c:v>
                </c:pt>
                <c:pt idx="495">
                  <c:v>-395.04850253988025</c:v>
                </c:pt>
                <c:pt idx="496">
                  <c:v>-485.152762143779</c:v>
                </c:pt>
                <c:pt idx="497">
                  <c:v>-573.5861910804515</c:v>
                </c:pt>
                <c:pt idx="498">
                  <c:v>-660.32185167078842</c:v>
                </c:pt>
                <c:pt idx="499">
                  <c:v>-745.33332339232948</c:v>
                </c:pt>
                <c:pt idx="500">
                  <c:v>-828.59471092727836</c:v>
                </c:pt>
                <c:pt idx="501">
                  <c:v>-910.08065205041476</c:v>
                </c:pt>
                <c:pt idx="502">
                  <c:v>-989.76632535469162</c:v>
                </c:pt>
                <c:pt idx="503">
                  <c:v>-1067.6274578121038</c:v>
                </c:pt>
                <c:pt idx="504">
                  <c:v>-1143.6403321674325</c:v>
                </c:pt>
                <c:pt idx="505">
                  <c:v>-1217.78179416281</c:v>
                </c:pt>
                <c:pt idx="506">
                  <c:v>-1290.0292595906803</c:v>
                </c:pt>
                <c:pt idx="507">
                  <c:v>-1360.3607211731969</c:v>
                </c:pt>
                <c:pt idx="508">
                  <c:v>-1428.7547552658407</c:v>
                </c:pt>
                <c:pt idx="509">
                  <c:v>-1495.1905283832912</c:v>
                </c:pt>
                <c:pt idx="510">
                  <c:v>-1559.6478035454656</c:v>
                </c:pt>
                <c:pt idx="511">
                  <c:v>-1622.1069464419515</c:v>
                </c:pt>
                <c:pt idx="512">
                  <c:v>-1682.5489314127608</c:v>
                </c:pt>
                <c:pt idx="513">
                  <c:v>-1740.9553472437501</c:v>
                </c:pt>
                <c:pt idx="514">
                  <c:v>-1797.3084027748755</c:v>
                </c:pt>
                <c:pt idx="515">
                  <c:v>-1851.5909323195037</c:v>
                </c:pt>
                <c:pt idx="516">
                  <c:v>-1903.786400893302</c:v>
                </c:pt>
                <c:pt idx="517">
                  <c:v>-1953.8789092509014</c:v>
                </c:pt>
                <c:pt idx="518">
                  <c:v>-2001.8531987290116</c:v>
                </c:pt>
                <c:pt idx="519">
                  <c:v>-2047.6946558943137</c:v>
                </c:pt>
                <c:pt idx="520">
                  <c:v>-2091.3893169948742</c:v>
                </c:pt>
                <c:pt idx="521">
                  <c:v>-2132.9238722136506</c:v>
                </c:pt>
                <c:pt idx="522">
                  <c:v>-2172.2856697227662</c:v>
                </c:pt>
                <c:pt idx="523">
                  <c:v>-2209.4627195373932</c:v>
                </c:pt>
                <c:pt idx="524">
                  <c:v>-2244.4436971680125</c:v>
                </c:pt>
                <c:pt idx="525">
                  <c:v>-2277.2179470699748</c:v>
                </c:pt>
                <c:pt idx="526">
                  <c:v>-2307.7754858892631</c:v>
                </c:pt>
                <c:pt idx="527">
                  <c:v>-2336.1070055035425</c:v>
                </c:pt>
                <c:pt idx="528">
                  <c:v>-2362.2038758574781</c:v>
                </c:pt>
                <c:pt idx="529">
                  <c:v>-2386.0581475915606</c:v>
                </c:pt>
                <c:pt idx="530">
                  <c:v>-2407.6625544635317</c:v>
                </c:pt>
                <c:pt idx="531">
                  <c:v>-2427.0105155617766</c:v>
                </c:pt>
                <c:pt idx="532">
                  <c:v>-2444.0961373099144</c:v>
                </c:pt>
                <c:pt idx="533">
                  <c:v>-2458.9142152620498</c:v>
                </c:pt>
                <c:pt idx="534">
                  <c:v>-2471.4602356880914</c:v>
                </c:pt>
                <c:pt idx="535">
                  <c:v>-2481.7303769486816</c:v>
                </c:pt>
                <c:pt idx="536">
                  <c:v>-2489.7215106593039</c:v>
                </c:pt>
                <c:pt idx="537">
                  <c:v>-2495.4312026432181</c:v>
                </c:pt>
                <c:pt idx="538">
                  <c:v>-2498.8577136729346</c:v>
                </c:pt>
                <c:pt idx="539">
                  <c:v>-2500</c:v>
                </c:pt>
                <c:pt idx="540">
                  <c:v>-2498.8577136729346</c:v>
                </c:pt>
                <c:pt idx="541">
                  <c:v>-2495.4312026432181</c:v>
                </c:pt>
                <c:pt idx="542">
                  <c:v>-2489.7215106593039</c:v>
                </c:pt>
                <c:pt idx="543">
                  <c:v>-2481.7303769486816</c:v>
                </c:pt>
                <c:pt idx="544">
                  <c:v>-2471.4602356880914</c:v>
                </c:pt>
                <c:pt idx="545">
                  <c:v>-2458.9142152620498</c:v>
                </c:pt>
                <c:pt idx="546">
                  <c:v>-2444.0961373099153</c:v>
                </c:pt>
                <c:pt idx="547">
                  <c:v>-2427.0105155617775</c:v>
                </c:pt>
                <c:pt idx="548">
                  <c:v>-2407.6625544635344</c:v>
                </c:pt>
                <c:pt idx="549">
                  <c:v>-2386.0581475915606</c:v>
                </c:pt>
                <c:pt idx="550">
                  <c:v>-2362.2038758574827</c:v>
                </c:pt>
                <c:pt idx="551">
                  <c:v>-2336.1070055035434</c:v>
                </c:pt>
                <c:pt idx="552">
                  <c:v>-2307.775485889264</c:v>
                </c:pt>
                <c:pt idx="553">
                  <c:v>-2277.217947069973</c:v>
                </c:pt>
                <c:pt idx="554">
                  <c:v>-2244.4436971680097</c:v>
                </c:pt>
                <c:pt idx="555">
                  <c:v>-2209.4627195373914</c:v>
                </c:pt>
                <c:pt idx="556">
                  <c:v>-2172.2856697227653</c:v>
                </c:pt>
                <c:pt idx="557">
                  <c:v>-2132.9238722136524</c:v>
                </c:pt>
                <c:pt idx="558">
                  <c:v>-2091.3893169948751</c:v>
                </c:pt>
                <c:pt idx="559">
                  <c:v>-2047.6946558943146</c:v>
                </c:pt>
                <c:pt idx="560">
                  <c:v>-2001.8531987290135</c:v>
                </c:pt>
                <c:pt idx="561">
                  <c:v>-1953.8789092509087</c:v>
                </c:pt>
                <c:pt idx="562">
                  <c:v>-1903.7864008933038</c:v>
                </c:pt>
                <c:pt idx="563">
                  <c:v>-1851.5909323195119</c:v>
                </c:pt>
                <c:pt idx="564">
                  <c:v>-1797.3084027748782</c:v>
                </c:pt>
                <c:pt idx="565">
                  <c:v>-1740.9553472437528</c:v>
                </c:pt>
                <c:pt idx="566">
                  <c:v>-1682.5489314127635</c:v>
                </c:pt>
                <c:pt idx="567">
                  <c:v>-1622.1069464419543</c:v>
                </c:pt>
                <c:pt idx="568">
                  <c:v>-1559.6478035454684</c:v>
                </c:pt>
                <c:pt idx="569">
                  <c:v>-1495.1905283832866</c:v>
                </c:pt>
                <c:pt idx="570">
                  <c:v>-1428.7547552658434</c:v>
                </c:pt>
                <c:pt idx="571">
                  <c:v>-1360.3607211731933</c:v>
                </c:pt>
                <c:pt idx="572">
                  <c:v>-1290.0292595906831</c:v>
                </c:pt>
                <c:pt idx="573">
                  <c:v>-1217.7817941628127</c:v>
                </c:pt>
                <c:pt idx="574">
                  <c:v>-1143.6403321674434</c:v>
                </c:pt>
                <c:pt idx="575">
                  <c:v>-1067.6274578121074</c:v>
                </c:pt>
                <c:pt idx="576">
                  <c:v>-989.76632535469525</c:v>
                </c:pt>
                <c:pt idx="577">
                  <c:v>-910.08065205041839</c:v>
                </c:pt>
                <c:pt idx="578">
                  <c:v>-828.59471092728199</c:v>
                </c:pt>
                <c:pt idx="579">
                  <c:v>-745.3333233923413</c:v>
                </c:pt>
                <c:pt idx="580">
                  <c:v>-660.32185167079297</c:v>
                </c:pt>
                <c:pt idx="581">
                  <c:v>-573.58619108046423</c:v>
                </c:pt>
                <c:pt idx="582">
                  <c:v>-485.15276214378355</c:v>
                </c:pt>
                <c:pt idx="583">
                  <c:v>-395.04850253988479</c:v>
                </c:pt>
                <c:pt idx="584">
                  <c:v>-303.30085889910333</c:v>
                </c:pt>
                <c:pt idx="585">
                  <c:v>-209.93777844248234</c:v>
                </c:pt>
                <c:pt idx="586">
                  <c:v>-114.98770046873869</c:v>
                </c:pt>
                <c:pt idx="587">
                  <c:v>-18.479547691432344</c:v>
                </c:pt>
                <c:pt idx="588">
                  <c:v>79.557282571193355</c:v>
                </c:pt>
                <c:pt idx="589">
                  <c:v>179.09292735095732</c:v>
                </c:pt>
                <c:pt idx="590">
                  <c:v>280.09706712621573</c:v>
                </c:pt>
                <c:pt idx="591">
                  <c:v>382.53893505756241</c:v>
                </c:pt>
                <c:pt idx="592">
                  <c:v>486.38732635963152</c:v>
                </c:pt>
                <c:pt idx="593">
                  <c:v>591.61060780644857</c:v>
                </c:pt>
                <c:pt idx="594">
                  <c:v>698.17672736714576</c:v>
                </c:pt>
                <c:pt idx="595">
                  <c:v>806.05322396939391</c:v>
                </c:pt>
                <c:pt idx="596">
                  <c:v>915.2072373872852</c:v>
                </c:pt>
                <c:pt idx="597">
                  <c:v>1025.6055182509549</c:v>
                </c:pt>
                <c:pt idx="598">
                  <c:v>1137.2144381745907</c:v>
                </c:pt>
                <c:pt idx="599">
                  <c:v>1250.0000000000014</c:v>
                </c:pt>
                <c:pt idx="600">
                  <c:v>1363.927848152478</c:v>
                </c:pt>
                <c:pt idx="601">
                  <c:v>1478.9632791058175</c:v>
                </c:pt>
                <c:pt idx="602">
                  <c:v>1595.0712519534022</c:v>
                </c:pt>
                <c:pt idx="603">
                  <c:v>1712.2163990819154</c:v>
                </c:pt>
                <c:pt idx="604">
                  <c:v>1830.3630369447546</c:v>
                </c:pt>
                <c:pt idx="605">
                  <c:v>1949.4751769314912</c:v>
                </c:pt>
                <c:pt idx="606">
                  <c:v>2069.5165363304445</c:v>
                </c:pt>
                <c:pt idx="607">
                  <c:v>2190.45054938065</c:v>
                </c:pt>
                <c:pt idx="608">
                  <c:v>2312.240378410243</c:v>
                </c:pt>
                <c:pt idx="609">
                  <c:v>2434.8489250574844</c:v>
                </c:pt>
                <c:pt idx="610">
                  <c:v>2558.2388415713172</c:v>
                </c:pt>
                <c:pt idx="611">
                  <c:v>2682.3725421878912</c:v>
                </c:pt>
                <c:pt idx="612">
                  <c:v>2807.2122145794638</c:v>
                </c:pt>
                <c:pt idx="613">
                  <c:v>2932.7198313725003</c:v>
                </c:pt>
                <c:pt idx="614">
                  <c:v>3058.8571617310931</c:v>
                </c:pt>
                <c:pt idx="615">
                  <c:v>3185.5857830024961</c:v>
                </c:pt>
                <c:pt idx="616">
                  <c:v>3312.8670924210087</c:v>
                </c:pt>
                <c:pt idx="617">
                  <c:v>3440.6623188668063</c:v>
                </c:pt>
                <c:pt idx="618">
                  <c:v>3568.9325346759201</c:v>
                </c:pt>
                <c:pt idx="619">
                  <c:v>3697.6386674980204</c:v>
                </c:pt>
                <c:pt idx="620">
                  <c:v>3826.7415121982722</c:v>
                </c:pt>
                <c:pt idx="621">
                  <c:v>3956.2017427995047</c:v>
                </c:pt>
                <c:pt idx="622">
                  <c:v>4085.9799244613946</c:v>
                </c:pt>
                <c:pt idx="623">
                  <c:v>4216.036525492591</c:v>
                </c:pt>
                <c:pt idx="624">
                  <c:v>4346.3319293925615</c:v>
                </c:pt>
                <c:pt idx="625">
                  <c:v>4476.8264469190499</c:v>
                </c:pt>
                <c:pt idx="626">
                  <c:v>4607.4803281779159</c:v>
                </c:pt>
                <c:pt idx="627">
                  <c:v>4738.253774731229</c:v>
                </c:pt>
                <c:pt idx="628">
                  <c:v>4869.106951720365</c:v>
                </c:pt>
                <c:pt idx="629">
                  <c:v>4999.9999999999964</c:v>
                </c:pt>
                <c:pt idx="630">
                  <c:v>5130.8930482796286</c:v>
                </c:pt>
                <c:pt idx="631">
                  <c:v>5261.746225268751</c:v>
                </c:pt>
                <c:pt idx="632">
                  <c:v>5392.5196718220777</c:v>
                </c:pt>
                <c:pt idx="633">
                  <c:v>5523.1735530809437</c:v>
                </c:pt>
                <c:pt idx="634">
                  <c:v>5653.6680706074321</c:v>
                </c:pt>
                <c:pt idx="635">
                  <c:v>5783.9634745074018</c:v>
                </c:pt>
                <c:pt idx="636">
                  <c:v>5914.0200755385995</c:v>
                </c:pt>
                <c:pt idx="637">
                  <c:v>6043.7982572004894</c:v>
                </c:pt>
                <c:pt idx="638">
                  <c:v>6173.2584878017215</c:v>
                </c:pt>
                <c:pt idx="639">
                  <c:v>6302.3613325019724</c:v>
                </c:pt>
                <c:pt idx="640">
                  <c:v>6431.0674653240867</c:v>
                </c:pt>
                <c:pt idx="641">
                  <c:v>6559.3376811331873</c:v>
                </c:pt>
                <c:pt idx="642">
                  <c:v>6687.1329075789854</c:v>
                </c:pt>
                <c:pt idx="643">
                  <c:v>6814.4142169974975</c:v>
                </c:pt>
                <c:pt idx="644">
                  <c:v>6941.142838268901</c:v>
                </c:pt>
                <c:pt idx="645">
                  <c:v>7067.2801686274943</c:v>
                </c:pt>
                <c:pt idx="646">
                  <c:v>7192.7877854205299</c:v>
                </c:pt>
                <c:pt idx="647">
                  <c:v>7317.6274578121029</c:v>
                </c:pt>
                <c:pt idx="648">
                  <c:v>7441.7611584286769</c:v>
                </c:pt>
                <c:pt idx="649">
                  <c:v>7565.1510749425097</c:v>
                </c:pt>
                <c:pt idx="650">
                  <c:v>7687.7596215897511</c:v>
                </c:pt>
                <c:pt idx="651">
                  <c:v>7809.5494506193318</c:v>
                </c:pt>
                <c:pt idx="652">
                  <c:v>7930.4834636695614</c:v>
                </c:pt>
                <c:pt idx="653">
                  <c:v>8050.5248230685029</c:v>
                </c:pt>
                <c:pt idx="654">
                  <c:v>8169.6369630552399</c:v>
                </c:pt>
                <c:pt idx="655">
                  <c:v>8287.7836009180664</c:v>
                </c:pt>
                <c:pt idx="656">
                  <c:v>8404.9287480466046</c:v>
                </c:pt>
                <c:pt idx="657">
                  <c:v>8521.0367208941771</c:v>
                </c:pt>
                <c:pt idx="658">
                  <c:v>8636.0721518475166</c:v>
                </c:pt>
                <c:pt idx="659">
                  <c:v>8749.9999999999927</c:v>
                </c:pt>
                <c:pt idx="660">
                  <c:v>8862.7855618254034</c:v>
                </c:pt>
                <c:pt idx="661">
                  <c:v>8974.3944817490392</c:v>
                </c:pt>
                <c:pt idx="662">
                  <c:v>9084.7927626126984</c:v>
                </c:pt>
                <c:pt idx="663">
                  <c:v>9193.9467760305997</c:v>
                </c:pt>
                <c:pt idx="664">
                  <c:v>9301.8232726328497</c:v>
                </c:pt>
                <c:pt idx="665">
                  <c:v>9408.3893921935451</c:v>
                </c:pt>
                <c:pt idx="666">
                  <c:v>9513.612673640353</c:v>
                </c:pt>
                <c:pt idx="667">
                  <c:v>9617.461064942443</c:v>
                </c:pt>
                <c:pt idx="668">
                  <c:v>9719.9029328737797</c:v>
                </c:pt>
                <c:pt idx="669">
                  <c:v>9820.907072649039</c:v>
                </c:pt>
                <c:pt idx="670">
                  <c:v>9920.4427174287921</c:v>
                </c:pt>
                <c:pt idx="671">
                  <c:v>10018.479547691437</c:v>
                </c:pt>
                <c:pt idx="672">
                  <c:v>10114.987700468733</c:v>
                </c:pt>
                <c:pt idx="673">
                  <c:v>10209.937778442469</c:v>
                </c:pt>
                <c:pt idx="674">
                  <c:v>10303.300858899109</c:v>
                </c:pt>
                <c:pt idx="675">
                  <c:v>10395.048502539879</c:v>
                </c:pt>
                <c:pt idx="676">
                  <c:v>10485.152762143778</c:v>
                </c:pt>
                <c:pt idx="677">
                  <c:v>10573.586191080452</c:v>
                </c:pt>
                <c:pt idx="678">
                  <c:v>10660.321851670789</c:v>
                </c:pt>
                <c:pt idx="679">
                  <c:v>10745.333323392337</c:v>
                </c:pt>
                <c:pt idx="680">
                  <c:v>10828.594710927278</c:v>
                </c:pt>
                <c:pt idx="681">
                  <c:v>10910.080652050405</c:v>
                </c:pt>
                <c:pt idx="682">
                  <c:v>10989.7663253547</c:v>
                </c:pt>
                <c:pt idx="683">
                  <c:v>11067.627457812105</c:v>
                </c:pt>
                <c:pt idx="684">
                  <c:v>11143.640332167432</c:v>
                </c:pt>
                <c:pt idx="685">
                  <c:v>11217.781794162816</c:v>
                </c:pt>
                <c:pt idx="686">
                  <c:v>11290.029259590679</c:v>
                </c:pt>
                <c:pt idx="687">
                  <c:v>11360.360721173191</c:v>
                </c:pt>
                <c:pt idx="688">
                  <c:v>11428.754755265833</c:v>
                </c:pt>
                <c:pt idx="689">
                  <c:v>11495.190528383289</c:v>
                </c:pt>
                <c:pt idx="690">
                  <c:v>11559.647803545464</c:v>
                </c:pt>
                <c:pt idx="691">
                  <c:v>11622.106946441951</c:v>
                </c:pt>
                <c:pt idx="692">
                  <c:v>11682.548931412755</c:v>
                </c:pt>
                <c:pt idx="693">
                  <c:v>11740.955347243751</c:v>
                </c:pt>
                <c:pt idx="694">
                  <c:v>11797.308402774874</c:v>
                </c:pt>
                <c:pt idx="695">
                  <c:v>11851.590932319503</c:v>
                </c:pt>
                <c:pt idx="696">
                  <c:v>11903.786400893307</c:v>
                </c:pt>
                <c:pt idx="697">
                  <c:v>11953.878909250907</c:v>
                </c:pt>
                <c:pt idx="698">
                  <c:v>12001.853198729012</c:v>
                </c:pt>
                <c:pt idx="699">
                  <c:v>12047.694655894309</c:v>
                </c:pt>
                <c:pt idx="700">
                  <c:v>12091.389316994877</c:v>
                </c:pt>
                <c:pt idx="701">
                  <c:v>12132.923872213651</c:v>
                </c:pt>
                <c:pt idx="702">
                  <c:v>12172.285669722762</c:v>
                </c:pt>
                <c:pt idx="703">
                  <c:v>12209.462719537391</c:v>
                </c:pt>
                <c:pt idx="704">
                  <c:v>12244.443697168012</c:v>
                </c:pt>
                <c:pt idx="705">
                  <c:v>12277.21794706997</c:v>
                </c:pt>
                <c:pt idx="706">
                  <c:v>12307.775485889262</c:v>
                </c:pt>
                <c:pt idx="707">
                  <c:v>12336.107005503542</c:v>
                </c:pt>
                <c:pt idx="708">
                  <c:v>12362.203875857478</c:v>
                </c:pt>
                <c:pt idx="709">
                  <c:v>12386.058147591561</c:v>
                </c:pt>
                <c:pt idx="710">
                  <c:v>12407.662554463532</c:v>
                </c:pt>
                <c:pt idx="711">
                  <c:v>12427.010515561778</c:v>
                </c:pt>
                <c:pt idx="712">
                  <c:v>12444.096137309916</c:v>
                </c:pt>
                <c:pt idx="713">
                  <c:v>12458.914215262048</c:v>
                </c:pt>
                <c:pt idx="714">
                  <c:v>12471.460235688093</c:v>
                </c:pt>
                <c:pt idx="715">
                  <c:v>12481.730376948683</c:v>
                </c:pt>
                <c:pt idx="716">
                  <c:v>12489.721510659303</c:v>
                </c:pt>
                <c:pt idx="717">
                  <c:v>12495.431202643216</c:v>
                </c:pt>
                <c:pt idx="718">
                  <c:v>12498.857713672935</c:v>
                </c:pt>
                <c:pt idx="719">
                  <c:v>12500</c:v>
                </c:pt>
                <c:pt idx="720">
                  <c:v>12498.857713672935</c:v>
                </c:pt>
                <c:pt idx="721">
                  <c:v>12495.431202643218</c:v>
                </c:pt>
                <c:pt idx="722">
                  <c:v>12489.721510659303</c:v>
                </c:pt>
                <c:pt idx="723">
                  <c:v>12481.730376948683</c:v>
                </c:pt>
                <c:pt idx="724">
                  <c:v>12471.460235688091</c:v>
                </c:pt>
                <c:pt idx="725">
                  <c:v>12458.91421526205</c:v>
                </c:pt>
                <c:pt idx="726">
                  <c:v>12444.096137309916</c:v>
                </c:pt>
                <c:pt idx="727">
                  <c:v>12427.010515561778</c:v>
                </c:pt>
                <c:pt idx="728">
                  <c:v>12407.662554463535</c:v>
                </c:pt>
                <c:pt idx="729">
                  <c:v>12386.058147591561</c:v>
                </c:pt>
                <c:pt idx="730">
                  <c:v>12362.20387585748</c:v>
                </c:pt>
                <c:pt idx="731">
                  <c:v>12336.107005503545</c:v>
                </c:pt>
                <c:pt idx="732">
                  <c:v>12307.775485889268</c:v>
                </c:pt>
                <c:pt idx="733">
                  <c:v>12277.217947069974</c:v>
                </c:pt>
                <c:pt idx="734">
                  <c:v>12244.443697168015</c:v>
                </c:pt>
                <c:pt idx="735">
                  <c:v>12209.462719537394</c:v>
                </c:pt>
                <c:pt idx="736">
                  <c:v>12172.285669722765</c:v>
                </c:pt>
                <c:pt idx="737">
                  <c:v>12132.923872213654</c:v>
                </c:pt>
                <c:pt idx="738">
                  <c:v>12091.389316994875</c:v>
                </c:pt>
                <c:pt idx="739">
                  <c:v>12047.694655894315</c:v>
                </c:pt>
                <c:pt idx="740">
                  <c:v>12001.853198729013</c:v>
                </c:pt>
                <c:pt idx="741">
                  <c:v>11953.878909250903</c:v>
                </c:pt>
                <c:pt idx="742">
                  <c:v>11903.786400893305</c:v>
                </c:pt>
                <c:pt idx="743">
                  <c:v>11851.590932319512</c:v>
                </c:pt>
                <c:pt idx="744">
                  <c:v>11797.308402774872</c:v>
                </c:pt>
                <c:pt idx="745">
                  <c:v>11740.955347243755</c:v>
                </c:pt>
                <c:pt idx="746">
                  <c:v>11682.548931412763</c:v>
                </c:pt>
                <c:pt idx="747">
                  <c:v>11622.106946441949</c:v>
                </c:pt>
                <c:pt idx="748">
                  <c:v>11559.647803545469</c:v>
                </c:pt>
                <c:pt idx="749">
                  <c:v>11495.190528383293</c:v>
                </c:pt>
                <c:pt idx="750">
                  <c:v>11428.754755265851</c:v>
                </c:pt>
                <c:pt idx="751">
                  <c:v>11360.360721173194</c:v>
                </c:pt>
                <c:pt idx="752">
                  <c:v>11290.029259590683</c:v>
                </c:pt>
                <c:pt idx="753">
                  <c:v>11217.781794162813</c:v>
                </c:pt>
                <c:pt idx="754">
                  <c:v>11143.640332167444</c:v>
                </c:pt>
                <c:pt idx="755">
                  <c:v>11067.627457812108</c:v>
                </c:pt>
                <c:pt idx="756">
                  <c:v>10989.766325354696</c:v>
                </c:pt>
                <c:pt idx="757">
                  <c:v>10910.080652050419</c:v>
                </c:pt>
                <c:pt idx="758">
                  <c:v>10828.594710927282</c:v>
                </c:pt>
                <c:pt idx="759">
                  <c:v>10745.333323392333</c:v>
                </c:pt>
                <c:pt idx="760">
                  <c:v>10660.321851670793</c:v>
                </c:pt>
                <c:pt idx="761">
                  <c:v>10573.586191080465</c:v>
                </c:pt>
                <c:pt idx="762">
                  <c:v>10485.152762143774</c:v>
                </c:pt>
                <c:pt idx="763">
                  <c:v>10395.048502539885</c:v>
                </c:pt>
                <c:pt idx="764">
                  <c:v>10303.300858899114</c:v>
                </c:pt>
                <c:pt idx="765">
                  <c:v>10209.937778442492</c:v>
                </c:pt>
                <c:pt idx="766">
                  <c:v>10114.987700468739</c:v>
                </c:pt>
                <c:pt idx="767">
                  <c:v>10018.479547691442</c:v>
                </c:pt>
                <c:pt idx="768">
                  <c:v>9920.4427174288066</c:v>
                </c:pt>
                <c:pt idx="769">
                  <c:v>9820.9070726490427</c:v>
                </c:pt>
                <c:pt idx="770">
                  <c:v>9719.9029328737852</c:v>
                </c:pt>
                <c:pt idx="771">
                  <c:v>9617.4610649424376</c:v>
                </c:pt>
                <c:pt idx="772">
                  <c:v>9513.6126736403694</c:v>
                </c:pt>
                <c:pt idx="773">
                  <c:v>9408.3893921935414</c:v>
                </c:pt>
                <c:pt idx="774">
                  <c:v>9301.8232726328442</c:v>
                </c:pt>
                <c:pt idx="775">
                  <c:v>9193.946776030607</c:v>
                </c:pt>
                <c:pt idx="776">
                  <c:v>9084.7927626127166</c:v>
                </c:pt>
                <c:pt idx="777">
                  <c:v>8974.3944817490337</c:v>
                </c:pt>
                <c:pt idx="778">
                  <c:v>8862.7855618254107</c:v>
                </c:pt>
                <c:pt idx="779">
                  <c:v>8750.0000000000109</c:v>
                </c:pt>
                <c:pt idx="780">
                  <c:v>8636.072151847522</c:v>
                </c:pt>
                <c:pt idx="781">
                  <c:v>8521.0367208941825</c:v>
                </c:pt>
                <c:pt idx="782">
                  <c:v>8404.9287480466101</c:v>
                </c:pt>
                <c:pt idx="783">
                  <c:v>8287.7836009180864</c:v>
                </c:pt>
                <c:pt idx="784">
                  <c:v>8169.6369630552463</c:v>
                </c:pt>
                <c:pt idx="785">
                  <c:v>8050.5248230685092</c:v>
                </c:pt>
                <c:pt idx="786">
                  <c:v>7930.4834636695559</c:v>
                </c:pt>
                <c:pt idx="787">
                  <c:v>7809.5494506193509</c:v>
                </c:pt>
                <c:pt idx="788">
                  <c:v>7687.7596215897447</c:v>
                </c:pt>
                <c:pt idx="789">
                  <c:v>7565.1510749425161</c:v>
                </c:pt>
                <c:pt idx="790">
                  <c:v>7441.7611584286842</c:v>
                </c:pt>
                <c:pt idx="791">
                  <c:v>7317.6274578120965</c:v>
                </c:pt>
                <c:pt idx="792">
                  <c:v>7192.7877854205244</c:v>
                </c:pt>
                <c:pt idx="793">
                  <c:v>7067.2801686275006</c:v>
                </c:pt>
                <c:pt idx="794">
                  <c:v>6941.142838268921</c:v>
                </c:pt>
                <c:pt idx="795">
                  <c:v>6814.4142169975048</c:v>
                </c:pt>
                <c:pt idx="796">
                  <c:v>6687.1329075789927</c:v>
                </c:pt>
                <c:pt idx="797">
                  <c:v>6559.3376811332073</c:v>
                </c:pt>
                <c:pt idx="798">
                  <c:v>6431.067465324094</c:v>
                </c:pt>
                <c:pt idx="799">
                  <c:v>6302.3613325019796</c:v>
                </c:pt>
                <c:pt idx="800">
                  <c:v>6173.2584878017424</c:v>
                </c:pt>
                <c:pt idx="801">
                  <c:v>6043.7982572004967</c:v>
                </c:pt>
                <c:pt idx="802">
                  <c:v>5914.0200755386068</c:v>
                </c:pt>
                <c:pt idx="803">
                  <c:v>5783.9634745073963</c:v>
                </c:pt>
                <c:pt idx="804">
                  <c:v>5653.6680706074394</c:v>
                </c:pt>
                <c:pt idx="805">
                  <c:v>5523.173553080951</c:v>
                </c:pt>
                <c:pt idx="806">
                  <c:v>5392.5196718220723</c:v>
                </c:pt>
                <c:pt idx="807">
                  <c:v>5261.7462252687583</c:v>
                </c:pt>
                <c:pt idx="808">
                  <c:v>5130.8930482796359</c:v>
                </c:pt>
                <c:pt idx="809">
                  <c:v>5000.0000000000173</c:v>
                </c:pt>
                <c:pt idx="810">
                  <c:v>4869.1069517203723</c:v>
                </c:pt>
                <c:pt idx="811">
                  <c:v>4738.2537747312499</c:v>
                </c:pt>
                <c:pt idx="812">
                  <c:v>4607.4803281779368</c:v>
                </c:pt>
                <c:pt idx="813">
                  <c:v>4476.8264469190572</c:v>
                </c:pt>
                <c:pt idx="814">
                  <c:v>4346.3319293925688</c:v>
                </c:pt>
                <c:pt idx="815">
                  <c:v>4216.0365254926119</c:v>
                </c:pt>
                <c:pt idx="816">
                  <c:v>4085.9799244614019</c:v>
                </c:pt>
                <c:pt idx="817">
                  <c:v>3956.201742799512</c:v>
                </c:pt>
                <c:pt idx="818">
                  <c:v>3826.7415121982658</c:v>
                </c:pt>
                <c:pt idx="819">
                  <c:v>3697.6386674980276</c:v>
                </c:pt>
                <c:pt idx="820">
                  <c:v>3568.9325346759274</c:v>
                </c:pt>
                <c:pt idx="821">
                  <c:v>3440.6623188668004</c:v>
                </c:pt>
                <c:pt idx="822">
                  <c:v>3312.8670924210155</c:v>
                </c:pt>
                <c:pt idx="823">
                  <c:v>3185.5857830025034</c:v>
                </c:pt>
                <c:pt idx="824">
                  <c:v>3058.8571617310881</c:v>
                </c:pt>
                <c:pt idx="825">
                  <c:v>2932.7198313725071</c:v>
                </c:pt>
                <c:pt idx="826">
                  <c:v>2807.2122145794833</c:v>
                </c:pt>
                <c:pt idx="827">
                  <c:v>2682.3725421879112</c:v>
                </c:pt>
                <c:pt idx="828">
                  <c:v>2558.238841571324</c:v>
                </c:pt>
                <c:pt idx="829">
                  <c:v>2434.8489250574912</c:v>
                </c:pt>
                <c:pt idx="830">
                  <c:v>2312.2403784102498</c:v>
                </c:pt>
                <c:pt idx="831">
                  <c:v>2190.4505493806569</c:v>
                </c:pt>
                <c:pt idx="832">
                  <c:v>2069.5165363304513</c:v>
                </c:pt>
                <c:pt idx="833">
                  <c:v>1949.4751769314985</c:v>
                </c:pt>
                <c:pt idx="834">
                  <c:v>1830.3630369447615</c:v>
                </c:pt>
                <c:pt idx="835">
                  <c:v>1712.2163990819222</c:v>
                </c:pt>
                <c:pt idx="836">
                  <c:v>1595.0712519533968</c:v>
                </c:pt>
                <c:pt idx="837">
                  <c:v>1478.9632791058243</c:v>
                </c:pt>
                <c:pt idx="838">
                  <c:v>1363.9278481524843</c:v>
                </c:pt>
                <c:pt idx="839">
                  <c:v>1249.9999999999959</c:v>
                </c:pt>
                <c:pt idx="840">
                  <c:v>1137.2144381745961</c:v>
                </c:pt>
                <c:pt idx="841">
                  <c:v>1025.6055182509722</c:v>
                </c:pt>
                <c:pt idx="842">
                  <c:v>915.20723738729112</c:v>
                </c:pt>
                <c:pt idx="843">
                  <c:v>806.05322396940028</c:v>
                </c:pt>
                <c:pt idx="844">
                  <c:v>698.17672736716213</c:v>
                </c:pt>
                <c:pt idx="845">
                  <c:v>591.61060780645494</c:v>
                </c:pt>
                <c:pt idx="846">
                  <c:v>486.38732635963697</c:v>
                </c:pt>
                <c:pt idx="847">
                  <c:v>382.53893505756878</c:v>
                </c:pt>
                <c:pt idx="848">
                  <c:v>280.09706712622028</c:v>
                </c:pt>
                <c:pt idx="849">
                  <c:v>179.09292735096278</c:v>
                </c:pt>
                <c:pt idx="850">
                  <c:v>79.557282571199721</c:v>
                </c:pt>
                <c:pt idx="851">
                  <c:v>-18.479547691436892</c:v>
                </c:pt>
                <c:pt idx="852">
                  <c:v>-114.98770046873233</c:v>
                </c:pt>
                <c:pt idx="853">
                  <c:v>-209.93777844248689</c:v>
                </c:pt>
                <c:pt idx="854">
                  <c:v>-303.30085889910879</c:v>
                </c:pt>
                <c:pt idx="855">
                  <c:v>-395.04850253987934</c:v>
                </c:pt>
                <c:pt idx="856">
                  <c:v>-485.152762143769</c:v>
                </c:pt>
                <c:pt idx="857">
                  <c:v>-573.58619108046059</c:v>
                </c:pt>
                <c:pt idx="858">
                  <c:v>-660.32185167078751</c:v>
                </c:pt>
                <c:pt idx="859">
                  <c:v>-745.33332339232766</c:v>
                </c:pt>
                <c:pt idx="860">
                  <c:v>-828.59471092727745</c:v>
                </c:pt>
                <c:pt idx="861">
                  <c:v>-910.08065205041385</c:v>
                </c:pt>
                <c:pt idx="862">
                  <c:v>-989.76632535469071</c:v>
                </c:pt>
                <c:pt idx="863">
                  <c:v>-1067.6274578121038</c:v>
                </c:pt>
                <c:pt idx="864">
                  <c:v>-1143.6403321674388</c:v>
                </c:pt>
                <c:pt idx="865">
                  <c:v>-1217.7817941628164</c:v>
                </c:pt>
                <c:pt idx="866">
                  <c:v>-1290.0292595906785</c:v>
                </c:pt>
                <c:pt idx="867">
                  <c:v>-1360.3607211731896</c:v>
                </c:pt>
                <c:pt idx="868">
                  <c:v>-1428.7547552658471</c:v>
                </c:pt>
                <c:pt idx="869">
                  <c:v>-1495.1905283832893</c:v>
                </c:pt>
                <c:pt idx="870">
                  <c:v>-1559.6478035454647</c:v>
                </c:pt>
                <c:pt idx="871">
                  <c:v>-1622.1069464419443</c:v>
                </c:pt>
                <c:pt idx="872">
                  <c:v>-1682.5489314127599</c:v>
                </c:pt>
                <c:pt idx="873">
                  <c:v>-1740.9553472437492</c:v>
                </c:pt>
                <c:pt idx="874">
                  <c:v>-1797.3084027748691</c:v>
                </c:pt>
                <c:pt idx="875">
                  <c:v>-1851.5909323195083</c:v>
                </c:pt>
                <c:pt idx="876">
                  <c:v>-1903.7864008933011</c:v>
                </c:pt>
                <c:pt idx="877">
                  <c:v>-1953.8789092509005</c:v>
                </c:pt>
                <c:pt idx="878">
                  <c:v>-2001.8531987290107</c:v>
                </c:pt>
                <c:pt idx="879">
                  <c:v>-2047.6946558943127</c:v>
                </c:pt>
                <c:pt idx="880">
                  <c:v>-2091.3893169948769</c:v>
                </c:pt>
                <c:pt idx="881">
                  <c:v>-2132.9238722136506</c:v>
                </c:pt>
                <c:pt idx="882">
                  <c:v>-2172.2856697227626</c:v>
                </c:pt>
                <c:pt idx="883">
                  <c:v>-2209.4627195373932</c:v>
                </c:pt>
                <c:pt idx="884">
                  <c:v>-2244.4436971680116</c:v>
                </c:pt>
                <c:pt idx="885">
                  <c:v>-2277.2179470699712</c:v>
                </c:pt>
                <c:pt idx="886">
                  <c:v>-2307.7754858892658</c:v>
                </c:pt>
                <c:pt idx="887">
                  <c:v>-2336.1070055035425</c:v>
                </c:pt>
                <c:pt idx="888">
                  <c:v>-2362.2038758574781</c:v>
                </c:pt>
                <c:pt idx="889">
                  <c:v>-2386.0581475915578</c:v>
                </c:pt>
                <c:pt idx="890">
                  <c:v>-2407.6625544635335</c:v>
                </c:pt>
                <c:pt idx="891">
                  <c:v>-2427.0105155617766</c:v>
                </c:pt>
                <c:pt idx="892">
                  <c:v>-2444.0961373099135</c:v>
                </c:pt>
                <c:pt idx="893">
                  <c:v>-2458.9142152620489</c:v>
                </c:pt>
                <c:pt idx="894">
                  <c:v>-2471.4602356880905</c:v>
                </c:pt>
                <c:pt idx="895">
                  <c:v>-2481.7303769486825</c:v>
                </c:pt>
                <c:pt idx="896">
                  <c:v>-2489.7215106593039</c:v>
                </c:pt>
                <c:pt idx="897">
                  <c:v>-2495.4312026432181</c:v>
                </c:pt>
                <c:pt idx="898">
                  <c:v>-2498.8577136729346</c:v>
                </c:pt>
                <c:pt idx="899">
                  <c:v>-2500</c:v>
                </c:pt>
                <c:pt idx="900">
                  <c:v>-2498.8577136729346</c:v>
                </c:pt>
                <c:pt idx="901">
                  <c:v>-2495.4312026432171</c:v>
                </c:pt>
                <c:pt idx="902">
                  <c:v>-2489.7215106593048</c:v>
                </c:pt>
                <c:pt idx="903">
                  <c:v>-2481.7303769486825</c:v>
                </c:pt>
                <c:pt idx="904">
                  <c:v>-2471.4602356880932</c:v>
                </c:pt>
                <c:pt idx="905">
                  <c:v>-2458.9142152620498</c:v>
                </c:pt>
                <c:pt idx="906">
                  <c:v>-2444.0961373099162</c:v>
                </c:pt>
                <c:pt idx="907">
                  <c:v>-2427.0105155617794</c:v>
                </c:pt>
                <c:pt idx="908">
                  <c:v>-2407.6625544635326</c:v>
                </c:pt>
                <c:pt idx="909">
                  <c:v>-2386.0581475915615</c:v>
                </c:pt>
                <c:pt idx="910">
                  <c:v>-2362.2038758574799</c:v>
                </c:pt>
                <c:pt idx="911">
                  <c:v>-2336.1070055035443</c:v>
                </c:pt>
                <c:pt idx="912">
                  <c:v>-2307.7754858892649</c:v>
                </c:pt>
                <c:pt idx="913">
                  <c:v>-2277.2179470699739</c:v>
                </c:pt>
                <c:pt idx="914">
                  <c:v>-2244.4436971680143</c:v>
                </c:pt>
                <c:pt idx="915">
                  <c:v>-2209.462719537396</c:v>
                </c:pt>
                <c:pt idx="916">
                  <c:v>-2172.2856697227689</c:v>
                </c:pt>
                <c:pt idx="917">
                  <c:v>-2132.923872213657</c:v>
                </c:pt>
                <c:pt idx="918">
                  <c:v>-2091.3893169948751</c:v>
                </c:pt>
                <c:pt idx="919">
                  <c:v>-2047.6946558943155</c:v>
                </c:pt>
                <c:pt idx="920">
                  <c:v>-2001.8531987290089</c:v>
                </c:pt>
                <c:pt idx="921">
                  <c:v>-1953.8789092509051</c:v>
                </c:pt>
                <c:pt idx="922">
                  <c:v>-1903.7864008933047</c:v>
                </c:pt>
                <c:pt idx="923">
                  <c:v>-1851.5909323195019</c:v>
                </c:pt>
                <c:pt idx="924">
                  <c:v>-1797.3084027748728</c:v>
                </c:pt>
                <c:pt idx="925">
                  <c:v>-1740.9553472437537</c:v>
                </c:pt>
                <c:pt idx="926">
                  <c:v>-1682.5489314127644</c:v>
                </c:pt>
                <c:pt idx="927">
                  <c:v>-1622.1069464419488</c:v>
                </c:pt>
                <c:pt idx="928">
                  <c:v>-1559.6478035454693</c:v>
                </c:pt>
                <c:pt idx="929">
                  <c:v>-1495.1905283832948</c:v>
                </c:pt>
                <c:pt idx="930">
                  <c:v>-1428.754755265838</c:v>
                </c:pt>
                <c:pt idx="931">
                  <c:v>-1360.3607211731942</c:v>
                </c:pt>
                <c:pt idx="932">
                  <c:v>-1290.029259590684</c:v>
                </c:pt>
                <c:pt idx="933">
                  <c:v>-1217.7817941628209</c:v>
                </c:pt>
                <c:pt idx="934">
                  <c:v>-1143.640332167437</c:v>
                </c:pt>
                <c:pt idx="935">
                  <c:v>-1067.6274578121083</c:v>
                </c:pt>
                <c:pt idx="936">
                  <c:v>-989.76632535470344</c:v>
                </c:pt>
                <c:pt idx="937">
                  <c:v>-910.08065205042749</c:v>
                </c:pt>
                <c:pt idx="938">
                  <c:v>-828.59471092728381</c:v>
                </c:pt>
                <c:pt idx="939">
                  <c:v>-745.33332339234221</c:v>
                </c:pt>
                <c:pt idx="940">
                  <c:v>-660.32185167080297</c:v>
                </c:pt>
                <c:pt idx="941">
                  <c:v>-573.58619108045696</c:v>
                </c:pt>
                <c:pt idx="942">
                  <c:v>-485.15276214378446</c:v>
                </c:pt>
                <c:pt idx="943">
                  <c:v>-395.0485025398948</c:v>
                </c:pt>
                <c:pt idx="944">
                  <c:v>-303.30085889912425</c:v>
                </c:pt>
                <c:pt idx="945">
                  <c:v>-209.93777844248416</c:v>
                </c:pt>
                <c:pt idx="946">
                  <c:v>-114.98770046874961</c:v>
                </c:pt>
                <c:pt idx="947">
                  <c:v>-18.479547691433254</c:v>
                </c:pt>
                <c:pt idx="948">
                  <c:v>79.557282571192445</c:v>
                </c:pt>
                <c:pt idx="949">
                  <c:v>179.0929273509455</c:v>
                </c:pt>
                <c:pt idx="950">
                  <c:v>280.09706712622392</c:v>
                </c:pt>
                <c:pt idx="951">
                  <c:v>382.5389350575615</c:v>
                </c:pt>
                <c:pt idx="952">
                  <c:v>486.3873263596297</c:v>
                </c:pt>
                <c:pt idx="953">
                  <c:v>591.61060780645857</c:v>
                </c:pt>
                <c:pt idx="954">
                  <c:v>698.17672736715485</c:v>
                </c:pt>
                <c:pt idx="955">
                  <c:v>806.05322396939209</c:v>
                </c:pt>
                <c:pt idx="956">
                  <c:v>915.20723738730612</c:v>
                </c:pt>
                <c:pt idx="957">
                  <c:v>1025.6055182509649</c:v>
                </c:pt>
                <c:pt idx="958">
                  <c:v>1137.2144381745888</c:v>
                </c:pt>
                <c:pt idx="959">
                  <c:v>1249.9999999999882</c:v>
                </c:pt>
                <c:pt idx="960">
                  <c:v>1363.9278481524761</c:v>
                </c:pt>
                <c:pt idx="961">
                  <c:v>1478.9632791058161</c:v>
                </c:pt>
                <c:pt idx="962">
                  <c:v>1595.0712519533886</c:v>
                </c:pt>
                <c:pt idx="963">
                  <c:v>1712.2163990819258</c:v>
                </c:pt>
                <c:pt idx="964">
                  <c:v>1830.3630369447528</c:v>
                </c:pt>
                <c:pt idx="965">
                  <c:v>1949.4751769314898</c:v>
                </c:pt>
                <c:pt idx="966">
                  <c:v>2069.5165363304309</c:v>
                </c:pt>
                <c:pt idx="967">
                  <c:v>2190.4505493806605</c:v>
                </c:pt>
                <c:pt idx="968">
                  <c:v>2312.2403784102412</c:v>
                </c:pt>
                <c:pt idx="969">
                  <c:v>2434.8489250574703</c:v>
                </c:pt>
                <c:pt idx="970">
                  <c:v>2558.2388415713281</c:v>
                </c:pt>
                <c:pt idx="971">
                  <c:v>2682.3725421878894</c:v>
                </c:pt>
                <c:pt idx="972">
                  <c:v>2807.2122145794619</c:v>
                </c:pt>
                <c:pt idx="973">
                  <c:v>2932.7198313724857</c:v>
                </c:pt>
                <c:pt idx="974">
                  <c:v>3058.8571617310918</c:v>
                </c:pt>
                <c:pt idx="975">
                  <c:v>3185.5857830024815</c:v>
                </c:pt>
                <c:pt idx="976">
                  <c:v>3312.8670924209937</c:v>
                </c:pt>
                <c:pt idx="977">
                  <c:v>3440.6623188668045</c:v>
                </c:pt>
                <c:pt idx="978">
                  <c:v>3568.9325346759051</c:v>
                </c:pt>
                <c:pt idx="979">
                  <c:v>3697.6386674980058</c:v>
                </c:pt>
                <c:pt idx="980">
                  <c:v>3826.7415121982704</c:v>
                </c:pt>
                <c:pt idx="981">
                  <c:v>3956.2017427995024</c:v>
                </c:pt>
                <c:pt idx="982">
                  <c:v>4085.979924461406</c:v>
                </c:pt>
                <c:pt idx="983">
                  <c:v>4216.0365254926028</c:v>
                </c:pt>
                <c:pt idx="984">
                  <c:v>4346.3319293925597</c:v>
                </c:pt>
                <c:pt idx="985">
                  <c:v>4476.8264469190744</c:v>
                </c:pt>
                <c:pt idx="986">
                  <c:v>4607.4803281779277</c:v>
                </c:pt>
                <c:pt idx="987">
                  <c:v>4738.2537747312408</c:v>
                </c:pt>
                <c:pt idx="988">
                  <c:v>4869.1069517203632</c:v>
                </c:pt>
                <c:pt idx="989">
                  <c:v>5000.0000000000082</c:v>
                </c:pt>
                <c:pt idx="990">
                  <c:v>5130.8930482796268</c:v>
                </c:pt>
                <c:pt idx="991">
                  <c:v>5261.7462252687492</c:v>
                </c:pt>
                <c:pt idx="992">
                  <c:v>5392.5196718220895</c:v>
                </c:pt>
                <c:pt idx="993">
                  <c:v>5523.1735530809419</c:v>
                </c:pt>
                <c:pt idx="994">
                  <c:v>5653.6680706074303</c:v>
                </c:pt>
                <c:pt idx="995">
                  <c:v>5783.9634745073872</c:v>
                </c:pt>
                <c:pt idx="996">
                  <c:v>5914.0200755386104</c:v>
                </c:pt>
                <c:pt idx="997">
                  <c:v>6043.7982572004876</c:v>
                </c:pt>
                <c:pt idx="998">
                  <c:v>6173.2584878017196</c:v>
                </c:pt>
                <c:pt idx="999">
                  <c:v>6302.3613325019578</c:v>
                </c:pt>
              </c:numCache>
            </c:numRef>
          </c:xVal>
          <c:yVal>
            <c:numRef>
              <c:f>Calculs!$AP$6:$AP$1005</c:f>
              <c:numCache>
                <c:formatCode>0.000</c:formatCode>
                <c:ptCount val="1000"/>
                <c:pt idx="0">
                  <c:v>15130.893048279626</c:v>
                </c:pt>
                <c:pt idx="1">
                  <c:v>15261.746225268756</c:v>
                </c:pt>
                <c:pt idx="2">
                  <c:v>15392.51967182208</c:v>
                </c:pt>
                <c:pt idx="3">
                  <c:v>15523.17355308094</c:v>
                </c:pt>
                <c:pt idx="4">
                  <c:v>15653.668070607437</c:v>
                </c:pt>
                <c:pt idx="5">
                  <c:v>15783.963474507402</c:v>
                </c:pt>
                <c:pt idx="6">
                  <c:v>15914.020075538607</c:v>
                </c:pt>
                <c:pt idx="7">
                  <c:v>16043.798257200491</c:v>
                </c:pt>
                <c:pt idx="8">
                  <c:v>16173.258487801731</c:v>
                </c:pt>
                <c:pt idx="9">
                  <c:v>16302.361332501978</c:v>
                </c:pt>
                <c:pt idx="10">
                  <c:v>16431.067465324086</c:v>
                </c:pt>
                <c:pt idx="11">
                  <c:v>16559.337681133195</c:v>
                </c:pt>
                <c:pt idx="12">
                  <c:v>16687.132907578987</c:v>
                </c:pt>
                <c:pt idx="13">
                  <c:v>16814.414216997509</c:v>
                </c:pt>
                <c:pt idx="14">
                  <c:v>16941.142838268905</c:v>
                </c:pt>
                <c:pt idx="15">
                  <c:v>17067.280168627494</c:v>
                </c:pt>
                <c:pt idx="16">
                  <c:v>17192.787785420525</c:v>
                </c:pt>
                <c:pt idx="17">
                  <c:v>17317.627457812105</c:v>
                </c:pt>
                <c:pt idx="18">
                  <c:v>17441.761158428675</c:v>
                </c:pt>
                <c:pt idx="19">
                  <c:v>17565.151074942514</c:v>
                </c:pt>
                <c:pt idx="20">
                  <c:v>17687.75962158975</c:v>
                </c:pt>
                <c:pt idx="21">
                  <c:v>17809.549450619339</c:v>
                </c:pt>
                <c:pt idx="22">
                  <c:v>17930.483463669552</c:v>
                </c:pt>
                <c:pt idx="23">
                  <c:v>18050.524823068503</c:v>
                </c:pt>
                <c:pt idx="24">
                  <c:v>18169.636963055247</c:v>
                </c:pt>
                <c:pt idx="25">
                  <c:v>18287.783600918079</c:v>
                </c:pt>
                <c:pt idx="26">
                  <c:v>18404.928748046601</c:v>
                </c:pt>
                <c:pt idx="27">
                  <c:v>18521.036720894183</c:v>
                </c:pt>
                <c:pt idx="28">
                  <c:v>18636.072151847529</c:v>
                </c:pt>
                <c:pt idx="29">
                  <c:v>18750</c:v>
                </c:pt>
                <c:pt idx="30">
                  <c:v>18862.785561825407</c:v>
                </c:pt>
                <c:pt idx="31">
                  <c:v>18974.394481749037</c:v>
                </c:pt>
                <c:pt idx="32">
                  <c:v>19084.792762612702</c:v>
                </c:pt>
                <c:pt idx="33">
                  <c:v>19193.9467760306</c:v>
                </c:pt>
                <c:pt idx="34">
                  <c:v>19301.823272632846</c:v>
                </c:pt>
                <c:pt idx="35">
                  <c:v>19408.389392193549</c:v>
                </c:pt>
                <c:pt idx="36">
                  <c:v>19513.61267364036</c:v>
                </c:pt>
                <c:pt idx="37">
                  <c:v>19617.461064942436</c:v>
                </c:pt>
                <c:pt idx="38">
                  <c:v>19719.902932873782</c:v>
                </c:pt>
                <c:pt idx="39">
                  <c:v>19820.907072649046</c:v>
                </c:pt>
                <c:pt idx="40">
                  <c:v>19920.442717428803</c:v>
                </c:pt>
                <c:pt idx="41">
                  <c:v>20018.479547691437</c:v>
                </c:pt>
                <c:pt idx="42">
                  <c:v>20114.987700468737</c:v>
                </c:pt>
                <c:pt idx="43">
                  <c:v>20209.93777844248</c:v>
                </c:pt>
                <c:pt idx="44">
                  <c:v>20303.300858899107</c:v>
                </c:pt>
                <c:pt idx="45">
                  <c:v>20395.048502539881</c:v>
                </c:pt>
                <c:pt idx="46">
                  <c:v>20485.152762143778</c:v>
                </c:pt>
                <c:pt idx="47">
                  <c:v>20573.586191080456</c:v>
                </c:pt>
                <c:pt idx="48">
                  <c:v>20660.321851670789</c:v>
                </c:pt>
                <c:pt idx="49">
                  <c:v>20745.333323392333</c:v>
                </c:pt>
                <c:pt idx="50">
                  <c:v>20828.594710927282</c:v>
                </c:pt>
                <c:pt idx="51">
                  <c:v>20910.080652050416</c:v>
                </c:pt>
                <c:pt idx="52">
                  <c:v>20989.766325354696</c:v>
                </c:pt>
                <c:pt idx="53">
                  <c:v>21067.627457812105</c:v>
                </c:pt>
                <c:pt idx="54">
                  <c:v>21143.640332167437</c:v>
                </c:pt>
                <c:pt idx="55">
                  <c:v>21217.781794162813</c:v>
                </c:pt>
                <c:pt idx="56">
                  <c:v>21290.029259590679</c:v>
                </c:pt>
                <c:pt idx="57">
                  <c:v>21360.360721173194</c:v>
                </c:pt>
                <c:pt idx="58">
                  <c:v>21428.754755265843</c:v>
                </c:pt>
                <c:pt idx="59">
                  <c:v>21495.190528383289</c:v>
                </c:pt>
                <c:pt idx="60">
                  <c:v>21559.647803545467</c:v>
                </c:pt>
                <c:pt idx="61">
                  <c:v>21622.106946441952</c:v>
                </c:pt>
                <c:pt idx="62">
                  <c:v>21682.548931412759</c:v>
                </c:pt>
                <c:pt idx="63">
                  <c:v>21740.955347243755</c:v>
                </c:pt>
                <c:pt idx="64">
                  <c:v>21797.308402774874</c:v>
                </c:pt>
                <c:pt idx="65">
                  <c:v>21851.590932319508</c:v>
                </c:pt>
                <c:pt idx="66">
                  <c:v>21903.786400893303</c:v>
                </c:pt>
                <c:pt idx="67">
                  <c:v>21953.878909250907</c:v>
                </c:pt>
                <c:pt idx="68">
                  <c:v>22001.853198729012</c:v>
                </c:pt>
                <c:pt idx="69">
                  <c:v>22047.694655894313</c:v>
                </c:pt>
                <c:pt idx="70">
                  <c:v>22091.389316994875</c:v>
                </c:pt>
                <c:pt idx="71">
                  <c:v>22132.923872213651</c:v>
                </c:pt>
                <c:pt idx="72">
                  <c:v>22172.285669722765</c:v>
                </c:pt>
                <c:pt idx="73">
                  <c:v>22209.462719537391</c:v>
                </c:pt>
                <c:pt idx="74">
                  <c:v>22244.443697168012</c:v>
                </c:pt>
                <c:pt idx="75">
                  <c:v>22277.217947069974</c:v>
                </c:pt>
                <c:pt idx="76">
                  <c:v>22307.775485889266</c:v>
                </c:pt>
                <c:pt idx="77">
                  <c:v>22336.107005503542</c:v>
                </c:pt>
                <c:pt idx="78">
                  <c:v>22362.203875857478</c:v>
                </c:pt>
                <c:pt idx="79">
                  <c:v>22386.058147591561</c:v>
                </c:pt>
                <c:pt idx="80">
                  <c:v>22407.662554463532</c:v>
                </c:pt>
                <c:pt idx="81">
                  <c:v>22427.010515561778</c:v>
                </c:pt>
                <c:pt idx="82">
                  <c:v>22444.096137309916</c:v>
                </c:pt>
                <c:pt idx="83">
                  <c:v>22458.914215262048</c:v>
                </c:pt>
                <c:pt idx="84">
                  <c:v>22471.460235688093</c:v>
                </c:pt>
                <c:pt idx="85">
                  <c:v>22481.730376948683</c:v>
                </c:pt>
                <c:pt idx="86">
                  <c:v>22489.721510659303</c:v>
                </c:pt>
                <c:pt idx="87">
                  <c:v>22495.431202643216</c:v>
                </c:pt>
                <c:pt idx="88">
                  <c:v>22498.857713672936</c:v>
                </c:pt>
                <c:pt idx="89">
                  <c:v>22500</c:v>
                </c:pt>
                <c:pt idx="90">
                  <c:v>22498.857713672936</c:v>
                </c:pt>
                <c:pt idx="91">
                  <c:v>22495.431202643216</c:v>
                </c:pt>
                <c:pt idx="92">
                  <c:v>22489.721510659303</c:v>
                </c:pt>
                <c:pt idx="93">
                  <c:v>22481.730376948683</c:v>
                </c:pt>
                <c:pt idx="94">
                  <c:v>22471.460235688093</c:v>
                </c:pt>
                <c:pt idx="95">
                  <c:v>22458.914215262052</c:v>
                </c:pt>
                <c:pt idx="96">
                  <c:v>22444.096137309916</c:v>
                </c:pt>
                <c:pt idx="97">
                  <c:v>22427.010515561778</c:v>
                </c:pt>
                <c:pt idx="98">
                  <c:v>22407.662554463532</c:v>
                </c:pt>
                <c:pt idx="99">
                  <c:v>22386.058147591561</c:v>
                </c:pt>
                <c:pt idx="100">
                  <c:v>22362.203875857478</c:v>
                </c:pt>
                <c:pt idx="101">
                  <c:v>22336.107005503542</c:v>
                </c:pt>
                <c:pt idx="102">
                  <c:v>22307.775485889266</c:v>
                </c:pt>
                <c:pt idx="103">
                  <c:v>22277.217947069974</c:v>
                </c:pt>
                <c:pt idx="104">
                  <c:v>22244.443697168012</c:v>
                </c:pt>
                <c:pt idx="105">
                  <c:v>22209.462719537391</c:v>
                </c:pt>
                <c:pt idx="106">
                  <c:v>22172.285669722765</c:v>
                </c:pt>
                <c:pt idx="107">
                  <c:v>22132.923872213651</c:v>
                </c:pt>
                <c:pt idx="108">
                  <c:v>22091.389316994875</c:v>
                </c:pt>
                <c:pt idx="109">
                  <c:v>22047.694655894313</c:v>
                </c:pt>
                <c:pt idx="110">
                  <c:v>22001.853198729012</c:v>
                </c:pt>
                <c:pt idx="111">
                  <c:v>21953.878909250907</c:v>
                </c:pt>
                <c:pt idx="112">
                  <c:v>21903.786400893303</c:v>
                </c:pt>
                <c:pt idx="113">
                  <c:v>21851.590932319508</c:v>
                </c:pt>
                <c:pt idx="114">
                  <c:v>21797.308402774877</c:v>
                </c:pt>
                <c:pt idx="115">
                  <c:v>21740.955347243751</c:v>
                </c:pt>
                <c:pt idx="116">
                  <c:v>21682.548931412759</c:v>
                </c:pt>
                <c:pt idx="117">
                  <c:v>21622.106946441952</c:v>
                </c:pt>
                <c:pt idx="118">
                  <c:v>21559.647803545471</c:v>
                </c:pt>
                <c:pt idx="119">
                  <c:v>21495.190528383289</c:v>
                </c:pt>
                <c:pt idx="120">
                  <c:v>21428.754755265843</c:v>
                </c:pt>
                <c:pt idx="121">
                  <c:v>21360.360721173194</c:v>
                </c:pt>
                <c:pt idx="122">
                  <c:v>21290.029259590679</c:v>
                </c:pt>
                <c:pt idx="123">
                  <c:v>21217.781794162813</c:v>
                </c:pt>
                <c:pt idx="124">
                  <c:v>21143.640332167441</c:v>
                </c:pt>
                <c:pt idx="125">
                  <c:v>21067.627457812105</c:v>
                </c:pt>
                <c:pt idx="126">
                  <c:v>20989.766325354696</c:v>
                </c:pt>
                <c:pt idx="127">
                  <c:v>20910.080652050416</c:v>
                </c:pt>
                <c:pt idx="128">
                  <c:v>20828.594710927282</c:v>
                </c:pt>
                <c:pt idx="129">
                  <c:v>20745.333323392333</c:v>
                </c:pt>
                <c:pt idx="130">
                  <c:v>20660.321851670789</c:v>
                </c:pt>
                <c:pt idx="131">
                  <c:v>20573.586191080456</c:v>
                </c:pt>
                <c:pt idx="132">
                  <c:v>20485.152762143778</c:v>
                </c:pt>
                <c:pt idx="133">
                  <c:v>20395.048502539885</c:v>
                </c:pt>
                <c:pt idx="134">
                  <c:v>20303.300858899107</c:v>
                </c:pt>
                <c:pt idx="135">
                  <c:v>20209.93777844248</c:v>
                </c:pt>
                <c:pt idx="136">
                  <c:v>20114.987700468741</c:v>
                </c:pt>
                <c:pt idx="137">
                  <c:v>20018.479547691437</c:v>
                </c:pt>
                <c:pt idx="138">
                  <c:v>19920.442717428807</c:v>
                </c:pt>
                <c:pt idx="139">
                  <c:v>19820.907072649046</c:v>
                </c:pt>
                <c:pt idx="140">
                  <c:v>19719.902932873782</c:v>
                </c:pt>
                <c:pt idx="141">
                  <c:v>19617.461064942436</c:v>
                </c:pt>
                <c:pt idx="142">
                  <c:v>19513.61267364036</c:v>
                </c:pt>
                <c:pt idx="143">
                  <c:v>19408.389392193549</c:v>
                </c:pt>
                <c:pt idx="144">
                  <c:v>19301.82327263285</c:v>
                </c:pt>
                <c:pt idx="145">
                  <c:v>19193.9467760306</c:v>
                </c:pt>
                <c:pt idx="146">
                  <c:v>19084.792762612702</c:v>
                </c:pt>
                <c:pt idx="147">
                  <c:v>18974.394481749037</c:v>
                </c:pt>
                <c:pt idx="148">
                  <c:v>18862.785561825407</c:v>
                </c:pt>
                <c:pt idx="149">
                  <c:v>18750</c:v>
                </c:pt>
                <c:pt idx="150">
                  <c:v>18636.072151847529</c:v>
                </c:pt>
                <c:pt idx="151">
                  <c:v>18521.036720894183</c:v>
                </c:pt>
                <c:pt idx="152">
                  <c:v>18404.928748046601</c:v>
                </c:pt>
                <c:pt idx="153">
                  <c:v>18287.783600918079</c:v>
                </c:pt>
                <c:pt idx="154">
                  <c:v>18169.636963055247</c:v>
                </c:pt>
                <c:pt idx="155">
                  <c:v>18050.524823068503</c:v>
                </c:pt>
                <c:pt idx="156">
                  <c:v>17930.483463669556</c:v>
                </c:pt>
                <c:pt idx="157">
                  <c:v>17809.549450619343</c:v>
                </c:pt>
                <c:pt idx="158">
                  <c:v>17687.75962158975</c:v>
                </c:pt>
                <c:pt idx="159">
                  <c:v>17565.151074942518</c:v>
                </c:pt>
                <c:pt idx="160">
                  <c:v>17441.761158428679</c:v>
                </c:pt>
                <c:pt idx="161">
                  <c:v>17317.627457812108</c:v>
                </c:pt>
                <c:pt idx="162">
                  <c:v>17192.787785420529</c:v>
                </c:pt>
                <c:pt idx="163">
                  <c:v>17067.280168627498</c:v>
                </c:pt>
                <c:pt idx="164">
                  <c:v>16941.142838268908</c:v>
                </c:pt>
                <c:pt idx="165">
                  <c:v>16814.414216997509</c:v>
                </c:pt>
                <c:pt idx="166">
                  <c:v>16687.132907578987</c:v>
                </c:pt>
                <c:pt idx="167">
                  <c:v>16559.337681133195</c:v>
                </c:pt>
                <c:pt idx="168">
                  <c:v>16431.067465324086</c:v>
                </c:pt>
                <c:pt idx="169">
                  <c:v>16302.361332501978</c:v>
                </c:pt>
                <c:pt idx="170">
                  <c:v>16173.258487801733</c:v>
                </c:pt>
                <c:pt idx="171">
                  <c:v>16043.798257200493</c:v>
                </c:pt>
                <c:pt idx="172">
                  <c:v>15914.020075538607</c:v>
                </c:pt>
                <c:pt idx="173">
                  <c:v>15783.963474507404</c:v>
                </c:pt>
                <c:pt idx="174">
                  <c:v>15653.66807060744</c:v>
                </c:pt>
                <c:pt idx="175">
                  <c:v>15523.173553080942</c:v>
                </c:pt>
                <c:pt idx="176">
                  <c:v>15392.519671822078</c:v>
                </c:pt>
                <c:pt idx="177">
                  <c:v>15261.746225268755</c:v>
                </c:pt>
                <c:pt idx="178">
                  <c:v>15130.893048279626</c:v>
                </c:pt>
                <c:pt idx="179">
                  <c:v>15000.000000000002</c:v>
                </c:pt>
                <c:pt idx="180">
                  <c:v>14869.106951720376</c:v>
                </c:pt>
                <c:pt idx="181">
                  <c:v>14738.253774731244</c:v>
                </c:pt>
                <c:pt idx="182">
                  <c:v>14607.480328177924</c:v>
                </c:pt>
                <c:pt idx="183">
                  <c:v>14476.826446919064</c:v>
                </c:pt>
                <c:pt idx="184">
                  <c:v>14346.331929392565</c:v>
                </c:pt>
                <c:pt idx="185">
                  <c:v>14216.036525492602</c:v>
                </c:pt>
                <c:pt idx="186">
                  <c:v>14085.979924461391</c:v>
                </c:pt>
                <c:pt idx="187">
                  <c:v>13956.201742799509</c:v>
                </c:pt>
                <c:pt idx="188">
                  <c:v>13826.74151219827</c:v>
                </c:pt>
                <c:pt idx="189">
                  <c:v>13697.638667498022</c:v>
                </c:pt>
                <c:pt idx="190">
                  <c:v>13568.932534675914</c:v>
                </c:pt>
                <c:pt idx="191">
                  <c:v>13440.662318866807</c:v>
                </c:pt>
                <c:pt idx="192">
                  <c:v>13312.867092421013</c:v>
                </c:pt>
                <c:pt idx="193">
                  <c:v>13185.585783002494</c:v>
                </c:pt>
                <c:pt idx="194">
                  <c:v>13058.857161731097</c:v>
                </c:pt>
                <c:pt idx="195">
                  <c:v>12932.719831372508</c:v>
                </c:pt>
                <c:pt idx="196">
                  <c:v>12807.212214579476</c:v>
                </c:pt>
                <c:pt idx="197">
                  <c:v>12682.372542187892</c:v>
                </c:pt>
                <c:pt idx="198">
                  <c:v>12558.238841571325</c:v>
                </c:pt>
                <c:pt idx="199">
                  <c:v>12434.848925057486</c:v>
                </c:pt>
                <c:pt idx="200">
                  <c:v>12312.240378410246</c:v>
                </c:pt>
                <c:pt idx="201">
                  <c:v>12190.450549380661</c:v>
                </c:pt>
                <c:pt idx="202">
                  <c:v>12069.516536330448</c:v>
                </c:pt>
                <c:pt idx="203">
                  <c:v>11949.475176931501</c:v>
                </c:pt>
                <c:pt idx="204">
                  <c:v>11830.363036944756</c:v>
                </c:pt>
                <c:pt idx="205">
                  <c:v>11712.216399081923</c:v>
                </c:pt>
                <c:pt idx="206">
                  <c:v>11595.071251953403</c:v>
                </c:pt>
                <c:pt idx="207">
                  <c:v>11478.963279105817</c:v>
                </c:pt>
                <c:pt idx="208">
                  <c:v>11363.927848152473</c:v>
                </c:pt>
                <c:pt idx="209">
                  <c:v>11250</c:v>
                </c:pt>
                <c:pt idx="210">
                  <c:v>11137.214438174593</c:v>
                </c:pt>
                <c:pt idx="211">
                  <c:v>11025.605518250964</c:v>
                </c:pt>
                <c:pt idx="212">
                  <c:v>10915.207237387298</c:v>
                </c:pt>
                <c:pt idx="213">
                  <c:v>10806.0532239694</c:v>
                </c:pt>
                <c:pt idx="214">
                  <c:v>10698.176727367158</c:v>
                </c:pt>
                <c:pt idx="215">
                  <c:v>10591.610607806451</c:v>
                </c:pt>
                <c:pt idx="216">
                  <c:v>10486.38732635964</c:v>
                </c:pt>
                <c:pt idx="217">
                  <c:v>10382.538935057566</c:v>
                </c:pt>
                <c:pt idx="218">
                  <c:v>10280.097067126218</c:v>
                </c:pt>
                <c:pt idx="219">
                  <c:v>10179.092927350956</c:v>
                </c:pt>
                <c:pt idx="220">
                  <c:v>10079.557282571193</c:v>
                </c:pt>
                <c:pt idx="221">
                  <c:v>9981.5204523085631</c:v>
                </c:pt>
                <c:pt idx="222">
                  <c:v>9885.0122995312631</c:v>
                </c:pt>
                <c:pt idx="223">
                  <c:v>9790.0622215575204</c:v>
                </c:pt>
                <c:pt idx="224">
                  <c:v>9696.699141100893</c:v>
                </c:pt>
                <c:pt idx="225">
                  <c:v>9604.9514974601188</c:v>
                </c:pt>
                <c:pt idx="226">
                  <c:v>9514.8472378562237</c:v>
                </c:pt>
                <c:pt idx="227">
                  <c:v>9426.413808919544</c:v>
                </c:pt>
                <c:pt idx="228">
                  <c:v>9339.6781483292125</c:v>
                </c:pt>
                <c:pt idx="229">
                  <c:v>9254.6666766076669</c:v>
                </c:pt>
                <c:pt idx="230">
                  <c:v>9171.4052890727162</c:v>
                </c:pt>
                <c:pt idx="231">
                  <c:v>9089.9193479495843</c:v>
                </c:pt>
                <c:pt idx="232">
                  <c:v>9010.2336746453038</c:v>
                </c:pt>
                <c:pt idx="233">
                  <c:v>8932.3725421878953</c:v>
                </c:pt>
                <c:pt idx="234">
                  <c:v>8856.359667832563</c:v>
                </c:pt>
                <c:pt idx="235">
                  <c:v>8782.2182058371891</c:v>
                </c:pt>
                <c:pt idx="236">
                  <c:v>8709.9707404093206</c:v>
                </c:pt>
                <c:pt idx="237">
                  <c:v>8639.6392788268058</c:v>
                </c:pt>
                <c:pt idx="238">
                  <c:v>8571.2452447341602</c:v>
                </c:pt>
                <c:pt idx="239">
                  <c:v>8504.8094716167125</c:v>
                </c:pt>
                <c:pt idx="240">
                  <c:v>8440.3521964545307</c:v>
                </c:pt>
                <c:pt idx="241">
                  <c:v>8377.8930535580475</c:v>
                </c:pt>
                <c:pt idx="242">
                  <c:v>8317.451068587241</c:v>
                </c:pt>
                <c:pt idx="243">
                  <c:v>8259.044652756249</c:v>
                </c:pt>
                <c:pt idx="244">
                  <c:v>8202.6915972251263</c:v>
                </c:pt>
                <c:pt idx="245">
                  <c:v>8148.4090676804926</c:v>
                </c:pt>
                <c:pt idx="246">
                  <c:v>8096.213599106698</c:v>
                </c:pt>
                <c:pt idx="247">
                  <c:v>8046.1210907490949</c:v>
                </c:pt>
                <c:pt idx="248">
                  <c:v>7998.1468012709875</c:v>
                </c:pt>
                <c:pt idx="249">
                  <c:v>7952.3053441056882</c:v>
                </c:pt>
                <c:pt idx="250">
                  <c:v>7908.610683005124</c:v>
                </c:pt>
                <c:pt idx="251">
                  <c:v>7867.0761277863485</c:v>
                </c:pt>
                <c:pt idx="252">
                  <c:v>7827.7143302772347</c:v>
                </c:pt>
                <c:pt idx="253">
                  <c:v>7790.5372804626077</c:v>
                </c:pt>
                <c:pt idx="254">
                  <c:v>7755.5563028319875</c:v>
                </c:pt>
                <c:pt idx="255">
                  <c:v>7722.7820529300261</c:v>
                </c:pt>
                <c:pt idx="256">
                  <c:v>7692.2245141107369</c:v>
                </c:pt>
                <c:pt idx="257">
                  <c:v>7663.8929944964584</c:v>
                </c:pt>
                <c:pt idx="258">
                  <c:v>7637.796124142521</c:v>
                </c:pt>
                <c:pt idx="259">
                  <c:v>7613.9418524084394</c:v>
                </c:pt>
                <c:pt idx="260">
                  <c:v>7592.3374455364674</c:v>
                </c:pt>
                <c:pt idx="261">
                  <c:v>7572.9894844382225</c:v>
                </c:pt>
                <c:pt idx="262">
                  <c:v>7555.9038626900847</c:v>
                </c:pt>
                <c:pt idx="263">
                  <c:v>7541.0857847379493</c:v>
                </c:pt>
                <c:pt idx="264">
                  <c:v>7528.5397643119086</c:v>
                </c:pt>
                <c:pt idx="265">
                  <c:v>7518.2696230513184</c:v>
                </c:pt>
                <c:pt idx="266">
                  <c:v>7510.2784893406961</c:v>
                </c:pt>
                <c:pt idx="267">
                  <c:v>7504.5687973567829</c:v>
                </c:pt>
                <c:pt idx="268">
                  <c:v>7501.1422863270654</c:v>
                </c:pt>
                <c:pt idx="269">
                  <c:v>7500</c:v>
                </c:pt>
                <c:pt idx="270">
                  <c:v>7501.1422863270654</c:v>
                </c:pt>
                <c:pt idx="271">
                  <c:v>7504.5687973567819</c:v>
                </c:pt>
                <c:pt idx="272">
                  <c:v>7510.2784893406961</c:v>
                </c:pt>
                <c:pt idx="273">
                  <c:v>7518.2696230513175</c:v>
                </c:pt>
                <c:pt idx="274">
                  <c:v>7528.5397643119086</c:v>
                </c:pt>
                <c:pt idx="275">
                  <c:v>7541.0857847379493</c:v>
                </c:pt>
                <c:pt idx="276">
                  <c:v>7555.9038626900847</c:v>
                </c:pt>
                <c:pt idx="277">
                  <c:v>7572.9894844382225</c:v>
                </c:pt>
                <c:pt idx="278">
                  <c:v>7592.3374455364665</c:v>
                </c:pt>
                <c:pt idx="279">
                  <c:v>7613.9418524084394</c:v>
                </c:pt>
                <c:pt idx="280">
                  <c:v>7637.7961241425191</c:v>
                </c:pt>
                <c:pt idx="281">
                  <c:v>7663.8929944964566</c:v>
                </c:pt>
                <c:pt idx="282">
                  <c:v>7692.224514110736</c:v>
                </c:pt>
                <c:pt idx="283">
                  <c:v>7722.7820529300252</c:v>
                </c:pt>
                <c:pt idx="284">
                  <c:v>7755.5563028319884</c:v>
                </c:pt>
                <c:pt idx="285">
                  <c:v>7790.5372804626095</c:v>
                </c:pt>
                <c:pt idx="286">
                  <c:v>7827.7143302772338</c:v>
                </c:pt>
                <c:pt idx="287">
                  <c:v>7867.0761277863476</c:v>
                </c:pt>
                <c:pt idx="288">
                  <c:v>7908.6106830051231</c:v>
                </c:pt>
                <c:pt idx="289">
                  <c:v>7952.3053441056863</c:v>
                </c:pt>
                <c:pt idx="290">
                  <c:v>7998.1468012709847</c:v>
                </c:pt>
                <c:pt idx="291">
                  <c:v>8046.121090749094</c:v>
                </c:pt>
                <c:pt idx="292">
                  <c:v>8096.2135991066962</c:v>
                </c:pt>
                <c:pt idx="293">
                  <c:v>8148.4090676804944</c:v>
                </c:pt>
                <c:pt idx="294">
                  <c:v>8202.6915972251263</c:v>
                </c:pt>
                <c:pt idx="295">
                  <c:v>8259.0446527562472</c:v>
                </c:pt>
                <c:pt idx="296">
                  <c:v>8317.451068587241</c:v>
                </c:pt>
                <c:pt idx="297">
                  <c:v>8377.8930535580475</c:v>
                </c:pt>
                <c:pt idx="298">
                  <c:v>8440.3521964545289</c:v>
                </c:pt>
                <c:pt idx="299">
                  <c:v>8504.8094716167107</c:v>
                </c:pt>
                <c:pt idx="300">
                  <c:v>8571.2452447341566</c:v>
                </c:pt>
                <c:pt idx="301">
                  <c:v>8639.639278826804</c:v>
                </c:pt>
                <c:pt idx="302">
                  <c:v>8709.9707404093169</c:v>
                </c:pt>
                <c:pt idx="303">
                  <c:v>8782.2182058371836</c:v>
                </c:pt>
                <c:pt idx="304">
                  <c:v>8856.3596678325612</c:v>
                </c:pt>
                <c:pt idx="305">
                  <c:v>8932.3725421878935</c:v>
                </c:pt>
                <c:pt idx="306">
                  <c:v>9010.233674645302</c:v>
                </c:pt>
                <c:pt idx="307">
                  <c:v>9089.9193479495862</c:v>
                </c:pt>
                <c:pt idx="308">
                  <c:v>9171.405289072718</c:v>
                </c:pt>
                <c:pt idx="309">
                  <c:v>9254.6666766076632</c:v>
                </c:pt>
                <c:pt idx="310">
                  <c:v>9339.678148329207</c:v>
                </c:pt>
                <c:pt idx="311">
                  <c:v>9426.4138089195403</c:v>
                </c:pt>
                <c:pt idx="312">
                  <c:v>9514.8472378562183</c:v>
                </c:pt>
                <c:pt idx="313">
                  <c:v>9604.9514974601116</c:v>
                </c:pt>
                <c:pt idx="314">
                  <c:v>9696.699141100893</c:v>
                </c:pt>
                <c:pt idx="315">
                  <c:v>9790.0622215575168</c:v>
                </c:pt>
                <c:pt idx="316">
                  <c:v>9885.0122995312631</c:v>
                </c:pt>
                <c:pt idx="317">
                  <c:v>9981.5204523085631</c:v>
                </c:pt>
                <c:pt idx="318">
                  <c:v>10079.557282571193</c:v>
                </c:pt>
                <c:pt idx="319">
                  <c:v>10179.092927350954</c:v>
                </c:pt>
                <c:pt idx="320">
                  <c:v>10280.097067126217</c:v>
                </c:pt>
                <c:pt idx="321">
                  <c:v>10382.538935057559</c:v>
                </c:pt>
                <c:pt idx="322">
                  <c:v>10486.387326359638</c:v>
                </c:pt>
                <c:pt idx="323">
                  <c:v>10591.610607806449</c:v>
                </c:pt>
                <c:pt idx="324">
                  <c:v>10698.17672736715</c:v>
                </c:pt>
                <c:pt idx="325">
                  <c:v>10806.053223969395</c:v>
                </c:pt>
                <c:pt idx="326">
                  <c:v>10915.207237387298</c:v>
                </c:pt>
                <c:pt idx="327">
                  <c:v>11025.605518250957</c:v>
                </c:pt>
                <c:pt idx="328">
                  <c:v>11137.214438174591</c:v>
                </c:pt>
                <c:pt idx="329">
                  <c:v>11249.999999999996</c:v>
                </c:pt>
                <c:pt idx="330">
                  <c:v>11363.927848152474</c:v>
                </c:pt>
                <c:pt idx="331">
                  <c:v>11478.963279105819</c:v>
                </c:pt>
                <c:pt idx="332">
                  <c:v>11595.071251953397</c:v>
                </c:pt>
                <c:pt idx="333">
                  <c:v>11712.216399081923</c:v>
                </c:pt>
                <c:pt idx="334">
                  <c:v>11830.363036944749</c:v>
                </c:pt>
                <c:pt idx="335">
                  <c:v>11949.475176931499</c:v>
                </c:pt>
                <c:pt idx="336">
                  <c:v>12069.51653633044</c:v>
                </c:pt>
                <c:pt idx="337">
                  <c:v>12190.450549380657</c:v>
                </c:pt>
                <c:pt idx="338">
                  <c:v>12312.240378410244</c:v>
                </c:pt>
                <c:pt idx="339">
                  <c:v>12434.848925057486</c:v>
                </c:pt>
                <c:pt idx="340">
                  <c:v>12558.238841571318</c:v>
                </c:pt>
                <c:pt idx="341">
                  <c:v>12682.372542187893</c:v>
                </c:pt>
                <c:pt idx="342">
                  <c:v>12807.212214579478</c:v>
                </c:pt>
                <c:pt idx="343">
                  <c:v>12932.719831372502</c:v>
                </c:pt>
                <c:pt idx="344">
                  <c:v>13058.857161731095</c:v>
                </c:pt>
                <c:pt idx="345">
                  <c:v>13185.585783002491</c:v>
                </c:pt>
                <c:pt idx="346">
                  <c:v>13312.867092421009</c:v>
                </c:pt>
                <c:pt idx="347">
                  <c:v>13440.662318866802</c:v>
                </c:pt>
                <c:pt idx="348">
                  <c:v>13568.932534675914</c:v>
                </c:pt>
                <c:pt idx="349">
                  <c:v>13697.638667498015</c:v>
                </c:pt>
                <c:pt idx="350">
                  <c:v>13826.741512198267</c:v>
                </c:pt>
                <c:pt idx="351">
                  <c:v>13956.201742799505</c:v>
                </c:pt>
                <c:pt idx="352">
                  <c:v>14085.97992446139</c:v>
                </c:pt>
                <c:pt idx="353">
                  <c:v>14216.0365254926</c:v>
                </c:pt>
                <c:pt idx="354">
                  <c:v>14346.331929392563</c:v>
                </c:pt>
                <c:pt idx="355">
                  <c:v>14476.826446919064</c:v>
                </c:pt>
                <c:pt idx="356">
                  <c:v>14607.480328177917</c:v>
                </c:pt>
                <c:pt idx="357">
                  <c:v>14738.253774731244</c:v>
                </c:pt>
                <c:pt idx="358">
                  <c:v>14869.106951720367</c:v>
                </c:pt>
                <c:pt idx="359">
                  <c:v>14999.999999999998</c:v>
                </c:pt>
                <c:pt idx="360">
                  <c:v>15130.893048279622</c:v>
                </c:pt>
                <c:pt idx="361">
                  <c:v>15261.746225268753</c:v>
                </c:pt>
                <c:pt idx="362">
                  <c:v>15392.51967182208</c:v>
                </c:pt>
                <c:pt idx="363">
                  <c:v>15523.173553080938</c:v>
                </c:pt>
                <c:pt idx="364">
                  <c:v>15653.66807060744</c:v>
                </c:pt>
                <c:pt idx="365">
                  <c:v>15783.963474507396</c:v>
                </c:pt>
                <c:pt idx="366">
                  <c:v>15914.020075538607</c:v>
                </c:pt>
                <c:pt idx="367">
                  <c:v>16043.798257200484</c:v>
                </c:pt>
                <c:pt idx="368">
                  <c:v>16173.25848780173</c:v>
                </c:pt>
                <c:pt idx="369">
                  <c:v>16302.361332501974</c:v>
                </c:pt>
                <c:pt idx="370">
                  <c:v>16431.067465324089</c:v>
                </c:pt>
                <c:pt idx="371">
                  <c:v>16559.337681133187</c:v>
                </c:pt>
                <c:pt idx="372">
                  <c:v>16687.132907578987</c:v>
                </c:pt>
                <c:pt idx="373">
                  <c:v>16814.414216997513</c:v>
                </c:pt>
                <c:pt idx="374">
                  <c:v>16941.142838268901</c:v>
                </c:pt>
                <c:pt idx="375">
                  <c:v>17067.280168627494</c:v>
                </c:pt>
                <c:pt idx="376">
                  <c:v>17192.787785420525</c:v>
                </c:pt>
                <c:pt idx="377">
                  <c:v>17317.627457812105</c:v>
                </c:pt>
                <c:pt idx="378">
                  <c:v>17441.761158428671</c:v>
                </c:pt>
                <c:pt idx="379">
                  <c:v>17565.151074942518</c:v>
                </c:pt>
                <c:pt idx="380">
                  <c:v>17687.759621589747</c:v>
                </c:pt>
                <c:pt idx="381">
                  <c:v>17809.549450619339</c:v>
                </c:pt>
                <c:pt idx="382">
                  <c:v>17930.483463669545</c:v>
                </c:pt>
                <c:pt idx="383">
                  <c:v>18050.524823068499</c:v>
                </c:pt>
                <c:pt idx="384">
                  <c:v>18169.636963055247</c:v>
                </c:pt>
                <c:pt idx="385">
                  <c:v>18287.783600918079</c:v>
                </c:pt>
                <c:pt idx="386">
                  <c:v>18404.928748046605</c:v>
                </c:pt>
                <c:pt idx="387">
                  <c:v>18521.036720894179</c:v>
                </c:pt>
                <c:pt idx="388">
                  <c:v>18636.072151847529</c:v>
                </c:pt>
                <c:pt idx="389">
                  <c:v>18749.999999999993</c:v>
                </c:pt>
                <c:pt idx="390">
                  <c:v>18862.785561825403</c:v>
                </c:pt>
                <c:pt idx="391">
                  <c:v>18974.394481749034</c:v>
                </c:pt>
                <c:pt idx="392">
                  <c:v>19084.792762612698</c:v>
                </c:pt>
                <c:pt idx="393">
                  <c:v>19193.946776030596</c:v>
                </c:pt>
                <c:pt idx="394">
                  <c:v>19301.823272632846</c:v>
                </c:pt>
                <c:pt idx="395">
                  <c:v>19408.389392193552</c:v>
                </c:pt>
                <c:pt idx="396">
                  <c:v>19513.61267364036</c:v>
                </c:pt>
                <c:pt idx="397">
                  <c:v>19617.461064942436</c:v>
                </c:pt>
                <c:pt idx="398">
                  <c:v>19719.902932873774</c:v>
                </c:pt>
                <c:pt idx="399">
                  <c:v>19820.907072649043</c:v>
                </c:pt>
                <c:pt idx="400">
                  <c:v>19920.442717428803</c:v>
                </c:pt>
                <c:pt idx="401">
                  <c:v>20018.479547691437</c:v>
                </c:pt>
                <c:pt idx="402">
                  <c:v>20114.987700468733</c:v>
                </c:pt>
                <c:pt idx="403">
                  <c:v>20209.93777844248</c:v>
                </c:pt>
                <c:pt idx="404">
                  <c:v>20303.3008588991</c:v>
                </c:pt>
                <c:pt idx="405">
                  <c:v>20395.048502539881</c:v>
                </c:pt>
                <c:pt idx="406">
                  <c:v>20485.152762143778</c:v>
                </c:pt>
                <c:pt idx="407">
                  <c:v>20573.586191080452</c:v>
                </c:pt>
                <c:pt idx="408">
                  <c:v>20660.321851670789</c:v>
                </c:pt>
                <c:pt idx="409">
                  <c:v>20745.333323392333</c:v>
                </c:pt>
                <c:pt idx="410">
                  <c:v>20828.594710927282</c:v>
                </c:pt>
                <c:pt idx="411">
                  <c:v>20910.080652050412</c:v>
                </c:pt>
                <c:pt idx="412">
                  <c:v>20989.766325354696</c:v>
                </c:pt>
                <c:pt idx="413">
                  <c:v>21067.627457812101</c:v>
                </c:pt>
                <c:pt idx="414">
                  <c:v>21143.640332167437</c:v>
                </c:pt>
                <c:pt idx="415">
                  <c:v>21217.781794162813</c:v>
                </c:pt>
                <c:pt idx="416">
                  <c:v>21290.029259590679</c:v>
                </c:pt>
                <c:pt idx="417">
                  <c:v>21360.360721173194</c:v>
                </c:pt>
                <c:pt idx="418">
                  <c:v>21428.75475526584</c:v>
                </c:pt>
                <c:pt idx="419">
                  <c:v>21495.190528383289</c:v>
                </c:pt>
                <c:pt idx="420">
                  <c:v>21559.647803545464</c:v>
                </c:pt>
                <c:pt idx="421">
                  <c:v>21622.106946441952</c:v>
                </c:pt>
                <c:pt idx="422">
                  <c:v>21682.548931412755</c:v>
                </c:pt>
                <c:pt idx="423">
                  <c:v>21740.955347243751</c:v>
                </c:pt>
                <c:pt idx="424">
                  <c:v>21797.308402774874</c:v>
                </c:pt>
                <c:pt idx="425">
                  <c:v>21851.590932319508</c:v>
                </c:pt>
                <c:pt idx="426">
                  <c:v>21903.786400893303</c:v>
                </c:pt>
                <c:pt idx="427">
                  <c:v>21953.878909250903</c:v>
                </c:pt>
                <c:pt idx="428">
                  <c:v>22001.853198729012</c:v>
                </c:pt>
                <c:pt idx="429">
                  <c:v>22047.694655894309</c:v>
                </c:pt>
                <c:pt idx="430">
                  <c:v>22091.389316994875</c:v>
                </c:pt>
                <c:pt idx="431">
                  <c:v>22132.923872213651</c:v>
                </c:pt>
                <c:pt idx="432">
                  <c:v>22172.285669722765</c:v>
                </c:pt>
                <c:pt idx="433">
                  <c:v>22209.462719537391</c:v>
                </c:pt>
                <c:pt idx="434">
                  <c:v>22244.443697168012</c:v>
                </c:pt>
                <c:pt idx="435">
                  <c:v>22277.21794706997</c:v>
                </c:pt>
                <c:pt idx="436">
                  <c:v>22307.775485889262</c:v>
                </c:pt>
                <c:pt idx="437">
                  <c:v>22336.107005503542</c:v>
                </c:pt>
                <c:pt idx="438">
                  <c:v>22362.203875857478</c:v>
                </c:pt>
                <c:pt idx="439">
                  <c:v>22386.058147591561</c:v>
                </c:pt>
                <c:pt idx="440">
                  <c:v>22407.662554463532</c:v>
                </c:pt>
                <c:pt idx="441">
                  <c:v>22427.010515561778</c:v>
                </c:pt>
                <c:pt idx="442">
                  <c:v>22444.096137309916</c:v>
                </c:pt>
                <c:pt idx="443">
                  <c:v>22458.914215262048</c:v>
                </c:pt>
                <c:pt idx="444">
                  <c:v>22471.46023568809</c:v>
                </c:pt>
                <c:pt idx="445">
                  <c:v>22481.730376948683</c:v>
                </c:pt>
                <c:pt idx="446">
                  <c:v>22489.721510659303</c:v>
                </c:pt>
                <c:pt idx="447">
                  <c:v>22495.431202643216</c:v>
                </c:pt>
                <c:pt idx="448">
                  <c:v>22498.857713672936</c:v>
                </c:pt>
                <c:pt idx="449">
                  <c:v>22500</c:v>
                </c:pt>
                <c:pt idx="450">
                  <c:v>22498.857713672936</c:v>
                </c:pt>
                <c:pt idx="451">
                  <c:v>22495.431202643216</c:v>
                </c:pt>
                <c:pt idx="452">
                  <c:v>22489.721510659303</c:v>
                </c:pt>
                <c:pt idx="453">
                  <c:v>22481.730376948683</c:v>
                </c:pt>
                <c:pt idx="454">
                  <c:v>22471.460235688093</c:v>
                </c:pt>
                <c:pt idx="455">
                  <c:v>22458.914215262052</c:v>
                </c:pt>
                <c:pt idx="456">
                  <c:v>22444.096137309916</c:v>
                </c:pt>
                <c:pt idx="457">
                  <c:v>22427.010515561778</c:v>
                </c:pt>
                <c:pt idx="458">
                  <c:v>22407.662554463535</c:v>
                </c:pt>
                <c:pt idx="459">
                  <c:v>22386.058147591561</c:v>
                </c:pt>
                <c:pt idx="460">
                  <c:v>22362.203875857478</c:v>
                </c:pt>
                <c:pt idx="461">
                  <c:v>22336.107005503542</c:v>
                </c:pt>
                <c:pt idx="462">
                  <c:v>22307.775485889266</c:v>
                </c:pt>
                <c:pt idx="463">
                  <c:v>22277.217947069974</c:v>
                </c:pt>
                <c:pt idx="464">
                  <c:v>22244.443697168012</c:v>
                </c:pt>
                <c:pt idx="465">
                  <c:v>22209.462719537391</c:v>
                </c:pt>
                <c:pt idx="466">
                  <c:v>22172.285669722769</c:v>
                </c:pt>
                <c:pt idx="467">
                  <c:v>22132.923872213651</c:v>
                </c:pt>
                <c:pt idx="468">
                  <c:v>22091.389316994879</c:v>
                </c:pt>
                <c:pt idx="469">
                  <c:v>22047.694655894316</c:v>
                </c:pt>
                <c:pt idx="470">
                  <c:v>22001.853198729012</c:v>
                </c:pt>
                <c:pt idx="471">
                  <c:v>21953.878909250911</c:v>
                </c:pt>
                <c:pt idx="472">
                  <c:v>21903.786400893303</c:v>
                </c:pt>
                <c:pt idx="473">
                  <c:v>21851.590932319505</c:v>
                </c:pt>
                <c:pt idx="474">
                  <c:v>21797.308402774877</c:v>
                </c:pt>
                <c:pt idx="475">
                  <c:v>21740.955347243755</c:v>
                </c:pt>
                <c:pt idx="476">
                  <c:v>21682.548931412755</c:v>
                </c:pt>
                <c:pt idx="477">
                  <c:v>21622.106946441956</c:v>
                </c:pt>
                <c:pt idx="478">
                  <c:v>21559.647803545467</c:v>
                </c:pt>
                <c:pt idx="479">
                  <c:v>21495.190528383293</c:v>
                </c:pt>
                <c:pt idx="480">
                  <c:v>21428.754755265843</c:v>
                </c:pt>
                <c:pt idx="481">
                  <c:v>21360.360721173194</c:v>
                </c:pt>
                <c:pt idx="482">
                  <c:v>21290.029259590683</c:v>
                </c:pt>
                <c:pt idx="483">
                  <c:v>21217.781794162813</c:v>
                </c:pt>
                <c:pt idx="484">
                  <c:v>21143.640332167444</c:v>
                </c:pt>
                <c:pt idx="485">
                  <c:v>21067.627457812108</c:v>
                </c:pt>
                <c:pt idx="486">
                  <c:v>20989.766325354703</c:v>
                </c:pt>
                <c:pt idx="487">
                  <c:v>20910.080652050419</c:v>
                </c:pt>
                <c:pt idx="488">
                  <c:v>20828.594710927282</c:v>
                </c:pt>
                <c:pt idx="489">
                  <c:v>20745.33332339234</c:v>
                </c:pt>
                <c:pt idx="490">
                  <c:v>20660.321851670793</c:v>
                </c:pt>
                <c:pt idx="491">
                  <c:v>20573.586191080456</c:v>
                </c:pt>
                <c:pt idx="492">
                  <c:v>20485.152762143774</c:v>
                </c:pt>
                <c:pt idx="493">
                  <c:v>20395.048502539885</c:v>
                </c:pt>
                <c:pt idx="494">
                  <c:v>20303.300858899103</c:v>
                </c:pt>
                <c:pt idx="495">
                  <c:v>20209.937778442483</c:v>
                </c:pt>
                <c:pt idx="496">
                  <c:v>20114.987700468737</c:v>
                </c:pt>
                <c:pt idx="497">
                  <c:v>20018.479547691441</c:v>
                </c:pt>
                <c:pt idx="498">
                  <c:v>19920.442717428807</c:v>
                </c:pt>
                <c:pt idx="499">
                  <c:v>19820.907072649054</c:v>
                </c:pt>
                <c:pt idx="500">
                  <c:v>19719.902932873785</c:v>
                </c:pt>
                <c:pt idx="501">
                  <c:v>19617.461064942436</c:v>
                </c:pt>
                <c:pt idx="502">
                  <c:v>19513.612673640368</c:v>
                </c:pt>
                <c:pt idx="503">
                  <c:v>19408.389392193552</c:v>
                </c:pt>
                <c:pt idx="504">
                  <c:v>19301.823272632853</c:v>
                </c:pt>
                <c:pt idx="505">
                  <c:v>19193.946776030607</c:v>
                </c:pt>
                <c:pt idx="506">
                  <c:v>19084.792762612702</c:v>
                </c:pt>
                <c:pt idx="507">
                  <c:v>18974.394481749034</c:v>
                </c:pt>
                <c:pt idx="508">
                  <c:v>18862.785561825411</c:v>
                </c:pt>
                <c:pt idx="509">
                  <c:v>18750</c:v>
                </c:pt>
                <c:pt idx="510">
                  <c:v>18636.072151847533</c:v>
                </c:pt>
                <c:pt idx="511">
                  <c:v>18521.036720894183</c:v>
                </c:pt>
                <c:pt idx="512">
                  <c:v>18404.928748046597</c:v>
                </c:pt>
                <c:pt idx="513">
                  <c:v>18287.783600918083</c:v>
                </c:pt>
                <c:pt idx="514">
                  <c:v>18169.636963055244</c:v>
                </c:pt>
                <c:pt idx="515">
                  <c:v>18050.52482306851</c:v>
                </c:pt>
                <c:pt idx="516">
                  <c:v>17930.483463669556</c:v>
                </c:pt>
                <c:pt idx="517">
                  <c:v>17809.54945061935</c:v>
                </c:pt>
                <c:pt idx="518">
                  <c:v>17687.759621589757</c:v>
                </c:pt>
                <c:pt idx="519">
                  <c:v>17565.151074942514</c:v>
                </c:pt>
                <c:pt idx="520">
                  <c:v>17441.761158428682</c:v>
                </c:pt>
                <c:pt idx="521">
                  <c:v>17317.627457812108</c:v>
                </c:pt>
                <c:pt idx="522">
                  <c:v>17192.787785420522</c:v>
                </c:pt>
                <c:pt idx="523">
                  <c:v>17067.280168627487</c:v>
                </c:pt>
                <c:pt idx="524">
                  <c:v>16941.142838268905</c:v>
                </c:pt>
                <c:pt idx="525">
                  <c:v>16814.414216997502</c:v>
                </c:pt>
                <c:pt idx="526">
                  <c:v>16687.132907578991</c:v>
                </c:pt>
                <c:pt idx="527">
                  <c:v>16559.337681133195</c:v>
                </c:pt>
                <c:pt idx="528">
                  <c:v>16431.067465324093</c:v>
                </c:pt>
                <c:pt idx="529">
                  <c:v>16302.36133250198</c:v>
                </c:pt>
                <c:pt idx="530">
                  <c:v>16173.258487801741</c:v>
                </c:pt>
                <c:pt idx="531">
                  <c:v>16043.798257200495</c:v>
                </c:pt>
                <c:pt idx="532">
                  <c:v>15914.020075538618</c:v>
                </c:pt>
                <c:pt idx="533">
                  <c:v>15783.963474507409</c:v>
                </c:pt>
                <c:pt idx="534">
                  <c:v>15653.668070607438</c:v>
                </c:pt>
                <c:pt idx="535">
                  <c:v>15523.173553080949</c:v>
                </c:pt>
                <c:pt idx="536">
                  <c:v>15392.519671822083</c:v>
                </c:pt>
                <c:pt idx="537">
                  <c:v>15261.746225268756</c:v>
                </c:pt>
                <c:pt idx="538">
                  <c:v>15130.89304827962</c:v>
                </c:pt>
                <c:pt idx="539">
                  <c:v>15000.000000000004</c:v>
                </c:pt>
                <c:pt idx="540">
                  <c:v>14869.10695172037</c:v>
                </c:pt>
                <c:pt idx="541">
                  <c:v>14738.253774731249</c:v>
                </c:pt>
                <c:pt idx="542">
                  <c:v>14607.480328177922</c:v>
                </c:pt>
                <c:pt idx="543">
                  <c:v>14476.826446919056</c:v>
                </c:pt>
                <c:pt idx="544">
                  <c:v>14346.331929392567</c:v>
                </c:pt>
                <c:pt idx="545">
                  <c:v>14216.036525492596</c:v>
                </c:pt>
                <c:pt idx="546">
                  <c:v>14085.979924461401</c:v>
                </c:pt>
                <c:pt idx="547">
                  <c:v>13956.201742799511</c:v>
                </c:pt>
                <c:pt idx="548">
                  <c:v>13826.741512198278</c:v>
                </c:pt>
                <c:pt idx="549">
                  <c:v>13697.638667498028</c:v>
                </c:pt>
                <c:pt idx="550">
                  <c:v>13568.932534675925</c:v>
                </c:pt>
                <c:pt idx="551">
                  <c:v>13440.662318866813</c:v>
                </c:pt>
                <c:pt idx="552">
                  <c:v>13312.867092421015</c:v>
                </c:pt>
                <c:pt idx="553">
                  <c:v>13185.585783002489</c:v>
                </c:pt>
                <c:pt idx="554">
                  <c:v>13058.857161731086</c:v>
                </c:pt>
                <c:pt idx="555">
                  <c:v>12932.719831372506</c:v>
                </c:pt>
                <c:pt idx="556">
                  <c:v>12807.212214579469</c:v>
                </c:pt>
                <c:pt idx="557">
                  <c:v>12682.372542187897</c:v>
                </c:pt>
                <c:pt idx="558">
                  <c:v>12558.238841571323</c:v>
                </c:pt>
                <c:pt idx="559">
                  <c:v>12434.848925057489</c:v>
                </c:pt>
                <c:pt idx="560">
                  <c:v>12312.240378410248</c:v>
                </c:pt>
                <c:pt idx="561">
                  <c:v>12190.450549380668</c:v>
                </c:pt>
                <c:pt idx="562">
                  <c:v>12069.51653633045</c:v>
                </c:pt>
                <c:pt idx="563">
                  <c:v>11949.47517693151</c:v>
                </c:pt>
                <c:pt idx="564">
                  <c:v>11830.36303694476</c:v>
                </c:pt>
                <c:pt idx="565">
                  <c:v>11712.216399081921</c:v>
                </c:pt>
                <c:pt idx="566">
                  <c:v>11595.071251953408</c:v>
                </c:pt>
                <c:pt idx="567">
                  <c:v>11478.963279105823</c:v>
                </c:pt>
                <c:pt idx="568">
                  <c:v>11363.927848152471</c:v>
                </c:pt>
                <c:pt idx="569">
                  <c:v>11249.999999999995</c:v>
                </c:pt>
                <c:pt idx="570">
                  <c:v>11137.214438174597</c:v>
                </c:pt>
                <c:pt idx="571">
                  <c:v>11025.605518250959</c:v>
                </c:pt>
                <c:pt idx="572">
                  <c:v>10915.207237387302</c:v>
                </c:pt>
                <c:pt idx="573">
                  <c:v>10806.0532239694</c:v>
                </c:pt>
                <c:pt idx="574">
                  <c:v>10698.176727367161</c:v>
                </c:pt>
                <c:pt idx="575">
                  <c:v>10591.610607806455</c:v>
                </c:pt>
                <c:pt idx="576">
                  <c:v>10486.387326359636</c:v>
                </c:pt>
                <c:pt idx="577">
                  <c:v>10382.538935057568</c:v>
                </c:pt>
                <c:pt idx="578">
                  <c:v>10280.097067126218</c:v>
                </c:pt>
                <c:pt idx="579">
                  <c:v>10179.092927350961</c:v>
                </c:pt>
                <c:pt idx="580">
                  <c:v>10079.557282571197</c:v>
                </c:pt>
                <c:pt idx="581">
                  <c:v>9981.5204523085722</c:v>
                </c:pt>
                <c:pt idx="582">
                  <c:v>9885.0122995312668</c:v>
                </c:pt>
                <c:pt idx="583">
                  <c:v>9790.0622215575204</c:v>
                </c:pt>
                <c:pt idx="584">
                  <c:v>9696.6991411008894</c:v>
                </c:pt>
                <c:pt idx="585">
                  <c:v>9604.9514974601188</c:v>
                </c:pt>
                <c:pt idx="586">
                  <c:v>9514.8472378562219</c:v>
                </c:pt>
                <c:pt idx="587">
                  <c:v>9426.4138089195403</c:v>
                </c:pt>
                <c:pt idx="588">
                  <c:v>9339.6781483292107</c:v>
                </c:pt>
                <c:pt idx="589">
                  <c:v>9254.6666766076632</c:v>
                </c:pt>
                <c:pt idx="590">
                  <c:v>9171.4052890727216</c:v>
                </c:pt>
                <c:pt idx="591">
                  <c:v>9089.9193479495862</c:v>
                </c:pt>
                <c:pt idx="592">
                  <c:v>9010.2336746453075</c:v>
                </c:pt>
                <c:pt idx="593">
                  <c:v>8932.3725421878953</c:v>
                </c:pt>
                <c:pt idx="594">
                  <c:v>8856.3596678325684</c:v>
                </c:pt>
                <c:pt idx="595">
                  <c:v>8782.2182058371909</c:v>
                </c:pt>
                <c:pt idx="596">
                  <c:v>8709.9707404093278</c:v>
                </c:pt>
                <c:pt idx="597">
                  <c:v>8639.6392788268095</c:v>
                </c:pt>
                <c:pt idx="598">
                  <c:v>8571.2452447341602</c:v>
                </c:pt>
                <c:pt idx="599">
                  <c:v>8504.8094716167107</c:v>
                </c:pt>
                <c:pt idx="600">
                  <c:v>8440.3521964545289</c:v>
                </c:pt>
                <c:pt idx="601">
                  <c:v>8377.8930535580475</c:v>
                </c:pt>
                <c:pt idx="602">
                  <c:v>8317.4510685872392</c:v>
                </c:pt>
                <c:pt idx="603">
                  <c:v>8259.044652756249</c:v>
                </c:pt>
                <c:pt idx="604">
                  <c:v>8202.6915972251245</c:v>
                </c:pt>
                <c:pt idx="605">
                  <c:v>8148.4090676804963</c:v>
                </c:pt>
                <c:pt idx="606">
                  <c:v>8096.2135991066989</c:v>
                </c:pt>
                <c:pt idx="607">
                  <c:v>8046.1210907490986</c:v>
                </c:pt>
                <c:pt idx="608">
                  <c:v>7998.1468012709884</c:v>
                </c:pt>
                <c:pt idx="609">
                  <c:v>7952.3053441056863</c:v>
                </c:pt>
                <c:pt idx="610">
                  <c:v>7908.6106830051267</c:v>
                </c:pt>
                <c:pt idx="611">
                  <c:v>7867.0761277863494</c:v>
                </c:pt>
                <c:pt idx="612">
                  <c:v>7827.7143302772374</c:v>
                </c:pt>
                <c:pt idx="613">
                  <c:v>7790.5372804626104</c:v>
                </c:pt>
                <c:pt idx="614">
                  <c:v>7755.5563028319884</c:v>
                </c:pt>
                <c:pt idx="615">
                  <c:v>7722.7820529300252</c:v>
                </c:pt>
                <c:pt idx="616">
                  <c:v>7692.2245141107369</c:v>
                </c:pt>
                <c:pt idx="617">
                  <c:v>7663.8929944964575</c:v>
                </c:pt>
                <c:pt idx="618">
                  <c:v>7637.7961241425191</c:v>
                </c:pt>
                <c:pt idx="619">
                  <c:v>7613.9418524084394</c:v>
                </c:pt>
                <c:pt idx="620">
                  <c:v>7592.3374455364665</c:v>
                </c:pt>
                <c:pt idx="621">
                  <c:v>7572.9894844382234</c:v>
                </c:pt>
                <c:pt idx="622">
                  <c:v>7555.9038626900847</c:v>
                </c:pt>
                <c:pt idx="623">
                  <c:v>7541.0857847379511</c:v>
                </c:pt>
                <c:pt idx="624">
                  <c:v>7528.5397643119086</c:v>
                </c:pt>
                <c:pt idx="625">
                  <c:v>7518.2696230513184</c:v>
                </c:pt>
                <c:pt idx="626">
                  <c:v>7510.2784893406961</c:v>
                </c:pt>
                <c:pt idx="627">
                  <c:v>7504.5687973567829</c:v>
                </c:pt>
                <c:pt idx="628">
                  <c:v>7501.1422863270654</c:v>
                </c:pt>
                <c:pt idx="629">
                  <c:v>7500</c:v>
                </c:pt>
                <c:pt idx="630">
                  <c:v>7501.1422863270654</c:v>
                </c:pt>
                <c:pt idx="631">
                  <c:v>7504.5687973567819</c:v>
                </c:pt>
                <c:pt idx="632">
                  <c:v>7510.2784893406961</c:v>
                </c:pt>
                <c:pt idx="633">
                  <c:v>7518.2696230513184</c:v>
                </c:pt>
                <c:pt idx="634">
                  <c:v>7528.5397643119086</c:v>
                </c:pt>
                <c:pt idx="635">
                  <c:v>7541.0857847379502</c:v>
                </c:pt>
                <c:pt idx="636">
                  <c:v>7555.9038626900847</c:v>
                </c:pt>
                <c:pt idx="637">
                  <c:v>7572.9894844382225</c:v>
                </c:pt>
                <c:pt idx="638">
                  <c:v>7592.3374455364656</c:v>
                </c:pt>
                <c:pt idx="639">
                  <c:v>7613.9418524084394</c:v>
                </c:pt>
                <c:pt idx="640">
                  <c:v>7637.7961241425201</c:v>
                </c:pt>
                <c:pt idx="641">
                  <c:v>7663.8929944964566</c:v>
                </c:pt>
                <c:pt idx="642">
                  <c:v>7692.2245141107351</c:v>
                </c:pt>
                <c:pt idx="643">
                  <c:v>7722.7820529300243</c:v>
                </c:pt>
                <c:pt idx="644">
                  <c:v>7755.5563028319866</c:v>
                </c:pt>
                <c:pt idx="645">
                  <c:v>7790.5372804626086</c:v>
                </c:pt>
                <c:pt idx="646">
                  <c:v>7827.7143302772347</c:v>
                </c:pt>
                <c:pt idx="647">
                  <c:v>7867.0761277863467</c:v>
                </c:pt>
                <c:pt idx="648">
                  <c:v>7908.6106830051249</c:v>
                </c:pt>
                <c:pt idx="649">
                  <c:v>7952.3053441056854</c:v>
                </c:pt>
                <c:pt idx="650">
                  <c:v>7998.1468012709865</c:v>
                </c:pt>
                <c:pt idx="651">
                  <c:v>8046.1210907490913</c:v>
                </c:pt>
                <c:pt idx="652">
                  <c:v>8096.2135991067016</c:v>
                </c:pt>
                <c:pt idx="653">
                  <c:v>8148.4090676804935</c:v>
                </c:pt>
                <c:pt idx="654">
                  <c:v>8202.6915972251227</c:v>
                </c:pt>
                <c:pt idx="655">
                  <c:v>8259.0446527562417</c:v>
                </c:pt>
                <c:pt idx="656">
                  <c:v>8317.4510685872428</c:v>
                </c:pt>
                <c:pt idx="657">
                  <c:v>8377.8930535580457</c:v>
                </c:pt>
                <c:pt idx="658">
                  <c:v>8440.3521964545253</c:v>
                </c:pt>
                <c:pt idx="659">
                  <c:v>8504.809471616707</c:v>
                </c:pt>
                <c:pt idx="660">
                  <c:v>8571.2452447341566</c:v>
                </c:pt>
                <c:pt idx="661">
                  <c:v>8639.6392788268058</c:v>
                </c:pt>
                <c:pt idx="662">
                  <c:v>8709.9707404093169</c:v>
                </c:pt>
                <c:pt idx="663">
                  <c:v>8782.2182058371873</c:v>
                </c:pt>
                <c:pt idx="664">
                  <c:v>8856.359667832563</c:v>
                </c:pt>
                <c:pt idx="665">
                  <c:v>8932.3725421878917</c:v>
                </c:pt>
                <c:pt idx="666">
                  <c:v>9010.2336746452966</c:v>
                </c:pt>
                <c:pt idx="667">
                  <c:v>9089.9193479495898</c:v>
                </c:pt>
                <c:pt idx="668">
                  <c:v>9171.405289072718</c:v>
                </c:pt>
                <c:pt idx="669">
                  <c:v>9254.6666766076596</c:v>
                </c:pt>
                <c:pt idx="670">
                  <c:v>9339.6781483291979</c:v>
                </c:pt>
                <c:pt idx="671">
                  <c:v>9426.413808919544</c:v>
                </c:pt>
                <c:pt idx="672">
                  <c:v>9514.8472378562165</c:v>
                </c:pt>
                <c:pt idx="673">
                  <c:v>9604.9514974601061</c:v>
                </c:pt>
                <c:pt idx="674">
                  <c:v>9696.6991411008967</c:v>
                </c:pt>
                <c:pt idx="675">
                  <c:v>9790.0622215575168</c:v>
                </c:pt>
                <c:pt idx="676">
                  <c:v>9885.0122995312613</c:v>
                </c:pt>
                <c:pt idx="677">
                  <c:v>9981.5204523085577</c:v>
                </c:pt>
                <c:pt idx="678">
                  <c:v>10079.557282571193</c:v>
                </c:pt>
                <c:pt idx="679">
                  <c:v>10179.092927350957</c:v>
                </c:pt>
                <c:pt idx="680">
                  <c:v>10280.097067126215</c:v>
                </c:pt>
                <c:pt idx="681">
                  <c:v>10382.538935057553</c:v>
                </c:pt>
                <c:pt idx="682">
                  <c:v>10486.387326359642</c:v>
                </c:pt>
                <c:pt idx="683">
                  <c:v>10591.610607806448</c:v>
                </c:pt>
                <c:pt idx="684">
                  <c:v>10698.176727367145</c:v>
                </c:pt>
                <c:pt idx="685">
                  <c:v>10806.053223969404</c:v>
                </c:pt>
                <c:pt idx="686">
                  <c:v>10915.207237387296</c:v>
                </c:pt>
                <c:pt idx="687">
                  <c:v>11025.605518250955</c:v>
                </c:pt>
                <c:pt idx="688">
                  <c:v>11137.214438174578</c:v>
                </c:pt>
                <c:pt idx="689">
                  <c:v>11250</c:v>
                </c:pt>
                <c:pt idx="690">
                  <c:v>11363.927848152465</c:v>
                </c:pt>
                <c:pt idx="691">
                  <c:v>11478.963279105817</c:v>
                </c:pt>
                <c:pt idx="692">
                  <c:v>11595.07125195339</c:v>
                </c:pt>
                <c:pt idx="693">
                  <c:v>11712.216399081915</c:v>
                </c:pt>
                <c:pt idx="694">
                  <c:v>11830.363036944755</c:v>
                </c:pt>
                <c:pt idx="695">
                  <c:v>11949.47517693149</c:v>
                </c:pt>
                <c:pt idx="696">
                  <c:v>12069.516536330457</c:v>
                </c:pt>
                <c:pt idx="697">
                  <c:v>12190.450549380661</c:v>
                </c:pt>
                <c:pt idx="698">
                  <c:v>12312.240378410243</c:v>
                </c:pt>
                <c:pt idx="699">
                  <c:v>12434.848925057471</c:v>
                </c:pt>
                <c:pt idx="700">
                  <c:v>12558.238841571329</c:v>
                </c:pt>
                <c:pt idx="701">
                  <c:v>12682.372542187892</c:v>
                </c:pt>
                <c:pt idx="702">
                  <c:v>12807.212214579464</c:v>
                </c:pt>
                <c:pt idx="703">
                  <c:v>12932.7198313725</c:v>
                </c:pt>
                <c:pt idx="704">
                  <c:v>13058.857161731094</c:v>
                </c:pt>
                <c:pt idx="705">
                  <c:v>13185.585783002483</c:v>
                </c:pt>
                <c:pt idx="706">
                  <c:v>13312.867092421009</c:v>
                </c:pt>
                <c:pt idx="707">
                  <c:v>13440.662318866805</c:v>
                </c:pt>
                <c:pt idx="708">
                  <c:v>13568.932534675907</c:v>
                </c:pt>
                <c:pt idx="709">
                  <c:v>13697.63866749802</c:v>
                </c:pt>
                <c:pt idx="710">
                  <c:v>13826.741512198258</c:v>
                </c:pt>
                <c:pt idx="711">
                  <c:v>13956.201742799518</c:v>
                </c:pt>
                <c:pt idx="712">
                  <c:v>14085.979924461393</c:v>
                </c:pt>
                <c:pt idx="713">
                  <c:v>14216.036525492591</c:v>
                </c:pt>
                <c:pt idx="714">
                  <c:v>14346.331929392574</c:v>
                </c:pt>
                <c:pt idx="715">
                  <c:v>14476.826446919062</c:v>
                </c:pt>
                <c:pt idx="716">
                  <c:v>14607.480328177915</c:v>
                </c:pt>
                <c:pt idx="717">
                  <c:v>14738.253774731229</c:v>
                </c:pt>
                <c:pt idx="718">
                  <c:v>14869.106951720378</c:v>
                </c:pt>
                <c:pt idx="719">
                  <c:v>14999.999999999996</c:v>
                </c:pt>
                <c:pt idx="720">
                  <c:v>15130.893048279615</c:v>
                </c:pt>
                <c:pt idx="721">
                  <c:v>15261.746225268751</c:v>
                </c:pt>
                <c:pt idx="722">
                  <c:v>15392.519671822078</c:v>
                </c:pt>
                <c:pt idx="723">
                  <c:v>15523.173553080931</c:v>
                </c:pt>
                <c:pt idx="724">
                  <c:v>15653.668070607431</c:v>
                </c:pt>
                <c:pt idx="725">
                  <c:v>15783.963474507402</c:v>
                </c:pt>
                <c:pt idx="726">
                  <c:v>15914.020075538612</c:v>
                </c:pt>
                <c:pt idx="727">
                  <c:v>16043.798257200489</c:v>
                </c:pt>
                <c:pt idx="728">
                  <c:v>16173.258487801721</c:v>
                </c:pt>
                <c:pt idx="729">
                  <c:v>16302.361332501985</c:v>
                </c:pt>
                <c:pt idx="730">
                  <c:v>16431.067465324086</c:v>
                </c:pt>
                <c:pt idx="731">
                  <c:v>16559.337681133187</c:v>
                </c:pt>
                <c:pt idx="732">
                  <c:v>16687.132907578973</c:v>
                </c:pt>
                <c:pt idx="733">
                  <c:v>16814.414216997509</c:v>
                </c:pt>
                <c:pt idx="734">
                  <c:v>16941.142838268901</c:v>
                </c:pt>
                <c:pt idx="735">
                  <c:v>17067.28016862748</c:v>
                </c:pt>
                <c:pt idx="736">
                  <c:v>17192.787785420529</c:v>
                </c:pt>
                <c:pt idx="737">
                  <c:v>17317.627457812101</c:v>
                </c:pt>
                <c:pt idx="738">
                  <c:v>17441.761158428675</c:v>
                </c:pt>
                <c:pt idx="739">
                  <c:v>17565.151074942511</c:v>
                </c:pt>
                <c:pt idx="740">
                  <c:v>17687.75962158975</c:v>
                </c:pt>
                <c:pt idx="741">
                  <c:v>17809.549450619343</c:v>
                </c:pt>
                <c:pt idx="742">
                  <c:v>17930.483463669549</c:v>
                </c:pt>
                <c:pt idx="743">
                  <c:v>18050.524823068488</c:v>
                </c:pt>
                <c:pt idx="744">
                  <c:v>18169.636963055251</c:v>
                </c:pt>
                <c:pt idx="745">
                  <c:v>18287.783600918079</c:v>
                </c:pt>
                <c:pt idx="746">
                  <c:v>18404.92874804659</c:v>
                </c:pt>
                <c:pt idx="747">
                  <c:v>18521.036720894186</c:v>
                </c:pt>
                <c:pt idx="748">
                  <c:v>18636.072151847526</c:v>
                </c:pt>
                <c:pt idx="749">
                  <c:v>18749.999999999993</c:v>
                </c:pt>
                <c:pt idx="750">
                  <c:v>18862.785561825393</c:v>
                </c:pt>
                <c:pt idx="751">
                  <c:v>18974.394481749041</c:v>
                </c:pt>
                <c:pt idx="752">
                  <c:v>19084.792762612698</c:v>
                </c:pt>
                <c:pt idx="753">
                  <c:v>19193.9467760306</c:v>
                </c:pt>
                <c:pt idx="754">
                  <c:v>19301.823272632839</c:v>
                </c:pt>
                <c:pt idx="755">
                  <c:v>19408.389392193545</c:v>
                </c:pt>
                <c:pt idx="756">
                  <c:v>19513.612673640364</c:v>
                </c:pt>
                <c:pt idx="757">
                  <c:v>19617.461064942432</c:v>
                </c:pt>
                <c:pt idx="758">
                  <c:v>19719.902932873782</c:v>
                </c:pt>
                <c:pt idx="759">
                  <c:v>19820.907072649046</c:v>
                </c:pt>
                <c:pt idx="760">
                  <c:v>19920.442717428799</c:v>
                </c:pt>
                <c:pt idx="761">
                  <c:v>20018.479547691426</c:v>
                </c:pt>
                <c:pt idx="762">
                  <c:v>20114.987700468744</c:v>
                </c:pt>
                <c:pt idx="763">
                  <c:v>20209.93777844248</c:v>
                </c:pt>
                <c:pt idx="764">
                  <c:v>20303.3008588991</c:v>
                </c:pt>
                <c:pt idx="765">
                  <c:v>20395.04850253987</c:v>
                </c:pt>
                <c:pt idx="766">
                  <c:v>20485.152762143778</c:v>
                </c:pt>
                <c:pt idx="767">
                  <c:v>20573.586191080452</c:v>
                </c:pt>
                <c:pt idx="768">
                  <c:v>20660.321851670786</c:v>
                </c:pt>
                <c:pt idx="769">
                  <c:v>20745.333323392337</c:v>
                </c:pt>
                <c:pt idx="770">
                  <c:v>20828.594710927278</c:v>
                </c:pt>
                <c:pt idx="771">
                  <c:v>20910.080652050412</c:v>
                </c:pt>
                <c:pt idx="772">
                  <c:v>20989.766325354693</c:v>
                </c:pt>
                <c:pt idx="773">
                  <c:v>21067.627457812112</c:v>
                </c:pt>
                <c:pt idx="774">
                  <c:v>21143.640332167441</c:v>
                </c:pt>
                <c:pt idx="775">
                  <c:v>21217.781794162809</c:v>
                </c:pt>
                <c:pt idx="776">
                  <c:v>21290.029259590672</c:v>
                </c:pt>
                <c:pt idx="777">
                  <c:v>21360.360721173194</c:v>
                </c:pt>
                <c:pt idx="778">
                  <c:v>21428.75475526584</c:v>
                </c:pt>
                <c:pt idx="779">
                  <c:v>21495.190528383282</c:v>
                </c:pt>
                <c:pt idx="780">
                  <c:v>21559.647803545471</c:v>
                </c:pt>
                <c:pt idx="781">
                  <c:v>21622.106946441949</c:v>
                </c:pt>
                <c:pt idx="782">
                  <c:v>21682.548931412755</c:v>
                </c:pt>
                <c:pt idx="783">
                  <c:v>21740.955347243751</c:v>
                </c:pt>
                <c:pt idx="784">
                  <c:v>21797.308402774874</c:v>
                </c:pt>
                <c:pt idx="785">
                  <c:v>21851.590932319501</c:v>
                </c:pt>
                <c:pt idx="786">
                  <c:v>21903.786400893303</c:v>
                </c:pt>
                <c:pt idx="787">
                  <c:v>21953.878909250903</c:v>
                </c:pt>
                <c:pt idx="788">
                  <c:v>22001.853198729015</c:v>
                </c:pt>
                <c:pt idx="789">
                  <c:v>22047.694655894313</c:v>
                </c:pt>
                <c:pt idx="790">
                  <c:v>22091.389316994871</c:v>
                </c:pt>
                <c:pt idx="791">
                  <c:v>22132.923872213654</c:v>
                </c:pt>
                <c:pt idx="792">
                  <c:v>22172.285669722765</c:v>
                </c:pt>
                <c:pt idx="793">
                  <c:v>22209.462719537391</c:v>
                </c:pt>
                <c:pt idx="794">
                  <c:v>22244.443697168008</c:v>
                </c:pt>
                <c:pt idx="795">
                  <c:v>22277.217947069974</c:v>
                </c:pt>
                <c:pt idx="796">
                  <c:v>22307.775485889262</c:v>
                </c:pt>
                <c:pt idx="797">
                  <c:v>22336.107005503538</c:v>
                </c:pt>
                <c:pt idx="798">
                  <c:v>22362.203875857478</c:v>
                </c:pt>
                <c:pt idx="799">
                  <c:v>22386.058147591561</c:v>
                </c:pt>
                <c:pt idx="800">
                  <c:v>22407.662554463532</c:v>
                </c:pt>
                <c:pt idx="801">
                  <c:v>22427.010515561778</c:v>
                </c:pt>
                <c:pt idx="802">
                  <c:v>22444.096137309916</c:v>
                </c:pt>
                <c:pt idx="803">
                  <c:v>22458.914215262052</c:v>
                </c:pt>
                <c:pt idx="804">
                  <c:v>22471.460235688093</c:v>
                </c:pt>
                <c:pt idx="805">
                  <c:v>22481.730376948683</c:v>
                </c:pt>
                <c:pt idx="806">
                  <c:v>22489.721510659307</c:v>
                </c:pt>
                <c:pt idx="807">
                  <c:v>22495.431202643216</c:v>
                </c:pt>
                <c:pt idx="808">
                  <c:v>22498.857713672936</c:v>
                </c:pt>
                <c:pt idx="809">
                  <c:v>22500</c:v>
                </c:pt>
                <c:pt idx="810">
                  <c:v>22498.857713672936</c:v>
                </c:pt>
                <c:pt idx="811">
                  <c:v>22495.431202643216</c:v>
                </c:pt>
                <c:pt idx="812">
                  <c:v>22489.721510659307</c:v>
                </c:pt>
                <c:pt idx="813">
                  <c:v>22481.730376948683</c:v>
                </c:pt>
                <c:pt idx="814">
                  <c:v>22471.460235688093</c:v>
                </c:pt>
                <c:pt idx="815">
                  <c:v>22458.914215262052</c:v>
                </c:pt>
                <c:pt idx="816">
                  <c:v>22444.096137309916</c:v>
                </c:pt>
                <c:pt idx="817">
                  <c:v>22427.010515561778</c:v>
                </c:pt>
                <c:pt idx="818">
                  <c:v>22407.662554463532</c:v>
                </c:pt>
                <c:pt idx="819">
                  <c:v>22386.058147591561</c:v>
                </c:pt>
                <c:pt idx="820">
                  <c:v>22362.203875857482</c:v>
                </c:pt>
                <c:pt idx="821">
                  <c:v>22336.107005503542</c:v>
                </c:pt>
                <c:pt idx="822">
                  <c:v>22307.775485889266</c:v>
                </c:pt>
                <c:pt idx="823">
                  <c:v>22277.217947069978</c:v>
                </c:pt>
                <c:pt idx="824">
                  <c:v>22244.443697168012</c:v>
                </c:pt>
                <c:pt idx="825">
                  <c:v>22209.462719537391</c:v>
                </c:pt>
                <c:pt idx="826">
                  <c:v>22172.285669722769</c:v>
                </c:pt>
                <c:pt idx="827">
                  <c:v>22132.923872213658</c:v>
                </c:pt>
                <c:pt idx="828">
                  <c:v>22091.389316994875</c:v>
                </c:pt>
                <c:pt idx="829">
                  <c:v>22047.694655894316</c:v>
                </c:pt>
                <c:pt idx="830">
                  <c:v>22001.853198729012</c:v>
                </c:pt>
                <c:pt idx="831">
                  <c:v>21953.878909250903</c:v>
                </c:pt>
                <c:pt idx="832">
                  <c:v>21903.786400893303</c:v>
                </c:pt>
                <c:pt idx="833">
                  <c:v>21851.590932319508</c:v>
                </c:pt>
                <c:pt idx="834">
                  <c:v>21797.308402774877</c:v>
                </c:pt>
                <c:pt idx="835">
                  <c:v>21740.955347243755</c:v>
                </c:pt>
                <c:pt idx="836">
                  <c:v>21682.548931412755</c:v>
                </c:pt>
                <c:pt idx="837">
                  <c:v>21622.106946441956</c:v>
                </c:pt>
                <c:pt idx="838">
                  <c:v>21559.647803545475</c:v>
                </c:pt>
                <c:pt idx="839">
                  <c:v>21495.190528383289</c:v>
                </c:pt>
                <c:pt idx="840">
                  <c:v>21428.754755265843</c:v>
                </c:pt>
                <c:pt idx="841">
                  <c:v>21360.360721173201</c:v>
                </c:pt>
                <c:pt idx="842">
                  <c:v>21290.029259590676</c:v>
                </c:pt>
                <c:pt idx="843">
                  <c:v>21217.781794162813</c:v>
                </c:pt>
                <c:pt idx="844">
                  <c:v>21143.640332167444</c:v>
                </c:pt>
                <c:pt idx="845">
                  <c:v>21067.627457812108</c:v>
                </c:pt>
                <c:pt idx="846">
                  <c:v>20989.766325354696</c:v>
                </c:pt>
                <c:pt idx="847">
                  <c:v>20910.080652050419</c:v>
                </c:pt>
                <c:pt idx="848">
                  <c:v>20828.594710927282</c:v>
                </c:pt>
                <c:pt idx="849">
                  <c:v>20745.33332339234</c:v>
                </c:pt>
                <c:pt idx="850">
                  <c:v>20660.321851670793</c:v>
                </c:pt>
                <c:pt idx="851">
                  <c:v>20573.586191080456</c:v>
                </c:pt>
                <c:pt idx="852">
                  <c:v>20485.152762143785</c:v>
                </c:pt>
                <c:pt idx="853">
                  <c:v>20395.048502539878</c:v>
                </c:pt>
                <c:pt idx="854">
                  <c:v>20303.300858899107</c:v>
                </c:pt>
                <c:pt idx="855">
                  <c:v>20209.937778442483</c:v>
                </c:pt>
                <c:pt idx="856">
                  <c:v>20114.987700468751</c:v>
                </c:pt>
                <c:pt idx="857">
                  <c:v>20018.479547691433</c:v>
                </c:pt>
                <c:pt idx="858">
                  <c:v>19920.442717428807</c:v>
                </c:pt>
                <c:pt idx="859">
                  <c:v>19820.907072649054</c:v>
                </c:pt>
                <c:pt idx="860">
                  <c:v>19719.902932873785</c:v>
                </c:pt>
                <c:pt idx="861">
                  <c:v>19617.461064942436</c:v>
                </c:pt>
                <c:pt idx="862">
                  <c:v>19513.612673640368</c:v>
                </c:pt>
                <c:pt idx="863">
                  <c:v>19408.389392193552</c:v>
                </c:pt>
                <c:pt idx="864">
                  <c:v>19301.823272632846</c:v>
                </c:pt>
                <c:pt idx="865">
                  <c:v>19193.946776030596</c:v>
                </c:pt>
                <c:pt idx="866">
                  <c:v>19084.792762612706</c:v>
                </c:pt>
                <c:pt idx="867">
                  <c:v>18974.394481749045</c:v>
                </c:pt>
                <c:pt idx="868">
                  <c:v>18862.7855618254</c:v>
                </c:pt>
                <c:pt idx="869">
                  <c:v>18750</c:v>
                </c:pt>
                <c:pt idx="870">
                  <c:v>18636.072151847537</c:v>
                </c:pt>
                <c:pt idx="871">
                  <c:v>18521.036720894197</c:v>
                </c:pt>
                <c:pt idx="872">
                  <c:v>18404.928748046601</c:v>
                </c:pt>
                <c:pt idx="873">
                  <c:v>18287.783600918086</c:v>
                </c:pt>
                <c:pt idx="874">
                  <c:v>18169.636963055258</c:v>
                </c:pt>
                <c:pt idx="875">
                  <c:v>18050.524823068496</c:v>
                </c:pt>
                <c:pt idx="876">
                  <c:v>17930.483463669556</c:v>
                </c:pt>
                <c:pt idx="877">
                  <c:v>17809.54945061935</c:v>
                </c:pt>
                <c:pt idx="878">
                  <c:v>17687.759621589757</c:v>
                </c:pt>
                <c:pt idx="879">
                  <c:v>17565.151074942518</c:v>
                </c:pt>
                <c:pt idx="880">
                  <c:v>17441.761158428671</c:v>
                </c:pt>
                <c:pt idx="881">
                  <c:v>17317.627457812108</c:v>
                </c:pt>
                <c:pt idx="882">
                  <c:v>17192.787785420536</c:v>
                </c:pt>
                <c:pt idx="883">
                  <c:v>17067.280168627487</c:v>
                </c:pt>
                <c:pt idx="884">
                  <c:v>16941.142838268908</c:v>
                </c:pt>
                <c:pt idx="885">
                  <c:v>16814.414216997517</c:v>
                </c:pt>
                <c:pt idx="886">
                  <c:v>16687.13290757898</c:v>
                </c:pt>
                <c:pt idx="887">
                  <c:v>16559.337681133195</c:v>
                </c:pt>
                <c:pt idx="888">
                  <c:v>16431.067465324093</c:v>
                </c:pt>
                <c:pt idx="889">
                  <c:v>16302.361332501994</c:v>
                </c:pt>
                <c:pt idx="890">
                  <c:v>16173.25848780173</c:v>
                </c:pt>
                <c:pt idx="891">
                  <c:v>16043.798257200497</c:v>
                </c:pt>
                <c:pt idx="892">
                  <c:v>15914.020075538619</c:v>
                </c:pt>
                <c:pt idx="893">
                  <c:v>15783.963474507411</c:v>
                </c:pt>
                <c:pt idx="894">
                  <c:v>15653.66807060744</c:v>
                </c:pt>
                <c:pt idx="895">
                  <c:v>15523.173553080938</c:v>
                </c:pt>
                <c:pt idx="896">
                  <c:v>15392.519671822085</c:v>
                </c:pt>
                <c:pt idx="897">
                  <c:v>15261.746225268758</c:v>
                </c:pt>
                <c:pt idx="898">
                  <c:v>15130.893048279622</c:v>
                </c:pt>
                <c:pt idx="899">
                  <c:v>15000.000000000005</c:v>
                </c:pt>
                <c:pt idx="900">
                  <c:v>14869.106951720387</c:v>
                </c:pt>
                <c:pt idx="901">
                  <c:v>14738.253774731236</c:v>
                </c:pt>
                <c:pt idx="902">
                  <c:v>14607.480328177924</c:v>
                </c:pt>
                <c:pt idx="903">
                  <c:v>14476.826446919071</c:v>
                </c:pt>
                <c:pt idx="904">
                  <c:v>14346.331929392582</c:v>
                </c:pt>
                <c:pt idx="905">
                  <c:v>14216.0365254926</c:v>
                </c:pt>
                <c:pt idx="906">
                  <c:v>14085.979924461402</c:v>
                </c:pt>
                <c:pt idx="907">
                  <c:v>13956.201742799525</c:v>
                </c:pt>
                <c:pt idx="908">
                  <c:v>13826.741512198267</c:v>
                </c:pt>
                <c:pt idx="909">
                  <c:v>13697.638667498028</c:v>
                </c:pt>
                <c:pt idx="910">
                  <c:v>13568.932534675914</c:v>
                </c:pt>
                <c:pt idx="911">
                  <c:v>13440.662318866815</c:v>
                </c:pt>
                <c:pt idx="912">
                  <c:v>13312.867092421016</c:v>
                </c:pt>
                <c:pt idx="913">
                  <c:v>13185.585783002491</c:v>
                </c:pt>
                <c:pt idx="914">
                  <c:v>13058.857161731101</c:v>
                </c:pt>
                <c:pt idx="915">
                  <c:v>12932.71983137252</c:v>
                </c:pt>
                <c:pt idx="916">
                  <c:v>12807.212214579484</c:v>
                </c:pt>
                <c:pt idx="917">
                  <c:v>12682.372542187912</c:v>
                </c:pt>
                <c:pt idx="918">
                  <c:v>12558.238841571325</c:v>
                </c:pt>
                <c:pt idx="919">
                  <c:v>12434.848925057491</c:v>
                </c:pt>
                <c:pt idx="920">
                  <c:v>12312.240378410239</c:v>
                </c:pt>
                <c:pt idx="921">
                  <c:v>12190.450549380657</c:v>
                </c:pt>
                <c:pt idx="922">
                  <c:v>12069.516536330451</c:v>
                </c:pt>
                <c:pt idx="923">
                  <c:v>11949.475176931486</c:v>
                </c:pt>
                <c:pt idx="924">
                  <c:v>11830.363036944749</c:v>
                </c:pt>
                <c:pt idx="925">
                  <c:v>11712.216399081923</c:v>
                </c:pt>
                <c:pt idx="926">
                  <c:v>11595.07125195341</c:v>
                </c:pt>
                <c:pt idx="927">
                  <c:v>11478.963279105812</c:v>
                </c:pt>
                <c:pt idx="928">
                  <c:v>11363.927848152474</c:v>
                </c:pt>
                <c:pt idx="929">
                  <c:v>11250.000000000007</c:v>
                </c:pt>
                <c:pt idx="930">
                  <c:v>11137.214438174586</c:v>
                </c:pt>
                <c:pt idx="931">
                  <c:v>11025.605518250963</c:v>
                </c:pt>
                <c:pt idx="932">
                  <c:v>10915.207237387302</c:v>
                </c:pt>
                <c:pt idx="933">
                  <c:v>10806.053223969411</c:v>
                </c:pt>
                <c:pt idx="934">
                  <c:v>10698.17672736715</c:v>
                </c:pt>
                <c:pt idx="935">
                  <c:v>10591.610607806455</c:v>
                </c:pt>
                <c:pt idx="936">
                  <c:v>10486.387326359647</c:v>
                </c:pt>
                <c:pt idx="937">
                  <c:v>10382.538935057579</c:v>
                </c:pt>
                <c:pt idx="938">
                  <c:v>10280.097067126222</c:v>
                </c:pt>
                <c:pt idx="939">
                  <c:v>10179.092927350963</c:v>
                </c:pt>
                <c:pt idx="940">
                  <c:v>10079.55728257121</c:v>
                </c:pt>
                <c:pt idx="941">
                  <c:v>9981.5204523085631</c:v>
                </c:pt>
                <c:pt idx="942">
                  <c:v>9885.0122995312668</c:v>
                </c:pt>
                <c:pt idx="943">
                  <c:v>9790.0622215575313</c:v>
                </c:pt>
                <c:pt idx="944">
                  <c:v>9696.6991411009112</c:v>
                </c:pt>
                <c:pt idx="945">
                  <c:v>9604.9514974601207</c:v>
                </c:pt>
                <c:pt idx="946">
                  <c:v>9514.8472378562328</c:v>
                </c:pt>
                <c:pt idx="947">
                  <c:v>9426.4138089195403</c:v>
                </c:pt>
                <c:pt idx="948">
                  <c:v>9339.6781483292125</c:v>
                </c:pt>
                <c:pt idx="949">
                  <c:v>9254.6666766076723</c:v>
                </c:pt>
                <c:pt idx="950">
                  <c:v>9171.4052890727144</c:v>
                </c:pt>
                <c:pt idx="951">
                  <c:v>9089.9193479495862</c:v>
                </c:pt>
                <c:pt idx="952">
                  <c:v>9010.2336746453093</c:v>
                </c:pt>
                <c:pt idx="953">
                  <c:v>8932.372542187888</c:v>
                </c:pt>
                <c:pt idx="954">
                  <c:v>8856.3596678325612</c:v>
                </c:pt>
                <c:pt idx="955">
                  <c:v>8782.2182058371909</c:v>
                </c:pt>
                <c:pt idx="956">
                  <c:v>8709.9707404093133</c:v>
                </c:pt>
                <c:pt idx="957">
                  <c:v>8639.639278826804</c:v>
                </c:pt>
                <c:pt idx="958">
                  <c:v>8571.2452447341602</c:v>
                </c:pt>
                <c:pt idx="959">
                  <c:v>8504.8094716167179</c:v>
                </c:pt>
                <c:pt idx="960">
                  <c:v>8440.3521964545289</c:v>
                </c:pt>
                <c:pt idx="961">
                  <c:v>8377.8930535580494</c:v>
                </c:pt>
                <c:pt idx="962">
                  <c:v>8317.4510685872465</c:v>
                </c:pt>
                <c:pt idx="963">
                  <c:v>8259.0446527562453</c:v>
                </c:pt>
                <c:pt idx="964">
                  <c:v>8202.6915972251263</c:v>
                </c:pt>
                <c:pt idx="965">
                  <c:v>8148.4090676804972</c:v>
                </c:pt>
                <c:pt idx="966">
                  <c:v>8096.2135991067044</c:v>
                </c:pt>
                <c:pt idx="967">
                  <c:v>8046.121090749094</c:v>
                </c:pt>
                <c:pt idx="968">
                  <c:v>7998.1468012709893</c:v>
                </c:pt>
                <c:pt idx="969">
                  <c:v>7952.3053441056927</c:v>
                </c:pt>
                <c:pt idx="970">
                  <c:v>7908.6106830051231</c:v>
                </c:pt>
                <c:pt idx="971">
                  <c:v>7867.0761277863494</c:v>
                </c:pt>
                <c:pt idx="972">
                  <c:v>7827.7143302772374</c:v>
                </c:pt>
                <c:pt idx="973">
                  <c:v>7790.537280462614</c:v>
                </c:pt>
                <c:pt idx="974">
                  <c:v>7755.5563028319884</c:v>
                </c:pt>
                <c:pt idx="975">
                  <c:v>7722.7820529300288</c:v>
                </c:pt>
                <c:pt idx="976">
                  <c:v>7692.2245141107396</c:v>
                </c:pt>
                <c:pt idx="977">
                  <c:v>7663.8929944964584</c:v>
                </c:pt>
                <c:pt idx="978">
                  <c:v>7637.7961241425219</c:v>
                </c:pt>
                <c:pt idx="979">
                  <c:v>7613.9418524084422</c:v>
                </c:pt>
                <c:pt idx="980">
                  <c:v>7592.3374455364665</c:v>
                </c:pt>
                <c:pt idx="981">
                  <c:v>7572.9894844382243</c:v>
                </c:pt>
                <c:pt idx="982">
                  <c:v>7555.9038626900838</c:v>
                </c:pt>
                <c:pt idx="983">
                  <c:v>7541.0857847379493</c:v>
                </c:pt>
                <c:pt idx="984">
                  <c:v>7528.5397643119095</c:v>
                </c:pt>
                <c:pt idx="985">
                  <c:v>7518.2696230513166</c:v>
                </c:pt>
                <c:pt idx="986">
                  <c:v>7510.2784893406952</c:v>
                </c:pt>
                <c:pt idx="987">
                  <c:v>7504.5687973567819</c:v>
                </c:pt>
                <c:pt idx="988">
                  <c:v>7501.1422863270654</c:v>
                </c:pt>
                <c:pt idx="989">
                  <c:v>7500</c:v>
                </c:pt>
                <c:pt idx="990">
                  <c:v>7501.1422863270654</c:v>
                </c:pt>
                <c:pt idx="991">
                  <c:v>7504.5687973567819</c:v>
                </c:pt>
                <c:pt idx="992">
                  <c:v>7510.2784893406961</c:v>
                </c:pt>
                <c:pt idx="993">
                  <c:v>7518.2696230513184</c:v>
                </c:pt>
                <c:pt idx="994">
                  <c:v>7528.5397643119086</c:v>
                </c:pt>
                <c:pt idx="995">
                  <c:v>7541.0857847379484</c:v>
                </c:pt>
                <c:pt idx="996">
                  <c:v>7555.9038626900847</c:v>
                </c:pt>
                <c:pt idx="997">
                  <c:v>7572.9894844382225</c:v>
                </c:pt>
                <c:pt idx="998">
                  <c:v>7592.3374455364647</c:v>
                </c:pt>
                <c:pt idx="999">
                  <c:v>7613.9418524084358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A0B-4AE4-8E43-9A149D407299}"/>
            </c:ext>
          </c:extLst>
        </c:ser>
        <c:ser>
          <c:idx val="6"/>
          <c:order val="6"/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Calculs!$AS$6:$AS$1005</c:f>
              <c:numCache>
                <c:formatCode>0.000</c:formatCode>
                <c:ptCount val="1000"/>
                <c:pt idx="0">
                  <c:v>18499.46693304737</c:v>
                </c:pt>
                <c:pt idx="1">
                  <c:v>18497.867894566836</c:v>
                </c:pt>
                <c:pt idx="2">
                  <c:v>18495.203371641008</c:v>
                </c:pt>
                <c:pt idx="3">
                  <c:v>18491.474175909385</c:v>
                </c:pt>
                <c:pt idx="4">
                  <c:v>18486.681443321111</c:v>
                </c:pt>
                <c:pt idx="5">
                  <c:v>18480.826633788958</c:v>
                </c:pt>
                <c:pt idx="6">
                  <c:v>18473.911530744626</c:v>
                </c:pt>
                <c:pt idx="7">
                  <c:v>18465.938240595497</c:v>
                </c:pt>
                <c:pt idx="8">
                  <c:v>18456.909192082981</c:v>
                </c:pt>
                <c:pt idx="9">
                  <c:v>18446.827135542728</c:v>
                </c:pt>
                <c:pt idx="10">
                  <c:v>18435.695142066823</c:v>
                </c:pt>
                <c:pt idx="11">
                  <c:v>18423.516602568321</c:v>
                </c:pt>
                <c:pt idx="12">
                  <c:v>18410.295226748323</c:v>
                </c:pt>
                <c:pt idx="13">
                  <c:v>18396.035041965988</c:v>
                </c:pt>
                <c:pt idx="14">
                  <c:v>18380.740392011739</c:v>
                </c:pt>
                <c:pt idx="15">
                  <c:v>18364.415935784116</c:v>
                </c:pt>
                <c:pt idx="16">
                  <c:v>18347.066645870626</c:v>
                </c:pt>
                <c:pt idx="17">
                  <c:v>18328.697807033037</c:v>
                </c:pt>
                <c:pt idx="18">
                  <c:v>18309.315014597611</c:v>
                </c:pt>
                <c:pt idx="19">
                  <c:v>18288.924172750681</c:v>
                </c:pt>
                <c:pt idx="20">
                  <c:v>18267.531492740207</c:v>
                </c:pt>
                <c:pt idx="21">
                  <c:v>18245.143490983755</c:v>
                </c:pt>
                <c:pt idx="22">
                  <c:v>18221.766987083542</c:v>
                </c:pt>
                <c:pt idx="23">
                  <c:v>18197.409101749105</c:v>
                </c:pt>
                <c:pt idx="24">
                  <c:v>18172.077254628275</c:v>
                </c:pt>
                <c:pt idx="25">
                  <c:v>18145.779162047085</c:v>
                </c:pt>
                <c:pt idx="26">
                  <c:v>18118.522834659288</c:v>
                </c:pt>
                <c:pt idx="27">
                  <c:v>18090.316575006244</c:v>
                </c:pt>
                <c:pt idx="28">
                  <c:v>18061.168974987886</c:v>
                </c:pt>
                <c:pt idx="29">
                  <c:v>18031.088913245534</c:v>
                </c:pt>
                <c:pt idx="30">
                  <c:v>18000.085552457393</c:v>
                </c:pt>
                <c:pt idx="31">
                  <c:v>17968.168336547489</c:v>
                </c:pt>
                <c:pt idx="32">
                  <c:v>17935.346987808985</c:v>
                </c:pt>
                <c:pt idx="33">
                  <c:v>17901.631503942644</c:v>
                </c:pt>
                <c:pt idx="34">
                  <c:v>17867.032155011471</c:v>
                </c:pt>
                <c:pt idx="35">
                  <c:v>17831.559480312317</c:v>
                </c:pt>
                <c:pt idx="36">
                  <c:v>17795.224285165525</c:v>
                </c:pt>
                <c:pt idx="37">
                  <c:v>17758.037637623529</c:v>
                </c:pt>
                <c:pt idx="38">
                  <c:v>17720.010865099397</c:v>
                </c:pt>
                <c:pt idx="39">
                  <c:v>17681.155550916425</c:v>
                </c:pt>
                <c:pt idx="40">
                  <c:v>17641.483530779704</c:v>
                </c:pt>
                <c:pt idx="41">
                  <c:v>17601.00688917088</c:v>
                </c:pt>
                <c:pt idx="42">
                  <c:v>17559.737955667097</c:v>
                </c:pt>
                <c:pt idx="43">
                  <c:v>17517.689301185281</c:v>
                </c:pt>
                <c:pt idx="44">
                  <c:v>17474.873734152916</c:v>
                </c:pt>
                <c:pt idx="45">
                  <c:v>17431.30429660649</c:v>
                </c:pt>
                <c:pt idx="46">
                  <c:v>17386.994260218744</c:v>
                </c:pt>
                <c:pt idx="47">
                  <c:v>17341.957122256004</c:v>
                </c:pt>
                <c:pt idx="48">
                  <c:v>17296.206601466776</c:v>
                </c:pt>
                <c:pt idx="49">
                  <c:v>17249.756633902889</c:v>
                </c:pt>
                <c:pt idx="50">
                  <c:v>17202.62136867443</c:v>
                </c:pt>
                <c:pt idx="51">
                  <c:v>17154.815163639803</c:v>
                </c:pt>
                <c:pt idx="52">
                  <c:v>17106.35258103217</c:v>
                </c:pt>
                <c:pt idx="53">
                  <c:v>17057.248383023656</c:v>
                </c:pt>
                <c:pt idx="54">
                  <c:v>17007.517527228661</c:v>
                </c:pt>
                <c:pt idx="55">
                  <c:v>16957.175162147614</c:v>
                </c:pt>
                <c:pt idx="56">
                  <c:v>16906.236622552595</c:v>
                </c:pt>
                <c:pt idx="57">
                  <c:v>16854.717424816215</c:v>
                </c:pt>
                <c:pt idx="58">
                  <c:v>16802.633262185191</c:v>
                </c:pt>
                <c:pt idx="59">
                  <c:v>16750</c:v>
                </c:pt>
                <c:pt idx="60">
                  <c:v>16696.833670862179</c:v>
                </c:pt>
                <c:pt idx="61">
                  <c:v>16643.150469750617</c:v>
                </c:pt>
                <c:pt idx="62">
                  <c:v>16588.966749088413</c:v>
                </c:pt>
                <c:pt idx="63">
                  <c:v>16534.299013761771</c:v>
                </c:pt>
                <c:pt idx="64">
                  <c:v>16479.16391609245</c:v>
                </c:pt>
                <c:pt idx="65">
                  <c:v>16423.578250765302</c:v>
                </c:pt>
                <c:pt idx="66">
                  <c:v>16367.558949712458</c:v>
                </c:pt>
                <c:pt idx="67">
                  <c:v>16311.123076955691</c:v>
                </c:pt>
                <c:pt idx="68">
                  <c:v>16254.287823408551</c:v>
                </c:pt>
                <c:pt idx="69">
                  <c:v>16197.070501639841</c:v>
                </c:pt>
                <c:pt idx="70">
                  <c:v>16139.488540600049</c:v>
                </c:pt>
                <c:pt idx="71">
                  <c:v>16081.559480312317</c:v>
                </c:pt>
                <c:pt idx="72">
                  <c:v>16023.300966529579</c:v>
                </c:pt>
                <c:pt idx="73">
                  <c:v>15964.730745359497</c:v>
                </c:pt>
                <c:pt idx="74">
                  <c:v>15905.866657858822</c:v>
                </c:pt>
                <c:pt idx="75">
                  <c:v>15846.726634598837</c:v>
                </c:pt>
                <c:pt idx="76">
                  <c:v>15787.328690203527</c:v>
                </c:pt>
                <c:pt idx="77">
                  <c:v>15727.690917862157</c:v>
                </c:pt>
                <c:pt idx="78">
                  <c:v>15667.831483817907</c:v>
                </c:pt>
                <c:pt idx="79">
                  <c:v>15607.768621834257</c:v>
                </c:pt>
                <c:pt idx="80">
                  <c:v>15547.520627640808</c:v>
                </c:pt>
                <c:pt idx="81">
                  <c:v>15487.10585336023</c:v>
                </c:pt>
                <c:pt idx="82">
                  <c:v>15426.542701918017</c:v>
                </c:pt>
                <c:pt idx="83">
                  <c:v>15365.849621436788</c:v>
                </c:pt>
                <c:pt idx="84">
                  <c:v>15305.045099616804</c:v>
                </c:pt>
                <c:pt idx="85">
                  <c:v>15244.147658104439</c:v>
                </c:pt>
                <c:pt idx="86">
                  <c:v>15183.175846850303</c:v>
                </c:pt>
                <c:pt idx="87">
                  <c:v>15122.148238458754</c:v>
                </c:pt>
                <c:pt idx="88">
                  <c:v>15061.083422530492</c:v>
                </c:pt>
                <c:pt idx="89">
                  <c:v>15000</c:v>
                </c:pt>
                <c:pt idx="90">
                  <c:v>14938.916577469508</c:v>
                </c:pt>
                <c:pt idx="91">
                  <c:v>14877.851761541247</c:v>
                </c:pt>
                <c:pt idx="92">
                  <c:v>14816.824153149697</c:v>
                </c:pt>
                <c:pt idx="93">
                  <c:v>14755.852341895561</c:v>
                </c:pt>
                <c:pt idx="94">
                  <c:v>14694.954900383196</c:v>
                </c:pt>
                <c:pt idx="95">
                  <c:v>14634.150378563214</c:v>
                </c:pt>
                <c:pt idx="96">
                  <c:v>14573.457298081985</c:v>
                </c:pt>
                <c:pt idx="97">
                  <c:v>14512.894146639772</c:v>
                </c:pt>
                <c:pt idx="98">
                  <c:v>14452.479372359192</c:v>
                </c:pt>
                <c:pt idx="99">
                  <c:v>14392.231378165743</c:v>
                </c:pt>
                <c:pt idx="100">
                  <c:v>14332.168516182093</c:v>
                </c:pt>
                <c:pt idx="101">
                  <c:v>14272.309082137843</c:v>
                </c:pt>
                <c:pt idx="102">
                  <c:v>14212.671309796473</c:v>
                </c:pt>
                <c:pt idx="103">
                  <c:v>14153.273365401163</c:v>
                </c:pt>
                <c:pt idx="104">
                  <c:v>14094.133342141176</c:v>
                </c:pt>
                <c:pt idx="105">
                  <c:v>14035.269254640503</c:v>
                </c:pt>
                <c:pt idx="106">
                  <c:v>13976.699033470422</c:v>
                </c:pt>
                <c:pt idx="107">
                  <c:v>13918.440519687685</c:v>
                </c:pt>
                <c:pt idx="108">
                  <c:v>13860.511459399953</c:v>
                </c:pt>
                <c:pt idx="109">
                  <c:v>13802.929498360159</c:v>
                </c:pt>
                <c:pt idx="110">
                  <c:v>13745.712176591449</c:v>
                </c:pt>
                <c:pt idx="111">
                  <c:v>13688.876923044307</c:v>
                </c:pt>
                <c:pt idx="112">
                  <c:v>13632.441050287542</c:v>
                </c:pt>
                <c:pt idx="113">
                  <c:v>13576.4217492347</c:v>
                </c:pt>
                <c:pt idx="114">
                  <c:v>13520.836083907552</c:v>
                </c:pt>
                <c:pt idx="115">
                  <c:v>13465.700986238229</c:v>
                </c:pt>
                <c:pt idx="116">
                  <c:v>13411.033250911587</c:v>
                </c:pt>
                <c:pt idx="117">
                  <c:v>13356.849530249383</c:v>
                </c:pt>
                <c:pt idx="118">
                  <c:v>13303.166329137821</c:v>
                </c:pt>
                <c:pt idx="119">
                  <c:v>13250</c:v>
                </c:pt>
                <c:pt idx="120">
                  <c:v>13197.366737814809</c:v>
                </c:pt>
                <c:pt idx="121">
                  <c:v>13145.282575183783</c:v>
                </c:pt>
                <c:pt idx="122">
                  <c:v>13093.763377447405</c:v>
                </c:pt>
                <c:pt idx="123">
                  <c:v>13042.824837852386</c:v>
                </c:pt>
                <c:pt idx="124">
                  <c:v>12992.48247277134</c:v>
                </c:pt>
                <c:pt idx="125">
                  <c:v>12942.751616976344</c:v>
                </c:pt>
                <c:pt idx="126">
                  <c:v>12893.64741896783</c:v>
                </c:pt>
                <c:pt idx="127">
                  <c:v>12845.184836360197</c:v>
                </c:pt>
                <c:pt idx="128">
                  <c:v>12797.37863132557</c:v>
                </c:pt>
                <c:pt idx="129">
                  <c:v>12750.243366097113</c:v>
                </c:pt>
                <c:pt idx="130">
                  <c:v>12703.793398533224</c:v>
                </c:pt>
                <c:pt idx="131">
                  <c:v>12658.042877743996</c:v>
                </c:pt>
                <c:pt idx="132">
                  <c:v>12613.005739781256</c:v>
                </c:pt>
                <c:pt idx="133">
                  <c:v>12568.69570339351</c:v>
                </c:pt>
                <c:pt idx="134">
                  <c:v>12525.126265847084</c:v>
                </c:pt>
                <c:pt idx="135">
                  <c:v>12482.310698814721</c:v>
                </c:pt>
                <c:pt idx="136">
                  <c:v>12440.262044332903</c:v>
                </c:pt>
                <c:pt idx="137">
                  <c:v>12398.99311082912</c:v>
                </c:pt>
                <c:pt idx="138">
                  <c:v>12358.516469220298</c:v>
                </c:pt>
                <c:pt idx="139">
                  <c:v>12318.844449083577</c:v>
                </c:pt>
                <c:pt idx="140">
                  <c:v>12279.989134900603</c:v>
                </c:pt>
                <c:pt idx="141">
                  <c:v>12241.962362376473</c:v>
                </c:pt>
                <c:pt idx="142">
                  <c:v>12204.775714834475</c:v>
                </c:pt>
                <c:pt idx="143">
                  <c:v>12168.440519687683</c:v>
                </c:pt>
                <c:pt idx="144">
                  <c:v>12132.967844988529</c:v>
                </c:pt>
                <c:pt idx="145">
                  <c:v>12098.368496057354</c:v>
                </c:pt>
                <c:pt idx="146">
                  <c:v>12064.653012191015</c:v>
                </c:pt>
                <c:pt idx="147">
                  <c:v>12031.831663452509</c:v>
                </c:pt>
                <c:pt idx="148">
                  <c:v>11999.914447542607</c:v>
                </c:pt>
                <c:pt idx="149">
                  <c:v>11968.911086754464</c:v>
                </c:pt>
                <c:pt idx="150">
                  <c:v>11938.831025012114</c:v>
                </c:pt>
                <c:pt idx="151">
                  <c:v>11909.683424993756</c:v>
                </c:pt>
                <c:pt idx="152">
                  <c:v>11881.477165340713</c:v>
                </c:pt>
                <c:pt idx="153">
                  <c:v>11854.220837952915</c:v>
                </c:pt>
                <c:pt idx="154">
                  <c:v>11827.922745371725</c:v>
                </c:pt>
                <c:pt idx="155">
                  <c:v>11802.590898250897</c:v>
                </c:pt>
                <c:pt idx="156">
                  <c:v>11778.233012916458</c:v>
                </c:pt>
                <c:pt idx="157">
                  <c:v>11754.856509016245</c:v>
                </c:pt>
                <c:pt idx="158">
                  <c:v>11732.468507259793</c:v>
                </c:pt>
                <c:pt idx="159">
                  <c:v>11711.07582724932</c:v>
                </c:pt>
                <c:pt idx="160">
                  <c:v>11690.684985402391</c:v>
                </c:pt>
                <c:pt idx="161">
                  <c:v>11671.302192966963</c:v>
                </c:pt>
                <c:pt idx="162">
                  <c:v>11652.933354129376</c:v>
                </c:pt>
                <c:pt idx="163">
                  <c:v>11635.584064215884</c:v>
                </c:pt>
                <c:pt idx="164">
                  <c:v>11619.259607988261</c:v>
                </c:pt>
                <c:pt idx="165">
                  <c:v>11603.964958034012</c:v>
                </c:pt>
                <c:pt idx="166">
                  <c:v>11589.704773251677</c:v>
                </c:pt>
                <c:pt idx="167">
                  <c:v>11576.483397431681</c:v>
                </c:pt>
                <c:pt idx="168">
                  <c:v>11564.304857933177</c:v>
                </c:pt>
                <c:pt idx="169">
                  <c:v>11553.172864457272</c:v>
                </c:pt>
                <c:pt idx="170">
                  <c:v>11543.090807917019</c:v>
                </c:pt>
                <c:pt idx="171">
                  <c:v>11534.061759404503</c:v>
                </c:pt>
                <c:pt idx="172">
                  <c:v>11526.088469255374</c:v>
                </c:pt>
                <c:pt idx="173">
                  <c:v>11519.173366211044</c:v>
                </c:pt>
                <c:pt idx="174">
                  <c:v>11513.318556678891</c:v>
                </c:pt>
                <c:pt idx="175">
                  <c:v>11508.525824090615</c:v>
                </c:pt>
                <c:pt idx="176">
                  <c:v>11504.796628358992</c:v>
                </c:pt>
                <c:pt idx="177">
                  <c:v>11502.132105433164</c:v>
                </c:pt>
                <c:pt idx="178">
                  <c:v>11500.53306695263</c:v>
                </c:pt>
                <c:pt idx="179">
                  <c:v>11500</c:v>
                </c:pt>
                <c:pt idx="180">
                  <c:v>11500.53306695263</c:v>
                </c:pt>
                <c:pt idx="181">
                  <c:v>11502.132105433164</c:v>
                </c:pt>
                <c:pt idx="182">
                  <c:v>11504.796628358992</c:v>
                </c:pt>
                <c:pt idx="183">
                  <c:v>11508.525824090615</c:v>
                </c:pt>
                <c:pt idx="184">
                  <c:v>11513.318556678891</c:v>
                </c:pt>
                <c:pt idx="185">
                  <c:v>11519.173366211044</c:v>
                </c:pt>
                <c:pt idx="186">
                  <c:v>11526.088469255374</c:v>
                </c:pt>
                <c:pt idx="187">
                  <c:v>11534.061759404503</c:v>
                </c:pt>
                <c:pt idx="188">
                  <c:v>11543.090807917019</c:v>
                </c:pt>
                <c:pt idx="189">
                  <c:v>11553.172864457272</c:v>
                </c:pt>
                <c:pt idx="190">
                  <c:v>11564.304857933177</c:v>
                </c:pt>
                <c:pt idx="191">
                  <c:v>11576.483397431681</c:v>
                </c:pt>
                <c:pt idx="192">
                  <c:v>11589.704773251677</c:v>
                </c:pt>
                <c:pt idx="193">
                  <c:v>11603.964958034012</c:v>
                </c:pt>
                <c:pt idx="194">
                  <c:v>11619.259607988261</c:v>
                </c:pt>
                <c:pt idx="195">
                  <c:v>11635.584064215884</c:v>
                </c:pt>
                <c:pt idx="196">
                  <c:v>11652.933354129374</c:v>
                </c:pt>
                <c:pt idx="197">
                  <c:v>11671.302192966963</c:v>
                </c:pt>
                <c:pt idx="198">
                  <c:v>11690.684985402391</c:v>
                </c:pt>
                <c:pt idx="199">
                  <c:v>11711.07582724932</c:v>
                </c:pt>
                <c:pt idx="200">
                  <c:v>11732.468507259793</c:v>
                </c:pt>
                <c:pt idx="201">
                  <c:v>11754.856509016245</c:v>
                </c:pt>
                <c:pt idx="202">
                  <c:v>11778.233012916458</c:v>
                </c:pt>
                <c:pt idx="203">
                  <c:v>11802.590898250895</c:v>
                </c:pt>
                <c:pt idx="204">
                  <c:v>11827.922745371725</c:v>
                </c:pt>
                <c:pt idx="205">
                  <c:v>11854.220837952915</c:v>
                </c:pt>
                <c:pt idx="206">
                  <c:v>11881.477165340712</c:v>
                </c:pt>
                <c:pt idx="207">
                  <c:v>11909.683424993756</c:v>
                </c:pt>
                <c:pt idx="208">
                  <c:v>11938.831025012114</c:v>
                </c:pt>
                <c:pt idx="209">
                  <c:v>11968.911086754466</c:v>
                </c:pt>
                <c:pt idx="210">
                  <c:v>11999.914447542607</c:v>
                </c:pt>
                <c:pt idx="211">
                  <c:v>12031.831663452509</c:v>
                </c:pt>
                <c:pt idx="212">
                  <c:v>12064.653012191016</c:v>
                </c:pt>
                <c:pt idx="213">
                  <c:v>12098.368496057354</c:v>
                </c:pt>
                <c:pt idx="214">
                  <c:v>12132.967844988529</c:v>
                </c:pt>
                <c:pt idx="215">
                  <c:v>12168.440519687683</c:v>
                </c:pt>
                <c:pt idx="216">
                  <c:v>12204.775714834475</c:v>
                </c:pt>
                <c:pt idx="217">
                  <c:v>12241.962362376473</c:v>
                </c:pt>
                <c:pt idx="218">
                  <c:v>12279.989134900603</c:v>
                </c:pt>
                <c:pt idx="219">
                  <c:v>12318.844449083577</c:v>
                </c:pt>
                <c:pt idx="220">
                  <c:v>12358.516469220298</c:v>
                </c:pt>
                <c:pt idx="221">
                  <c:v>12398.99311082912</c:v>
                </c:pt>
                <c:pt idx="222">
                  <c:v>12440.262044332903</c:v>
                </c:pt>
                <c:pt idx="223">
                  <c:v>12482.310698814721</c:v>
                </c:pt>
                <c:pt idx="224">
                  <c:v>12525.126265847084</c:v>
                </c:pt>
                <c:pt idx="225">
                  <c:v>12568.695703393509</c:v>
                </c:pt>
                <c:pt idx="226">
                  <c:v>12613.005739781254</c:v>
                </c:pt>
                <c:pt idx="227">
                  <c:v>12658.042877743996</c:v>
                </c:pt>
                <c:pt idx="228">
                  <c:v>12703.793398533224</c:v>
                </c:pt>
                <c:pt idx="229">
                  <c:v>12750.243366097111</c:v>
                </c:pt>
                <c:pt idx="230">
                  <c:v>12797.37863132557</c:v>
                </c:pt>
                <c:pt idx="231">
                  <c:v>12845.184836360197</c:v>
                </c:pt>
                <c:pt idx="232">
                  <c:v>12893.64741896783</c:v>
                </c:pt>
                <c:pt idx="233">
                  <c:v>12942.751616976344</c:v>
                </c:pt>
                <c:pt idx="234">
                  <c:v>12992.482472771339</c:v>
                </c:pt>
                <c:pt idx="235">
                  <c:v>13042.824837852384</c:v>
                </c:pt>
                <c:pt idx="236">
                  <c:v>13093.763377447405</c:v>
                </c:pt>
                <c:pt idx="237">
                  <c:v>13145.282575183783</c:v>
                </c:pt>
                <c:pt idx="238">
                  <c:v>13197.366737814809</c:v>
                </c:pt>
                <c:pt idx="239">
                  <c:v>13249.999999999998</c:v>
                </c:pt>
                <c:pt idx="240">
                  <c:v>13303.166329137821</c:v>
                </c:pt>
                <c:pt idx="241">
                  <c:v>13356.849530249383</c:v>
                </c:pt>
                <c:pt idx="242">
                  <c:v>13411.033250911585</c:v>
                </c:pt>
                <c:pt idx="243">
                  <c:v>13465.700986238227</c:v>
                </c:pt>
                <c:pt idx="244">
                  <c:v>13520.83608390755</c:v>
                </c:pt>
                <c:pt idx="245">
                  <c:v>13576.4217492347</c:v>
                </c:pt>
                <c:pt idx="246">
                  <c:v>13632.441050287542</c:v>
                </c:pt>
                <c:pt idx="247">
                  <c:v>13688.876923044307</c:v>
                </c:pt>
                <c:pt idx="248">
                  <c:v>13745.712176591447</c:v>
                </c:pt>
                <c:pt idx="249">
                  <c:v>13802.929498360158</c:v>
                </c:pt>
                <c:pt idx="250">
                  <c:v>13860.511459399951</c:v>
                </c:pt>
                <c:pt idx="251">
                  <c:v>13918.440519687683</c:v>
                </c:pt>
                <c:pt idx="252">
                  <c:v>13976.699033470421</c:v>
                </c:pt>
                <c:pt idx="253">
                  <c:v>14035.269254640503</c:v>
                </c:pt>
                <c:pt idx="254">
                  <c:v>14094.133342141178</c:v>
                </c:pt>
                <c:pt idx="255">
                  <c:v>14153.273365401163</c:v>
                </c:pt>
                <c:pt idx="256">
                  <c:v>14212.671309796471</c:v>
                </c:pt>
                <c:pt idx="257">
                  <c:v>14272.309082137841</c:v>
                </c:pt>
                <c:pt idx="258">
                  <c:v>14332.168516182091</c:v>
                </c:pt>
                <c:pt idx="259">
                  <c:v>14392.231378165743</c:v>
                </c:pt>
                <c:pt idx="260">
                  <c:v>14452.479372359192</c:v>
                </c:pt>
                <c:pt idx="261">
                  <c:v>14512.894146639772</c:v>
                </c:pt>
                <c:pt idx="262">
                  <c:v>14573.457298081985</c:v>
                </c:pt>
                <c:pt idx="263">
                  <c:v>14634.150378563214</c:v>
                </c:pt>
                <c:pt idx="264">
                  <c:v>14694.954900383196</c:v>
                </c:pt>
                <c:pt idx="265">
                  <c:v>14755.852341895561</c:v>
                </c:pt>
                <c:pt idx="266">
                  <c:v>14816.824153149695</c:v>
                </c:pt>
                <c:pt idx="267">
                  <c:v>14877.851761541244</c:v>
                </c:pt>
                <c:pt idx="268">
                  <c:v>14938.916577469508</c:v>
                </c:pt>
                <c:pt idx="269">
                  <c:v>15000</c:v>
                </c:pt>
                <c:pt idx="270">
                  <c:v>15061.083422530492</c:v>
                </c:pt>
                <c:pt idx="271">
                  <c:v>15122.148238458754</c:v>
                </c:pt>
                <c:pt idx="272">
                  <c:v>15183.175846850303</c:v>
                </c:pt>
                <c:pt idx="273">
                  <c:v>15244.147658104439</c:v>
                </c:pt>
                <c:pt idx="274">
                  <c:v>15305.045099616802</c:v>
                </c:pt>
                <c:pt idx="275">
                  <c:v>15365.849621436786</c:v>
                </c:pt>
                <c:pt idx="276">
                  <c:v>15426.542701918017</c:v>
                </c:pt>
                <c:pt idx="277">
                  <c:v>15487.10585336023</c:v>
                </c:pt>
                <c:pt idx="278">
                  <c:v>15547.520627640808</c:v>
                </c:pt>
                <c:pt idx="279">
                  <c:v>15607.768621834255</c:v>
                </c:pt>
                <c:pt idx="280">
                  <c:v>15667.831483817905</c:v>
                </c:pt>
                <c:pt idx="281">
                  <c:v>15727.690917862155</c:v>
                </c:pt>
                <c:pt idx="282">
                  <c:v>15787.328690203527</c:v>
                </c:pt>
                <c:pt idx="283">
                  <c:v>15846.726634598836</c:v>
                </c:pt>
                <c:pt idx="284">
                  <c:v>15905.866657858824</c:v>
                </c:pt>
                <c:pt idx="285">
                  <c:v>15964.730745359499</c:v>
                </c:pt>
                <c:pt idx="286">
                  <c:v>16023.300966529579</c:v>
                </c:pt>
                <c:pt idx="287">
                  <c:v>16081.559480312315</c:v>
                </c:pt>
                <c:pt idx="288">
                  <c:v>16139.488540600047</c:v>
                </c:pt>
                <c:pt idx="289">
                  <c:v>16197.070501639839</c:v>
                </c:pt>
                <c:pt idx="290">
                  <c:v>16254.287823408547</c:v>
                </c:pt>
                <c:pt idx="291">
                  <c:v>16311.123076955691</c:v>
                </c:pt>
                <c:pt idx="292">
                  <c:v>16367.558949712457</c:v>
                </c:pt>
                <c:pt idx="293">
                  <c:v>16423.578250765302</c:v>
                </c:pt>
                <c:pt idx="294">
                  <c:v>16479.16391609245</c:v>
                </c:pt>
                <c:pt idx="295">
                  <c:v>16534.299013761771</c:v>
                </c:pt>
                <c:pt idx="296">
                  <c:v>16588.966749088413</c:v>
                </c:pt>
                <c:pt idx="297">
                  <c:v>16643.150469750617</c:v>
                </c:pt>
                <c:pt idx="298">
                  <c:v>16696.833670862179</c:v>
                </c:pt>
                <c:pt idx="299">
                  <c:v>16750</c:v>
                </c:pt>
                <c:pt idx="300">
                  <c:v>16802.633262185191</c:v>
                </c:pt>
                <c:pt idx="301">
                  <c:v>16854.717424816215</c:v>
                </c:pt>
                <c:pt idx="302">
                  <c:v>16906.236622552595</c:v>
                </c:pt>
                <c:pt idx="303">
                  <c:v>16957.175162147611</c:v>
                </c:pt>
                <c:pt idx="304">
                  <c:v>17007.517527228661</c:v>
                </c:pt>
                <c:pt idx="305">
                  <c:v>17057.248383023656</c:v>
                </c:pt>
                <c:pt idx="306">
                  <c:v>17106.352581032166</c:v>
                </c:pt>
                <c:pt idx="307">
                  <c:v>17154.815163639803</c:v>
                </c:pt>
                <c:pt idx="308">
                  <c:v>17202.62136867443</c:v>
                </c:pt>
                <c:pt idx="309">
                  <c:v>17249.756633902885</c:v>
                </c:pt>
                <c:pt idx="310">
                  <c:v>17296.206601466776</c:v>
                </c:pt>
                <c:pt idx="311">
                  <c:v>17341.957122256001</c:v>
                </c:pt>
                <c:pt idx="312">
                  <c:v>17386.994260218744</c:v>
                </c:pt>
                <c:pt idx="313">
                  <c:v>17431.30429660649</c:v>
                </c:pt>
                <c:pt idx="314">
                  <c:v>17474.873734152916</c:v>
                </c:pt>
                <c:pt idx="315">
                  <c:v>17517.689301185277</c:v>
                </c:pt>
                <c:pt idx="316">
                  <c:v>17559.737955667097</c:v>
                </c:pt>
                <c:pt idx="317">
                  <c:v>17601.00688917088</c:v>
                </c:pt>
                <c:pt idx="318">
                  <c:v>17641.4835307797</c:v>
                </c:pt>
                <c:pt idx="319">
                  <c:v>17681.155550916421</c:v>
                </c:pt>
                <c:pt idx="320">
                  <c:v>17720.010865099397</c:v>
                </c:pt>
                <c:pt idx="321">
                  <c:v>17758.037637623525</c:v>
                </c:pt>
                <c:pt idx="322">
                  <c:v>17795.224285165525</c:v>
                </c:pt>
                <c:pt idx="323">
                  <c:v>17831.559480312317</c:v>
                </c:pt>
                <c:pt idx="324">
                  <c:v>17867.032155011471</c:v>
                </c:pt>
                <c:pt idx="325">
                  <c:v>17901.631503942644</c:v>
                </c:pt>
                <c:pt idx="326">
                  <c:v>17935.346987808985</c:v>
                </c:pt>
                <c:pt idx="327">
                  <c:v>17968.168336547489</c:v>
                </c:pt>
                <c:pt idx="328">
                  <c:v>18000.085552457393</c:v>
                </c:pt>
                <c:pt idx="329">
                  <c:v>18031.088913245534</c:v>
                </c:pt>
                <c:pt idx="330">
                  <c:v>18061.168974987886</c:v>
                </c:pt>
                <c:pt idx="331">
                  <c:v>18090.316575006244</c:v>
                </c:pt>
                <c:pt idx="332">
                  <c:v>18118.522834659288</c:v>
                </c:pt>
                <c:pt idx="333">
                  <c:v>18145.779162047085</c:v>
                </c:pt>
                <c:pt idx="334">
                  <c:v>18172.077254628275</c:v>
                </c:pt>
                <c:pt idx="335">
                  <c:v>18197.409101749105</c:v>
                </c:pt>
                <c:pt idx="336">
                  <c:v>18221.766987083538</c:v>
                </c:pt>
                <c:pt idx="337">
                  <c:v>18245.143490983755</c:v>
                </c:pt>
                <c:pt idx="338">
                  <c:v>18267.531492740207</c:v>
                </c:pt>
                <c:pt idx="339">
                  <c:v>18288.924172750681</c:v>
                </c:pt>
                <c:pt idx="340">
                  <c:v>18309.315014597607</c:v>
                </c:pt>
                <c:pt idx="341">
                  <c:v>18328.697807033037</c:v>
                </c:pt>
                <c:pt idx="342">
                  <c:v>18347.066645870626</c:v>
                </c:pt>
                <c:pt idx="343">
                  <c:v>18364.415935784116</c:v>
                </c:pt>
                <c:pt idx="344">
                  <c:v>18380.740392011739</c:v>
                </c:pt>
                <c:pt idx="345">
                  <c:v>18396.035041965988</c:v>
                </c:pt>
                <c:pt idx="346">
                  <c:v>18410.295226748323</c:v>
                </c:pt>
                <c:pt idx="347">
                  <c:v>18423.516602568321</c:v>
                </c:pt>
                <c:pt idx="348">
                  <c:v>18435.695142066823</c:v>
                </c:pt>
                <c:pt idx="349">
                  <c:v>18446.827135542728</c:v>
                </c:pt>
                <c:pt idx="350">
                  <c:v>18456.909192082981</c:v>
                </c:pt>
                <c:pt idx="351">
                  <c:v>18465.938240595497</c:v>
                </c:pt>
                <c:pt idx="352">
                  <c:v>18473.911530744626</c:v>
                </c:pt>
                <c:pt idx="353">
                  <c:v>18480.826633788958</c:v>
                </c:pt>
                <c:pt idx="354">
                  <c:v>18486.681443321111</c:v>
                </c:pt>
                <c:pt idx="355">
                  <c:v>18491.474175909385</c:v>
                </c:pt>
                <c:pt idx="356">
                  <c:v>18495.203371641008</c:v>
                </c:pt>
                <c:pt idx="357">
                  <c:v>18497.867894566836</c:v>
                </c:pt>
                <c:pt idx="358">
                  <c:v>18499.46693304737</c:v>
                </c:pt>
                <c:pt idx="359">
                  <c:v>18500</c:v>
                </c:pt>
                <c:pt idx="360">
                  <c:v>18499.46693304737</c:v>
                </c:pt>
                <c:pt idx="361">
                  <c:v>18497.867894566836</c:v>
                </c:pt>
                <c:pt idx="362">
                  <c:v>18495.203371641008</c:v>
                </c:pt>
                <c:pt idx="363">
                  <c:v>18491.474175909385</c:v>
                </c:pt>
                <c:pt idx="364">
                  <c:v>18486.681443321108</c:v>
                </c:pt>
                <c:pt idx="365">
                  <c:v>18480.826633788958</c:v>
                </c:pt>
                <c:pt idx="366">
                  <c:v>18473.911530744626</c:v>
                </c:pt>
                <c:pt idx="367">
                  <c:v>18465.938240595497</c:v>
                </c:pt>
                <c:pt idx="368">
                  <c:v>18456.909192082981</c:v>
                </c:pt>
                <c:pt idx="369">
                  <c:v>18446.827135542728</c:v>
                </c:pt>
                <c:pt idx="370">
                  <c:v>18435.695142066823</c:v>
                </c:pt>
                <c:pt idx="371">
                  <c:v>18423.516602568321</c:v>
                </c:pt>
                <c:pt idx="372">
                  <c:v>18410.295226748323</c:v>
                </c:pt>
                <c:pt idx="373">
                  <c:v>18396.035041965988</c:v>
                </c:pt>
                <c:pt idx="374">
                  <c:v>18380.740392011739</c:v>
                </c:pt>
                <c:pt idx="375">
                  <c:v>18364.415935784116</c:v>
                </c:pt>
                <c:pt idx="376">
                  <c:v>18347.066645870626</c:v>
                </c:pt>
                <c:pt idx="377">
                  <c:v>18328.697807033037</c:v>
                </c:pt>
                <c:pt idx="378">
                  <c:v>18309.315014597611</c:v>
                </c:pt>
                <c:pt idx="379">
                  <c:v>18288.924172750678</c:v>
                </c:pt>
                <c:pt idx="380">
                  <c:v>18267.531492740207</c:v>
                </c:pt>
                <c:pt idx="381">
                  <c:v>18245.143490983755</c:v>
                </c:pt>
                <c:pt idx="382">
                  <c:v>18221.766987083542</c:v>
                </c:pt>
                <c:pt idx="383">
                  <c:v>18197.409101749105</c:v>
                </c:pt>
                <c:pt idx="384">
                  <c:v>18172.077254628275</c:v>
                </c:pt>
                <c:pt idx="385">
                  <c:v>18145.779162047085</c:v>
                </c:pt>
                <c:pt idx="386">
                  <c:v>18118.522834659285</c:v>
                </c:pt>
                <c:pt idx="387">
                  <c:v>18090.316575006247</c:v>
                </c:pt>
                <c:pt idx="388">
                  <c:v>18061.168974987886</c:v>
                </c:pt>
                <c:pt idx="389">
                  <c:v>18031.088913245538</c:v>
                </c:pt>
                <c:pt idx="390">
                  <c:v>18000.085552457393</c:v>
                </c:pt>
                <c:pt idx="391">
                  <c:v>17968.168336547493</c:v>
                </c:pt>
                <c:pt idx="392">
                  <c:v>17935.346987808985</c:v>
                </c:pt>
                <c:pt idx="393">
                  <c:v>17901.631503942648</c:v>
                </c:pt>
                <c:pt idx="394">
                  <c:v>17867.032155011471</c:v>
                </c:pt>
                <c:pt idx="395">
                  <c:v>17831.559480312313</c:v>
                </c:pt>
                <c:pt idx="396">
                  <c:v>17795.224285165525</c:v>
                </c:pt>
                <c:pt idx="397">
                  <c:v>17758.037637623525</c:v>
                </c:pt>
                <c:pt idx="398">
                  <c:v>17720.010865099401</c:v>
                </c:pt>
                <c:pt idx="399">
                  <c:v>17681.155550916425</c:v>
                </c:pt>
                <c:pt idx="400">
                  <c:v>17641.483530779704</c:v>
                </c:pt>
                <c:pt idx="401">
                  <c:v>17601.00688917088</c:v>
                </c:pt>
                <c:pt idx="402">
                  <c:v>17559.7379556671</c:v>
                </c:pt>
                <c:pt idx="403">
                  <c:v>17517.689301185281</c:v>
                </c:pt>
                <c:pt idx="404">
                  <c:v>17474.873734152919</c:v>
                </c:pt>
                <c:pt idx="405">
                  <c:v>17431.30429660649</c:v>
                </c:pt>
                <c:pt idx="406">
                  <c:v>17386.994260218744</c:v>
                </c:pt>
                <c:pt idx="407">
                  <c:v>17341.957122256004</c:v>
                </c:pt>
                <c:pt idx="408">
                  <c:v>17296.206601466776</c:v>
                </c:pt>
                <c:pt idx="409">
                  <c:v>17249.756633902889</c:v>
                </c:pt>
                <c:pt idx="410">
                  <c:v>17202.62136867443</c:v>
                </c:pt>
                <c:pt idx="411">
                  <c:v>17154.815163639807</c:v>
                </c:pt>
                <c:pt idx="412">
                  <c:v>17106.35258103217</c:v>
                </c:pt>
                <c:pt idx="413">
                  <c:v>17057.24838302366</c:v>
                </c:pt>
                <c:pt idx="414">
                  <c:v>17007.517527228661</c:v>
                </c:pt>
                <c:pt idx="415">
                  <c:v>16957.175162147614</c:v>
                </c:pt>
                <c:pt idx="416">
                  <c:v>16906.236622552595</c:v>
                </c:pt>
                <c:pt idx="417">
                  <c:v>16854.717424816219</c:v>
                </c:pt>
                <c:pt idx="418">
                  <c:v>16802.633262185191</c:v>
                </c:pt>
                <c:pt idx="419">
                  <c:v>16750</c:v>
                </c:pt>
                <c:pt idx="420">
                  <c:v>16696.833670862183</c:v>
                </c:pt>
                <c:pt idx="421">
                  <c:v>16643.150469750617</c:v>
                </c:pt>
                <c:pt idx="422">
                  <c:v>16588.966749088413</c:v>
                </c:pt>
                <c:pt idx="423">
                  <c:v>16534.299013761771</c:v>
                </c:pt>
                <c:pt idx="424">
                  <c:v>16479.16391609245</c:v>
                </c:pt>
                <c:pt idx="425">
                  <c:v>16423.578250765302</c:v>
                </c:pt>
                <c:pt idx="426">
                  <c:v>16367.558949712457</c:v>
                </c:pt>
                <c:pt idx="427">
                  <c:v>16311.123076955693</c:v>
                </c:pt>
                <c:pt idx="428">
                  <c:v>16254.287823408549</c:v>
                </c:pt>
                <c:pt idx="429">
                  <c:v>16197.070501639842</c:v>
                </c:pt>
                <c:pt idx="430">
                  <c:v>16139.488540600049</c:v>
                </c:pt>
                <c:pt idx="431">
                  <c:v>16081.559480312317</c:v>
                </c:pt>
                <c:pt idx="432">
                  <c:v>16023.300966529578</c:v>
                </c:pt>
                <c:pt idx="433">
                  <c:v>15964.730745359499</c:v>
                </c:pt>
                <c:pt idx="434">
                  <c:v>15905.866657858822</c:v>
                </c:pt>
                <c:pt idx="435">
                  <c:v>15846.726634598841</c:v>
                </c:pt>
                <c:pt idx="436">
                  <c:v>15787.328690203529</c:v>
                </c:pt>
                <c:pt idx="437">
                  <c:v>15727.690917862157</c:v>
                </c:pt>
                <c:pt idx="438">
                  <c:v>15667.83148381791</c:v>
                </c:pt>
                <c:pt idx="439">
                  <c:v>15607.768621834257</c:v>
                </c:pt>
                <c:pt idx="440">
                  <c:v>15547.52062764081</c:v>
                </c:pt>
                <c:pt idx="441">
                  <c:v>15487.105853360228</c:v>
                </c:pt>
                <c:pt idx="442">
                  <c:v>15426.542701918019</c:v>
                </c:pt>
                <c:pt idx="443">
                  <c:v>15365.849621436788</c:v>
                </c:pt>
                <c:pt idx="444">
                  <c:v>15305.045099616807</c:v>
                </c:pt>
                <c:pt idx="445">
                  <c:v>15244.147658104441</c:v>
                </c:pt>
                <c:pt idx="446">
                  <c:v>15183.175846850305</c:v>
                </c:pt>
                <c:pt idx="447">
                  <c:v>15122.148238458753</c:v>
                </c:pt>
                <c:pt idx="448">
                  <c:v>15061.083422530493</c:v>
                </c:pt>
                <c:pt idx="449">
                  <c:v>15000.000000000002</c:v>
                </c:pt>
                <c:pt idx="450">
                  <c:v>14938.916577469507</c:v>
                </c:pt>
                <c:pt idx="451">
                  <c:v>14877.851761541249</c:v>
                </c:pt>
                <c:pt idx="452">
                  <c:v>14816.824153149697</c:v>
                </c:pt>
                <c:pt idx="453">
                  <c:v>14755.852341895565</c:v>
                </c:pt>
                <c:pt idx="454">
                  <c:v>14694.954900383198</c:v>
                </c:pt>
                <c:pt idx="455">
                  <c:v>14634.150378563216</c:v>
                </c:pt>
                <c:pt idx="456">
                  <c:v>14573.457298081983</c:v>
                </c:pt>
                <c:pt idx="457">
                  <c:v>14512.894146639774</c:v>
                </c:pt>
                <c:pt idx="458">
                  <c:v>14452.479372359196</c:v>
                </c:pt>
                <c:pt idx="459">
                  <c:v>14392.231378165745</c:v>
                </c:pt>
                <c:pt idx="460">
                  <c:v>14332.168516182093</c:v>
                </c:pt>
                <c:pt idx="461">
                  <c:v>14272.309082137839</c:v>
                </c:pt>
                <c:pt idx="462">
                  <c:v>14212.671309796473</c:v>
                </c:pt>
                <c:pt idx="463">
                  <c:v>14153.273365401161</c:v>
                </c:pt>
                <c:pt idx="464">
                  <c:v>14094.13334214118</c:v>
                </c:pt>
                <c:pt idx="465">
                  <c:v>14035.269254640503</c:v>
                </c:pt>
                <c:pt idx="466">
                  <c:v>13976.699033470424</c:v>
                </c:pt>
                <c:pt idx="467">
                  <c:v>13918.440519687685</c:v>
                </c:pt>
                <c:pt idx="468">
                  <c:v>13860.511459399957</c:v>
                </c:pt>
                <c:pt idx="469">
                  <c:v>13802.929498360161</c:v>
                </c:pt>
                <c:pt idx="470">
                  <c:v>13745.712176591449</c:v>
                </c:pt>
                <c:pt idx="471">
                  <c:v>13688.876923044312</c:v>
                </c:pt>
                <c:pt idx="472">
                  <c:v>13632.441050287543</c:v>
                </c:pt>
                <c:pt idx="473">
                  <c:v>13576.421749234698</c:v>
                </c:pt>
                <c:pt idx="474">
                  <c:v>13520.836083907554</c:v>
                </c:pt>
                <c:pt idx="475">
                  <c:v>13465.700986238229</c:v>
                </c:pt>
                <c:pt idx="476">
                  <c:v>13411.033250911585</c:v>
                </c:pt>
                <c:pt idx="477">
                  <c:v>13356.849530249383</c:v>
                </c:pt>
                <c:pt idx="478">
                  <c:v>13303.166329137821</c:v>
                </c:pt>
                <c:pt idx="479">
                  <c:v>13250.000000000004</c:v>
                </c:pt>
                <c:pt idx="480">
                  <c:v>13197.366737814811</c:v>
                </c:pt>
                <c:pt idx="481">
                  <c:v>13145.282575183781</c:v>
                </c:pt>
                <c:pt idx="482">
                  <c:v>13093.763377447407</c:v>
                </c:pt>
                <c:pt idx="483">
                  <c:v>13042.824837852386</c:v>
                </c:pt>
                <c:pt idx="484">
                  <c:v>12992.482472771342</c:v>
                </c:pt>
                <c:pt idx="485">
                  <c:v>12942.751616976344</c:v>
                </c:pt>
                <c:pt idx="486">
                  <c:v>12893.647418967836</c:v>
                </c:pt>
                <c:pt idx="487">
                  <c:v>12845.184836360198</c:v>
                </c:pt>
                <c:pt idx="488">
                  <c:v>12797.37863132557</c:v>
                </c:pt>
                <c:pt idx="489">
                  <c:v>12750.243366097115</c:v>
                </c:pt>
                <c:pt idx="490">
                  <c:v>12703.793398533226</c:v>
                </c:pt>
                <c:pt idx="491">
                  <c:v>12658.042877743996</c:v>
                </c:pt>
                <c:pt idx="492">
                  <c:v>12613.005739781252</c:v>
                </c:pt>
                <c:pt idx="493">
                  <c:v>12568.69570339351</c:v>
                </c:pt>
                <c:pt idx="494">
                  <c:v>12525.126265847082</c:v>
                </c:pt>
                <c:pt idx="495">
                  <c:v>12482.310698814723</c:v>
                </c:pt>
                <c:pt idx="496">
                  <c:v>12440.262044332903</c:v>
                </c:pt>
                <c:pt idx="497">
                  <c:v>12398.993110829122</c:v>
                </c:pt>
                <c:pt idx="498">
                  <c:v>12358.5164692203</c:v>
                </c:pt>
                <c:pt idx="499">
                  <c:v>12318.844449083579</c:v>
                </c:pt>
                <c:pt idx="500">
                  <c:v>12279.989134900603</c:v>
                </c:pt>
                <c:pt idx="501">
                  <c:v>12241.962362376473</c:v>
                </c:pt>
                <c:pt idx="502">
                  <c:v>12204.775714834477</c:v>
                </c:pt>
                <c:pt idx="503">
                  <c:v>12168.440519687685</c:v>
                </c:pt>
                <c:pt idx="504">
                  <c:v>12132.967844988532</c:v>
                </c:pt>
                <c:pt idx="505">
                  <c:v>12098.368496057356</c:v>
                </c:pt>
                <c:pt idx="506">
                  <c:v>12064.653012191016</c:v>
                </c:pt>
                <c:pt idx="507">
                  <c:v>12031.831663452507</c:v>
                </c:pt>
                <c:pt idx="508">
                  <c:v>11999.914447542607</c:v>
                </c:pt>
                <c:pt idx="509">
                  <c:v>11968.911086754464</c:v>
                </c:pt>
                <c:pt idx="510">
                  <c:v>11938.831025012116</c:v>
                </c:pt>
                <c:pt idx="511">
                  <c:v>11909.683424993756</c:v>
                </c:pt>
                <c:pt idx="512">
                  <c:v>11881.477165340712</c:v>
                </c:pt>
                <c:pt idx="513">
                  <c:v>11854.220837952917</c:v>
                </c:pt>
                <c:pt idx="514">
                  <c:v>11827.922745371725</c:v>
                </c:pt>
                <c:pt idx="515">
                  <c:v>11802.590898250899</c:v>
                </c:pt>
                <c:pt idx="516">
                  <c:v>11778.233012916458</c:v>
                </c:pt>
                <c:pt idx="517">
                  <c:v>11754.856509016246</c:v>
                </c:pt>
                <c:pt idx="518">
                  <c:v>11732.468507259795</c:v>
                </c:pt>
                <c:pt idx="519">
                  <c:v>11711.07582724932</c:v>
                </c:pt>
                <c:pt idx="520">
                  <c:v>11690.684985402393</c:v>
                </c:pt>
                <c:pt idx="521">
                  <c:v>11671.302192966963</c:v>
                </c:pt>
                <c:pt idx="522">
                  <c:v>11652.933354129374</c:v>
                </c:pt>
                <c:pt idx="523">
                  <c:v>11635.584064215884</c:v>
                </c:pt>
                <c:pt idx="524">
                  <c:v>11619.259607988261</c:v>
                </c:pt>
                <c:pt idx="525">
                  <c:v>11603.964958034012</c:v>
                </c:pt>
                <c:pt idx="526">
                  <c:v>11589.704773251677</c:v>
                </c:pt>
                <c:pt idx="527">
                  <c:v>11576.483397431681</c:v>
                </c:pt>
                <c:pt idx="528">
                  <c:v>11564.304857933177</c:v>
                </c:pt>
                <c:pt idx="529">
                  <c:v>11553.172864457272</c:v>
                </c:pt>
                <c:pt idx="530">
                  <c:v>11543.090807917019</c:v>
                </c:pt>
                <c:pt idx="531">
                  <c:v>11534.061759404503</c:v>
                </c:pt>
                <c:pt idx="532">
                  <c:v>11526.088469255374</c:v>
                </c:pt>
                <c:pt idx="533">
                  <c:v>11519.173366211044</c:v>
                </c:pt>
                <c:pt idx="534">
                  <c:v>11513.318556678891</c:v>
                </c:pt>
                <c:pt idx="535">
                  <c:v>11508.525824090615</c:v>
                </c:pt>
                <c:pt idx="536">
                  <c:v>11504.796628358992</c:v>
                </c:pt>
                <c:pt idx="537">
                  <c:v>11502.132105433164</c:v>
                </c:pt>
                <c:pt idx="538">
                  <c:v>11500.53306695263</c:v>
                </c:pt>
                <c:pt idx="539">
                  <c:v>11500</c:v>
                </c:pt>
                <c:pt idx="540">
                  <c:v>11500.53306695263</c:v>
                </c:pt>
                <c:pt idx="541">
                  <c:v>11502.132105433164</c:v>
                </c:pt>
                <c:pt idx="542">
                  <c:v>11504.796628358992</c:v>
                </c:pt>
                <c:pt idx="543">
                  <c:v>11508.525824090615</c:v>
                </c:pt>
                <c:pt idx="544">
                  <c:v>11513.318556678891</c:v>
                </c:pt>
                <c:pt idx="545">
                  <c:v>11519.173366211044</c:v>
                </c:pt>
                <c:pt idx="546">
                  <c:v>11526.088469255374</c:v>
                </c:pt>
                <c:pt idx="547">
                  <c:v>11534.061759404503</c:v>
                </c:pt>
                <c:pt idx="548">
                  <c:v>11543.090807917019</c:v>
                </c:pt>
                <c:pt idx="549">
                  <c:v>11553.172864457272</c:v>
                </c:pt>
                <c:pt idx="550">
                  <c:v>11564.304857933175</c:v>
                </c:pt>
                <c:pt idx="551">
                  <c:v>11576.483397431679</c:v>
                </c:pt>
                <c:pt idx="552">
                  <c:v>11589.704773251677</c:v>
                </c:pt>
                <c:pt idx="553">
                  <c:v>11603.964958034012</c:v>
                </c:pt>
                <c:pt idx="554">
                  <c:v>11619.259607988262</c:v>
                </c:pt>
                <c:pt idx="555">
                  <c:v>11635.584064215884</c:v>
                </c:pt>
                <c:pt idx="556">
                  <c:v>11652.933354129376</c:v>
                </c:pt>
                <c:pt idx="557">
                  <c:v>11671.302192966963</c:v>
                </c:pt>
                <c:pt idx="558">
                  <c:v>11690.684985402391</c:v>
                </c:pt>
                <c:pt idx="559">
                  <c:v>11711.07582724932</c:v>
                </c:pt>
                <c:pt idx="560">
                  <c:v>11732.468507259793</c:v>
                </c:pt>
                <c:pt idx="561">
                  <c:v>11754.856509016243</c:v>
                </c:pt>
                <c:pt idx="562">
                  <c:v>11778.233012916458</c:v>
                </c:pt>
                <c:pt idx="563">
                  <c:v>11802.590898250895</c:v>
                </c:pt>
                <c:pt idx="564">
                  <c:v>11827.922745371723</c:v>
                </c:pt>
                <c:pt idx="565">
                  <c:v>11854.220837952915</c:v>
                </c:pt>
                <c:pt idx="566">
                  <c:v>11881.477165340712</c:v>
                </c:pt>
                <c:pt idx="567">
                  <c:v>11909.683424993755</c:v>
                </c:pt>
                <c:pt idx="568">
                  <c:v>11938.831025012114</c:v>
                </c:pt>
                <c:pt idx="569">
                  <c:v>11968.911086754466</c:v>
                </c:pt>
                <c:pt idx="570">
                  <c:v>11999.914447542607</c:v>
                </c:pt>
                <c:pt idx="571">
                  <c:v>12031.831663452511</c:v>
                </c:pt>
                <c:pt idx="572">
                  <c:v>12064.653012191015</c:v>
                </c:pt>
                <c:pt idx="573">
                  <c:v>12098.368496057354</c:v>
                </c:pt>
                <c:pt idx="574">
                  <c:v>12132.967844988527</c:v>
                </c:pt>
                <c:pt idx="575">
                  <c:v>12168.440519687683</c:v>
                </c:pt>
                <c:pt idx="576">
                  <c:v>12204.775714834475</c:v>
                </c:pt>
                <c:pt idx="577">
                  <c:v>12241.962362376471</c:v>
                </c:pt>
                <c:pt idx="578">
                  <c:v>12279.989134900603</c:v>
                </c:pt>
                <c:pt idx="579">
                  <c:v>12318.844449083574</c:v>
                </c:pt>
                <c:pt idx="580">
                  <c:v>12358.516469220296</c:v>
                </c:pt>
                <c:pt idx="581">
                  <c:v>12398.993110829117</c:v>
                </c:pt>
                <c:pt idx="582">
                  <c:v>12440.262044332901</c:v>
                </c:pt>
                <c:pt idx="583">
                  <c:v>12482.310698814721</c:v>
                </c:pt>
                <c:pt idx="584">
                  <c:v>12525.126265847084</c:v>
                </c:pt>
                <c:pt idx="585">
                  <c:v>12568.695703393509</c:v>
                </c:pt>
                <c:pt idx="586">
                  <c:v>12613.005739781256</c:v>
                </c:pt>
                <c:pt idx="587">
                  <c:v>12658.042877743997</c:v>
                </c:pt>
                <c:pt idx="588">
                  <c:v>12703.793398533224</c:v>
                </c:pt>
                <c:pt idx="589">
                  <c:v>12750.243366097113</c:v>
                </c:pt>
                <c:pt idx="590">
                  <c:v>12797.378631325568</c:v>
                </c:pt>
                <c:pt idx="591">
                  <c:v>12845.184836360197</c:v>
                </c:pt>
                <c:pt idx="592">
                  <c:v>12893.647418967828</c:v>
                </c:pt>
                <c:pt idx="593">
                  <c:v>12942.751616976344</c:v>
                </c:pt>
                <c:pt idx="594">
                  <c:v>12992.482472771335</c:v>
                </c:pt>
                <c:pt idx="595">
                  <c:v>13042.824837852384</c:v>
                </c:pt>
                <c:pt idx="596">
                  <c:v>13093.7633774474</c:v>
                </c:pt>
                <c:pt idx="597">
                  <c:v>13145.282575183779</c:v>
                </c:pt>
                <c:pt idx="598">
                  <c:v>13197.366737814809</c:v>
                </c:pt>
                <c:pt idx="599">
                  <c:v>13250</c:v>
                </c:pt>
                <c:pt idx="600">
                  <c:v>13303.166329137823</c:v>
                </c:pt>
                <c:pt idx="601">
                  <c:v>13356.849530249381</c:v>
                </c:pt>
                <c:pt idx="602">
                  <c:v>13411.033250911587</c:v>
                </c:pt>
                <c:pt idx="603">
                  <c:v>13465.700986238227</c:v>
                </c:pt>
                <c:pt idx="604">
                  <c:v>13520.836083907552</c:v>
                </c:pt>
                <c:pt idx="605">
                  <c:v>13576.421749234696</c:v>
                </c:pt>
                <c:pt idx="606">
                  <c:v>13632.44105028754</c:v>
                </c:pt>
                <c:pt idx="607">
                  <c:v>13688.876923044303</c:v>
                </c:pt>
                <c:pt idx="608">
                  <c:v>13745.712176591447</c:v>
                </c:pt>
                <c:pt idx="609">
                  <c:v>13802.929498360159</c:v>
                </c:pt>
                <c:pt idx="610">
                  <c:v>13860.511459399948</c:v>
                </c:pt>
                <c:pt idx="611">
                  <c:v>13918.440519687683</c:v>
                </c:pt>
                <c:pt idx="612">
                  <c:v>13976.699033470417</c:v>
                </c:pt>
                <c:pt idx="613">
                  <c:v>14035.2692546405</c:v>
                </c:pt>
                <c:pt idx="614">
                  <c:v>14094.133342141176</c:v>
                </c:pt>
                <c:pt idx="615">
                  <c:v>14153.273365401164</c:v>
                </c:pt>
                <c:pt idx="616">
                  <c:v>14212.671309796471</c:v>
                </c:pt>
                <c:pt idx="617">
                  <c:v>14272.309082137843</c:v>
                </c:pt>
                <c:pt idx="618">
                  <c:v>14332.168516182097</c:v>
                </c:pt>
                <c:pt idx="619">
                  <c:v>14392.231378165743</c:v>
                </c:pt>
                <c:pt idx="620">
                  <c:v>14452.479372359194</c:v>
                </c:pt>
                <c:pt idx="621">
                  <c:v>14512.894146639768</c:v>
                </c:pt>
                <c:pt idx="622">
                  <c:v>14573.457298081985</c:v>
                </c:pt>
                <c:pt idx="623">
                  <c:v>14634.150378563209</c:v>
                </c:pt>
                <c:pt idx="624">
                  <c:v>14694.954900383194</c:v>
                </c:pt>
                <c:pt idx="625">
                  <c:v>14755.852341895557</c:v>
                </c:pt>
                <c:pt idx="626">
                  <c:v>14816.824153149693</c:v>
                </c:pt>
                <c:pt idx="627">
                  <c:v>14877.85176154124</c:v>
                </c:pt>
                <c:pt idx="628">
                  <c:v>14938.916577469503</c:v>
                </c:pt>
                <c:pt idx="629">
                  <c:v>14999.999999999998</c:v>
                </c:pt>
                <c:pt idx="630">
                  <c:v>15061.083422530493</c:v>
                </c:pt>
                <c:pt idx="631">
                  <c:v>15122.148238458751</c:v>
                </c:pt>
                <c:pt idx="632">
                  <c:v>15183.175846850303</c:v>
                </c:pt>
                <c:pt idx="633">
                  <c:v>15244.147658104441</c:v>
                </c:pt>
                <c:pt idx="634">
                  <c:v>15305.045099616802</c:v>
                </c:pt>
                <c:pt idx="635">
                  <c:v>15365.849621436788</c:v>
                </c:pt>
                <c:pt idx="636">
                  <c:v>15426.542701918013</c:v>
                </c:pt>
                <c:pt idx="637">
                  <c:v>15487.105853360228</c:v>
                </c:pt>
                <c:pt idx="638">
                  <c:v>15547.520627640803</c:v>
                </c:pt>
                <c:pt idx="639">
                  <c:v>15607.768621834253</c:v>
                </c:pt>
                <c:pt idx="640">
                  <c:v>15667.831483817907</c:v>
                </c:pt>
                <c:pt idx="641">
                  <c:v>15727.690917862154</c:v>
                </c:pt>
                <c:pt idx="642">
                  <c:v>15787.328690203527</c:v>
                </c:pt>
                <c:pt idx="643">
                  <c:v>15846.726634598832</c:v>
                </c:pt>
                <c:pt idx="644">
                  <c:v>15905.86665785882</c:v>
                </c:pt>
                <c:pt idx="645">
                  <c:v>15964.730745359497</c:v>
                </c:pt>
                <c:pt idx="646">
                  <c:v>16023.300966529581</c:v>
                </c:pt>
                <c:pt idx="647">
                  <c:v>16081.559480312315</c:v>
                </c:pt>
                <c:pt idx="648">
                  <c:v>16139.488540600049</c:v>
                </c:pt>
                <c:pt idx="649">
                  <c:v>16197.070501639839</c:v>
                </c:pt>
                <c:pt idx="650">
                  <c:v>16254.287823408551</c:v>
                </c:pt>
                <c:pt idx="651">
                  <c:v>16311.123076955688</c:v>
                </c:pt>
                <c:pt idx="652">
                  <c:v>16367.558949712462</c:v>
                </c:pt>
                <c:pt idx="653">
                  <c:v>16423.578250765302</c:v>
                </c:pt>
                <c:pt idx="654">
                  <c:v>16479.163916092446</c:v>
                </c:pt>
                <c:pt idx="655">
                  <c:v>16534.299013761763</c:v>
                </c:pt>
                <c:pt idx="656">
                  <c:v>16588.966749088417</c:v>
                </c:pt>
                <c:pt idx="657">
                  <c:v>16643.150469750617</c:v>
                </c:pt>
                <c:pt idx="658">
                  <c:v>16696.833670862175</c:v>
                </c:pt>
                <c:pt idx="659">
                  <c:v>16749.999999999996</c:v>
                </c:pt>
                <c:pt idx="660">
                  <c:v>16802.633262185191</c:v>
                </c:pt>
                <c:pt idx="661">
                  <c:v>16854.717424816219</c:v>
                </c:pt>
                <c:pt idx="662">
                  <c:v>16906.236622552591</c:v>
                </c:pt>
                <c:pt idx="663">
                  <c:v>16957.175162147614</c:v>
                </c:pt>
                <c:pt idx="664">
                  <c:v>17007.517527228661</c:v>
                </c:pt>
                <c:pt idx="665">
                  <c:v>17057.248383023656</c:v>
                </c:pt>
                <c:pt idx="666">
                  <c:v>17106.352581032166</c:v>
                </c:pt>
                <c:pt idx="667">
                  <c:v>17154.815163639807</c:v>
                </c:pt>
                <c:pt idx="668">
                  <c:v>17202.62136867443</c:v>
                </c:pt>
                <c:pt idx="669">
                  <c:v>17249.756633902885</c:v>
                </c:pt>
                <c:pt idx="670">
                  <c:v>17296.206601466769</c:v>
                </c:pt>
                <c:pt idx="671">
                  <c:v>17341.957122256004</c:v>
                </c:pt>
                <c:pt idx="672">
                  <c:v>17386.994260218744</c:v>
                </c:pt>
                <c:pt idx="673">
                  <c:v>17431.304296606486</c:v>
                </c:pt>
                <c:pt idx="674">
                  <c:v>17474.873734152916</c:v>
                </c:pt>
                <c:pt idx="675">
                  <c:v>17517.689301185277</c:v>
                </c:pt>
                <c:pt idx="676">
                  <c:v>17559.737955667097</c:v>
                </c:pt>
                <c:pt idx="677">
                  <c:v>17601.006889170876</c:v>
                </c:pt>
                <c:pt idx="678">
                  <c:v>17641.4835307797</c:v>
                </c:pt>
                <c:pt idx="679">
                  <c:v>17681.155550916425</c:v>
                </c:pt>
                <c:pt idx="680">
                  <c:v>17720.010865099397</c:v>
                </c:pt>
                <c:pt idx="681">
                  <c:v>17758.037637623522</c:v>
                </c:pt>
                <c:pt idx="682">
                  <c:v>17795.224285165525</c:v>
                </c:pt>
                <c:pt idx="683">
                  <c:v>17831.559480312317</c:v>
                </c:pt>
                <c:pt idx="684">
                  <c:v>17867.032155011468</c:v>
                </c:pt>
                <c:pt idx="685">
                  <c:v>17901.631503942648</c:v>
                </c:pt>
                <c:pt idx="686">
                  <c:v>17935.346987808982</c:v>
                </c:pt>
                <c:pt idx="687">
                  <c:v>17968.168336547489</c:v>
                </c:pt>
                <c:pt idx="688">
                  <c:v>18000.085552457389</c:v>
                </c:pt>
                <c:pt idx="689">
                  <c:v>18031.088913245534</c:v>
                </c:pt>
                <c:pt idx="690">
                  <c:v>18061.168974987882</c:v>
                </c:pt>
                <c:pt idx="691">
                  <c:v>18090.316575006244</c:v>
                </c:pt>
                <c:pt idx="692">
                  <c:v>18118.522834659285</c:v>
                </c:pt>
                <c:pt idx="693">
                  <c:v>18145.779162047082</c:v>
                </c:pt>
                <c:pt idx="694">
                  <c:v>18172.077254628275</c:v>
                </c:pt>
                <c:pt idx="695">
                  <c:v>18197.409101749101</c:v>
                </c:pt>
                <c:pt idx="696">
                  <c:v>18221.766987083545</c:v>
                </c:pt>
                <c:pt idx="697">
                  <c:v>18245.143490983755</c:v>
                </c:pt>
                <c:pt idx="698">
                  <c:v>18267.531492740207</c:v>
                </c:pt>
                <c:pt idx="699">
                  <c:v>18288.924172750678</c:v>
                </c:pt>
                <c:pt idx="700">
                  <c:v>18309.315014597611</c:v>
                </c:pt>
                <c:pt idx="701">
                  <c:v>18328.697807033037</c:v>
                </c:pt>
                <c:pt idx="702">
                  <c:v>18347.066645870622</c:v>
                </c:pt>
                <c:pt idx="703">
                  <c:v>18364.415935784116</c:v>
                </c:pt>
                <c:pt idx="704">
                  <c:v>18380.740392011739</c:v>
                </c:pt>
                <c:pt idx="705">
                  <c:v>18396.035041965988</c:v>
                </c:pt>
                <c:pt idx="706">
                  <c:v>18410.295226748323</c:v>
                </c:pt>
                <c:pt idx="707">
                  <c:v>18423.516602568321</c:v>
                </c:pt>
                <c:pt idx="708">
                  <c:v>18435.695142066823</c:v>
                </c:pt>
                <c:pt idx="709">
                  <c:v>18446.827135542728</c:v>
                </c:pt>
                <c:pt idx="710">
                  <c:v>18456.909192082981</c:v>
                </c:pt>
                <c:pt idx="711">
                  <c:v>18465.938240595497</c:v>
                </c:pt>
                <c:pt idx="712">
                  <c:v>18473.911530744626</c:v>
                </c:pt>
                <c:pt idx="713">
                  <c:v>18480.826633788958</c:v>
                </c:pt>
                <c:pt idx="714">
                  <c:v>18486.681443321111</c:v>
                </c:pt>
                <c:pt idx="715">
                  <c:v>18491.474175909385</c:v>
                </c:pt>
                <c:pt idx="716">
                  <c:v>18495.203371641008</c:v>
                </c:pt>
                <c:pt idx="717">
                  <c:v>18497.867894566836</c:v>
                </c:pt>
                <c:pt idx="718">
                  <c:v>18499.46693304737</c:v>
                </c:pt>
                <c:pt idx="719">
                  <c:v>18500</c:v>
                </c:pt>
                <c:pt idx="720">
                  <c:v>18499.46693304737</c:v>
                </c:pt>
                <c:pt idx="721">
                  <c:v>18497.867894566836</c:v>
                </c:pt>
                <c:pt idx="722">
                  <c:v>18495.203371641008</c:v>
                </c:pt>
                <c:pt idx="723">
                  <c:v>18491.474175909385</c:v>
                </c:pt>
                <c:pt idx="724">
                  <c:v>18486.681443321111</c:v>
                </c:pt>
                <c:pt idx="725">
                  <c:v>18480.826633788958</c:v>
                </c:pt>
                <c:pt idx="726">
                  <c:v>18473.911530744626</c:v>
                </c:pt>
                <c:pt idx="727">
                  <c:v>18465.938240595497</c:v>
                </c:pt>
                <c:pt idx="728">
                  <c:v>18456.909192082981</c:v>
                </c:pt>
                <c:pt idx="729">
                  <c:v>18446.827135542728</c:v>
                </c:pt>
                <c:pt idx="730">
                  <c:v>18435.695142066823</c:v>
                </c:pt>
                <c:pt idx="731">
                  <c:v>18423.516602568321</c:v>
                </c:pt>
                <c:pt idx="732">
                  <c:v>18410.295226748323</c:v>
                </c:pt>
                <c:pt idx="733">
                  <c:v>18396.035041965988</c:v>
                </c:pt>
                <c:pt idx="734">
                  <c:v>18380.740392011739</c:v>
                </c:pt>
                <c:pt idx="735">
                  <c:v>18364.415935784116</c:v>
                </c:pt>
                <c:pt idx="736">
                  <c:v>18347.066645870626</c:v>
                </c:pt>
                <c:pt idx="737">
                  <c:v>18328.697807033037</c:v>
                </c:pt>
                <c:pt idx="738">
                  <c:v>18309.315014597611</c:v>
                </c:pt>
                <c:pt idx="739">
                  <c:v>18288.924172750681</c:v>
                </c:pt>
                <c:pt idx="740">
                  <c:v>18267.531492740207</c:v>
                </c:pt>
                <c:pt idx="741">
                  <c:v>18245.143490983755</c:v>
                </c:pt>
                <c:pt idx="742">
                  <c:v>18221.766987083542</c:v>
                </c:pt>
                <c:pt idx="743">
                  <c:v>18197.409101749105</c:v>
                </c:pt>
                <c:pt idx="744">
                  <c:v>18172.077254628275</c:v>
                </c:pt>
                <c:pt idx="745">
                  <c:v>18145.779162047085</c:v>
                </c:pt>
                <c:pt idx="746">
                  <c:v>18118.522834659288</c:v>
                </c:pt>
                <c:pt idx="747">
                  <c:v>18090.316575006244</c:v>
                </c:pt>
                <c:pt idx="748">
                  <c:v>18061.168974987886</c:v>
                </c:pt>
                <c:pt idx="749">
                  <c:v>18031.088913245538</c:v>
                </c:pt>
                <c:pt idx="750">
                  <c:v>18000.085552457396</c:v>
                </c:pt>
                <c:pt idx="751">
                  <c:v>17968.168336547489</c:v>
                </c:pt>
                <c:pt idx="752">
                  <c:v>17935.346987808985</c:v>
                </c:pt>
                <c:pt idx="753">
                  <c:v>17901.631503942644</c:v>
                </c:pt>
                <c:pt idx="754">
                  <c:v>17867.032155011475</c:v>
                </c:pt>
                <c:pt idx="755">
                  <c:v>17831.559480312317</c:v>
                </c:pt>
                <c:pt idx="756">
                  <c:v>17795.224285165525</c:v>
                </c:pt>
                <c:pt idx="757">
                  <c:v>17758.037637623529</c:v>
                </c:pt>
                <c:pt idx="758">
                  <c:v>17720.010865099397</c:v>
                </c:pt>
                <c:pt idx="759">
                  <c:v>17681.155550916421</c:v>
                </c:pt>
                <c:pt idx="760">
                  <c:v>17641.483530779704</c:v>
                </c:pt>
                <c:pt idx="761">
                  <c:v>17601.006889170883</c:v>
                </c:pt>
                <c:pt idx="762">
                  <c:v>17559.737955667093</c:v>
                </c:pt>
                <c:pt idx="763">
                  <c:v>17517.689301185281</c:v>
                </c:pt>
                <c:pt idx="764">
                  <c:v>17474.873734152919</c:v>
                </c:pt>
                <c:pt idx="765">
                  <c:v>17431.304296606497</c:v>
                </c:pt>
                <c:pt idx="766">
                  <c:v>17386.994260218744</c:v>
                </c:pt>
                <c:pt idx="767">
                  <c:v>17341.957122256008</c:v>
                </c:pt>
                <c:pt idx="768">
                  <c:v>17296.206601466776</c:v>
                </c:pt>
                <c:pt idx="769">
                  <c:v>17249.756633902885</c:v>
                </c:pt>
                <c:pt idx="770">
                  <c:v>17202.621368674434</c:v>
                </c:pt>
                <c:pt idx="771">
                  <c:v>17154.815163639803</c:v>
                </c:pt>
                <c:pt idx="772">
                  <c:v>17106.352581032173</c:v>
                </c:pt>
                <c:pt idx="773">
                  <c:v>17057.248383023652</c:v>
                </c:pt>
                <c:pt idx="774">
                  <c:v>17007.517527228661</c:v>
                </c:pt>
                <c:pt idx="775">
                  <c:v>16957.175162147618</c:v>
                </c:pt>
                <c:pt idx="776">
                  <c:v>16906.236622552602</c:v>
                </c:pt>
                <c:pt idx="777">
                  <c:v>16854.717424816215</c:v>
                </c:pt>
                <c:pt idx="778">
                  <c:v>16802.633262185191</c:v>
                </c:pt>
                <c:pt idx="779">
                  <c:v>16750.000000000004</c:v>
                </c:pt>
                <c:pt idx="780">
                  <c:v>16696.833670862179</c:v>
                </c:pt>
                <c:pt idx="781">
                  <c:v>16643.150469750617</c:v>
                </c:pt>
                <c:pt idx="782">
                  <c:v>16588.966749088417</c:v>
                </c:pt>
                <c:pt idx="783">
                  <c:v>16534.299013761774</c:v>
                </c:pt>
                <c:pt idx="784">
                  <c:v>16479.16391609245</c:v>
                </c:pt>
                <c:pt idx="785">
                  <c:v>16423.578250765306</c:v>
                </c:pt>
                <c:pt idx="786">
                  <c:v>16367.55894971246</c:v>
                </c:pt>
                <c:pt idx="787">
                  <c:v>16311.123076955697</c:v>
                </c:pt>
                <c:pt idx="788">
                  <c:v>16254.287823408547</c:v>
                </c:pt>
                <c:pt idx="789">
                  <c:v>16197.070501639841</c:v>
                </c:pt>
                <c:pt idx="790">
                  <c:v>16139.488540600052</c:v>
                </c:pt>
                <c:pt idx="791">
                  <c:v>16081.559480312311</c:v>
                </c:pt>
                <c:pt idx="792">
                  <c:v>16023.300966529578</c:v>
                </c:pt>
                <c:pt idx="793">
                  <c:v>15964.7307453595</c:v>
                </c:pt>
                <c:pt idx="794">
                  <c:v>15905.866657858829</c:v>
                </c:pt>
                <c:pt idx="795">
                  <c:v>15846.726634598836</c:v>
                </c:pt>
                <c:pt idx="796">
                  <c:v>15787.328690203529</c:v>
                </c:pt>
                <c:pt idx="797">
                  <c:v>15727.690917862164</c:v>
                </c:pt>
                <c:pt idx="798">
                  <c:v>15667.83148381791</c:v>
                </c:pt>
                <c:pt idx="799">
                  <c:v>15607.768621834257</c:v>
                </c:pt>
                <c:pt idx="800">
                  <c:v>15547.520627640813</c:v>
                </c:pt>
                <c:pt idx="801">
                  <c:v>15487.105853360232</c:v>
                </c:pt>
                <c:pt idx="802">
                  <c:v>15426.542701918017</c:v>
                </c:pt>
                <c:pt idx="803">
                  <c:v>15365.849621436784</c:v>
                </c:pt>
                <c:pt idx="804">
                  <c:v>15305.045099616806</c:v>
                </c:pt>
                <c:pt idx="805">
                  <c:v>15244.147658104444</c:v>
                </c:pt>
                <c:pt idx="806">
                  <c:v>15183.175846850299</c:v>
                </c:pt>
                <c:pt idx="807">
                  <c:v>15122.148238458754</c:v>
                </c:pt>
                <c:pt idx="808">
                  <c:v>15061.083422530497</c:v>
                </c:pt>
                <c:pt idx="809">
                  <c:v>15000.000000000007</c:v>
                </c:pt>
                <c:pt idx="810">
                  <c:v>14938.916577469507</c:v>
                </c:pt>
                <c:pt idx="811">
                  <c:v>14877.851761541249</c:v>
                </c:pt>
                <c:pt idx="812">
                  <c:v>14816.824153149704</c:v>
                </c:pt>
                <c:pt idx="813">
                  <c:v>14755.852341895559</c:v>
                </c:pt>
                <c:pt idx="814">
                  <c:v>14694.954900383198</c:v>
                </c:pt>
                <c:pt idx="815">
                  <c:v>14634.150378563219</c:v>
                </c:pt>
                <c:pt idx="816">
                  <c:v>14573.457298081987</c:v>
                </c:pt>
                <c:pt idx="817">
                  <c:v>14512.894146639772</c:v>
                </c:pt>
                <c:pt idx="818">
                  <c:v>14452.47937235919</c:v>
                </c:pt>
                <c:pt idx="819">
                  <c:v>14392.231378165747</c:v>
                </c:pt>
                <c:pt idx="820">
                  <c:v>14332.168516182099</c:v>
                </c:pt>
                <c:pt idx="821">
                  <c:v>14272.309082137841</c:v>
                </c:pt>
                <c:pt idx="822">
                  <c:v>14212.671309796475</c:v>
                </c:pt>
                <c:pt idx="823">
                  <c:v>14153.273365401168</c:v>
                </c:pt>
                <c:pt idx="824">
                  <c:v>14094.133342141175</c:v>
                </c:pt>
                <c:pt idx="825">
                  <c:v>14035.269254640503</c:v>
                </c:pt>
                <c:pt idx="826">
                  <c:v>13976.699033470426</c:v>
                </c:pt>
                <c:pt idx="827">
                  <c:v>13918.440519687692</c:v>
                </c:pt>
                <c:pt idx="828">
                  <c:v>13860.511459399951</c:v>
                </c:pt>
                <c:pt idx="829">
                  <c:v>13802.929498360163</c:v>
                </c:pt>
                <c:pt idx="830">
                  <c:v>13745.712176591449</c:v>
                </c:pt>
                <c:pt idx="831">
                  <c:v>13688.876923044307</c:v>
                </c:pt>
                <c:pt idx="832">
                  <c:v>13632.441050287543</c:v>
                </c:pt>
                <c:pt idx="833">
                  <c:v>13576.4217492347</c:v>
                </c:pt>
                <c:pt idx="834">
                  <c:v>13520.836083907556</c:v>
                </c:pt>
                <c:pt idx="835">
                  <c:v>13465.700986238229</c:v>
                </c:pt>
                <c:pt idx="836">
                  <c:v>13411.033250911585</c:v>
                </c:pt>
                <c:pt idx="837">
                  <c:v>13356.849530249385</c:v>
                </c:pt>
                <c:pt idx="838">
                  <c:v>13303.166329137826</c:v>
                </c:pt>
                <c:pt idx="839">
                  <c:v>13249.999999999998</c:v>
                </c:pt>
                <c:pt idx="840">
                  <c:v>13197.366737814811</c:v>
                </c:pt>
                <c:pt idx="841">
                  <c:v>13145.282575183788</c:v>
                </c:pt>
                <c:pt idx="842">
                  <c:v>13093.763377447402</c:v>
                </c:pt>
                <c:pt idx="843">
                  <c:v>13042.824837852386</c:v>
                </c:pt>
                <c:pt idx="844">
                  <c:v>12992.482472771342</c:v>
                </c:pt>
                <c:pt idx="845">
                  <c:v>12942.751616976346</c:v>
                </c:pt>
                <c:pt idx="846">
                  <c:v>12893.64741896783</c:v>
                </c:pt>
                <c:pt idx="847">
                  <c:v>12845.184836360198</c:v>
                </c:pt>
                <c:pt idx="848">
                  <c:v>12797.37863132557</c:v>
                </c:pt>
                <c:pt idx="849">
                  <c:v>12750.243366097116</c:v>
                </c:pt>
                <c:pt idx="850">
                  <c:v>12703.793398533227</c:v>
                </c:pt>
                <c:pt idx="851">
                  <c:v>12658.042877743996</c:v>
                </c:pt>
                <c:pt idx="852">
                  <c:v>12613.005739781258</c:v>
                </c:pt>
                <c:pt idx="853">
                  <c:v>12568.695703393507</c:v>
                </c:pt>
                <c:pt idx="854">
                  <c:v>12525.126265847082</c:v>
                </c:pt>
                <c:pt idx="855">
                  <c:v>12482.310698814723</c:v>
                </c:pt>
                <c:pt idx="856">
                  <c:v>12440.262044332907</c:v>
                </c:pt>
                <c:pt idx="857">
                  <c:v>12398.993110829118</c:v>
                </c:pt>
                <c:pt idx="858">
                  <c:v>12358.5164692203</c:v>
                </c:pt>
                <c:pt idx="859">
                  <c:v>12318.844449083581</c:v>
                </c:pt>
                <c:pt idx="860">
                  <c:v>12279.989134900603</c:v>
                </c:pt>
                <c:pt idx="861">
                  <c:v>12241.962362376475</c:v>
                </c:pt>
                <c:pt idx="862">
                  <c:v>12204.775714834477</c:v>
                </c:pt>
                <c:pt idx="863">
                  <c:v>12168.440519687685</c:v>
                </c:pt>
                <c:pt idx="864">
                  <c:v>12132.967844988529</c:v>
                </c:pt>
                <c:pt idx="865">
                  <c:v>12098.368496057352</c:v>
                </c:pt>
                <c:pt idx="866">
                  <c:v>12064.653012191016</c:v>
                </c:pt>
                <c:pt idx="867">
                  <c:v>12031.831663452511</c:v>
                </c:pt>
                <c:pt idx="868">
                  <c:v>11999.914447542606</c:v>
                </c:pt>
                <c:pt idx="869">
                  <c:v>11968.911086754466</c:v>
                </c:pt>
                <c:pt idx="870">
                  <c:v>11938.831025012116</c:v>
                </c:pt>
                <c:pt idx="871">
                  <c:v>11909.68342499376</c:v>
                </c:pt>
                <c:pt idx="872">
                  <c:v>11881.477165340712</c:v>
                </c:pt>
                <c:pt idx="873">
                  <c:v>11854.220837952917</c:v>
                </c:pt>
                <c:pt idx="874">
                  <c:v>11827.922745371729</c:v>
                </c:pt>
                <c:pt idx="875">
                  <c:v>11802.590898250895</c:v>
                </c:pt>
                <c:pt idx="876">
                  <c:v>11778.233012916458</c:v>
                </c:pt>
                <c:pt idx="877">
                  <c:v>11754.856509016246</c:v>
                </c:pt>
                <c:pt idx="878">
                  <c:v>11732.468507259795</c:v>
                </c:pt>
                <c:pt idx="879">
                  <c:v>11711.07582724932</c:v>
                </c:pt>
                <c:pt idx="880">
                  <c:v>11690.684985402391</c:v>
                </c:pt>
                <c:pt idx="881">
                  <c:v>11671.302192966963</c:v>
                </c:pt>
                <c:pt idx="882">
                  <c:v>11652.933354129378</c:v>
                </c:pt>
                <c:pt idx="883">
                  <c:v>11635.584064215884</c:v>
                </c:pt>
                <c:pt idx="884">
                  <c:v>11619.259607988261</c:v>
                </c:pt>
                <c:pt idx="885">
                  <c:v>11603.964958034014</c:v>
                </c:pt>
                <c:pt idx="886">
                  <c:v>11589.704773251677</c:v>
                </c:pt>
                <c:pt idx="887">
                  <c:v>11576.483397431681</c:v>
                </c:pt>
                <c:pt idx="888">
                  <c:v>11564.304857933177</c:v>
                </c:pt>
                <c:pt idx="889">
                  <c:v>11553.172864457272</c:v>
                </c:pt>
                <c:pt idx="890">
                  <c:v>11543.090807917019</c:v>
                </c:pt>
                <c:pt idx="891">
                  <c:v>11534.061759404503</c:v>
                </c:pt>
                <c:pt idx="892">
                  <c:v>11526.088469255374</c:v>
                </c:pt>
                <c:pt idx="893">
                  <c:v>11519.173366211044</c:v>
                </c:pt>
                <c:pt idx="894">
                  <c:v>11513.318556678891</c:v>
                </c:pt>
                <c:pt idx="895">
                  <c:v>11508.525824090615</c:v>
                </c:pt>
                <c:pt idx="896">
                  <c:v>11504.796628358992</c:v>
                </c:pt>
                <c:pt idx="897">
                  <c:v>11502.132105433164</c:v>
                </c:pt>
                <c:pt idx="898">
                  <c:v>11500.53306695263</c:v>
                </c:pt>
                <c:pt idx="899">
                  <c:v>11500</c:v>
                </c:pt>
                <c:pt idx="900">
                  <c:v>11500.53306695263</c:v>
                </c:pt>
                <c:pt idx="901">
                  <c:v>11502.132105433166</c:v>
                </c:pt>
                <c:pt idx="902">
                  <c:v>11504.796628358992</c:v>
                </c:pt>
                <c:pt idx="903">
                  <c:v>11508.525824090615</c:v>
                </c:pt>
                <c:pt idx="904">
                  <c:v>11513.318556678889</c:v>
                </c:pt>
                <c:pt idx="905">
                  <c:v>11519.173366211044</c:v>
                </c:pt>
                <c:pt idx="906">
                  <c:v>11526.088469255372</c:v>
                </c:pt>
                <c:pt idx="907">
                  <c:v>11534.061759404503</c:v>
                </c:pt>
                <c:pt idx="908">
                  <c:v>11543.090807917019</c:v>
                </c:pt>
                <c:pt idx="909">
                  <c:v>11553.172864457272</c:v>
                </c:pt>
                <c:pt idx="910">
                  <c:v>11564.304857933177</c:v>
                </c:pt>
                <c:pt idx="911">
                  <c:v>11576.483397431679</c:v>
                </c:pt>
                <c:pt idx="912">
                  <c:v>11589.704773251677</c:v>
                </c:pt>
                <c:pt idx="913">
                  <c:v>11603.964958034012</c:v>
                </c:pt>
                <c:pt idx="914">
                  <c:v>11619.259607988261</c:v>
                </c:pt>
                <c:pt idx="915">
                  <c:v>11635.584064215882</c:v>
                </c:pt>
                <c:pt idx="916">
                  <c:v>11652.933354129374</c:v>
                </c:pt>
                <c:pt idx="917">
                  <c:v>11671.302192966959</c:v>
                </c:pt>
                <c:pt idx="918">
                  <c:v>11690.684985402391</c:v>
                </c:pt>
                <c:pt idx="919">
                  <c:v>11711.075827249319</c:v>
                </c:pt>
                <c:pt idx="920">
                  <c:v>11732.468507259797</c:v>
                </c:pt>
                <c:pt idx="921">
                  <c:v>11754.856509016245</c:v>
                </c:pt>
                <c:pt idx="922">
                  <c:v>11778.233012916458</c:v>
                </c:pt>
                <c:pt idx="923">
                  <c:v>11802.590898250899</c:v>
                </c:pt>
                <c:pt idx="924">
                  <c:v>11827.922745371725</c:v>
                </c:pt>
                <c:pt idx="925">
                  <c:v>11854.220837952915</c:v>
                </c:pt>
                <c:pt idx="926">
                  <c:v>11881.47716534071</c:v>
                </c:pt>
                <c:pt idx="927">
                  <c:v>11909.683424993756</c:v>
                </c:pt>
                <c:pt idx="928">
                  <c:v>11938.831025012114</c:v>
                </c:pt>
                <c:pt idx="929">
                  <c:v>11968.911086754462</c:v>
                </c:pt>
                <c:pt idx="930">
                  <c:v>11999.914447542609</c:v>
                </c:pt>
                <c:pt idx="931">
                  <c:v>12031.831663452509</c:v>
                </c:pt>
                <c:pt idx="932">
                  <c:v>12064.653012191015</c:v>
                </c:pt>
                <c:pt idx="933">
                  <c:v>12098.36849605735</c:v>
                </c:pt>
                <c:pt idx="934">
                  <c:v>12132.967844988529</c:v>
                </c:pt>
                <c:pt idx="935">
                  <c:v>12168.440519687683</c:v>
                </c:pt>
                <c:pt idx="936">
                  <c:v>12204.775714834472</c:v>
                </c:pt>
                <c:pt idx="937">
                  <c:v>12241.962362376467</c:v>
                </c:pt>
                <c:pt idx="938">
                  <c:v>12279.989134900601</c:v>
                </c:pt>
                <c:pt idx="939">
                  <c:v>12318.844449083574</c:v>
                </c:pt>
                <c:pt idx="940">
                  <c:v>12358.516469220292</c:v>
                </c:pt>
                <c:pt idx="941">
                  <c:v>12398.99311082912</c:v>
                </c:pt>
                <c:pt idx="942">
                  <c:v>12440.2620443329</c:v>
                </c:pt>
                <c:pt idx="943">
                  <c:v>12482.310698814716</c:v>
                </c:pt>
                <c:pt idx="944">
                  <c:v>12525.126265847075</c:v>
                </c:pt>
                <c:pt idx="945">
                  <c:v>12568.695703393507</c:v>
                </c:pt>
                <c:pt idx="946">
                  <c:v>12613.005739781251</c:v>
                </c:pt>
                <c:pt idx="947">
                  <c:v>12658.042877743997</c:v>
                </c:pt>
                <c:pt idx="948">
                  <c:v>12703.793398533224</c:v>
                </c:pt>
                <c:pt idx="949">
                  <c:v>12750.243366097107</c:v>
                </c:pt>
                <c:pt idx="950">
                  <c:v>12797.378631325571</c:v>
                </c:pt>
                <c:pt idx="951">
                  <c:v>12845.184836360195</c:v>
                </c:pt>
                <c:pt idx="952">
                  <c:v>12893.647418967827</c:v>
                </c:pt>
                <c:pt idx="953">
                  <c:v>12942.751616976348</c:v>
                </c:pt>
                <c:pt idx="954">
                  <c:v>12992.482472771339</c:v>
                </c:pt>
                <c:pt idx="955">
                  <c:v>13042.824837852382</c:v>
                </c:pt>
                <c:pt idx="956">
                  <c:v>13093.763377447409</c:v>
                </c:pt>
                <c:pt idx="957">
                  <c:v>13145.282575183785</c:v>
                </c:pt>
                <c:pt idx="958">
                  <c:v>13197.366737814807</c:v>
                </c:pt>
                <c:pt idx="959">
                  <c:v>13249.999999999995</c:v>
                </c:pt>
                <c:pt idx="960">
                  <c:v>13303.166329137823</c:v>
                </c:pt>
                <c:pt idx="961">
                  <c:v>13356.849530249381</c:v>
                </c:pt>
                <c:pt idx="962">
                  <c:v>13411.033250911581</c:v>
                </c:pt>
                <c:pt idx="963">
                  <c:v>13465.700986238233</c:v>
                </c:pt>
                <c:pt idx="964">
                  <c:v>13520.836083907552</c:v>
                </c:pt>
                <c:pt idx="965">
                  <c:v>13576.421749234694</c:v>
                </c:pt>
                <c:pt idx="966">
                  <c:v>13632.441050287534</c:v>
                </c:pt>
                <c:pt idx="967">
                  <c:v>13688.876923044309</c:v>
                </c:pt>
                <c:pt idx="968">
                  <c:v>13745.712176591445</c:v>
                </c:pt>
                <c:pt idx="969">
                  <c:v>13802.929498360152</c:v>
                </c:pt>
                <c:pt idx="970">
                  <c:v>13860.511459399953</c:v>
                </c:pt>
                <c:pt idx="971">
                  <c:v>13918.440519687681</c:v>
                </c:pt>
                <c:pt idx="972">
                  <c:v>13976.699033470415</c:v>
                </c:pt>
                <c:pt idx="973">
                  <c:v>14035.269254640494</c:v>
                </c:pt>
                <c:pt idx="974">
                  <c:v>14094.133342141176</c:v>
                </c:pt>
                <c:pt idx="975">
                  <c:v>14153.273365401157</c:v>
                </c:pt>
                <c:pt idx="976">
                  <c:v>14212.671309796464</c:v>
                </c:pt>
                <c:pt idx="977">
                  <c:v>14272.309082137843</c:v>
                </c:pt>
                <c:pt idx="978">
                  <c:v>14332.16851618209</c:v>
                </c:pt>
                <c:pt idx="979">
                  <c:v>14392.231378165736</c:v>
                </c:pt>
                <c:pt idx="980">
                  <c:v>14452.479372359192</c:v>
                </c:pt>
                <c:pt idx="981">
                  <c:v>14512.894146639768</c:v>
                </c:pt>
                <c:pt idx="982">
                  <c:v>14573.45729808199</c:v>
                </c:pt>
                <c:pt idx="983">
                  <c:v>14634.150378563214</c:v>
                </c:pt>
                <c:pt idx="984">
                  <c:v>14694.954900383194</c:v>
                </c:pt>
                <c:pt idx="985">
                  <c:v>14755.852341895568</c:v>
                </c:pt>
                <c:pt idx="986">
                  <c:v>14816.824153149699</c:v>
                </c:pt>
                <c:pt idx="987">
                  <c:v>14877.851761541246</c:v>
                </c:pt>
                <c:pt idx="988">
                  <c:v>14938.916577469503</c:v>
                </c:pt>
                <c:pt idx="989">
                  <c:v>15000.000000000004</c:v>
                </c:pt>
                <c:pt idx="990">
                  <c:v>15061.083422530492</c:v>
                </c:pt>
                <c:pt idx="991">
                  <c:v>15122.148238458749</c:v>
                </c:pt>
                <c:pt idx="992">
                  <c:v>15183.175846850309</c:v>
                </c:pt>
                <c:pt idx="993">
                  <c:v>15244.147658104439</c:v>
                </c:pt>
                <c:pt idx="994">
                  <c:v>15305.0450996168</c:v>
                </c:pt>
                <c:pt idx="995">
                  <c:v>15365.849621436781</c:v>
                </c:pt>
                <c:pt idx="996">
                  <c:v>15426.542701918019</c:v>
                </c:pt>
                <c:pt idx="997">
                  <c:v>15487.105853360228</c:v>
                </c:pt>
                <c:pt idx="998">
                  <c:v>15547.520627640803</c:v>
                </c:pt>
                <c:pt idx="999">
                  <c:v>15607.768621834248</c:v>
                </c:pt>
              </c:numCache>
            </c:numRef>
          </c:xVal>
          <c:yVal>
            <c:numRef>
              <c:f>Calculs!$AT$6:$AT$1005</c:f>
              <c:numCache>
                <c:formatCode>0.000</c:formatCode>
                <c:ptCount val="1000"/>
                <c:pt idx="0">
                  <c:v>-4938.9165774695075</c:v>
                </c:pt>
                <c:pt idx="1">
                  <c:v>-4877.8517615412466</c:v>
                </c:pt>
                <c:pt idx="2">
                  <c:v>-4816.8241531496969</c:v>
                </c:pt>
                <c:pt idx="3">
                  <c:v>-4755.852341895561</c:v>
                </c:pt>
                <c:pt idx="4">
                  <c:v>-4694.9549003831962</c:v>
                </c:pt>
                <c:pt idx="5">
                  <c:v>-4634.1503785632131</c:v>
                </c:pt>
                <c:pt idx="6">
                  <c:v>-4573.4572980819839</c:v>
                </c:pt>
                <c:pt idx="7">
                  <c:v>-4512.894146639771</c:v>
                </c:pt>
                <c:pt idx="8">
                  <c:v>-4452.479372359192</c:v>
                </c:pt>
                <c:pt idx="9">
                  <c:v>-4392.231378165744</c:v>
                </c:pt>
                <c:pt idx="10">
                  <c:v>-4332.1685161820933</c:v>
                </c:pt>
                <c:pt idx="11">
                  <c:v>-4272.3090821378428</c:v>
                </c:pt>
                <c:pt idx="12">
                  <c:v>-4212.671309796473</c:v>
                </c:pt>
                <c:pt idx="13">
                  <c:v>-4153.2733654011627</c:v>
                </c:pt>
                <c:pt idx="14">
                  <c:v>-4094.1333421411773</c:v>
                </c:pt>
                <c:pt idx="15">
                  <c:v>-4035.2692546405028</c:v>
                </c:pt>
                <c:pt idx="16">
                  <c:v>-3976.6990334704215</c:v>
                </c:pt>
                <c:pt idx="17">
                  <c:v>-3918.4405196876842</c:v>
                </c:pt>
                <c:pt idx="18">
                  <c:v>-3860.5114593999515</c:v>
                </c:pt>
                <c:pt idx="19">
                  <c:v>-3802.9294983601594</c:v>
                </c:pt>
                <c:pt idx="20">
                  <c:v>-3745.712176591449</c:v>
                </c:pt>
                <c:pt idx="21">
                  <c:v>-3688.8769230443077</c:v>
                </c:pt>
                <c:pt idx="22">
                  <c:v>-3632.4410502875417</c:v>
                </c:pt>
                <c:pt idx="23">
                  <c:v>-3576.4217492346997</c:v>
                </c:pt>
                <c:pt idx="24">
                  <c:v>-3520.8360839075522</c:v>
                </c:pt>
                <c:pt idx="25">
                  <c:v>-3465.7009862382292</c:v>
                </c:pt>
                <c:pt idx="26">
                  <c:v>-3411.0332509115865</c:v>
                </c:pt>
                <c:pt idx="27">
                  <c:v>-3356.849530249382</c:v>
                </c:pt>
                <c:pt idx="28">
                  <c:v>-3303.16632913782</c:v>
                </c:pt>
                <c:pt idx="29">
                  <c:v>-3250</c:v>
                </c:pt>
                <c:pt idx="30">
                  <c:v>-3197.3667378148102</c:v>
                </c:pt>
                <c:pt idx="31">
                  <c:v>-3145.2825751837827</c:v>
                </c:pt>
                <c:pt idx="32">
                  <c:v>-3093.7633774474052</c:v>
                </c:pt>
                <c:pt idx="33">
                  <c:v>-3042.8248378523858</c:v>
                </c:pt>
                <c:pt idx="34">
                  <c:v>-2992.4824727713385</c:v>
                </c:pt>
                <c:pt idx="35">
                  <c:v>-2942.7516169763439</c:v>
                </c:pt>
                <c:pt idx="36">
                  <c:v>-2893.6474189678311</c:v>
                </c:pt>
                <c:pt idx="37">
                  <c:v>-2845.1848363601962</c:v>
                </c:pt>
                <c:pt idx="38">
                  <c:v>-2797.3786313255691</c:v>
                </c:pt>
                <c:pt idx="39">
                  <c:v>-2750.2433660971128</c:v>
                </c:pt>
                <c:pt idx="40">
                  <c:v>-2703.7933985332247</c:v>
                </c:pt>
                <c:pt idx="41">
                  <c:v>-2658.0428777439961</c:v>
                </c:pt>
                <c:pt idx="42">
                  <c:v>-2613.0057397812552</c:v>
                </c:pt>
                <c:pt idx="43">
                  <c:v>-2568.6957033935096</c:v>
                </c:pt>
                <c:pt idx="44">
                  <c:v>-2525.1262658470837</c:v>
                </c:pt>
                <c:pt idx="45">
                  <c:v>-2482.310698814721</c:v>
                </c:pt>
                <c:pt idx="46">
                  <c:v>-2440.2620443329033</c:v>
                </c:pt>
                <c:pt idx="47">
                  <c:v>-2398.9931108291207</c:v>
                </c:pt>
                <c:pt idx="48">
                  <c:v>-2358.5164692202979</c:v>
                </c:pt>
                <c:pt idx="49">
                  <c:v>-2318.8444490835768</c:v>
                </c:pt>
                <c:pt idx="50">
                  <c:v>-2279.989134900602</c:v>
                </c:pt>
                <c:pt idx="51">
                  <c:v>-2241.9623623764728</c:v>
                </c:pt>
                <c:pt idx="52">
                  <c:v>-2204.7757148344749</c:v>
                </c:pt>
                <c:pt idx="53">
                  <c:v>-2168.4405196876837</c:v>
                </c:pt>
                <c:pt idx="54">
                  <c:v>-2132.9678449885287</c:v>
                </c:pt>
                <c:pt idx="55">
                  <c:v>-2098.3684960573542</c:v>
                </c:pt>
                <c:pt idx="56">
                  <c:v>-2064.6530121910164</c:v>
                </c:pt>
                <c:pt idx="57">
                  <c:v>-2031.831663452509</c:v>
                </c:pt>
                <c:pt idx="58">
                  <c:v>-1999.9144475426074</c:v>
                </c:pt>
                <c:pt idx="59">
                  <c:v>-1968.911086754465</c:v>
                </c:pt>
                <c:pt idx="60">
                  <c:v>-1938.8310250121149</c:v>
                </c:pt>
                <c:pt idx="61">
                  <c:v>-1909.683424993756</c:v>
                </c:pt>
                <c:pt idx="62">
                  <c:v>-1881.4771653407129</c:v>
                </c:pt>
                <c:pt idx="63">
                  <c:v>-1854.2208379529152</c:v>
                </c:pt>
                <c:pt idx="64">
                  <c:v>-1827.9227453717253</c:v>
                </c:pt>
                <c:pt idx="65">
                  <c:v>-1802.5908982508968</c:v>
                </c:pt>
                <c:pt idx="66">
                  <c:v>-1778.2330129164593</c:v>
                </c:pt>
                <c:pt idx="67">
                  <c:v>-1754.8565090162442</c:v>
                </c:pt>
                <c:pt idx="68">
                  <c:v>-1732.468507259794</c:v>
                </c:pt>
                <c:pt idx="69">
                  <c:v>-1711.0758272493208</c:v>
                </c:pt>
                <c:pt idx="70">
                  <c:v>-1690.6849854023912</c:v>
                </c:pt>
                <c:pt idx="71">
                  <c:v>-1671.3021929669626</c:v>
                </c:pt>
                <c:pt idx="72">
                  <c:v>-1652.9333541293759</c:v>
                </c:pt>
                <c:pt idx="73">
                  <c:v>-1635.5840642158837</c:v>
                </c:pt>
                <c:pt idx="74">
                  <c:v>-1619.259607988261</c:v>
                </c:pt>
                <c:pt idx="75">
                  <c:v>-1603.9649580340124</c:v>
                </c:pt>
                <c:pt idx="76">
                  <c:v>-1589.7047732516767</c:v>
                </c:pt>
                <c:pt idx="77">
                  <c:v>-1576.4833974316803</c:v>
                </c:pt>
                <c:pt idx="78">
                  <c:v>-1564.3048579331762</c:v>
                </c:pt>
                <c:pt idx="79">
                  <c:v>-1553.1728644572718</c:v>
                </c:pt>
                <c:pt idx="80">
                  <c:v>-1543.0908079170176</c:v>
                </c:pt>
                <c:pt idx="81">
                  <c:v>-1534.0617594045043</c:v>
                </c:pt>
                <c:pt idx="82">
                  <c:v>-1526.0884692553732</c:v>
                </c:pt>
                <c:pt idx="83">
                  <c:v>-1519.1733662110437</c:v>
                </c:pt>
                <c:pt idx="84">
                  <c:v>-1513.3185566788907</c:v>
                </c:pt>
                <c:pt idx="85">
                  <c:v>-1508.5258240906155</c:v>
                </c:pt>
                <c:pt idx="86">
                  <c:v>-1504.7966283589917</c:v>
                </c:pt>
                <c:pt idx="87">
                  <c:v>-1502.1321054331647</c:v>
                </c:pt>
                <c:pt idx="88">
                  <c:v>-1500.5330669526306</c:v>
                </c:pt>
                <c:pt idx="89">
                  <c:v>-1500</c:v>
                </c:pt>
                <c:pt idx="90">
                  <c:v>-1500.5330669526306</c:v>
                </c:pt>
                <c:pt idx="91">
                  <c:v>-1502.1321054331647</c:v>
                </c:pt>
                <c:pt idx="92">
                  <c:v>-1504.7966283589917</c:v>
                </c:pt>
                <c:pt idx="93">
                  <c:v>-1508.5258240906155</c:v>
                </c:pt>
                <c:pt idx="94">
                  <c:v>-1513.3185566788907</c:v>
                </c:pt>
                <c:pt idx="95">
                  <c:v>-1519.1733662110432</c:v>
                </c:pt>
                <c:pt idx="96">
                  <c:v>-1526.0884692553727</c:v>
                </c:pt>
                <c:pt idx="97">
                  <c:v>-1534.0617594045038</c:v>
                </c:pt>
                <c:pt idx="98">
                  <c:v>-1543.0908079170181</c:v>
                </c:pt>
                <c:pt idx="99">
                  <c:v>-1553.1728644572718</c:v>
                </c:pt>
                <c:pt idx="100">
                  <c:v>-1564.3048579331762</c:v>
                </c:pt>
                <c:pt idx="101">
                  <c:v>-1576.4833974316803</c:v>
                </c:pt>
                <c:pt idx="102">
                  <c:v>-1589.7047732516767</c:v>
                </c:pt>
                <c:pt idx="103">
                  <c:v>-1603.9649580340124</c:v>
                </c:pt>
                <c:pt idx="104">
                  <c:v>-1619.259607988261</c:v>
                </c:pt>
                <c:pt idx="105">
                  <c:v>-1635.5840642158837</c:v>
                </c:pt>
                <c:pt idx="106">
                  <c:v>-1652.9333541293754</c:v>
                </c:pt>
                <c:pt idx="107">
                  <c:v>-1671.3021929669621</c:v>
                </c:pt>
                <c:pt idx="108">
                  <c:v>-1690.6849854023912</c:v>
                </c:pt>
                <c:pt idx="109">
                  <c:v>-1711.0758272493204</c:v>
                </c:pt>
                <c:pt idx="110">
                  <c:v>-1732.468507259794</c:v>
                </c:pt>
                <c:pt idx="111">
                  <c:v>-1754.8565090162442</c:v>
                </c:pt>
                <c:pt idx="112">
                  <c:v>-1778.2330129164588</c:v>
                </c:pt>
                <c:pt idx="113">
                  <c:v>-1802.5908982508968</c:v>
                </c:pt>
                <c:pt idx="114">
                  <c:v>-1827.9227453717249</c:v>
                </c:pt>
                <c:pt idx="115">
                  <c:v>-1854.2208379529156</c:v>
                </c:pt>
                <c:pt idx="116">
                  <c:v>-1881.4771653407124</c:v>
                </c:pt>
                <c:pt idx="117">
                  <c:v>-1909.6834249937551</c:v>
                </c:pt>
                <c:pt idx="118">
                  <c:v>-1938.8310250121144</c:v>
                </c:pt>
                <c:pt idx="119">
                  <c:v>-1968.9110867544646</c:v>
                </c:pt>
                <c:pt idx="120">
                  <c:v>-1999.9144475426069</c:v>
                </c:pt>
                <c:pt idx="121">
                  <c:v>-2031.8316634525086</c:v>
                </c:pt>
                <c:pt idx="122">
                  <c:v>-2064.6530121910164</c:v>
                </c:pt>
                <c:pt idx="123">
                  <c:v>-2098.3684960573542</c:v>
                </c:pt>
                <c:pt idx="124">
                  <c:v>-2132.9678449885278</c:v>
                </c:pt>
                <c:pt idx="125">
                  <c:v>-2168.4405196876837</c:v>
                </c:pt>
                <c:pt idx="126">
                  <c:v>-2204.7757148344754</c:v>
                </c:pt>
                <c:pt idx="127">
                  <c:v>-2241.9623623764728</c:v>
                </c:pt>
                <c:pt idx="128">
                  <c:v>-2279.9891349006016</c:v>
                </c:pt>
                <c:pt idx="129">
                  <c:v>-2318.8444490835768</c:v>
                </c:pt>
                <c:pt idx="130">
                  <c:v>-2358.5164692202989</c:v>
                </c:pt>
                <c:pt idx="131">
                  <c:v>-2398.9931108291203</c:v>
                </c:pt>
                <c:pt idx="132">
                  <c:v>-2440.2620443329029</c:v>
                </c:pt>
                <c:pt idx="133">
                  <c:v>-2482.3106988147201</c:v>
                </c:pt>
                <c:pt idx="134">
                  <c:v>-2525.1262658470837</c:v>
                </c:pt>
                <c:pt idx="135">
                  <c:v>-2568.69570339351</c:v>
                </c:pt>
                <c:pt idx="136">
                  <c:v>-2613.0057397812548</c:v>
                </c:pt>
                <c:pt idx="137">
                  <c:v>-2658.0428777439956</c:v>
                </c:pt>
                <c:pt idx="138">
                  <c:v>-2703.7933985332247</c:v>
                </c:pt>
                <c:pt idx="139">
                  <c:v>-2750.2433660971119</c:v>
                </c:pt>
                <c:pt idx="140">
                  <c:v>-2797.3786313255678</c:v>
                </c:pt>
                <c:pt idx="141">
                  <c:v>-2845.1848363601957</c:v>
                </c:pt>
                <c:pt idx="142">
                  <c:v>-2893.6474189678315</c:v>
                </c:pt>
                <c:pt idx="143">
                  <c:v>-2942.7516169763435</c:v>
                </c:pt>
                <c:pt idx="144">
                  <c:v>-2992.4824727713376</c:v>
                </c:pt>
                <c:pt idx="145">
                  <c:v>-3042.8248378523858</c:v>
                </c:pt>
                <c:pt idx="146">
                  <c:v>-3093.7633774474057</c:v>
                </c:pt>
                <c:pt idx="147">
                  <c:v>-3145.2825751837827</c:v>
                </c:pt>
                <c:pt idx="148">
                  <c:v>-3197.3667378148098</c:v>
                </c:pt>
                <c:pt idx="149">
                  <c:v>-3250</c:v>
                </c:pt>
                <c:pt idx="150">
                  <c:v>-3303.16632913782</c:v>
                </c:pt>
                <c:pt idx="151">
                  <c:v>-3356.8495302493811</c:v>
                </c:pt>
                <c:pt idx="152">
                  <c:v>-3411.033250911586</c:v>
                </c:pt>
                <c:pt idx="153">
                  <c:v>-3465.7009862382292</c:v>
                </c:pt>
                <c:pt idx="154">
                  <c:v>-3520.8360839075517</c:v>
                </c:pt>
                <c:pt idx="155">
                  <c:v>-3576.4217492346984</c:v>
                </c:pt>
                <c:pt idx="156">
                  <c:v>-3632.4410502875407</c:v>
                </c:pt>
                <c:pt idx="157">
                  <c:v>-3688.8769230443072</c:v>
                </c:pt>
                <c:pt idx="158">
                  <c:v>-3745.712176591449</c:v>
                </c:pt>
                <c:pt idx="159">
                  <c:v>-3802.929498360159</c:v>
                </c:pt>
                <c:pt idx="160">
                  <c:v>-3860.5114593999506</c:v>
                </c:pt>
                <c:pt idx="161">
                  <c:v>-3918.4405196876837</c:v>
                </c:pt>
                <c:pt idx="162">
                  <c:v>-3976.6990334704205</c:v>
                </c:pt>
                <c:pt idx="163">
                  <c:v>-4035.2692546405015</c:v>
                </c:pt>
                <c:pt idx="164">
                  <c:v>-4094.1333421411764</c:v>
                </c:pt>
                <c:pt idx="165">
                  <c:v>-4153.2733654011627</c:v>
                </c:pt>
                <c:pt idx="166">
                  <c:v>-4212.671309796473</c:v>
                </c:pt>
                <c:pt idx="167">
                  <c:v>-4272.3090821378428</c:v>
                </c:pt>
                <c:pt idx="168">
                  <c:v>-4332.1685161820924</c:v>
                </c:pt>
                <c:pt idx="169">
                  <c:v>-4392.231378165744</c:v>
                </c:pt>
                <c:pt idx="170">
                  <c:v>-4452.479372359192</c:v>
                </c:pt>
                <c:pt idx="171">
                  <c:v>-4512.89414663977</c:v>
                </c:pt>
                <c:pt idx="172">
                  <c:v>-4573.4572980819839</c:v>
                </c:pt>
                <c:pt idx="173">
                  <c:v>-4634.1503785632121</c:v>
                </c:pt>
                <c:pt idx="174">
                  <c:v>-4694.9549003831944</c:v>
                </c:pt>
                <c:pt idx="175">
                  <c:v>-4755.852341895561</c:v>
                </c:pt>
                <c:pt idx="176">
                  <c:v>-4816.8241531496969</c:v>
                </c:pt>
                <c:pt idx="177">
                  <c:v>-4877.8517615412475</c:v>
                </c:pt>
                <c:pt idx="178">
                  <c:v>-4938.9165774695084</c:v>
                </c:pt>
                <c:pt idx="179">
                  <c:v>-5000</c:v>
                </c:pt>
                <c:pt idx="180">
                  <c:v>-5061.0834225304916</c:v>
                </c:pt>
                <c:pt idx="181">
                  <c:v>-5122.1482384587534</c:v>
                </c:pt>
                <c:pt idx="182">
                  <c:v>-5183.1758468503022</c:v>
                </c:pt>
                <c:pt idx="183">
                  <c:v>-5244.1476581044371</c:v>
                </c:pt>
                <c:pt idx="184">
                  <c:v>-5305.0450996168029</c:v>
                </c:pt>
                <c:pt idx="185">
                  <c:v>-5365.849621436786</c:v>
                </c:pt>
                <c:pt idx="186">
                  <c:v>-5426.542701918017</c:v>
                </c:pt>
                <c:pt idx="187">
                  <c:v>-5487.105853360229</c:v>
                </c:pt>
                <c:pt idx="188">
                  <c:v>-5547.520627640808</c:v>
                </c:pt>
                <c:pt idx="189">
                  <c:v>-5607.7686218342569</c:v>
                </c:pt>
                <c:pt idx="190">
                  <c:v>-5667.8314838179067</c:v>
                </c:pt>
                <c:pt idx="191">
                  <c:v>-5727.6909178621572</c:v>
                </c:pt>
                <c:pt idx="192">
                  <c:v>-5787.328690203527</c:v>
                </c:pt>
                <c:pt idx="193">
                  <c:v>-5846.7266345988364</c:v>
                </c:pt>
                <c:pt idx="194">
                  <c:v>-5905.8666578588209</c:v>
                </c:pt>
                <c:pt idx="195">
                  <c:v>-5964.7307453594967</c:v>
                </c:pt>
                <c:pt idx="196">
                  <c:v>-6023.3009665295776</c:v>
                </c:pt>
                <c:pt idx="197">
                  <c:v>-6081.5594803123167</c:v>
                </c:pt>
                <c:pt idx="198">
                  <c:v>-6139.4885406000485</c:v>
                </c:pt>
                <c:pt idx="199">
                  <c:v>-6197.0705016398406</c:v>
                </c:pt>
                <c:pt idx="200">
                  <c:v>-6254.287823408551</c:v>
                </c:pt>
                <c:pt idx="201">
                  <c:v>-6311.1230769556923</c:v>
                </c:pt>
                <c:pt idx="202">
                  <c:v>-6367.5589497124574</c:v>
                </c:pt>
                <c:pt idx="203">
                  <c:v>-6423.5782507652993</c:v>
                </c:pt>
                <c:pt idx="204">
                  <c:v>-6479.1639160924478</c:v>
                </c:pt>
                <c:pt idx="205">
                  <c:v>-6534.2990137617699</c:v>
                </c:pt>
                <c:pt idx="206">
                  <c:v>-6588.9667490884121</c:v>
                </c:pt>
                <c:pt idx="207">
                  <c:v>-6643.150469750618</c:v>
                </c:pt>
                <c:pt idx="208">
                  <c:v>-6696.8336708621791</c:v>
                </c:pt>
                <c:pt idx="209">
                  <c:v>-6750</c:v>
                </c:pt>
                <c:pt idx="210">
                  <c:v>-6802.6332621851898</c:v>
                </c:pt>
                <c:pt idx="211">
                  <c:v>-6854.7174248162173</c:v>
                </c:pt>
                <c:pt idx="212">
                  <c:v>-6906.2366225525948</c:v>
                </c:pt>
                <c:pt idx="213">
                  <c:v>-6957.1751621476133</c:v>
                </c:pt>
                <c:pt idx="214">
                  <c:v>-7007.5175272286606</c:v>
                </c:pt>
                <c:pt idx="215">
                  <c:v>-7057.2483830236561</c:v>
                </c:pt>
                <c:pt idx="216">
                  <c:v>-7106.352581032168</c:v>
                </c:pt>
                <c:pt idx="217">
                  <c:v>-7154.8151636398024</c:v>
                </c:pt>
                <c:pt idx="218">
                  <c:v>-7202.6213686744322</c:v>
                </c:pt>
                <c:pt idx="219">
                  <c:v>-7249.7566339028872</c:v>
                </c:pt>
                <c:pt idx="220">
                  <c:v>-7296.2066014667762</c:v>
                </c:pt>
                <c:pt idx="221">
                  <c:v>-7341.9571222560044</c:v>
                </c:pt>
                <c:pt idx="222">
                  <c:v>-7386.9942602187439</c:v>
                </c:pt>
                <c:pt idx="223">
                  <c:v>-7431.3042966064913</c:v>
                </c:pt>
                <c:pt idx="224">
                  <c:v>-7474.8737341529159</c:v>
                </c:pt>
                <c:pt idx="225">
                  <c:v>-7517.6893011852781</c:v>
                </c:pt>
                <c:pt idx="226">
                  <c:v>-7559.7379556670949</c:v>
                </c:pt>
                <c:pt idx="227">
                  <c:v>-7601.0068891708797</c:v>
                </c:pt>
                <c:pt idx="228">
                  <c:v>-7641.4835307797002</c:v>
                </c:pt>
                <c:pt idx="229">
                  <c:v>-7681.1555509164227</c:v>
                </c:pt>
                <c:pt idx="230">
                  <c:v>-7720.0108650993989</c:v>
                </c:pt>
                <c:pt idx="231">
                  <c:v>-7758.0376376235272</c:v>
                </c:pt>
                <c:pt idx="232">
                  <c:v>-7795.2242851655246</c:v>
                </c:pt>
                <c:pt idx="233">
                  <c:v>-7831.5594803123158</c:v>
                </c:pt>
                <c:pt idx="234">
                  <c:v>-7867.0321550114704</c:v>
                </c:pt>
                <c:pt idx="235">
                  <c:v>-7901.6315039426445</c:v>
                </c:pt>
                <c:pt idx="236">
                  <c:v>-7935.3469878089836</c:v>
                </c:pt>
                <c:pt idx="237">
                  <c:v>-7968.168336547491</c:v>
                </c:pt>
                <c:pt idx="238">
                  <c:v>-8000.0855524573926</c:v>
                </c:pt>
                <c:pt idx="239">
                  <c:v>-8031.0889132455341</c:v>
                </c:pt>
                <c:pt idx="240">
                  <c:v>-8061.168974987886</c:v>
                </c:pt>
                <c:pt idx="241">
                  <c:v>-8090.3165750062444</c:v>
                </c:pt>
                <c:pt idx="242">
                  <c:v>-8118.5228346592867</c:v>
                </c:pt>
                <c:pt idx="243">
                  <c:v>-8145.7791620470834</c:v>
                </c:pt>
                <c:pt idx="244">
                  <c:v>-8172.0772546282742</c:v>
                </c:pt>
                <c:pt idx="245">
                  <c:v>-8197.4091017491028</c:v>
                </c:pt>
                <c:pt idx="246">
                  <c:v>-8221.7669870835416</c:v>
                </c:pt>
                <c:pt idx="247">
                  <c:v>-8245.1434909837553</c:v>
                </c:pt>
                <c:pt idx="248">
                  <c:v>-8267.5314927402051</c:v>
                </c:pt>
                <c:pt idx="249">
                  <c:v>-8288.9241727506778</c:v>
                </c:pt>
                <c:pt idx="250">
                  <c:v>-8309.3150145976088</c:v>
                </c:pt>
                <c:pt idx="251">
                  <c:v>-8328.697807033037</c:v>
                </c:pt>
                <c:pt idx="252">
                  <c:v>-8347.0666458706237</c:v>
                </c:pt>
                <c:pt idx="253">
                  <c:v>-8364.4159357841163</c:v>
                </c:pt>
                <c:pt idx="254">
                  <c:v>-8380.7403920117395</c:v>
                </c:pt>
                <c:pt idx="255">
                  <c:v>-8396.0350419659881</c:v>
                </c:pt>
                <c:pt idx="256">
                  <c:v>-8410.2952267483233</c:v>
                </c:pt>
                <c:pt idx="257">
                  <c:v>-8423.5166025683193</c:v>
                </c:pt>
                <c:pt idx="258">
                  <c:v>-8435.6951420668229</c:v>
                </c:pt>
                <c:pt idx="259">
                  <c:v>-8446.8271355427278</c:v>
                </c:pt>
                <c:pt idx="260">
                  <c:v>-8456.9091920829815</c:v>
                </c:pt>
                <c:pt idx="261">
                  <c:v>-8465.9382405954966</c:v>
                </c:pt>
                <c:pt idx="262">
                  <c:v>-8473.9115307446264</c:v>
                </c:pt>
                <c:pt idx="263">
                  <c:v>-8480.8266337889563</c:v>
                </c:pt>
                <c:pt idx="264">
                  <c:v>-8486.6814433211093</c:v>
                </c:pt>
                <c:pt idx="265">
                  <c:v>-8491.4741759093849</c:v>
                </c:pt>
                <c:pt idx="266">
                  <c:v>-8495.2033716410078</c:v>
                </c:pt>
                <c:pt idx="267">
                  <c:v>-8497.8678945668344</c:v>
                </c:pt>
                <c:pt idx="268">
                  <c:v>-8499.4669330473698</c:v>
                </c:pt>
                <c:pt idx="269">
                  <c:v>-8500</c:v>
                </c:pt>
                <c:pt idx="270">
                  <c:v>-8499.4669330473698</c:v>
                </c:pt>
                <c:pt idx="271">
                  <c:v>-8497.8678945668362</c:v>
                </c:pt>
                <c:pt idx="272">
                  <c:v>-8495.2033716410078</c:v>
                </c:pt>
                <c:pt idx="273">
                  <c:v>-8491.4741759093849</c:v>
                </c:pt>
                <c:pt idx="274">
                  <c:v>-8486.6814433211093</c:v>
                </c:pt>
                <c:pt idx="275">
                  <c:v>-8480.8266337889563</c:v>
                </c:pt>
                <c:pt idx="276">
                  <c:v>-8473.9115307446264</c:v>
                </c:pt>
                <c:pt idx="277">
                  <c:v>-8465.9382405954966</c:v>
                </c:pt>
                <c:pt idx="278">
                  <c:v>-8456.9091920829815</c:v>
                </c:pt>
                <c:pt idx="279">
                  <c:v>-8446.8271355427278</c:v>
                </c:pt>
                <c:pt idx="280">
                  <c:v>-8435.6951420668247</c:v>
                </c:pt>
                <c:pt idx="281">
                  <c:v>-8423.5166025683211</c:v>
                </c:pt>
                <c:pt idx="282">
                  <c:v>-8410.2952267483233</c:v>
                </c:pt>
                <c:pt idx="283">
                  <c:v>-8396.0350419659881</c:v>
                </c:pt>
                <c:pt idx="284">
                  <c:v>-8380.7403920117395</c:v>
                </c:pt>
                <c:pt idx="285">
                  <c:v>-8364.4159357841163</c:v>
                </c:pt>
                <c:pt idx="286">
                  <c:v>-8347.0666458706237</c:v>
                </c:pt>
                <c:pt idx="287">
                  <c:v>-8328.697807033037</c:v>
                </c:pt>
                <c:pt idx="288">
                  <c:v>-8309.3150145976088</c:v>
                </c:pt>
                <c:pt idx="289">
                  <c:v>-8288.9241727506796</c:v>
                </c:pt>
                <c:pt idx="290">
                  <c:v>-8267.5314927402069</c:v>
                </c:pt>
                <c:pt idx="291">
                  <c:v>-8245.1434909837553</c:v>
                </c:pt>
                <c:pt idx="292">
                  <c:v>-8221.7669870835416</c:v>
                </c:pt>
                <c:pt idx="293">
                  <c:v>-8197.4091017491028</c:v>
                </c:pt>
                <c:pt idx="294">
                  <c:v>-8172.0772546282751</c:v>
                </c:pt>
                <c:pt idx="295">
                  <c:v>-8145.7791620470853</c:v>
                </c:pt>
                <c:pt idx="296">
                  <c:v>-8118.5228346592876</c:v>
                </c:pt>
                <c:pt idx="297">
                  <c:v>-8090.3165750062453</c:v>
                </c:pt>
                <c:pt idx="298">
                  <c:v>-8061.168974987886</c:v>
                </c:pt>
                <c:pt idx="299">
                  <c:v>-8031.088913245535</c:v>
                </c:pt>
                <c:pt idx="300">
                  <c:v>-8000.0855524573926</c:v>
                </c:pt>
                <c:pt idx="301">
                  <c:v>-7968.168336547491</c:v>
                </c:pt>
                <c:pt idx="302">
                  <c:v>-7935.3469878089854</c:v>
                </c:pt>
                <c:pt idx="303">
                  <c:v>-7901.6315039426472</c:v>
                </c:pt>
                <c:pt idx="304">
                  <c:v>-7867.0321550114713</c:v>
                </c:pt>
                <c:pt idx="305">
                  <c:v>-7831.5594803123167</c:v>
                </c:pt>
                <c:pt idx="306">
                  <c:v>-7795.2242851655255</c:v>
                </c:pt>
                <c:pt idx="307">
                  <c:v>-7758.0376376235263</c:v>
                </c:pt>
                <c:pt idx="308">
                  <c:v>-7720.010865099398</c:v>
                </c:pt>
                <c:pt idx="309">
                  <c:v>-7681.1555509164236</c:v>
                </c:pt>
                <c:pt idx="310">
                  <c:v>-7641.483530779703</c:v>
                </c:pt>
                <c:pt idx="311">
                  <c:v>-7601.0068891708815</c:v>
                </c:pt>
                <c:pt idx="312">
                  <c:v>-7559.7379556670985</c:v>
                </c:pt>
                <c:pt idx="313">
                  <c:v>-7517.6893011852808</c:v>
                </c:pt>
                <c:pt idx="314">
                  <c:v>-7474.8737341529168</c:v>
                </c:pt>
                <c:pt idx="315">
                  <c:v>-7431.3042966064913</c:v>
                </c:pt>
                <c:pt idx="316">
                  <c:v>-7386.9942602187439</c:v>
                </c:pt>
                <c:pt idx="317">
                  <c:v>-7341.9571222560035</c:v>
                </c:pt>
                <c:pt idx="318">
                  <c:v>-7296.2066014667762</c:v>
                </c:pt>
                <c:pt idx="319">
                  <c:v>-7249.756633902889</c:v>
                </c:pt>
                <c:pt idx="320">
                  <c:v>-7202.6213686744322</c:v>
                </c:pt>
                <c:pt idx="321">
                  <c:v>-7154.8151636398061</c:v>
                </c:pt>
                <c:pt idx="322">
                  <c:v>-7106.3525810321689</c:v>
                </c:pt>
                <c:pt idx="323">
                  <c:v>-7057.248383023657</c:v>
                </c:pt>
                <c:pt idx="324">
                  <c:v>-7007.5175272286624</c:v>
                </c:pt>
                <c:pt idx="325">
                  <c:v>-6957.175162147616</c:v>
                </c:pt>
                <c:pt idx="326">
                  <c:v>-6906.2366225525948</c:v>
                </c:pt>
                <c:pt idx="327">
                  <c:v>-6854.71742481622</c:v>
                </c:pt>
                <c:pt idx="328">
                  <c:v>-6802.6332621851907</c:v>
                </c:pt>
                <c:pt idx="329">
                  <c:v>-6750.0000000000018</c:v>
                </c:pt>
                <c:pt idx="330">
                  <c:v>-6696.8336708621791</c:v>
                </c:pt>
                <c:pt idx="331">
                  <c:v>-6643.150469750618</c:v>
                </c:pt>
                <c:pt idx="332">
                  <c:v>-6588.9667490884149</c:v>
                </c:pt>
                <c:pt idx="333">
                  <c:v>-6534.2990137617699</c:v>
                </c:pt>
                <c:pt idx="334">
                  <c:v>-6479.1639160924497</c:v>
                </c:pt>
                <c:pt idx="335">
                  <c:v>-6423.5782507653003</c:v>
                </c:pt>
                <c:pt idx="336">
                  <c:v>-6367.558949712462</c:v>
                </c:pt>
                <c:pt idx="337">
                  <c:v>-6311.1230769556933</c:v>
                </c:pt>
                <c:pt idx="338">
                  <c:v>-6254.2878234085529</c:v>
                </c:pt>
                <c:pt idx="339">
                  <c:v>-6197.0705016398406</c:v>
                </c:pt>
                <c:pt idx="340">
                  <c:v>-6139.4885406000512</c:v>
                </c:pt>
                <c:pt idx="341">
                  <c:v>-6081.5594803123167</c:v>
                </c:pt>
                <c:pt idx="342">
                  <c:v>-6023.3009665295767</c:v>
                </c:pt>
                <c:pt idx="343">
                  <c:v>-5964.7307453594995</c:v>
                </c:pt>
                <c:pt idx="344">
                  <c:v>-5905.8666578588227</c:v>
                </c:pt>
                <c:pt idx="345">
                  <c:v>-5846.7266345988373</c:v>
                </c:pt>
                <c:pt idx="346">
                  <c:v>-5787.3286902035288</c:v>
                </c:pt>
                <c:pt idx="347">
                  <c:v>-5727.690917862159</c:v>
                </c:pt>
                <c:pt idx="348">
                  <c:v>-5667.8314838179067</c:v>
                </c:pt>
                <c:pt idx="349">
                  <c:v>-5607.7686218342596</c:v>
                </c:pt>
                <c:pt idx="350">
                  <c:v>-5547.5206276408089</c:v>
                </c:pt>
                <c:pt idx="351">
                  <c:v>-5487.1058533602309</c:v>
                </c:pt>
                <c:pt idx="352">
                  <c:v>-5426.5427019180188</c:v>
                </c:pt>
                <c:pt idx="353">
                  <c:v>-5365.8496214367869</c:v>
                </c:pt>
                <c:pt idx="354">
                  <c:v>-5305.0450996168038</c:v>
                </c:pt>
                <c:pt idx="355">
                  <c:v>-5244.1476581044362</c:v>
                </c:pt>
                <c:pt idx="356">
                  <c:v>-5183.1758468503049</c:v>
                </c:pt>
                <c:pt idx="357">
                  <c:v>-5122.1482384587525</c:v>
                </c:pt>
                <c:pt idx="358">
                  <c:v>-5061.0834225304952</c:v>
                </c:pt>
                <c:pt idx="359">
                  <c:v>-5000.0000000000009</c:v>
                </c:pt>
                <c:pt idx="360">
                  <c:v>-4938.9165774695093</c:v>
                </c:pt>
                <c:pt idx="361">
                  <c:v>-4877.8517615412493</c:v>
                </c:pt>
                <c:pt idx="362">
                  <c:v>-4816.824153149696</c:v>
                </c:pt>
                <c:pt idx="363">
                  <c:v>-4755.8523418955619</c:v>
                </c:pt>
                <c:pt idx="364">
                  <c:v>-4694.9549003831944</c:v>
                </c:pt>
                <c:pt idx="365">
                  <c:v>-4634.1503785632149</c:v>
                </c:pt>
                <c:pt idx="366">
                  <c:v>-4573.457298081983</c:v>
                </c:pt>
                <c:pt idx="367">
                  <c:v>-4512.8941466397746</c:v>
                </c:pt>
                <c:pt idx="368">
                  <c:v>-4452.4793723591929</c:v>
                </c:pt>
                <c:pt idx="369">
                  <c:v>-4392.2313781657449</c:v>
                </c:pt>
                <c:pt idx="370">
                  <c:v>-4332.1685161820924</c:v>
                </c:pt>
                <c:pt idx="371">
                  <c:v>-4272.3090821378455</c:v>
                </c:pt>
                <c:pt idx="372">
                  <c:v>-4212.671309796473</c:v>
                </c:pt>
                <c:pt idx="373">
                  <c:v>-4153.2733654011608</c:v>
                </c:pt>
                <c:pt idx="374">
                  <c:v>-4094.1333421411791</c:v>
                </c:pt>
                <c:pt idx="375">
                  <c:v>-4035.2692546405024</c:v>
                </c:pt>
                <c:pt idx="376">
                  <c:v>-3976.6990334704215</c:v>
                </c:pt>
                <c:pt idx="377">
                  <c:v>-3918.4405196876851</c:v>
                </c:pt>
                <c:pt idx="378">
                  <c:v>-3860.5114593999533</c:v>
                </c:pt>
                <c:pt idx="379">
                  <c:v>-3802.9294983601585</c:v>
                </c:pt>
                <c:pt idx="380">
                  <c:v>-3745.7121765914517</c:v>
                </c:pt>
                <c:pt idx="381">
                  <c:v>-3688.8769230443086</c:v>
                </c:pt>
                <c:pt idx="382">
                  <c:v>-3632.4410502875462</c:v>
                </c:pt>
                <c:pt idx="383">
                  <c:v>-3576.4217492347011</c:v>
                </c:pt>
                <c:pt idx="384">
                  <c:v>-3520.8360839075513</c:v>
                </c:pt>
                <c:pt idx="385">
                  <c:v>-3465.7009862382292</c:v>
                </c:pt>
                <c:pt idx="386">
                  <c:v>-3411.0332509115842</c:v>
                </c:pt>
                <c:pt idx="387">
                  <c:v>-3356.8495302493839</c:v>
                </c:pt>
                <c:pt idx="388">
                  <c:v>-3303.16632913782</c:v>
                </c:pt>
                <c:pt idx="389">
                  <c:v>-3250.0000000000027</c:v>
                </c:pt>
                <c:pt idx="390">
                  <c:v>-3197.3667378148111</c:v>
                </c:pt>
                <c:pt idx="391">
                  <c:v>-3145.2825751837836</c:v>
                </c:pt>
                <c:pt idx="392">
                  <c:v>-3093.763377447407</c:v>
                </c:pt>
                <c:pt idx="393">
                  <c:v>-3042.8248378523881</c:v>
                </c:pt>
                <c:pt idx="394">
                  <c:v>-2992.4824727713385</c:v>
                </c:pt>
                <c:pt idx="395">
                  <c:v>-2942.7516169763426</c:v>
                </c:pt>
                <c:pt idx="396">
                  <c:v>-2893.6474189678324</c:v>
                </c:pt>
                <c:pt idx="397">
                  <c:v>-2845.1848363601957</c:v>
                </c:pt>
                <c:pt idx="398">
                  <c:v>-2797.378631325571</c:v>
                </c:pt>
                <c:pt idx="399">
                  <c:v>-2750.2433660971128</c:v>
                </c:pt>
                <c:pt idx="400">
                  <c:v>-2703.7933985332252</c:v>
                </c:pt>
                <c:pt idx="401">
                  <c:v>-2658.0428777439952</c:v>
                </c:pt>
                <c:pt idx="402">
                  <c:v>-2613.0057397812575</c:v>
                </c:pt>
                <c:pt idx="403">
                  <c:v>-2568.6957033935096</c:v>
                </c:pt>
                <c:pt idx="404">
                  <c:v>-2525.1262658470864</c:v>
                </c:pt>
                <c:pt idx="405">
                  <c:v>-2482.3106988147219</c:v>
                </c:pt>
                <c:pt idx="406">
                  <c:v>-2440.2620443329024</c:v>
                </c:pt>
                <c:pt idx="407">
                  <c:v>-2398.9931108291221</c:v>
                </c:pt>
                <c:pt idx="408">
                  <c:v>-2358.5164692202984</c:v>
                </c:pt>
                <c:pt idx="409">
                  <c:v>-2318.8444490835777</c:v>
                </c:pt>
                <c:pt idx="410">
                  <c:v>-2279.9891349006011</c:v>
                </c:pt>
                <c:pt idx="411">
                  <c:v>-2241.9623623764751</c:v>
                </c:pt>
                <c:pt idx="412">
                  <c:v>-2204.7757148344749</c:v>
                </c:pt>
                <c:pt idx="413">
                  <c:v>-2168.4405196876864</c:v>
                </c:pt>
                <c:pt idx="414">
                  <c:v>-2132.96784498853</c:v>
                </c:pt>
                <c:pt idx="415">
                  <c:v>-2098.3684960573537</c:v>
                </c:pt>
                <c:pt idx="416">
                  <c:v>-2064.6530121910159</c:v>
                </c:pt>
                <c:pt idx="417">
                  <c:v>-2031.8316634525095</c:v>
                </c:pt>
                <c:pt idx="418">
                  <c:v>-1999.9144475426078</c:v>
                </c:pt>
                <c:pt idx="419">
                  <c:v>-1968.9110867544641</c:v>
                </c:pt>
                <c:pt idx="420">
                  <c:v>-1938.8310250121162</c:v>
                </c:pt>
                <c:pt idx="421">
                  <c:v>-1909.683424993756</c:v>
                </c:pt>
                <c:pt idx="422">
                  <c:v>-1881.4771653407133</c:v>
                </c:pt>
                <c:pt idx="423">
                  <c:v>-1854.2208379529161</c:v>
                </c:pt>
                <c:pt idx="424">
                  <c:v>-1827.9227453717258</c:v>
                </c:pt>
                <c:pt idx="425">
                  <c:v>-1802.5908982508968</c:v>
                </c:pt>
                <c:pt idx="426">
                  <c:v>-1778.2330129164579</c:v>
                </c:pt>
                <c:pt idx="427">
                  <c:v>-1754.8565090162447</c:v>
                </c:pt>
                <c:pt idx="428">
                  <c:v>-1732.4685072597936</c:v>
                </c:pt>
                <c:pt idx="429">
                  <c:v>-1711.0758272493217</c:v>
                </c:pt>
                <c:pt idx="430">
                  <c:v>-1690.6849854023912</c:v>
                </c:pt>
                <c:pt idx="431">
                  <c:v>-1671.3021929669626</c:v>
                </c:pt>
                <c:pt idx="432">
                  <c:v>-1652.9333541293754</c:v>
                </c:pt>
                <c:pt idx="433">
                  <c:v>-1635.5840642158846</c:v>
                </c:pt>
                <c:pt idx="434">
                  <c:v>-1619.259607988261</c:v>
                </c:pt>
                <c:pt idx="435">
                  <c:v>-1603.9649580340133</c:v>
                </c:pt>
                <c:pt idx="436">
                  <c:v>-1589.7047732516771</c:v>
                </c:pt>
                <c:pt idx="437">
                  <c:v>-1576.4833974316803</c:v>
                </c:pt>
                <c:pt idx="438">
                  <c:v>-1564.3048579331767</c:v>
                </c:pt>
                <c:pt idx="439">
                  <c:v>-1553.1728644572718</c:v>
                </c:pt>
                <c:pt idx="440">
                  <c:v>-1543.0908079170181</c:v>
                </c:pt>
                <c:pt idx="441">
                  <c:v>-1534.0617594045038</c:v>
                </c:pt>
                <c:pt idx="442">
                  <c:v>-1526.0884692553732</c:v>
                </c:pt>
                <c:pt idx="443">
                  <c:v>-1519.1733662110437</c:v>
                </c:pt>
                <c:pt idx="444">
                  <c:v>-1513.3185566788911</c:v>
                </c:pt>
                <c:pt idx="445">
                  <c:v>-1508.5258240906155</c:v>
                </c:pt>
                <c:pt idx="446">
                  <c:v>-1504.7966283589917</c:v>
                </c:pt>
                <c:pt idx="447">
                  <c:v>-1502.1321054331647</c:v>
                </c:pt>
                <c:pt idx="448">
                  <c:v>-1500.5330669526306</c:v>
                </c:pt>
                <c:pt idx="449">
                  <c:v>-1500</c:v>
                </c:pt>
                <c:pt idx="450">
                  <c:v>-1500.5330669526306</c:v>
                </c:pt>
                <c:pt idx="451">
                  <c:v>-1502.1321054331647</c:v>
                </c:pt>
                <c:pt idx="452">
                  <c:v>-1504.7966283589917</c:v>
                </c:pt>
                <c:pt idx="453">
                  <c:v>-1508.5258240906151</c:v>
                </c:pt>
                <c:pt idx="454">
                  <c:v>-1513.3185566788907</c:v>
                </c:pt>
                <c:pt idx="455">
                  <c:v>-1519.1733662110432</c:v>
                </c:pt>
                <c:pt idx="456">
                  <c:v>-1526.0884692553732</c:v>
                </c:pt>
                <c:pt idx="457">
                  <c:v>-1534.0617594045034</c:v>
                </c:pt>
                <c:pt idx="458">
                  <c:v>-1543.0908079170176</c:v>
                </c:pt>
                <c:pt idx="459">
                  <c:v>-1553.1728644572713</c:v>
                </c:pt>
                <c:pt idx="460">
                  <c:v>-1564.3048579331767</c:v>
                </c:pt>
                <c:pt idx="461">
                  <c:v>-1576.4833974316807</c:v>
                </c:pt>
                <c:pt idx="462">
                  <c:v>-1589.7047732516767</c:v>
                </c:pt>
                <c:pt idx="463">
                  <c:v>-1603.9649580340129</c:v>
                </c:pt>
                <c:pt idx="464">
                  <c:v>-1619.2596079882605</c:v>
                </c:pt>
                <c:pt idx="465">
                  <c:v>-1635.5840642158837</c:v>
                </c:pt>
                <c:pt idx="466">
                  <c:v>-1652.9333541293749</c:v>
                </c:pt>
                <c:pt idx="467">
                  <c:v>-1671.3021929669621</c:v>
                </c:pt>
                <c:pt idx="468">
                  <c:v>-1690.6849854023894</c:v>
                </c:pt>
                <c:pt idx="469">
                  <c:v>-1711.0758272493199</c:v>
                </c:pt>
                <c:pt idx="470">
                  <c:v>-1732.468507259794</c:v>
                </c:pt>
                <c:pt idx="471">
                  <c:v>-1754.8565090162424</c:v>
                </c:pt>
                <c:pt idx="472">
                  <c:v>-1778.2330129164584</c:v>
                </c:pt>
                <c:pt idx="473">
                  <c:v>-1802.5908982508972</c:v>
                </c:pt>
                <c:pt idx="474">
                  <c:v>-1827.922745371724</c:v>
                </c:pt>
                <c:pt idx="475">
                  <c:v>-1854.2208379529152</c:v>
                </c:pt>
                <c:pt idx="476">
                  <c:v>-1881.4771653407133</c:v>
                </c:pt>
                <c:pt idx="477">
                  <c:v>-1909.6834249937547</c:v>
                </c:pt>
                <c:pt idx="478">
                  <c:v>-1938.8310250121149</c:v>
                </c:pt>
                <c:pt idx="479">
                  <c:v>-1968.9110867544628</c:v>
                </c:pt>
                <c:pt idx="480">
                  <c:v>-1999.9144475426065</c:v>
                </c:pt>
                <c:pt idx="481">
                  <c:v>-2031.8316634525099</c:v>
                </c:pt>
                <c:pt idx="482">
                  <c:v>-2064.6530121910146</c:v>
                </c:pt>
                <c:pt idx="483">
                  <c:v>-2098.3684960573542</c:v>
                </c:pt>
                <c:pt idx="484">
                  <c:v>-2132.9678449885268</c:v>
                </c:pt>
                <c:pt idx="485">
                  <c:v>-2168.4405196876833</c:v>
                </c:pt>
                <c:pt idx="486">
                  <c:v>-2204.7757148344722</c:v>
                </c:pt>
                <c:pt idx="487">
                  <c:v>-2241.9623623764714</c:v>
                </c:pt>
                <c:pt idx="488">
                  <c:v>-2279.989134900602</c:v>
                </c:pt>
                <c:pt idx="489">
                  <c:v>-2318.8444490835741</c:v>
                </c:pt>
                <c:pt idx="490">
                  <c:v>-2358.516469220297</c:v>
                </c:pt>
                <c:pt idx="491">
                  <c:v>-2398.9931108291207</c:v>
                </c:pt>
                <c:pt idx="492">
                  <c:v>-2440.2620443329056</c:v>
                </c:pt>
                <c:pt idx="493">
                  <c:v>-2482.310698814721</c:v>
                </c:pt>
                <c:pt idx="494">
                  <c:v>-2525.1262658470851</c:v>
                </c:pt>
                <c:pt idx="495">
                  <c:v>-2568.6957033935082</c:v>
                </c:pt>
                <c:pt idx="496">
                  <c:v>-2613.0057397812557</c:v>
                </c:pt>
                <c:pt idx="497">
                  <c:v>-2658.0428777439938</c:v>
                </c:pt>
                <c:pt idx="498">
                  <c:v>-2703.7933985332238</c:v>
                </c:pt>
                <c:pt idx="499">
                  <c:v>-2750.2433660971087</c:v>
                </c:pt>
                <c:pt idx="500">
                  <c:v>-2797.3786313255673</c:v>
                </c:pt>
                <c:pt idx="501">
                  <c:v>-2845.1848363601962</c:v>
                </c:pt>
                <c:pt idx="502">
                  <c:v>-2893.6474189678279</c:v>
                </c:pt>
                <c:pt idx="503">
                  <c:v>-2942.751616976343</c:v>
                </c:pt>
                <c:pt idx="504">
                  <c:v>-2992.4824727713349</c:v>
                </c:pt>
                <c:pt idx="505">
                  <c:v>-3042.824837852384</c:v>
                </c:pt>
                <c:pt idx="506">
                  <c:v>-3093.7633774474052</c:v>
                </c:pt>
                <c:pt idx="507">
                  <c:v>-3145.2825751837845</c:v>
                </c:pt>
                <c:pt idx="508">
                  <c:v>-3197.3667378148089</c:v>
                </c:pt>
                <c:pt idx="509">
                  <c:v>-3250.0000000000009</c:v>
                </c:pt>
                <c:pt idx="510">
                  <c:v>-3303.1663291378177</c:v>
                </c:pt>
                <c:pt idx="511">
                  <c:v>-3356.849530249382</c:v>
                </c:pt>
                <c:pt idx="512">
                  <c:v>-3411.0332509115879</c:v>
                </c:pt>
                <c:pt idx="513">
                  <c:v>-3465.7009862382274</c:v>
                </c:pt>
                <c:pt idx="514">
                  <c:v>-3520.8360839075522</c:v>
                </c:pt>
                <c:pt idx="515">
                  <c:v>-3576.4217492346961</c:v>
                </c:pt>
                <c:pt idx="516">
                  <c:v>-3632.4410502875407</c:v>
                </c:pt>
                <c:pt idx="517">
                  <c:v>-3688.8769230443036</c:v>
                </c:pt>
                <c:pt idx="518">
                  <c:v>-3745.7121765914471</c:v>
                </c:pt>
                <c:pt idx="519">
                  <c:v>-3802.9294983601594</c:v>
                </c:pt>
                <c:pt idx="520">
                  <c:v>-3860.5114593999483</c:v>
                </c:pt>
                <c:pt idx="521">
                  <c:v>-3918.4405196876828</c:v>
                </c:pt>
                <c:pt idx="522">
                  <c:v>-3976.6990334704228</c:v>
                </c:pt>
                <c:pt idx="523">
                  <c:v>-4035.269254640506</c:v>
                </c:pt>
                <c:pt idx="524">
                  <c:v>-4094.1333421411773</c:v>
                </c:pt>
                <c:pt idx="525">
                  <c:v>-4153.2733654011654</c:v>
                </c:pt>
                <c:pt idx="526">
                  <c:v>-4212.6713097964712</c:v>
                </c:pt>
                <c:pt idx="527">
                  <c:v>-4272.3090821378428</c:v>
                </c:pt>
                <c:pt idx="528">
                  <c:v>-4332.1685161820906</c:v>
                </c:pt>
                <c:pt idx="529">
                  <c:v>-4392.2313781657431</c:v>
                </c:pt>
                <c:pt idx="530">
                  <c:v>-4452.4793723591874</c:v>
                </c:pt>
                <c:pt idx="531">
                  <c:v>-4512.8941466397691</c:v>
                </c:pt>
                <c:pt idx="532">
                  <c:v>-4573.4572980819785</c:v>
                </c:pt>
                <c:pt idx="533">
                  <c:v>-4634.1503785632094</c:v>
                </c:pt>
                <c:pt idx="534">
                  <c:v>-4694.9549003831953</c:v>
                </c:pt>
                <c:pt idx="535">
                  <c:v>-4755.8523418955565</c:v>
                </c:pt>
                <c:pt idx="536">
                  <c:v>-4816.8241531496942</c:v>
                </c:pt>
                <c:pt idx="537">
                  <c:v>-4877.8517615412466</c:v>
                </c:pt>
                <c:pt idx="538">
                  <c:v>-4938.9165774695102</c:v>
                </c:pt>
                <c:pt idx="539">
                  <c:v>-4999.9999999999991</c:v>
                </c:pt>
                <c:pt idx="540">
                  <c:v>-5061.0834225304934</c:v>
                </c:pt>
                <c:pt idx="541">
                  <c:v>-5122.1482384587507</c:v>
                </c:pt>
                <c:pt idx="542">
                  <c:v>-5183.1758468503031</c:v>
                </c:pt>
                <c:pt idx="543">
                  <c:v>-5244.1476581044408</c:v>
                </c:pt>
                <c:pt idx="544">
                  <c:v>-5305.045099616802</c:v>
                </c:pt>
                <c:pt idx="545">
                  <c:v>-5365.8496214367879</c:v>
                </c:pt>
                <c:pt idx="546">
                  <c:v>-5426.5427019180133</c:v>
                </c:pt>
                <c:pt idx="547">
                  <c:v>-5487.1058533602281</c:v>
                </c:pt>
                <c:pt idx="548">
                  <c:v>-5547.5206276408035</c:v>
                </c:pt>
                <c:pt idx="549">
                  <c:v>-5607.7686218342542</c:v>
                </c:pt>
                <c:pt idx="550">
                  <c:v>-5667.8314838179012</c:v>
                </c:pt>
                <c:pt idx="551">
                  <c:v>-5727.6909178621545</c:v>
                </c:pt>
                <c:pt idx="552">
                  <c:v>-5787.328690203527</c:v>
                </c:pt>
                <c:pt idx="553">
                  <c:v>-5846.7266345988382</c:v>
                </c:pt>
                <c:pt idx="554">
                  <c:v>-5905.8666578588263</c:v>
                </c:pt>
                <c:pt idx="555">
                  <c:v>-5964.7307453594976</c:v>
                </c:pt>
                <c:pt idx="556">
                  <c:v>-6023.3009665295813</c:v>
                </c:pt>
                <c:pt idx="557">
                  <c:v>-6081.5594803123149</c:v>
                </c:pt>
                <c:pt idx="558">
                  <c:v>-6139.4885406000494</c:v>
                </c:pt>
                <c:pt idx="559">
                  <c:v>-6197.0705016398379</c:v>
                </c:pt>
                <c:pt idx="560">
                  <c:v>-6254.287823408551</c:v>
                </c:pt>
                <c:pt idx="561">
                  <c:v>-6311.1230769556878</c:v>
                </c:pt>
                <c:pt idx="562">
                  <c:v>-6367.5589497124565</c:v>
                </c:pt>
                <c:pt idx="563">
                  <c:v>-6423.5782507652957</c:v>
                </c:pt>
                <c:pt idx="564">
                  <c:v>-6479.1639160924451</c:v>
                </c:pt>
                <c:pt idx="565">
                  <c:v>-6534.2990137617708</c:v>
                </c:pt>
                <c:pt idx="566">
                  <c:v>-6588.9667490884094</c:v>
                </c:pt>
                <c:pt idx="567">
                  <c:v>-6643.1504697506161</c:v>
                </c:pt>
                <c:pt idx="568">
                  <c:v>-6696.83367086218</c:v>
                </c:pt>
                <c:pt idx="569">
                  <c:v>-6750.0000000000018</c:v>
                </c:pt>
                <c:pt idx="570">
                  <c:v>-6802.6332621851889</c:v>
                </c:pt>
                <c:pt idx="571">
                  <c:v>-6854.7174248162191</c:v>
                </c:pt>
                <c:pt idx="572">
                  <c:v>-6906.236622552593</c:v>
                </c:pt>
                <c:pt idx="573">
                  <c:v>-6957.1751621476142</c:v>
                </c:pt>
                <c:pt idx="574">
                  <c:v>-7007.5175272286579</c:v>
                </c:pt>
                <c:pt idx="575">
                  <c:v>-7057.2483830236542</c:v>
                </c:pt>
                <c:pt idx="576">
                  <c:v>-7106.3525810321698</c:v>
                </c:pt>
                <c:pt idx="577">
                  <c:v>-7154.8151636398015</c:v>
                </c:pt>
                <c:pt idx="578">
                  <c:v>-7202.6213686744304</c:v>
                </c:pt>
                <c:pt idx="579">
                  <c:v>-7249.7566339028845</c:v>
                </c:pt>
                <c:pt idx="580">
                  <c:v>-7296.2066014667744</c:v>
                </c:pt>
                <c:pt idx="581">
                  <c:v>-7341.9571222559989</c:v>
                </c:pt>
                <c:pt idx="582">
                  <c:v>-7386.9942602187421</c:v>
                </c:pt>
                <c:pt idx="583">
                  <c:v>-7431.3042966064895</c:v>
                </c:pt>
                <c:pt idx="584">
                  <c:v>-7474.8737341529177</c:v>
                </c:pt>
                <c:pt idx="585">
                  <c:v>-7517.6893011852771</c:v>
                </c:pt>
                <c:pt idx="586">
                  <c:v>-7559.7379556670967</c:v>
                </c:pt>
                <c:pt idx="587">
                  <c:v>-7601.0068891708815</c:v>
                </c:pt>
                <c:pt idx="588">
                  <c:v>-7641.4835307797011</c:v>
                </c:pt>
                <c:pt idx="589">
                  <c:v>-7681.1555509164236</c:v>
                </c:pt>
                <c:pt idx="590">
                  <c:v>-7720.0108650993971</c:v>
                </c:pt>
                <c:pt idx="591">
                  <c:v>-7758.0376376235272</c:v>
                </c:pt>
                <c:pt idx="592">
                  <c:v>-7795.2242851655228</c:v>
                </c:pt>
                <c:pt idx="593">
                  <c:v>-7831.5594803123149</c:v>
                </c:pt>
                <c:pt idx="594">
                  <c:v>-7867.0321550114677</c:v>
                </c:pt>
                <c:pt idx="595">
                  <c:v>-7901.6315039426445</c:v>
                </c:pt>
                <c:pt idx="596">
                  <c:v>-7935.3469878089809</c:v>
                </c:pt>
                <c:pt idx="597">
                  <c:v>-7968.1683365474892</c:v>
                </c:pt>
                <c:pt idx="598">
                  <c:v>-8000.0855524573926</c:v>
                </c:pt>
                <c:pt idx="599">
                  <c:v>-8031.0889132455359</c:v>
                </c:pt>
                <c:pt idx="600">
                  <c:v>-8061.168974987886</c:v>
                </c:pt>
                <c:pt idx="601">
                  <c:v>-8090.3165750062435</c:v>
                </c:pt>
                <c:pt idx="602">
                  <c:v>-8118.5228346592885</c:v>
                </c:pt>
                <c:pt idx="603">
                  <c:v>-8145.7791620470834</c:v>
                </c:pt>
                <c:pt idx="604">
                  <c:v>-8172.0772546282751</c:v>
                </c:pt>
                <c:pt idx="605">
                  <c:v>-8197.409101749101</c:v>
                </c:pt>
                <c:pt idx="606">
                  <c:v>-8221.7669870835416</c:v>
                </c:pt>
                <c:pt idx="607">
                  <c:v>-8245.1434909837535</c:v>
                </c:pt>
                <c:pt idx="608">
                  <c:v>-8267.5314927402051</c:v>
                </c:pt>
                <c:pt idx="609">
                  <c:v>-8288.9241727506796</c:v>
                </c:pt>
                <c:pt idx="610">
                  <c:v>-8309.3150145976069</c:v>
                </c:pt>
                <c:pt idx="611">
                  <c:v>-8328.697807033037</c:v>
                </c:pt>
                <c:pt idx="612">
                  <c:v>-8347.0666458706219</c:v>
                </c:pt>
                <c:pt idx="613">
                  <c:v>-8364.4159357841163</c:v>
                </c:pt>
                <c:pt idx="614">
                  <c:v>-8380.7403920117395</c:v>
                </c:pt>
                <c:pt idx="615">
                  <c:v>-8396.0350419659881</c:v>
                </c:pt>
                <c:pt idx="616">
                  <c:v>-8410.2952267483233</c:v>
                </c:pt>
                <c:pt idx="617">
                  <c:v>-8423.5166025683193</c:v>
                </c:pt>
                <c:pt idx="618">
                  <c:v>-8435.6951420668247</c:v>
                </c:pt>
                <c:pt idx="619">
                  <c:v>-8446.8271355427278</c:v>
                </c:pt>
                <c:pt idx="620">
                  <c:v>-8456.9091920829815</c:v>
                </c:pt>
                <c:pt idx="621">
                  <c:v>-8465.9382405954966</c:v>
                </c:pt>
                <c:pt idx="622">
                  <c:v>-8473.9115307446264</c:v>
                </c:pt>
                <c:pt idx="623">
                  <c:v>-8480.8266337889563</c:v>
                </c:pt>
                <c:pt idx="624">
                  <c:v>-8486.6814433211093</c:v>
                </c:pt>
                <c:pt idx="625">
                  <c:v>-8491.4741759093849</c:v>
                </c:pt>
                <c:pt idx="626">
                  <c:v>-8495.2033716410078</c:v>
                </c:pt>
                <c:pt idx="627">
                  <c:v>-8497.8678945668344</c:v>
                </c:pt>
                <c:pt idx="628">
                  <c:v>-8499.4669330473698</c:v>
                </c:pt>
                <c:pt idx="629">
                  <c:v>-8500</c:v>
                </c:pt>
                <c:pt idx="630">
                  <c:v>-8499.4669330473698</c:v>
                </c:pt>
                <c:pt idx="631">
                  <c:v>-8497.8678945668362</c:v>
                </c:pt>
                <c:pt idx="632">
                  <c:v>-8495.2033716410078</c:v>
                </c:pt>
                <c:pt idx="633">
                  <c:v>-8491.4741759093849</c:v>
                </c:pt>
                <c:pt idx="634">
                  <c:v>-8486.6814433211093</c:v>
                </c:pt>
                <c:pt idx="635">
                  <c:v>-8480.8266337889563</c:v>
                </c:pt>
                <c:pt idx="636">
                  <c:v>-8473.9115307446264</c:v>
                </c:pt>
                <c:pt idx="637">
                  <c:v>-8465.9382405954966</c:v>
                </c:pt>
                <c:pt idx="638">
                  <c:v>-8456.9091920829815</c:v>
                </c:pt>
                <c:pt idx="639">
                  <c:v>-8446.8271355427278</c:v>
                </c:pt>
                <c:pt idx="640">
                  <c:v>-8435.6951420668229</c:v>
                </c:pt>
                <c:pt idx="641">
                  <c:v>-8423.5166025683211</c:v>
                </c:pt>
                <c:pt idx="642">
                  <c:v>-8410.2952267483233</c:v>
                </c:pt>
                <c:pt idx="643">
                  <c:v>-8396.0350419659881</c:v>
                </c:pt>
                <c:pt idx="644">
                  <c:v>-8380.7403920117395</c:v>
                </c:pt>
                <c:pt idx="645">
                  <c:v>-8364.4159357841163</c:v>
                </c:pt>
                <c:pt idx="646">
                  <c:v>-8347.0666458706237</c:v>
                </c:pt>
                <c:pt idx="647">
                  <c:v>-8328.6978070330388</c:v>
                </c:pt>
                <c:pt idx="648">
                  <c:v>-8309.3150145976088</c:v>
                </c:pt>
                <c:pt idx="649">
                  <c:v>-8288.9241727506796</c:v>
                </c:pt>
                <c:pt idx="650">
                  <c:v>-8267.5314927402069</c:v>
                </c:pt>
                <c:pt idx="651">
                  <c:v>-8245.1434909837571</c:v>
                </c:pt>
                <c:pt idx="652">
                  <c:v>-8221.7669870835398</c:v>
                </c:pt>
                <c:pt idx="653">
                  <c:v>-8197.4091017491028</c:v>
                </c:pt>
                <c:pt idx="654">
                  <c:v>-8172.0772546282769</c:v>
                </c:pt>
                <c:pt idx="655">
                  <c:v>-8145.7791620470871</c:v>
                </c:pt>
                <c:pt idx="656">
                  <c:v>-8118.5228346592867</c:v>
                </c:pt>
                <c:pt idx="657">
                  <c:v>-8090.3165750062453</c:v>
                </c:pt>
                <c:pt idx="658">
                  <c:v>-8061.1689749878879</c:v>
                </c:pt>
                <c:pt idx="659">
                  <c:v>-8031.0889132455377</c:v>
                </c:pt>
                <c:pt idx="660">
                  <c:v>-8000.0855524573935</c:v>
                </c:pt>
                <c:pt idx="661">
                  <c:v>-7968.168336547491</c:v>
                </c:pt>
                <c:pt idx="662">
                  <c:v>-7935.3469878089854</c:v>
                </c:pt>
                <c:pt idx="663">
                  <c:v>-7901.6315039426463</c:v>
                </c:pt>
                <c:pt idx="664">
                  <c:v>-7867.0321550114695</c:v>
                </c:pt>
                <c:pt idx="665">
                  <c:v>-7831.5594803123167</c:v>
                </c:pt>
                <c:pt idx="666">
                  <c:v>-7795.2242851655283</c:v>
                </c:pt>
                <c:pt idx="667">
                  <c:v>-7758.0376376235254</c:v>
                </c:pt>
                <c:pt idx="668">
                  <c:v>-7720.0108650993989</c:v>
                </c:pt>
                <c:pt idx="669">
                  <c:v>-7681.1555509164264</c:v>
                </c:pt>
                <c:pt idx="670">
                  <c:v>-7641.4835307797075</c:v>
                </c:pt>
                <c:pt idx="671">
                  <c:v>-7601.0068891708797</c:v>
                </c:pt>
                <c:pt idx="672">
                  <c:v>-7559.7379556670985</c:v>
                </c:pt>
                <c:pt idx="673">
                  <c:v>-7517.6893011852844</c:v>
                </c:pt>
                <c:pt idx="674">
                  <c:v>-7474.8737341529159</c:v>
                </c:pt>
                <c:pt idx="675">
                  <c:v>-7431.3042966064922</c:v>
                </c:pt>
                <c:pt idx="676">
                  <c:v>-7386.9942602187448</c:v>
                </c:pt>
                <c:pt idx="677">
                  <c:v>-7341.9571222560062</c:v>
                </c:pt>
                <c:pt idx="678">
                  <c:v>-7296.2066014667762</c:v>
                </c:pt>
                <c:pt idx="679">
                  <c:v>-7249.7566339028872</c:v>
                </c:pt>
                <c:pt idx="680">
                  <c:v>-7202.6213686744331</c:v>
                </c:pt>
                <c:pt idx="681">
                  <c:v>-7154.8151636398088</c:v>
                </c:pt>
                <c:pt idx="682">
                  <c:v>-7106.352581032168</c:v>
                </c:pt>
                <c:pt idx="683">
                  <c:v>-7057.248383023657</c:v>
                </c:pt>
                <c:pt idx="684">
                  <c:v>-7007.517527228666</c:v>
                </c:pt>
                <c:pt idx="685">
                  <c:v>-6957.1751621476105</c:v>
                </c:pt>
                <c:pt idx="686">
                  <c:v>-6906.2366225525948</c:v>
                </c:pt>
                <c:pt idx="687">
                  <c:v>-6854.717424816221</c:v>
                </c:pt>
                <c:pt idx="688">
                  <c:v>-6802.6332621851971</c:v>
                </c:pt>
                <c:pt idx="689">
                  <c:v>-6750</c:v>
                </c:pt>
                <c:pt idx="690">
                  <c:v>-6696.8336708621828</c:v>
                </c:pt>
                <c:pt idx="691">
                  <c:v>-6643.1504697506189</c:v>
                </c:pt>
                <c:pt idx="692">
                  <c:v>-6588.9667490884185</c:v>
                </c:pt>
                <c:pt idx="693">
                  <c:v>-6534.2990137617726</c:v>
                </c:pt>
                <c:pt idx="694">
                  <c:v>-6479.1639160924478</c:v>
                </c:pt>
                <c:pt idx="695">
                  <c:v>-6423.5782507653039</c:v>
                </c:pt>
                <c:pt idx="696">
                  <c:v>-6367.5589497124538</c:v>
                </c:pt>
                <c:pt idx="697">
                  <c:v>-6311.1230769556914</c:v>
                </c:pt>
                <c:pt idx="698">
                  <c:v>-6254.2878234085538</c:v>
                </c:pt>
                <c:pt idx="699">
                  <c:v>-6197.070501639847</c:v>
                </c:pt>
                <c:pt idx="700">
                  <c:v>-6139.4885406000467</c:v>
                </c:pt>
                <c:pt idx="701">
                  <c:v>-6081.5594803123176</c:v>
                </c:pt>
                <c:pt idx="702">
                  <c:v>-6023.300966529584</c:v>
                </c:pt>
                <c:pt idx="703">
                  <c:v>-5964.7307453595004</c:v>
                </c:pt>
                <c:pt idx="704">
                  <c:v>-5905.8666578588236</c:v>
                </c:pt>
                <c:pt idx="705">
                  <c:v>-5846.726634598841</c:v>
                </c:pt>
                <c:pt idx="706">
                  <c:v>-5787.3286902035297</c:v>
                </c:pt>
                <c:pt idx="707">
                  <c:v>-5727.6909178621572</c:v>
                </c:pt>
                <c:pt idx="708">
                  <c:v>-5667.8314838179103</c:v>
                </c:pt>
                <c:pt idx="709">
                  <c:v>-5607.7686218342569</c:v>
                </c:pt>
                <c:pt idx="710">
                  <c:v>-5547.5206276408126</c:v>
                </c:pt>
                <c:pt idx="711">
                  <c:v>-5487.1058533602254</c:v>
                </c:pt>
                <c:pt idx="712">
                  <c:v>-5426.5427019180161</c:v>
                </c:pt>
                <c:pt idx="713">
                  <c:v>-5365.8496214367906</c:v>
                </c:pt>
                <c:pt idx="714">
                  <c:v>-5305.0450996167983</c:v>
                </c:pt>
                <c:pt idx="715">
                  <c:v>-5244.1476581044371</c:v>
                </c:pt>
                <c:pt idx="716">
                  <c:v>-5183.1758468503058</c:v>
                </c:pt>
                <c:pt idx="717">
                  <c:v>-5122.1482384587598</c:v>
                </c:pt>
                <c:pt idx="718">
                  <c:v>-5061.0834225304898</c:v>
                </c:pt>
                <c:pt idx="719">
                  <c:v>-5000.0000000000018</c:v>
                </c:pt>
                <c:pt idx="720">
                  <c:v>-4938.916577469513</c:v>
                </c:pt>
                <c:pt idx="721">
                  <c:v>-4877.8517615412493</c:v>
                </c:pt>
                <c:pt idx="722">
                  <c:v>-4816.8241531496969</c:v>
                </c:pt>
                <c:pt idx="723">
                  <c:v>-4755.8523418955656</c:v>
                </c:pt>
                <c:pt idx="724">
                  <c:v>-4694.954900383198</c:v>
                </c:pt>
                <c:pt idx="725">
                  <c:v>-4634.1503785632121</c:v>
                </c:pt>
                <c:pt idx="726">
                  <c:v>-4573.4572980819812</c:v>
                </c:pt>
                <c:pt idx="727">
                  <c:v>-4512.8941466397719</c:v>
                </c:pt>
                <c:pt idx="728">
                  <c:v>-4452.4793723591965</c:v>
                </c:pt>
                <c:pt idx="729">
                  <c:v>-4392.2313781657404</c:v>
                </c:pt>
                <c:pt idx="730">
                  <c:v>-4332.1685161820933</c:v>
                </c:pt>
                <c:pt idx="731">
                  <c:v>-4272.3090821378464</c:v>
                </c:pt>
                <c:pt idx="732">
                  <c:v>-4212.6713097964803</c:v>
                </c:pt>
                <c:pt idx="733">
                  <c:v>-4153.2733654011618</c:v>
                </c:pt>
                <c:pt idx="734">
                  <c:v>-4094.13334214118</c:v>
                </c:pt>
                <c:pt idx="735">
                  <c:v>-4035.2692546405092</c:v>
                </c:pt>
                <c:pt idx="736">
                  <c:v>-3976.6990334704196</c:v>
                </c:pt>
                <c:pt idx="737">
                  <c:v>-3918.440519687686</c:v>
                </c:pt>
                <c:pt idx="738">
                  <c:v>-3860.511459399951</c:v>
                </c:pt>
                <c:pt idx="739">
                  <c:v>-3802.9294983601621</c:v>
                </c:pt>
                <c:pt idx="740">
                  <c:v>-3745.7121765914499</c:v>
                </c:pt>
                <c:pt idx="741">
                  <c:v>-3688.8769230443063</c:v>
                </c:pt>
                <c:pt idx="742">
                  <c:v>-3632.4410502875435</c:v>
                </c:pt>
                <c:pt idx="743">
                  <c:v>-3576.4217492347047</c:v>
                </c:pt>
                <c:pt idx="744">
                  <c:v>-3520.8360839075494</c:v>
                </c:pt>
                <c:pt idx="745">
                  <c:v>-3465.7009862382301</c:v>
                </c:pt>
                <c:pt idx="746">
                  <c:v>-3411.0332509115906</c:v>
                </c:pt>
                <c:pt idx="747">
                  <c:v>-3356.8495302493793</c:v>
                </c:pt>
                <c:pt idx="748">
                  <c:v>-3303.1663291378204</c:v>
                </c:pt>
                <c:pt idx="749">
                  <c:v>-3250.0000000000036</c:v>
                </c:pt>
                <c:pt idx="750">
                  <c:v>-3197.3667378148166</c:v>
                </c:pt>
                <c:pt idx="751">
                  <c:v>-3145.2825751837818</c:v>
                </c:pt>
                <c:pt idx="752">
                  <c:v>-3093.7633774474075</c:v>
                </c:pt>
                <c:pt idx="753">
                  <c:v>-3042.8248378523867</c:v>
                </c:pt>
                <c:pt idx="754">
                  <c:v>-2992.4824727713421</c:v>
                </c:pt>
                <c:pt idx="755">
                  <c:v>-2942.7516169763458</c:v>
                </c:pt>
                <c:pt idx="756">
                  <c:v>-2893.6474189678306</c:v>
                </c:pt>
                <c:pt idx="757">
                  <c:v>-2845.1848363601989</c:v>
                </c:pt>
                <c:pt idx="758">
                  <c:v>-2797.3786313255696</c:v>
                </c:pt>
                <c:pt idx="759">
                  <c:v>-2750.243366097111</c:v>
                </c:pt>
                <c:pt idx="760">
                  <c:v>-2703.7933985332261</c:v>
                </c:pt>
                <c:pt idx="761">
                  <c:v>-2658.0428777440006</c:v>
                </c:pt>
                <c:pt idx="762">
                  <c:v>-2613.0057397812534</c:v>
                </c:pt>
                <c:pt idx="763">
                  <c:v>-2568.6957033935105</c:v>
                </c:pt>
                <c:pt idx="764">
                  <c:v>-2525.1262658470869</c:v>
                </c:pt>
                <c:pt idx="765">
                  <c:v>-2482.3106988147269</c:v>
                </c:pt>
                <c:pt idx="766">
                  <c:v>-2440.2620443329033</c:v>
                </c:pt>
                <c:pt idx="767">
                  <c:v>-2398.993110829123</c:v>
                </c:pt>
                <c:pt idx="768">
                  <c:v>-2358.5164692202993</c:v>
                </c:pt>
                <c:pt idx="769">
                  <c:v>-2318.8444490835764</c:v>
                </c:pt>
                <c:pt idx="770">
                  <c:v>-2279.9891349006039</c:v>
                </c:pt>
                <c:pt idx="771">
                  <c:v>-2241.9623623764733</c:v>
                </c:pt>
                <c:pt idx="772">
                  <c:v>-2204.7757148344776</c:v>
                </c:pt>
                <c:pt idx="773">
                  <c:v>-2168.4405196876814</c:v>
                </c:pt>
                <c:pt idx="774">
                  <c:v>-2132.9678449885282</c:v>
                </c:pt>
                <c:pt idx="775">
                  <c:v>-2098.368496057356</c:v>
                </c:pt>
                <c:pt idx="776">
                  <c:v>-2064.6530121910196</c:v>
                </c:pt>
                <c:pt idx="777">
                  <c:v>-2031.8316634525086</c:v>
                </c:pt>
                <c:pt idx="778">
                  <c:v>-1999.9144475426078</c:v>
                </c:pt>
                <c:pt idx="779">
                  <c:v>-1968.9110867544678</c:v>
                </c:pt>
                <c:pt idx="780">
                  <c:v>-1938.8310250121135</c:v>
                </c:pt>
                <c:pt idx="781">
                  <c:v>-1909.6834249937565</c:v>
                </c:pt>
                <c:pt idx="782">
                  <c:v>-1881.4771653407147</c:v>
                </c:pt>
                <c:pt idx="783">
                  <c:v>-1854.2208379529166</c:v>
                </c:pt>
                <c:pt idx="784">
                  <c:v>-1827.9227453717253</c:v>
                </c:pt>
                <c:pt idx="785">
                  <c:v>-1802.5908982508986</c:v>
                </c:pt>
                <c:pt idx="786">
                  <c:v>-1778.2330129164593</c:v>
                </c:pt>
                <c:pt idx="787">
                  <c:v>-1754.856509016246</c:v>
                </c:pt>
                <c:pt idx="788">
                  <c:v>-1732.4685072597927</c:v>
                </c:pt>
                <c:pt idx="789">
                  <c:v>-1711.0758272493208</c:v>
                </c:pt>
                <c:pt idx="790">
                  <c:v>-1690.6849854023926</c:v>
                </c:pt>
                <c:pt idx="791">
                  <c:v>-1671.3021929669612</c:v>
                </c:pt>
                <c:pt idx="792">
                  <c:v>-1652.9333541293754</c:v>
                </c:pt>
                <c:pt idx="793">
                  <c:v>-1635.5840642158851</c:v>
                </c:pt>
                <c:pt idx="794">
                  <c:v>-1619.2596079882628</c:v>
                </c:pt>
                <c:pt idx="795">
                  <c:v>-1603.9649580340119</c:v>
                </c:pt>
                <c:pt idx="796">
                  <c:v>-1589.7047732516771</c:v>
                </c:pt>
                <c:pt idx="797">
                  <c:v>-1576.4833974316816</c:v>
                </c:pt>
                <c:pt idx="798">
                  <c:v>-1564.3048579331767</c:v>
                </c:pt>
                <c:pt idx="799">
                  <c:v>-1553.1728644572718</c:v>
                </c:pt>
                <c:pt idx="800">
                  <c:v>-1543.0908079170185</c:v>
                </c:pt>
                <c:pt idx="801">
                  <c:v>-1534.0617594045043</c:v>
                </c:pt>
                <c:pt idx="802">
                  <c:v>-1526.0884692553732</c:v>
                </c:pt>
                <c:pt idx="803">
                  <c:v>-1519.1733662110432</c:v>
                </c:pt>
                <c:pt idx="804">
                  <c:v>-1513.3185566788907</c:v>
                </c:pt>
                <c:pt idx="805">
                  <c:v>-1508.5258240906155</c:v>
                </c:pt>
                <c:pt idx="806">
                  <c:v>-1504.7966283589913</c:v>
                </c:pt>
                <c:pt idx="807">
                  <c:v>-1502.1321054331647</c:v>
                </c:pt>
                <c:pt idx="808">
                  <c:v>-1500.5330669526306</c:v>
                </c:pt>
                <c:pt idx="809">
                  <c:v>-1500</c:v>
                </c:pt>
                <c:pt idx="810">
                  <c:v>-1500.5330669526306</c:v>
                </c:pt>
                <c:pt idx="811">
                  <c:v>-1502.1321054331647</c:v>
                </c:pt>
                <c:pt idx="812">
                  <c:v>-1504.7966283589913</c:v>
                </c:pt>
                <c:pt idx="813">
                  <c:v>-1508.5258240906155</c:v>
                </c:pt>
                <c:pt idx="814">
                  <c:v>-1513.3185566788907</c:v>
                </c:pt>
                <c:pt idx="815">
                  <c:v>-1519.1733662110428</c:v>
                </c:pt>
                <c:pt idx="816">
                  <c:v>-1526.0884692553723</c:v>
                </c:pt>
                <c:pt idx="817">
                  <c:v>-1534.0617594045038</c:v>
                </c:pt>
                <c:pt idx="818">
                  <c:v>-1543.0908079170181</c:v>
                </c:pt>
                <c:pt idx="819">
                  <c:v>-1553.1728644572713</c:v>
                </c:pt>
                <c:pt idx="820">
                  <c:v>-1564.3048579331748</c:v>
                </c:pt>
                <c:pt idx="821">
                  <c:v>-1576.4833974316807</c:v>
                </c:pt>
                <c:pt idx="822">
                  <c:v>-1589.7047732516762</c:v>
                </c:pt>
                <c:pt idx="823">
                  <c:v>-1603.964958034011</c:v>
                </c:pt>
                <c:pt idx="824">
                  <c:v>-1619.2596079882619</c:v>
                </c:pt>
                <c:pt idx="825">
                  <c:v>-1635.5840642158837</c:v>
                </c:pt>
                <c:pt idx="826">
                  <c:v>-1652.9333541293745</c:v>
                </c:pt>
                <c:pt idx="827">
                  <c:v>-1671.3021929669599</c:v>
                </c:pt>
                <c:pt idx="828">
                  <c:v>-1690.6849854023912</c:v>
                </c:pt>
                <c:pt idx="829">
                  <c:v>-1711.0758272493194</c:v>
                </c:pt>
                <c:pt idx="830">
                  <c:v>-1732.4685072597936</c:v>
                </c:pt>
                <c:pt idx="831">
                  <c:v>-1754.8565090162447</c:v>
                </c:pt>
                <c:pt idx="832">
                  <c:v>-1778.2330129164579</c:v>
                </c:pt>
                <c:pt idx="833">
                  <c:v>-1802.5908982508968</c:v>
                </c:pt>
                <c:pt idx="834">
                  <c:v>-1827.9227453717235</c:v>
                </c:pt>
                <c:pt idx="835">
                  <c:v>-1854.2208379529152</c:v>
                </c:pt>
                <c:pt idx="836">
                  <c:v>-1881.4771653407133</c:v>
                </c:pt>
                <c:pt idx="837">
                  <c:v>-1909.6834249937542</c:v>
                </c:pt>
                <c:pt idx="838">
                  <c:v>-1938.8310250121112</c:v>
                </c:pt>
                <c:pt idx="839">
                  <c:v>-1968.9110867544655</c:v>
                </c:pt>
                <c:pt idx="840">
                  <c:v>-1999.914447542606</c:v>
                </c:pt>
                <c:pt idx="841">
                  <c:v>-2031.8316634525058</c:v>
                </c:pt>
                <c:pt idx="842">
                  <c:v>-2064.6530121910178</c:v>
                </c:pt>
                <c:pt idx="843">
                  <c:v>-2098.3684960573537</c:v>
                </c:pt>
                <c:pt idx="844">
                  <c:v>-2132.9678449885264</c:v>
                </c:pt>
                <c:pt idx="845">
                  <c:v>-2168.4405196876828</c:v>
                </c:pt>
                <c:pt idx="846">
                  <c:v>-2204.7757148344749</c:v>
                </c:pt>
                <c:pt idx="847">
                  <c:v>-2241.962362376471</c:v>
                </c:pt>
                <c:pt idx="848">
                  <c:v>-2279.9891349006016</c:v>
                </c:pt>
                <c:pt idx="849">
                  <c:v>-2318.8444490835736</c:v>
                </c:pt>
                <c:pt idx="850">
                  <c:v>-2358.5164692202966</c:v>
                </c:pt>
                <c:pt idx="851">
                  <c:v>-2398.9931108291203</c:v>
                </c:pt>
                <c:pt idx="852">
                  <c:v>-2440.2620443329006</c:v>
                </c:pt>
                <c:pt idx="853">
                  <c:v>-2482.3106988147242</c:v>
                </c:pt>
                <c:pt idx="854">
                  <c:v>-2525.1262658470841</c:v>
                </c:pt>
                <c:pt idx="855">
                  <c:v>-2568.6957033935078</c:v>
                </c:pt>
                <c:pt idx="856">
                  <c:v>-2613.0057397812502</c:v>
                </c:pt>
                <c:pt idx="857">
                  <c:v>-2658.0428777439979</c:v>
                </c:pt>
                <c:pt idx="858">
                  <c:v>-2703.7933985332234</c:v>
                </c:pt>
                <c:pt idx="859">
                  <c:v>-2750.2433660971078</c:v>
                </c:pt>
                <c:pt idx="860">
                  <c:v>-2797.3786313255664</c:v>
                </c:pt>
                <c:pt idx="861">
                  <c:v>-2845.1848363601957</c:v>
                </c:pt>
                <c:pt idx="862">
                  <c:v>-2893.6474189678274</c:v>
                </c:pt>
                <c:pt idx="863">
                  <c:v>-2942.7516169763426</c:v>
                </c:pt>
                <c:pt idx="864">
                  <c:v>-2992.4824727713385</c:v>
                </c:pt>
                <c:pt idx="865">
                  <c:v>-3042.8248378523886</c:v>
                </c:pt>
                <c:pt idx="866">
                  <c:v>-3093.7633774474043</c:v>
                </c:pt>
                <c:pt idx="867">
                  <c:v>-3145.2825751837786</c:v>
                </c:pt>
                <c:pt idx="868">
                  <c:v>-3197.3667378148139</c:v>
                </c:pt>
                <c:pt idx="869">
                  <c:v>-3250</c:v>
                </c:pt>
                <c:pt idx="870">
                  <c:v>-3303.1663291378172</c:v>
                </c:pt>
                <c:pt idx="871">
                  <c:v>-3356.8495302493757</c:v>
                </c:pt>
                <c:pt idx="872">
                  <c:v>-3411.0332509115869</c:v>
                </c:pt>
                <c:pt idx="873">
                  <c:v>-3465.7009862382265</c:v>
                </c:pt>
                <c:pt idx="874">
                  <c:v>-3520.8360839075458</c:v>
                </c:pt>
                <c:pt idx="875">
                  <c:v>-3576.4217492347011</c:v>
                </c:pt>
                <c:pt idx="876">
                  <c:v>-3632.4410502875403</c:v>
                </c:pt>
                <c:pt idx="877">
                  <c:v>-3688.8769230443027</c:v>
                </c:pt>
                <c:pt idx="878">
                  <c:v>-3745.7121765914462</c:v>
                </c:pt>
                <c:pt idx="879">
                  <c:v>-3802.9294983601585</c:v>
                </c:pt>
                <c:pt idx="880">
                  <c:v>-3860.5114593999533</c:v>
                </c:pt>
                <c:pt idx="881">
                  <c:v>-3918.4405196876819</c:v>
                </c:pt>
                <c:pt idx="882">
                  <c:v>-3976.699033470416</c:v>
                </c:pt>
                <c:pt idx="883">
                  <c:v>-4035.2692546405056</c:v>
                </c:pt>
                <c:pt idx="884">
                  <c:v>-4094.1333421411764</c:v>
                </c:pt>
                <c:pt idx="885">
                  <c:v>-4153.2733654011581</c:v>
                </c:pt>
                <c:pt idx="886">
                  <c:v>-4212.6713097964766</c:v>
                </c:pt>
                <c:pt idx="887">
                  <c:v>-4272.3090821378428</c:v>
                </c:pt>
                <c:pt idx="888">
                  <c:v>-4332.1685161820897</c:v>
                </c:pt>
                <c:pt idx="889">
                  <c:v>-4392.2313781657358</c:v>
                </c:pt>
                <c:pt idx="890">
                  <c:v>-4452.4793723591929</c:v>
                </c:pt>
                <c:pt idx="891">
                  <c:v>-4512.8941466397682</c:v>
                </c:pt>
                <c:pt idx="892">
                  <c:v>-4573.4572980819776</c:v>
                </c:pt>
                <c:pt idx="893">
                  <c:v>-4634.1503785632085</c:v>
                </c:pt>
                <c:pt idx="894">
                  <c:v>-4694.9549003831944</c:v>
                </c:pt>
                <c:pt idx="895">
                  <c:v>-4755.8523418955619</c:v>
                </c:pt>
                <c:pt idx="896">
                  <c:v>-4816.8241531496933</c:v>
                </c:pt>
                <c:pt idx="897">
                  <c:v>-4877.8517615412457</c:v>
                </c:pt>
                <c:pt idx="898">
                  <c:v>-4938.9165774695093</c:v>
                </c:pt>
                <c:pt idx="899">
                  <c:v>-4999.9999999999982</c:v>
                </c:pt>
                <c:pt idx="900">
                  <c:v>-5061.0834225304861</c:v>
                </c:pt>
                <c:pt idx="901">
                  <c:v>-5122.1482384587562</c:v>
                </c:pt>
                <c:pt idx="902">
                  <c:v>-5183.1758468503022</c:v>
                </c:pt>
                <c:pt idx="903">
                  <c:v>-5244.1476581044335</c:v>
                </c:pt>
                <c:pt idx="904">
                  <c:v>-5305.0450996167947</c:v>
                </c:pt>
                <c:pt idx="905">
                  <c:v>-5365.8496214367869</c:v>
                </c:pt>
                <c:pt idx="906">
                  <c:v>-5426.5427019180124</c:v>
                </c:pt>
                <c:pt idx="907">
                  <c:v>-5487.1058533602218</c:v>
                </c:pt>
                <c:pt idx="908">
                  <c:v>-5547.5206276408089</c:v>
                </c:pt>
                <c:pt idx="909">
                  <c:v>-5607.7686218342533</c:v>
                </c:pt>
                <c:pt idx="910">
                  <c:v>-5667.8314838179067</c:v>
                </c:pt>
                <c:pt idx="911">
                  <c:v>-5727.6909178621536</c:v>
                </c:pt>
                <c:pt idx="912">
                  <c:v>-5787.3286902035252</c:v>
                </c:pt>
                <c:pt idx="913">
                  <c:v>-5846.7266345988373</c:v>
                </c:pt>
                <c:pt idx="914">
                  <c:v>-5905.86665785882</c:v>
                </c:pt>
                <c:pt idx="915">
                  <c:v>-5964.7307453594904</c:v>
                </c:pt>
                <c:pt idx="916">
                  <c:v>-6023.300966529574</c:v>
                </c:pt>
                <c:pt idx="917">
                  <c:v>-6081.5594803123076</c:v>
                </c:pt>
                <c:pt idx="918">
                  <c:v>-6139.4885406000485</c:v>
                </c:pt>
                <c:pt idx="919">
                  <c:v>-6197.0705016398369</c:v>
                </c:pt>
                <c:pt idx="920">
                  <c:v>-6254.2878234085556</c:v>
                </c:pt>
                <c:pt idx="921">
                  <c:v>-6311.1230769556933</c:v>
                </c:pt>
                <c:pt idx="922">
                  <c:v>-6367.5589497124556</c:v>
                </c:pt>
                <c:pt idx="923">
                  <c:v>-6423.5782507653066</c:v>
                </c:pt>
                <c:pt idx="924">
                  <c:v>-6479.1639160924497</c:v>
                </c:pt>
                <c:pt idx="925">
                  <c:v>-6534.2990137617699</c:v>
                </c:pt>
                <c:pt idx="926">
                  <c:v>-6588.9667490884094</c:v>
                </c:pt>
                <c:pt idx="927">
                  <c:v>-6643.1504697506207</c:v>
                </c:pt>
                <c:pt idx="928">
                  <c:v>-6696.8336708621791</c:v>
                </c:pt>
                <c:pt idx="929">
                  <c:v>-6749.9999999999964</c:v>
                </c:pt>
                <c:pt idx="930">
                  <c:v>-6802.6332621851934</c:v>
                </c:pt>
                <c:pt idx="931">
                  <c:v>-6854.7174248162182</c:v>
                </c:pt>
                <c:pt idx="932">
                  <c:v>-6906.2366225525921</c:v>
                </c:pt>
                <c:pt idx="933">
                  <c:v>-6957.1751621476078</c:v>
                </c:pt>
                <c:pt idx="934">
                  <c:v>-7007.5175272286624</c:v>
                </c:pt>
                <c:pt idx="935">
                  <c:v>-7057.2483830236542</c:v>
                </c:pt>
                <c:pt idx="936">
                  <c:v>-7106.3525810321644</c:v>
                </c:pt>
                <c:pt idx="937">
                  <c:v>-7154.8151636397961</c:v>
                </c:pt>
                <c:pt idx="938">
                  <c:v>-7202.6213686744304</c:v>
                </c:pt>
                <c:pt idx="939">
                  <c:v>-7249.7566339028836</c:v>
                </c:pt>
                <c:pt idx="940">
                  <c:v>-7296.2066014667689</c:v>
                </c:pt>
                <c:pt idx="941">
                  <c:v>-7341.9571222560035</c:v>
                </c:pt>
                <c:pt idx="942">
                  <c:v>-7386.9942602187421</c:v>
                </c:pt>
                <c:pt idx="943">
                  <c:v>-7431.304296606485</c:v>
                </c:pt>
                <c:pt idx="944">
                  <c:v>-7474.8737341529086</c:v>
                </c:pt>
                <c:pt idx="945">
                  <c:v>-7517.6893011852771</c:v>
                </c:pt>
                <c:pt idx="946">
                  <c:v>-7559.7379556670921</c:v>
                </c:pt>
                <c:pt idx="947">
                  <c:v>-7601.0068891708815</c:v>
                </c:pt>
                <c:pt idx="948">
                  <c:v>-7641.4835307797002</c:v>
                </c:pt>
                <c:pt idx="949">
                  <c:v>-7681.1555509164191</c:v>
                </c:pt>
                <c:pt idx="950">
                  <c:v>-7720.0108650994007</c:v>
                </c:pt>
                <c:pt idx="951">
                  <c:v>-7758.0376376235263</c:v>
                </c:pt>
                <c:pt idx="952">
                  <c:v>-7795.2242851655228</c:v>
                </c:pt>
                <c:pt idx="953">
                  <c:v>-7831.5594803123186</c:v>
                </c:pt>
                <c:pt idx="954">
                  <c:v>-7867.0321550114713</c:v>
                </c:pt>
                <c:pt idx="955">
                  <c:v>-7901.6315039426436</c:v>
                </c:pt>
                <c:pt idx="956">
                  <c:v>-7935.3469878089873</c:v>
                </c:pt>
                <c:pt idx="957">
                  <c:v>-7968.168336547491</c:v>
                </c:pt>
                <c:pt idx="958">
                  <c:v>-8000.0855524573917</c:v>
                </c:pt>
                <c:pt idx="959">
                  <c:v>-8031.0889132455322</c:v>
                </c:pt>
                <c:pt idx="960">
                  <c:v>-8061.168974987886</c:v>
                </c:pt>
                <c:pt idx="961">
                  <c:v>-8090.3165750062435</c:v>
                </c:pt>
                <c:pt idx="962">
                  <c:v>-8118.5228346592849</c:v>
                </c:pt>
                <c:pt idx="963">
                  <c:v>-8145.7791620470853</c:v>
                </c:pt>
                <c:pt idx="964">
                  <c:v>-8172.0772546282751</c:v>
                </c:pt>
                <c:pt idx="965">
                  <c:v>-8197.409101749101</c:v>
                </c:pt>
                <c:pt idx="966">
                  <c:v>-8221.766987083538</c:v>
                </c:pt>
                <c:pt idx="967">
                  <c:v>-8245.1434909837553</c:v>
                </c:pt>
                <c:pt idx="968">
                  <c:v>-8267.5314927402051</c:v>
                </c:pt>
                <c:pt idx="969">
                  <c:v>-8288.9241727506778</c:v>
                </c:pt>
                <c:pt idx="970">
                  <c:v>-8309.3150145976088</c:v>
                </c:pt>
                <c:pt idx="971">
                  <c:v>-8328.697807033037</c:v>
                </c:pt>
                <c:pt idx="972">
                  <c:v>-8347.0666458706219</c:v>
                </c:pt>
                <c:pt idx="973">
                  <c:v>-8364.4159357841127</c:v>
                </c:pt>
                <c:pt idx="974">
                  <c:v>-8380.7403920117395</c:v>
                </c:pt>
                <c:pt idx="975">
                  <c:v>-8396.0350419659862</c:v>
                </c:pt>
                <c:pt idx="976">
                  <c:v>-8410.2952267483215</c:v>
                </c:pt>
                <c:pt idx="977">
                  <c:v>-8423.5166025683193</c:v>
                </c:pt>
                <c:pt idx="978">
                  <c:v>-8435.6951420668229</c:v>
                </c:pt>
                <c:pt idx="979">
                  <c:v>-8446.8271355427278</c:v>
                </c:pt>
                <c:pt idx="980">
                  <c:v>-8456.9091920829815</c:v>
                </c:pt>
                <c:pt idx="981">
                  <c:v>-8465.9382405954966</c:v>
                </c:pt>
                <c:pt idx="982">
                  <c:v>-8473.9115307446282</c:v>
                </c:pt>
                <c:pt idx="983">
                  <c:v>-8480.8266337889563</c:v>
                </c:pt>
                <c:pt idx="984">
                  <c:v>-8486.6814433211093</c:v>
                </c:pt>
                <c:pt idx="985">
                  <c:v>-8491.4741759093849</c:v>
                </c:pt>
                <c:pt idx="986">
                  <c:v>-8495.2033716410078</c:v>
                </c:pt>
                <c:pt idx="987">
                  <c:v>-8497.8678945668362</c:v>
                </c:pt>
                <c:pt idx="988">
                  <c:v>-8499.4669330473698</c:v>
                </c:pt>
                <c:pt idx="989">
                  <c:v>-8500</c:v>
                </c:pt>
                <c:pt idx="990">
                  <c:v>-8499.4669330473698</c:v>
                </c:pt>
                <c:pt idx="991">
                  <c:v>-8497.8678945668362</c:v>
                </c:pt>
                <c:pt idx="992">
                  <c:v>-8495.2033716410078</c:v>
                </c:pt>
                <c:pt idx="993">
                  <c:v>-8491.4741759093849</c:v>
                </c:pt>
                <c:pt idx="994">
                  <c:v>-8486.6814433211093</c:v>
                </c:pt>
                <c:pt idx="995">
                  <c:v>-8480.8266337889581</c:v>
                </c:pt>
                <c:pt idx="996">
                  <c:v>-8473.9115307446264</c:v>
                </c:pt>
                <c:pt idx="997">
                  <c:v>-8465.9382405954966</c:v>
                </c:pt>
                <c:pt idx="998">
                  <c:v>-8456.9091920829833</c:v>
                </c:pt>
                <c:pt idx="999">
                  <c:v>-8446.8271355427296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A0B-4AE4-8E43-9A149D407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160736"/>
        <c:axId val="1080163648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Trajectoire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Calculs!$W$6:$W$1006</c15:sqref>
                        </c15:formulaRef>
                      </c:ext>
                    </c:extLst>
                    <c:numCache>
                      <c:formatCode>0.000</c:formatCode>
                      <c:ptCount val="1001"/>
                      <c:pt idx="0" formatCode="0">
                        <c:v>0</c:v>
                      </c:pt>
                      <c:pt idx="1">
                        <c:v>186.7141121852342</c:v>
                      </c:pt>
                      <c:pt idx="2">
                        <c:v>747.61371621631156</c:v>
                      </c:pt>
                      <c:pt idx="3">
                        <c:v>1685.2610757500024</c:v>
                      </c:pt>
                      <c:pt idx="4">
                        <c:v>3002.0815985289996</c:v>
                      </c:pt>
                      <c:pt idx="5">
                        <c:v>4691.5449743582931</c:v>
                      </c:pt>
                      <c:pt idx="6">
                        <c:v>6717.254616201325</c:v>
                      </c:pt>
                      <c:pt idx="7">
                        <c:v>8977.7017916719178</c:v>
                      </c:pt>
                      <c:pt idx="8">
                        <c:v>11276.046457748254</c:v>
                      </c:pt>
                      <c:pt idx="9">
                        <c:v>13347.719773691608</c:v>
                      </c:pt>
                      <c:pt idx="10">
                        <c:v>14962.360608550756</c:v>
                      </c:pt>
                      <c:pt idx="11">
                        <c:v>16001.04625791394</c:v>
                      </c:pt>
                      <c:pt idx="12">
                        <c:v>16436.365410558301</c:v>
                      </c:pt>
                      <c:pt idx="13">
                        <c:v>16276.197057780093</c:v>
                      </c:pt>
                      <c:pt idx="14">
                        <c:v>15530.972419970936</c:v>
                      </c:pt>
                      <c:pt idx="15">
                        <c:v>14205.034078783921</c:v>
                      </c:pt>
                      <c:pt idx="16">
                        <c:v>12304.483778563974</c:v>
                      </c:pt>
                      <c:pt idx="17">
                        <c:v>9867.9036547849446</c:v>
                      </c:pt>
                      <c:pt idx="18">
                        <c:v>7031.6198789703385</c:v>
                      </c:pt>
                      <c:pt idx="19">
                        <c:v>4077.8002634976606</c:v>
                      </c:pt>
                      <c:pt idx="20">
                        <c:v>1329.3964905129951</c:v>
                      </c:pt>
                      <c:pt idx="21">
                        <c:v>-1026.8576705051389</c:v>
                      </c:pt>
                      <c:pt idx="22">
                        <c:v>-2958.5771302701637</c:v>
                      </c:pt>
                      <c:pt idx="23">
                        <c:v>-4492.850342444659</c:v>
                      </c:pt>
                      <c:pt idx="24">
                        <c:v>-5651.1899890012946</c:v>
                      </c:pt>
                      <c:pt idx="25">
                        <c:v>-6428.4748784415251</c:v>
                      </c:pt>
                      <c:pt idx="26">
                        <c:v>-6795.3896227288942</c:v>
                      </c:pt>
                      <c:pt idx="27">
                        <c:v>-6715.500975866732</c:v>
                      </c:pt>
                      <c:pt idx="28">
                        <c:v>-6175.0685449815301</c:v>
                      </c:pt>
                      <c:pt idx="29">
                        <c:v>-5216.8031263607018</c:v>
                      </c:pt>
                      <c:pt idx="30">
                        <c:v>-3952.783271200281</c:v>
                      </c:pt>
                      <c:pt idx="31">
                        <c:v>-2539.5802563636594</c:v>
                      </c:pt>
                      <c:pt idx="32">
                        <c:v>-1136.6079652808971</c:v>
                      </c:pt>
                      <c:pt idx="33">
                        <c:v>121.77811154544167</c:v>
                      </c:pt>
                      <c:pt idx="34">
                        <c:v>1139.7986434382433</c:v>
                      </c:pt>
                      <c:pt idx="35">
                        <c:v>1874.9125586235996</c:v>
                      </c:pt>
                      <c:pt idx="36">
                        <c:v>2356.2786698912719</c:v>
                      </c:pt>
                      <c:pt idx="37">
                        <c:v>2689.3823504333413</c:v>
                      </c:pt>
                      <c:pt idx="38">
                        <c:v>3028.8540264345161</c:v>
                      </c:pt>
                      <c:pt idx="39">
                        <c:v>3528.7298102651648</c:v>
                      </c:pt>
                      <c:pt idx="40">
                        <c:v>4301.2555590632919</c:v>
                      </c:pt>
                      <c:pt idx="41">
                        <c:v>5396.3373905849303</c:v>
                      </c:pt>
                      <c:pt idx="42">
                        <c:v>6766.9500408030708</c:v>
                      </c:pt>
                      <c:pt idx="43">
                        <c:v>8236.328220151996</c:v>
                      </c:pt>
                      <c:pt idx="44">
                        <c:v>9597.0109746937887</c:v>
                      </c:pt>
                      <c:pt idx="45">
                        <c:v>10744.327124643956</c:v>
                      </c:pt>
                      <c:pt idx="46">
                        <c:v>11662.966442753066</c:v>
                      </c:pt>
                      <c:pt idx="47">
                        <c:v>12363.109895270622</c:v>
                      </c:pt>
                      <c:pt idx="48">
                        <c:v>12855.089169968041</c:v>
                      </c:pt>
                      <c:pt idx="49">
                        <c:v>13143.830880508969</c:v>
                      </c:pt>
                      <c:pt idx="50">
                        <c:v>13227.862164030224</c:v>
                      </c:pt>
                      <c:pt idx="51">
                        <c:v>13098.743189118197</c:v>
                      </c:pt>
                      <c:pt idx="52">
                        <c:v>12739.917073389952</c:v>
                      </c:pt>
                      <c:pt idx="53">
                        <c:v>12124.760652166118</c:v>
                      </c:pt>
                      <c:pt idx="54">
                        <c:v>11214.693205220645</c:v>
                      </c:pt>
                      <c:pt idx="55">
                        <c:v>9963.4225268456157</c:v>
                      </c:pt>
                      <c:pt idx="56">
                        <c:v>8353.868069519729</c:v>
                      </c:pt>
                      <c:pt idx="57">
                        <c:v>6504.5120533773606</c:v>
                      </c:pt>
                      <c:pt idx="58">
                        <c:v>4683.8371231464926</c:v>
                      </c:pt>
                      <c:pt idx="59">
                        <c:v>3096.7378794357887</c:v>
                      </c:pt>
                      <c:pt idx="60">
                        <c:v>1739.6544248278665</c:v>
                      </c:pt>
                      <c:pt idx="61">
                        <c:v>444.06953367707115</c:v>
                      </c:pt>
                      <c:pt idx="62">
                        <c:v>-1003.9757785015313</c:v>
                      </c:pt>
                      <c:pt idx="63">
                        <c:v>-2679.3579300596648</c:v>
                      </c:pt>
                      <c:pt idx="64">
                        <c:v>-4471.085908792259</c:v>
                      </c:pt>
                      <c:pt idx="65">
                        <c:v>-6228.7599129335858</c:v>
                      </c:pt>
                      <c:pt idx="66">
                        <c:v>-7858.9935231905456</c:v>
                      </c:pt>
                      <c:pt idx="67">
                        <c:v>-9311.9563495467773</c:v>
                      </c:pt>
                      <c:pt idx="68">
                        <c:v>-10555.66727910535</c:v>
                      </c:pt>
                      <c:pt idx="69">
                        <c:v>-11562.034240433939</c:v>
                      </c:pt>
                      <c:pt idx="70">
                        <c:v>-12299.25572271421</c:v>
                      </c:pt>
                      <c:pt idx="71">
                        <c:v>-12725.965702809084</c:v>
                      </c:pt>
                      <c:pt idx="72">
                        <c:v>-12784.683800785633</c:v>
                      </c:pt>
                      <c:pt idx="73">
                        <c:v>-12393.780529615431</c:v>
                      </c:pt>
                      <c:pt idx="74">
                        <c:v>-11442.749798888803</c:v>
                      </c:pt>
                      <c:pt idx="75">
                        <c:v>-9816.7048935610674</c:v>
                      </c:pt>
                      <c:pt idx="76">
                        <c:v>-7489.5097098377282</c:v>
                      </c:pt>
                      <c:pt idx="77">
                        <c:v>-4578.4733102590244</c:v>
                      </c:pt>
                      <c:pt idx="78">
                        <c:v>-1211.9046104596612</c:v>
                      </c:pt>
                      <c:pt idx="79">
                        <c:v>2595.094934457632</c:v>
                      </c:pt>
                      <c:pt idx="80">
                        <c:v>6852.5502093988507</c:v>
                      </c:pt>
                      <c:pt idx="81">
                        <c:v>11356.718386452245</c:v>
                      </c:pt>
                      <c:pt idx="82">
                        <c:v>15665.164115581541</c:v>
                      </c:pt>
                      <c:pt idx="83">
                        <c:v>19467.935212922228</c:v>
                      </c:pt>
                      <c:pt idx="84">
                        <c:v>22738.321565497678</c:v>
                      </c:pt>
                      <c:pt idx="85">
                        <c:v>25548.48050053919</c:v>
                      </c:pt>
                      <c:pt idx="86">
                        <c:v>27968.938017125685</c:v>
                      </c:pt>
                      <c:pt idx="87">
                        <c:v>30052.984365931912</c:v>
                      </c:pt>
                      <c:pt idx="88">
                        <c:v>31839.301281576241</c:v>
                      </c:pt>
                      <c:pt idx="89">
                        <c:v>33355.974062391753</c:v>
                      </c:pt>
                      <c:pt idx="90">
                        <c:v>34623.473522945133</c:v>
                      </c:pt>
                      <c:pt idx="91">
                        <c:v>35656.649803239139</c:v>
                      </c:pt>
                      <c:pt idx="92">
                        <c:v>36466.036639064208</c:v>
                      </c:pt>
                      <c:pt idx="93">
                        <c:v>37058.695817239925</c:v>
                      </c:pt>
                      <c:pt idx="94">
                        <c:v>37438.74828050191</c:v>
                      </c:pt>
                      <c:pt idx="95">
                        <c:v>37607.679359013739</c:v>
                      </c:pt>
                      <c:pt idx="96">
                        <c:v>37564.466425570768</c:v>
                      </c:pt>
                      <c:pt idx="97">
                        <c:v>37305.549720943025</c:v>
                      </c:pt>
                      <c:pt idx="98">
                        <c:v>36824.644691666668</c:v>
                      </c:pt>
                      <c:pt idx="99">
                        <c:v>36112.371703752673</c:v>
                      </c:pt>
                      <c:pt idx="100">
                        <c:v>35155.651201454246</c:v>
                      </c:pt>
                      <c:pt idx="101">
                        <c:v>33936.772579016026</c:v>
                      </c:pt>
                      <c:pt idx="102">
                        <c:v>32431.983701655736</c:v>
                      </c:pt>
                      <c:pt idx="103">
                        <c:v>30609.353348901317</c:v>
                      </c:pt>
                      <c:pt idx="104">
                        <c:v>28425.530881010513</c:v>
                      </c:pt>
                      <c:pt idx="105">
                        <c:v>25820.969090435901</c:v>
                      </c:pt>
                      <c:pt idx="106">
                        <c:v>22713.909781075665</c:v>
                      </c:pt>
                      <c:pt idx="107">
                        <c:v>18999.116505310296</c:v>
                      </c:pt>
                      <c:pt idx="108">
                        <c:v>14586.906514702992</c:v>
                      </c:pt>
                      <c:pt idx="109">
                        <c:v>9566.2659669826426</c:v>
                      </c:pt>
                      <c:pt idx="110">
                        <c:v>4301.2173249208663</c:v>
                      </c:pt>
                      <c:pt idx="111">
                        <c:v>-813.46168760420505</c:v>
                      </c:pt>
                      <c:pt idx="112">
                        <c:v>-5629.5634470441773</c:v>
                      </c:pt>
                      <c:pt idx="113">
                        <c:v>-10108.003273668486</c:v>
                      </c:pt>
                      <c:pt idx="114">
                        <c:v>-14046.973237252623</c:v>
                      </c:pt>
                      <c:pt idx="115">
                        <c:v>-17292.187142862269</c:v>
                      </c:pt>
                      <c:pt idx="116">
                        <c:v>-19935.884523150406</c:v>
                      </c:pt>
                      <c:pt idx="117">
                        <c:v>-22129.634537167869</c:v>
                      </c:pt>
                      <c:pt idx="118">
                        <c:v>-23978.981675693827</c:v>
                      </c:pt>
                      <c:pt idx="119">
                        <c:v>-25551.696828242952</c:v>
                      </c:pt>
                      <c:pt idx="120">
                        <c:v>-26892.971059250769</c:v>
                      </c:pt>
                      <c:pt idx="121">
                        <c:v>-28034.44050088591</c:v>
                      </c:pt>
                      <c:pt idx="122">
                        <c:v>-28999.186524161145</c:v>
                      </c:pt>
                      <c:pt idx="123">
                        <c:v>-29804.603412346583</c:v>
                      </c:pt>
                      <c:pt idx="124">
                        <c:v>-30464.126634626587</c:v>
                      </c:pt>
                      <c:pt idx="125">
                        <c:v>-30988.324276951076</c:v>
                      </c:pt>
                      <c:pt idx="126">
                        <c:v>-31385.614524426379</c:v>
                      </c:pt>
                      <c:pt idx="127">
                        <c:v>-31662.753193633187</c:v>
                      </c:pt>
                      <c:pt idx="128">
                        <c:v>-31825.173828093837</c:v>
                      </c:pt>
                      <c:pt idx="129">
                        <c:v>-31877.229582616619</c:v>
                      </c:pt>
                      <c:pt idx="130">
                        <c:v>-31822.367283615771</c:v>
                      </c:pt>
                      <c:pt idx="131">
                        <c:v>-31663.252934214001</c:v>
                      </c:pt>
                      <c:pt idx="132">
                        <c:v>-31401.861097092187</c:v>
                      </c:pt>
                      <c:pt idx="133">
                        <c:v>-31039.536200101124</c:v>
                      </c:pt>
                      <c:pt idx="134">
                        <c:v>-30577.030845577094</c:v>
                      </c:pt>
                      <c:pt idx="135">
                        <c:v>-30014.524061662349</c:v>
                      </c:pt>
                      <c:pt idx="136">
                        <c:v>-29351.620731063103</c:v>
                      </c:pt>
                      <c:pt idx="137">
                        <c:v>-28587.331897184118</c:v>
                      </c:pt>
                      <c:pt idx="138">
                        <c:v>-27720.034045612669</c:v>
                      </c:pt>
                      <c:pt idx="139">
                        <c:v>-26747.403538164657</c:v>
                      </c:pt>
                      <c:pt idx="140">
                        <c:v>-25666.319802950573</c:v>
                      </c:pt>
                      <c:pt idx="141">
                        <c:v>-24472.727148913527</c:v>
                      </c:pt>
                      <c:pt idx="142">
                        <c:v>-23161.439339696008</c:v>
                      </c:pt>
                      <c:pt idx="143">
                        <c:v>-21725.861887436939</c:v>
                      </c:pt>
                      <c:pt idx="144">
                        <c:v>-20157.591879932883</c:v>
                      </c:pt>
                      <c:pt idx="145">
                        <c:v>-18445.829655227932</c:v>
                      </c:pt>
                      <c:pt idx="146">
                        <c:v>-16576.494013485782</c:v>
                      </c:pt>
                      <c:pt idx="147">
                        <c:v>-14530.867745606552</c:v>
                      </c:pt>
                      <c:pt idx="148">
                        <c:v>-12283.547192995366</c:v>
                      </c:pt>
                      <c:pt idx="149">
                        <c:v>-9799.7675255686736</c:v>
                      </c:pt>
                      <c:pt idx="150">
                        <c:v>-7035.3137336550672</c:v>
                      </c:pt>
                      <c:pt idx="151">
                        <c:v>-3963.7675143710244</c:v>
                      </c:pt>
                      <c:pt idx="152">
                        <c:v>-701.55857087405991</c:v>
                      </c:pt>
                      <c:pt idx="153">
                        <c:v>2559.8654367391309</c:v>
                      </c:pt>
                      <c:pt idx="154">
                        <c:v>5864.6702828703692</c:v>
                      </c:pt>
                      <c:pt idx="155">
                        <c:v>9374.3513116710565</c:v>
                      </c:pt>
                      <c:pt idx="156">
                        <c:v>12996.702037856652</c:v>
                      </c:pt>
                      <c:pt idx="157">
                        <c:v>16351.250670323947</c:v>
                      </c:pt>
                      <c:pt idx="158">
                        <c:v>19164.164952622286</c:v>
                      </c:pt>
                      <c:pt idx="159">
                        <c:v>21477.534560116277</c:v>
                      </c:pt>
                      <c:pt idx="160">
                        <c:v>23421.390397874045</c:v>
                      </c:pt>
                      <c:pt idx="161">
                        <c:v>25091.072490671453</c:v>
                      </c:pt>
                      <c:pt idx="162">
                        <c:v>26548.877669511712</c:v>
                      </c:pt>
                      <c:pt idx="163">
                        <c:v>27836.535280543769</c:v>
                      </c:pt>
                      <c:pt idx="164">
                        <c:v>28983.227504288348</c:v>
                      </c:pt>
                      <c:pt idx="165">
                        <c:v>30010.196605867557</c:v>
                      </c:pt>
                      <c:pt idx="166">
                        <c:v>30933.438568511272</c:v>
                      </c:pt>
                      <c:pt idx="167">
                        <c:v>31765.34264520296</c:v>
                      </c:pt>
                      <c:pt idx="168">
                        <c:v>32515.731675641971</c:v>
                      </c:pt>
                      <c:pt idx="169">
                        <c:v>33192.54766331859</c:v>
                      </c:pt>
                      <c:pt idx="170">
                        <c:v>33802.318888229544</c:v>
                      </c:pt>
                      <c:pt idx="171">
                        <c:v>34350.487554553991</c:v>
                      </c:pt>
                      <c:pt idx="172">
                        <c:v>34841.645510063041</c:v>
                      </c:pt>
                      <c:pt idx="173">
                        <c:v>35279.707630729201</c:v>
                      </c:pt>
                      <c:pt idx="174">
                        <c:v>35668.041864439365</c:v>
                      </c:pt>
                      <c:pt idx="175">
                        <c:v>36009.568461818708</c:v>
                      </c:pt>
                      <c:pt idx="176">
                        <c:v>36306.836861533287</c:v>
                      </c:pt>
                      <c:pt idx="177">
                        <c:v>36562.086079550711</c:v>
                      </c:pt>
                      <c:pt idx="178">
                        <c:v>36777.29272364491</c:v>
                      </c:pt>
                      <c:pt idx="179">
                        <c:v>36954.209588856764</c:v>
                      </c:pt>
                      <c:pt idx="180">
                        <c:v>37094.396988064167</c:v>
                      </c:pt>
                      <c:pt idx="181">
                        <c:v>37199.248410735425</c:v>
                      </c:pt>
                      <c:pt idx="182">
                        <c:v>37270.011703777738</c:v>
                      </c:pt>
                      <c:pt idx="183">
                        <c:v>37307.806680167487</c:v>
                      </c:pt>
                      <c:pt idx="184">
                        <c:v>37313.639850055959</c:v>
                      </c:pt>
                      <c:pt idx="185">
                        <c:v>37288.416812614756</c:v>
                      </c:pt>
                      <c:pt idx="186">
                        <c:v>37232.952729529046</c:v>
                      </c:pt>
                      <c:pt idx="187">
                        <c:v>37147.981212022925</c:v>
                      </c:pt>
                      <c:pt idx="188">
                        <c:v>37034.161885057358</c:v>
                      </c:pt>
                      <c:pt idx="189">
                        <c:v>36892.086839500553</c:v>
                      </c:pt>
                      <c:pt idx="190">
                        <c:v>36722.2861417573</c:v>
                      </c:pt>
                      <c:pt idx="191">
                        <c:v>36525.232537731856</c:v>
                      </c:pt>
                      <c:pt idx="192">
                        <c:v>36301.345462005593</c:v>
                      </c:pt>
                      <c:pt idx="193">
                        <c:v>36050.994442183066</c:v>
                      </c:pt>
                      <c:pt idx="194">
                        <c:v>35774.501971329075</c:v>
                      </c:pt>
                      <c:pt idx="195">
                        <c:v>35472.145907393155</c:v>
                      </c:pt>
                      <c:pt idx="196">
                        <c:v>35144.16144680883</c:v>
                      </c:pt>
                      <c:pt idx="197">
                        <c:v>34790.742709524595</c:v>
                      </c:pt>
                      <c:pt idx="198">
                        <c:v>34412.043964142926</c:v>
                      </c:pt>
                      <c:pt idx="199">
                        <c:v>34008.180514264313</c:v>
                      </c:pt>
                      <c:pt idx="200">
                        <c:v>33579.229260263135</c:v>
                      </c:pt>
                      <c:pt idx="201">
                        <c:v>33125.228944309849</c:v>
                      </c:pt>
                      <c:pt idx="202">
                        <c:v>32646.180080272228</c:v>
                      </c:pt>
                      <c:pt idx="203">
                        <c:v>32142.044563963165</c:v>
                      </c:pt>
                      <c:pt idx="204">
                        <c:v>31612.744952841298</c:v>
                      </c:pt>
                      <c:pt idx="205">
                        <c:v>31058.163397492066</c:v>
                      </c:pt>
                      <c:pt idx="206">
                        <c:v>30478.140199779227</c:v>
                      </c:pt>
                      <c:pt idx="207">
                        <c:v>29872.471964187596</c:v>
                      </c:pt>
                      <c:pt idx="208">
                        <c:v>29240.909299260758</c:v>
                      </c:pt>
                      <c:pt idx="209">
                        <c:v>28583.154014798849</c:v>
                      </c:pt>
                      <c:pt idx="210">
                        <c:v>27898.85574717728</c:v>
                      </c:pt>
                      <c:pt idx="211">
                        <c:v>27187.607929249978</c:v>
                      </c:pt>
                      <c:pt idx="212">
                        <c:v>26448.943002194723</c:v>
                      </c:pt>
                      <c:pt idx="213">
                        <c:v>25682.326743648566</c:v>
                      </c:pt>
                      <c:pt idx="214">
                        <c:v>24887.151558842928</c:v>
                      </c:pt>
                      <c:pt idx="215">
                        <c:v>24062.728548551499</c:v>
                      </c:pt>
                      <c:pt idx="216">
                        <c:v>23208.278129271155</c:v>
                      </c:pt>
                      <c:pt idx="217">
                        <c:v>22322.918937965336</c:v>
                      </c:pt>
                      <c:pt idx="218">
                        <c:v>21405.654709116734</c:v>
                      </c:pt>
                      <c:pt idx="219">
                        <c:v>20455.358774287906</c:v>
                      </c:pt>
                      <c:pt idx="220">
                        <c:v>19470.755823923137</c:v>
                      </c:pt>
                      <c:pt idx="221">
                        <c:v>18450.400632759553</c:v>
                      </c:pt>
                      <c:pt idx="222">
                        <c:v>17392.653683744389</c:v>
                      </c:pt>
                      <c:pt idx="223">
                        <c:v>16295.654253497769</c:v>
                      </c:pt>
                      <c:pt idx="224">
                        <c:v>15157.293052538158</c:v>
                      </c:pt>
                      <c:pt idx="225">
                        <c:v>13975.19013972904</c:v>
                      </c:pt>
                      <c:pt idx="226">
                        <c:v>12746.692487279546</c:v>
                      </c:pt>
                      <c:pt idx="227">
                        <c:v>11468.926880995645</c:v>
                      </c:pt>
                      <c:pt idx="228">
                        <c:v>10138.998977599476</c:v>
                      </c:pt>
                      <c:pt idx="229">
                        <c:v>8754.5821232877133</c:v>
                      </c:pt>
                      <c:pt idx="230">
                        <c:v>7315.60082827722</c:v>
                      </c:pt>
                      <c:pt idx="231">
                        <c:v>5829.243477041493</c:v>
                      </c:pt>
                      <c:pt idx="232">
                        <c:v>4325.8549623146228</c:v>
                      </c:pt>
                      <c:pt idx="233">
                        <c:v>2906.0571189129173</c:v>
                      </c:pt>
                      <c:pt idx="234">
                        <c:v>1786.555969557174</c:v>
                      </c:pt>
                      <c:pt idx="235">
                        <c:v>1126.0546105145968</c:v>
                      </c:pt>
                      <c:pt idx="236">
                        <c:v>847.96650632639</c:v>
                      </c:pt>
                      <c:pt idx="237">
                        <c:v>675.16617169647395</c:v>
                      </c:pt>
                      <c:pt idx="238">
                        <c:v>318.35250028243314</c:v>
                      </c:pt>
                      <c:pt idx="239">
                        <c:v>-243.94480472458082</c:v>
                      </c:pt>
                      <c:pt idx="240">
                        <c:v>-877.0456023047783</c:v>
                      </c:pt>
                      <c:pt idx="241">
                        <c:v>-1516.7914542973892</c:v>
                      </c:pt>
                      <c:pt idx="242">
                        <c:v>-2143.1386622650716</c:v>
                      </c:pt>
                      <c:pt idx="243">
                        <c:v>-2750.2565042611236</c:v>
                      </c:pt>
                      <c:pt idx="244">
                        <c:v>-3336.9753286307337</c:v>
                      </c:pt>
                      <c:pt idx="245">
                        <c:v>-3903.7387407770107</c:v>
                      </c:pt>
                      <c:pt idx="246">
                        <c:v>-4451.5352916245329</c:v>
                      </c:pt>
                      <c:pt idx="247">
                        <c:v>-4981.4959023778911</c:v>
                      </c:pt>
                      <c:pt idx="248">
                        <c:v>-5494.7375888719571</c:v>
                      </c:pt>
                      <c:pt idx="249">
                        <c:v>-5992.304972022569</c:v>
                      </c:pt>
                      <c:pt idx="250">
                        <c:v>-6475.1523052620059</c:v>
                      </c:pt>
                      <c:pt idx="251">
                        <c:v>-6944.1424559850575</c:v>
                      </c:pt>
                      <c:pt idx="252">
                        <c:v>-7400.0526989266154</c:v>
                      </c:pt>
                      <c:pt idx="253">
                        <c:v>-7843.5828469699427</c:v>
                      </c:pt>
                      <c:pt idx="254">
                        <c:v>-8275.3637462294428</c:v>
                      </c:pt>
                      <c:pt idx="255">
                        <c:v>-8695.9652996849181</c:v>
                      </c:pt>
                      <c:pt idx="256">
                        <c:v>-9105.9037083312378</c:v>
                      </c:pt>
                      <c:pt idx="257">
                        <c:v>-9505.6478594355976</c:v>
                      </c:pt>
                      <c:pt idx="258">
                        <c:v>-9895.6248977040068</c:v>
                      </c:pt>
                      <c:pt idx="259">
                        <c:v>-10276.225057243159</c:v>
                      </c:pt>
                      <c:pt idx="260">
                        <c:v>-10647.80584395981</c:v>
                      </c:pt>
                      <c:pt idx="261">
                        <c:v>-11010.695655953585</c:v>
                      </c:pt>
                      <c:pt idx="262">
                        <c:v>-11365.196921606619</c:v>
                      </c:pt>
                      <c:pt idx="263">
                        <c:v>-11711.588825371648</c:v>
                      </c:pt>
                      <c:pt idx="264">
                        <c:v>-12050.12968154693</c:v>
                      </c:pt>
                      <c:pt idx="265">
                        <c:v>-12381.059007399695</c:v>
                      </c:pt>
                      <c:pt idx="266">
                        <c:v>-12704.599339141909</c:v>
                      </c:pt>
                      <c:pt idx="267">
                        <c:v>-13020.957827508022</c:v>
                      </c:pt>
                      <c:pt idx="268">
                        <c:v>-13330.327643957351</c:v>
                      </c:pt>
                      <c:pt idx="269">
                        <c:v>-13632.889223705213</c:v>
                      </c:pt>
                      <c:pt idx="270">
                        <c:v>-13928.811367749251</c:v>
                      </c:pt>
                      <c:pt idx="271">
                        <c:v>-14218.252222679976</c:v>
                      </c:pt>
                      <c:pt idx="272">
                        <c:v>-14501.360154240097</c:v>
                      </c:pt>
                      <c:pt idx="273">
                        <c:v>-14778.274528233171</c:v>
                      </c:pt>
                      <c:pt idx="274">
                        <c:v>-15049.126410400453</c:v>
                      </c:pt>
                      <c:pt idx="275">
                        <c:v>-15314.039195220379</c:v>
                      </c:pt>
                      <c:pt idx="276">
                        <c:v>-15573.129172183711</c:v>
                      </c:pt>
                      <c:pt idx="277">
                        <c:v>-15826.506036914647</c:v>
                      </c:pt>
                      <c:pt idx="278">
                        <c:v>-16074.273353507066</c:v>
                      </c:pt>
                      <c:pt idx="279">
                        <c:v>-16316.528973595592</c:v>
                      </c:pt>
                      <c:pt idx="280">
                        <c:v>-16553.365416958048</c:v>
                      </c:pt>
                      <c:pt idx="281">
                        <c:v>-16784.87021782884</c:v>
                      </c:pt>
                      <c:pt idx="282">
                        <c:v>-17011.126240574667</c:v>
                      </c:pt>
                      <c:pt idx="283">
                        <c:v>-17232.211967930652</c:v>
                      </c:pt>
                      <c:pt idx="284">
                        <c:v>-17448.201764604953</c:v>
                      </c:pt>
                      <c:pt idx="285">
                        <c:v>-17659.166118723268</c:v>
                      </c:pt>
                      <c:pt idx="286">
                        <c:v>-17865.171863293439</c:v>
                      </c:pt>
                      <c:pt idx="287">
                        <c:v>-18066.282379617754</c:v>
                      </c:pt>
                      <c:pt idx="288">
                        <c:v>-18262.557784360779</c:v>
                      </c:pt>
                      <c:pt idx="289">
                        <c:v>-18454.055101789163</c:v>
                      </c:pt>
                      <c:pt idx="290">
                        <c:v>-18640.828422532322</c:v>
                      </c:pt>
                      <c:pt idx="291">
                        <c:v>-18822.929050066439</c:v>
                      </c:pt>
                      <c:pt idx="292">
                        <c:v>-19000.405635995416</c:v>
                      </c:pt>
                      <c:pt idx="293">
                        <c:v>-19173.304305089103</c:v>
                      </c:pt>
                      <c:pt idx="294">
                        <c:v>-19341.668770939312</c:v>
                      </c:pt>
                      <c:pt idx="295">
                        <c:v>-19505.540443005717</c:v>
                      </c:pt>
                      <c:pt idx="296">
                        <c:v>-19664.958525745602</c:v>
                      </c:pt>
                      <c:pt idx="297">
                        <c:v>-19819.960110451888</c:v>
                      </c:pt>
                      <c:pt idx="298">
                        <c:v>-19970.580260362203</c:v>
                      </c:pt>
                      <c:pt idx="299">
                        <c:v>-20116.852089546588</c:v>
                      </c:pt>
                      <c:pt idx="300">
                        <c:v>-20258.806836032349</c:v>
                      </c:pt>
                      <c:pt idx="301">
                        <c:v>-20396.473929580479</c:v>
                      </c:pt>
                      <c:pt idx="302">
                        <c:v>-20529.881054488604</c:v>
                      </c:pt>
                      <c:pt idx="303">
                        <c:v>-20659.054207759884</c:v>
                      </c:pt>
                      <c:pt idx="304">
                        <c:v>-20784.017752945387</c:v>
                      </c:pt>
                      <c:pt idx="305">
                        <c:v>-20904.794469938508</c:v>
                      </c:pt>
                      <c:pt idx="306">
                        <c:v>-21021.405600973947</c:v>
                      </c:pt>
                      <c:pt idx="307">
                        <c:v>-21133.870893060044</c:v>
                      </c:pt>
                      <c:pt idx="308">
                        <c:v>-21242.208637051717</c:v>
                      </c:pt>
                      <c:pt idx="309">
                        <c:v>-21346.435703551699</c:v>
                      </c:pt>
                      <c:pt idx="310">
                        <c:v>-21446.567575809713</c:v>
                      </c:pt>
                      <c:pt idx="311">
                        <c:v>-21542.618379772892</c:v>
                      </c:pt>
                      <c:pt idx="312">
                        <c:v>-21634.600911425598</c:v>
                      </c:pt>
                      <c:pt idx="313">
                        <c:v>-21722.526661542823</c:v>
                      </c:pt>
                      <c:pt idx="314">
                        <c:v>-21806.405837968541</c:v>
                      </c:pt>
                      <c:pt idx="315">
                        <c:v>-21886.247385518353</c:v>
                      </c:pt>
                      <c:pt idx="316">
                        <c:v>-21962.059003594542</c:v>
                      </c:pt>
                      <c:pt idx="317">
                        <c:v>-22033.847161591355</c:v>
                      </c:pt>
                      <c:pt idx="318">
                        <c:v>-22101.617112158277</c:v>
                      </c:pt>
                      <c:pt idx="319">
                        <c:v>-22165.372902379942</c:v>
                      </c:pt>
                      <c:pt idx="320">
                        <c:v>-22225.117382922301</c:v>
                      </c:pt>
                      <c:pt idx="321">
                        <c:v>-22280.852215186387</c:v>
                      </c:pt>
                      <c:pt idx="322">
                        <c:v>-22332.577876502721</c:v>
                      </c:pt>
                      <c:pt idx="323">
                        <c:v>-22380.293663391574</c:v>
                      </c:pt>
                      <c:pt idx="324">
                        <c:v>-22423.997692906691</c:v>
                      </c:pt>
                      <c:pt idx="325">
                        <c:v>-22463.686902072433</c:v>
                      </c:pt>
                      <c:pt idx="326">
                        <c:v>-22499.357045416957</c:v>
                      </c:pt>
                      <c:pt idx="327">
                        <c:v>-22531.002690596553</c:v>
                      </c:pt>
                      <c:pt idx="328">
                        <c:v>-22558.617212098998</c:v>
                      </c:pt>
                      <c:pt idx="329">
                        <c:v>-22582.192783006078</c:v>
                      </c:pt>
                      <c:pt idx="330">
                        <c:v>-22601.72036478806</c:v>
                      </c:pt>
                      <c:pt idx="331">
                        <c:v>-22617.189695094945</c:v>
                      </c:pt>
                      <c:pt idx="332">
                        <c:v>-22628.589273501453</c:v>
                      </c:pt>
                      <c:pt idx="333">
                        <c:v>-22635.906345154275</c:v>
                      </c:pt>
                      <c:pt idx="334">
                        <c:v>-22639.126882261589</c:v>
                      </c:pt>
                      <c:pt idx="335">
                        <c:v>-22638.235563355713</c:v>
                      </c:pt>
                      <c:pt idx="336">
                        <c:v>-22633.21575025022</c:v>
                      </c:pt>
                      <c:pt idx="337">
                        <c:v>-22624.049462602747</c:v>
                      </c:pt>
                      <c:pt idx="338">
                        <c:v>-22610.71734998397</c:v>
                      </c:pt>
                      <c:pt idx="339">
                        <c:v>-22593.198661341685</c:v>
                      </c:pt>
                      <c:pt idx="340">
                        <c:v>-22571.471211736636</c:v>
                      </c:pt>
                      <c:pt idx="341">
                        <c:v>-22545.511346213498</c:v>
                      </c:pt>
                      <c:pt idx="342">
                        <c:v>-22515.293900655954</c:v>
                      </c:pt>
                      <c:pt idx="343">
                        <c:v>-22480.792159459455</c:v>
                      </c:pt>
                      <c:pt idx="344">
                        <c:v>-22441.977809838168</c:v>
                      </c:pt>
                      <c:pt idx="345">
                        <c:v>-22398.820892564378</c:v>
                      </c:pt>
                      <c:pt idx="346">
                        <c:v>-22351.289748918411</c:v>
                      </c:pt>
                      <c:pt idx="347">
                        <c:v>-22299.350963605157</c:v>
                      </c:pt>
                      <c:pt idx="348">
                        <c:v>-22242.969303369067</c:v>
                      </c:pt>
                      <c:pt idx="349">
                        <c:v>-22182.107651012931</c:v>
                      </c:pt>
                      <c:pt idx="350">
                        <c:v>-22116.726934496368</c:v>
                      </c:pt>
                      <c:pt idx="351">
                        <c:v>-22046.786050757575</c:v>
                      </c:pt>
                      <c:pt idx="352">
                        <c:v>-21972.241783865986</c:v>
                      </c:pt>
                      <c:pt idx="353">
                        <c:v>-21893.048717073605</c:v>
                      </c:pt>
                      <c:pt idx="354">
                        <c:v>-21809.1591382886</c:v>
                      </c:pt>
                      <c:pt idx="355">
                        <c:v>-21720.522938445371</c:v>
                      </c:pt>
                      <c:pt idx="356">
                        <c:v>-21627.087502190258</c:v>
                      </c:pt>
                      <c:pt idx="357">
                        <c:v>-21528.797590240549</c:v>
                      </c:pt>
                      <c:pt idx="358">
                        <c:v>-21425.595212705437</c:v>
                      </c:pt>
                      <c:pt idx="359">
                        <c:v>-21317.419492580164</c:v>
                      </c:pt>
                      <c:pt idx="360">
                        <c:v>-21204.206518537456</c:v>
                      </c:pt>
                      <c:pt idx="361">
                        <c:v>-21085.88918604211</c:v>
                      </c:pt>
                      <c:pt idx="362">
                        <c:v>-20962.397025703704</c:v>
                      </c:pt>
                      <c:pt idx="363">
                        <c:v>-20833.656017656584</c:v>
                      </c:pt>
                      <c:pt idx="364">
                        <c:v>-20699.588390613837</c:v>
                      </c:pt>
                      <c:pt idx="365">
                        <c:v>-20560.1124040797</c:v>
                      </c:pt>
                      <c:pt idx="366">
                        <c:v>-20415.142112019887</c:v>
                      </c:pt>
                      <c:pt idx="367">
                        <c:v>-20264.587106078034</c:v>
                      </c:pt>
                      <c:pt idx="368">
                        <c:v>-20108.352236184281</c:v>
                      </c:pt>
                      <c:pt idx="369">
                        <c:v>-19946.33730612378</c:v>
                      </c:pt>
                      <c:pt idx="370">
                        <c:v>-19778.436741312566</c:v>
                      </c:pt>
                      <c:pt idx="371">
                        <c:v>-19604.539225658078</c:v>
                      </c:pt>
                      <c:pt idx="372">
                        <c:v>-19424.527303952855</c:v>
                      </c:pt>
                      <c:pt idx="373">
                        <c:v>-19238.276945751859</c:v>
                      </c:pt>
                      <c:pt idx="374">
                        <c:v>-19045.657066103271</c:v>
                      </c:pt>
                      <c:pt idx="375">
                        <c:v>-18846.52899782372</c:v>
                      </c:pt>
                      <c:pt idx="376">
                        <c:v>-18640.745909212492</c:v>
                      </c:pt>
                      <c:pt idx="377">
                        <c:v>-18428.152160161582</c:v>
                      </c:pt>
                      <c:pt idx="378">
                        <c:v>-18208.582588510337</c:v>
                      </c:pt>
                      <c:pt idx="379">
                        <c:v>-17981.861717179152</c:v>
                      </c:pt>
                      <c:pt idx="380">
                        <c:v>-17747.802871051306</c:v>
                      </c:pt>
                      <c:pt idx="381">
                        <c:v>-17506.207190700134</c:v>
                      </c:pt>
                      <c:pt idx="382">
                        <c:v>-17256.862527810201</c:v>
                      </c:pt>
                      <c:pt idx="383">
                        <c:v>-16999.542204428111</c:v>
                      </c:pt>
                      <c:pt idx="384">
                        <c:v>-16734.00361488929</c:v>
                      </c:pt>
                      <c:pt idx="385">
                        <c:v>-16459.986645258916</c:v>
                      </c:pt>
                      <c:pt idx="386">
                        <c:v>-16177.211880215797</c:v>
                      </c:pt>
                      <c:pt idx="387">
                        <c:v>-15885.37856126073</c:v>
                      </c:pt>
                      <c:pt idx="388">
                        <c:v>-15584.162252639662</c:v>
                      </c:pt>
                      <c:pt idx="389">
                        <c:v>-15273.21216203455</c:v>
                      </c:pt>
                      <c:pt idx="390">
                        <c:v>-14952.148051362414</c:v>
                      </c:pt>
                      <c:pt idx="391">
                        <c:v>-14620.556658232541</c:v>
                      </c:pt>
                      <c:pt idx="392">
                        <c:v>-14277.987529802784</c:v>
                      </c:pt>
                      <c:pt idx="393">
                        <c:v>-13923.948146680717</c:v>
                      </c:pt>
                      <c:pt idx="394">
                        <c:v>-13557.898183411224</c:v>
                      </c:pt>
                      <c:pt idx="395">
                        <c:v>-13179.242711620675</c:v>
                      </c:pt>
                      <c:pt idx="396">
                        <c:v>-12787.324098796669</c:v>
                      </c:pt>
                      <c:pt idx="397">
                        <c:v>-12381.412285457016</c:v>
                      </c:pt>
                      <c:pt idx="398">
                        <c:v>-11960.693029804579</c:v>
                      </c:pt>
                      <c:pt idx="399">
                        <c:v>-11524.253583069849</c:v>
                      </c:pt>
                      <c:pt idx="400">
                        <c:v>-11071.065088327809</c:v>
                      </c:pt>
                      <c:pt idx="401">
                        <c:v>-10599.960763704878</c:v>
                      </c:pt>
                      <c:pt idx="402">
                        <c:v>-10109.608614909715</c:v>
                      </c:pt>
                      <c:pt idx="403">
                        <c:v>-9598.476993768194</c:v>
                      </c:pt>
                      <c:pt idx="404">
                        <c:v>-9064.7907505296444</c:v>
                      </c:pt>
                      <c:pt idx="405">
                        <c:v>-8506.4750114104791</c:v>
                      </c:pt>
                      <c:pt idx="406">
                        <c:v>-7921.0828379639861</c:v>
                      </c:pt>
                      <c:pt idx="407">
                        <c:v>-7305.7026130631948</c:v>
                      </c:pt>
                      <c:pt idx="408">
                        <c:v>-6656.8424729039516</c:v>
                      </c:pt>
                      <c:pt idx="409">
                        <c:v>-5970.2976894430385</c:v>
                      </c:pt>
                      <c:pt idx="410">
                        <c:v>-5241.0409303794677</c:v>
                      </c:pt>
                      <c:pt idx="411">
                        <c:v>-4463.3034290223341</c:v>
                      </c:pt>
                      <c:pt idx="412">
                        <c:v>-3631.5196332562782</c:v>
                      </c:pt>
                      <c:pt idx="413">
                        <c:v>-2744.9598960180242</c:v>
                      </c:pt>
                      <c:pt idx="414">
                        <c:v>-1827.8159787992299</c:v>
                      </c:pt>
                      <c:pt idx="415">
                        <c:v>-978.31269208326125</c:v>
                      </c:pt>
                      <c:pt idx="416">
                        <c:v>-233.15056246805466</c:v>
                      </c:pt>
                      <c:pt idx="417">
                        <c:v>616.77028770505149</c:v>
                      </c:pt>
                      <c:pt idx="418">
                        <c:v>1851.8510083811093</c:v>
                      </c:pt>
                      <c:pt idx="419">
                        <c:v>3611.2048039277497</c:v>
                      </c:pt>
                      <c:pt idx="420">
                        <c:v>5764.2089799825471</c:v>
                      </c:pt>
                      <c:pt idx="421">
                        <c:v>8038.9875601098347</c:v>
                      </c:pt>
                      <c:pt idx="422">
                        <c:v>10291.986451224446</c:v>
                      </c:pt>
                      <c:pt idx="423">
                        <c:v>12486.15914848992</c:v>
                      </c:pt>
                      <c:pt idx="424">
                        <c:v>14615.948063451568</c:v>
                      </c:pt>
                      <c:pt idx="425">
                        <c:v>16684.054887258488</c:v>
                      </c:pt>
                      <c:pt idx="426">
                        <c:v>18695.160232054663</c:v>
                      </c:pt>
                      <c:pt idx="427">
                        <c:v>20654.101379312906</c:v>
                      </c:pt>
                      <c:pt idx="428">
                        <c:v>22565.341730352302</c:v>
                      </c:pt>
                      <c:pt idx="429">
                        <c:v>24432.84920132687</c:v>
                      </c:pt>
                      <c:pt idx="430">
                        <c:v>26260.107795392185</c:v>
                      </c:pt>
                      <c:pt idx="431">
                        <c:v>28050.169065375674</c:v>
                      </c:pt>
                      <c:pt idx="432">
                        <c:v>29805.710774943629</c:v>
                      </c:pt>
                      <c:pt idx="433">
                        <c:v>31529.09162406301</c:v>
                      </c:pt>
                      <c:pt idx="434">
                        <c:v>33222.398861586451</c:v>
                      </c:pt>
                      <c:pt idx="435">
                        <c:v>34887.488532501586</c:v>
                      </c:pt>
                      <c:pt idx="436">
                        <c:v>36526.019101491504</c:v>
                      </c:pt>
                      <c:pt idx="437">
                        <c:v>38139.47944202237</c:v>
                      </c:pt>
                      <c:pt idx="438">
                        <c:v>39729.21214925489</c:v>
                      </c:pt>
                      <c:pt idx="439">
                        <c:v>41296.433013335394</c:v>
                      </c:pt>
                      <c:pt idx="440">
                        <c:v>42842.247351221413</c:v>
                      </c:pt>
                      <c:pt idx="441">
                        <c:v>44367.663767532023</c:v>
                      </c:pt>
                      <c:pt idx="442">
                        <c:v>45873.605806162632</c:v>
                      </c:pt>
                      <c:pt idx="443">
                        <c:v>47360.921865119213</c:v>
                      </c:pt>
                      <c:pt idx="444">
                        <c:v>48830.393675036212</c:v>
                      </c:pt>
                      <c:pt idx="445">
                        <c:v>50282.743584285061</c:v>
                      </c:pt>
                      <c:pt idx="446">
                        <c:v>51718.640847705756</c:v>
                      </c:pt>
                      <c:pt idx="447">
                        <c:v>53138.707079430606</c:v>
                      </c:pt>
                      <c:pt idx="448">
                        <c:v>54543.521001071662</c:v>
                      </c:pt>
                      <c:pt idx="449">
                        <c:v>55933.622593155735</c:v>
                      </c:pt>
                      <c:pt idx="450">
                        <c:v>57309.516738886989</c:v>
                      </c:pt>
                      <c:pt idx="451">
                        <c:v>58671.676434134431</c:v>
                      </c:pt>
                      <c:pt idx="452">
                        <c:v>60020.545625229366</c:v>
                      </c:pt>
                      <c:pt idx="453">
                        <c:v>61356.54172612766</c:v>
                      </c:pt>
                      <c:pt idx="454">
                        <c:v>62680.057858283915</c:v>
                      </c:pt>
                      <c:pt idx="455">
                        <c:v>63991.464849837539</c:v>
                      </c:pt>
                      <c:pt idx="456">
                        <c:v>65291.113025140286</c:v>
                      </c:pt>
                      <c:pt idx="457">
                        <c:v>66579.333811035583</c:v>
                      </c:pt>
                      <c:pt idx="458">
                        <c:v>67856.44118245368</c:v>
                      </c:pt>
                      <c:pt idx="459">
                        <c:v>69122.732966670592</c:v>
                      </c:pt>
                      <c:pt idx="460">
                        <c:v>70378.492022879625</c:v>
                      </c:pt>
                      <c:pt idx="461">
                        <c:v>71623.987311449353</c:v>
                      </c:pt>
                      <c:pt idx="462">
                        <c:v>72859.474865318494</c:v>
                      </c:pt>
                      <c:pt idx="463">
                        <c:v>74085.198674345607</c:v>
                      </c:pt>
                      <c:pt idx="464">
                        <c:v>75301.391492040697</c:v>
                      </c:pt>
                      <c:pt idx="465">
                        <c:v>76508.275572918152</c:v>
                      </c:pt>
                      <c:pt idx="466">
                        <c:v>77706.063347691786</c:v>
                      </c:pt>
                      <c:pt idx="467">
                        <c:v>78894.958042657207</c:v>
                      </c:pt>
                      <c:pt idx="468">
                        <c:v>80075.154248851395</c:v>
                      </c:pt>
                      <c:pt idx="469">
                        <c:v>81246.838445926463</c:v>
                      </c:pt>
                      <c:pt idx="470">
                        <c:v>82410.189485108014</c:v>
                      </c:pt>
                      <c:pt idx="471">
                        <c:v>83565.379035115926</c:v>
                      </c:pt>
                      <c:pt idx="472">
                        <c:v>84712.571994496087</c:v>
                      </c:pt>
                      <c:pt idx="473">
                        <c:v>85851.926873436125</c:v>
                      </c:pt>
                      <c:pt idx="474">
                        <c:v>86983.596147809571</c:v>
                      </c:pt>
                      <c:pt idx="475">
                        <c:v>88107.726587903962</c:v>
                      </c:pt>
                      <c:pt idx="476">
                        <c:v>89224.459564034376</c:v>
                      </c:pt>
                      <c:pt idx="477">
                        <c:v>90333.931331019703</c:v>
                      </c:pt>
                      <c:pt idx="478">
                        <c:v>91436.273293300866</c:v>
                      </c:pt>
                      <c:pt idx="479">
                        <c:v>92531.612252304592</c:v>
                      </c:pt>
                      <c:pt idx="480">
                        <c:v>93620.07063750083</c:v>
                      </c:pt>
                      <c:pt idx="481">
                        <c:v>94701.76672246329</c:v>
                      </c:pt>
                      <c:pt idx="482">
                        <c:v>95776.814827119291</c:v>
                      </c:pt>
                      <c:pt idx="483">
                        <c:v>96845.325507264919</c:v>
                      </c:pt>
                      <c:pt idx="484">
                        <c:v>97907.405732323328</c:v>
                      </c:pt>
                      <c:pt idx="485">
                        <c:v>98963.159052235613</c:v>
                      </c:pt>
                      <c:pt idx="486">
                        <c:v>100012.6857542949</c:v>
                      </c:pt>
                      <c:pt idx="487">
                        <c:v>101056.08301066323</c:v>
                      </c:pt>
                      <c:pt idx="488">
                        <c:v>102093.44501724663</c:v>
                      </c:pt>
                      <c:pt idx="489">
                        <c:v>103124.86312454673</c:v>
                      </c:pt>
                      <c:pt idx="490">
                        <c:v>104150.42596105483</c:v>
                      </c:pt>
                      <c:pt idx="491">
                        <c:v>105170.2195497077</c:v>
                      </c:pt>
                      <c:pt idx="492">
                        <c:v>106184.32741788159</c:v>
                      </c:pt>
                      <c:pt idx="493">
                        <c:v>107192.83070136275</c:v>
                      </c:pt>
                      <c:pt idx="494">
                        <c:v>108195.80824269757</c:v>
                      </c:pt>
                      <c:pt idx="495">
                        <c:v>109193.3366842937</c:v>
                      </c:pt>
                      <c:pt idx="496">
                        <c:v>110185.49055661482</c:v>
                      </c:pt>
                      <c:pt idx="497">
                        <c:v>111172.34236178518</c:v>
                      </c:pt>
                      <c:pt idx="498">
                        <c:v>112153.96265289612</c:v>
                      </c:pt>
                      <c:pt idx="499">
                        <c:v>113130.42010928507</c:v>
                      </c:pt>
                      <c:pt idx="500">
                        <c:v>114101.781608037</c:v>
                      </c:pt>
                      <c:pt idx="501">
                        <c:v>115068.11229194059</c:v>
                      </c:pt>
                      <c:pt idx="502">
                        <c:v>116029.47563411423</c:v>
                      </c:pt>
                      <c:pt idx="503">
                        <c:v>116985.93349950151</c:v>
                      </c:pt>
                      <c:pt idx="504">
                        <c:v>117937.54620342195</c:v>
                      </c:pt>
                      <c:pt idx="505">
                        <c:v>118884.3725673498</c:v>
                      </c:pt>
                      <c:pt idx="506">
                        <c:v>119826.46997208138</c:v>
                      </c:pt>
                      <c:pt idx="507">
                        <c:v>120763.89440844096</c:v>
                      </c:pt>
                      <c:pt idx="508">
                        <c:v>121696.70052566465</c:v>
                      </c:pt>
                      <c:pt idx="509">
                        <c:v>122624.94167759268</c:v>
                      </c:pt>
                      <c:pt idx="510">
                        <c:v>123548.66996679164</c:v>
                      </c:pt>
                      <c:pt idx="511">
                        <c:v>124467.93628672052</c:v>
                      </c:pt>
                      <c:pt idx="512">
                        <c:v>125382.79036204671</c:v>
                      </c:pt>
                      <c:pt idx="513">
                        <c:v>126293.2807872116</c:v>
                      </c:pt>
                      <c:pt idx="514">
                        <c:v>127199.45506333878</c:v>
                      </c:pt>
                      <c:pt idx="515">
                        <c:v>128101.35963357255</c:v>
                      </c:pt>
                      <c:pt idx="516">
                        <c:v>128999.03991692809</c:v>
                      </c:pt>
                      <c:pt idx="517">
                        <c:v>129892.54034073073</c:v>
                      </c:pt>
                      <c:pt idx="518">
                        <c:v>130781.90437171599</c:v>
                      </c:pt>
                      <c:pt idx="519">
                        <c:v>131667.17454585855</c:v>
                      </c:pt>
                      <c:pt idx="520">
                        <c:v>132548.39249699365</c:v>
                      </c:pt>
                      <c:pt idx="521">
                        <c:v>133425.59898429117</c:v>
                      </c:pt>
                      <c:pt idx="522">
                        <c:v>134298.83391863856</c:v>
                      </c:pt>
                      <c:pt idx="523">
                        <c:v>135168.13638798604</c:v>
                      </c:pt>
                      <c:pt idx="524">
                        <c:v>136033.54468170388</c:v>
                      </c:pt>
                      <c:pt idx="525">
                        <c:v>136895.09631399947</c:v>
                      </c:pt>
                      <c:pt idx="526">
                        <c:v>137752.82804643828</c:v>
                      </c:pt>
                      <c:pt idx="527">
                        <c:v>138606.7759096112</c:v>
                      </c:pt>
                      <c:pt idx="528">
                        <c:v>139456.97522398751</c:v>
                      </c:pt>
                      <c:pt idx="529">
                        <c:v>140303.46061999182</c:v>
                      </c:pt>
                      <c:pt idx="530">
                        <c:v>141146.26605733953</c:v>
                      </c:pt>
                      <c:pt idx="531">
                        <c:v>141985.42484366521</c:v>
                      </c:pt>
                      <c:pt idx="532">
                        <c:v>142820.96965247532</c:v>
                      </c:pt>
                      <c:pt idx="533">
                        <c:v>143652.93254045534</c:v>
                      </c:pt>
                      <c:pt idx="534">
                        <c:v>144481.34496415989</c:v>
                      </c:pt>
                      <c:pt idx="535">
                        <c:v>145306.23779611307</c:v>
                      </c:pt>
                      <c:pt idx="536">
                        <c:v>146127.64134034424</c:v>
                      </c:pt>
                      <c:pt idx="537">
                        <c:v>146945.58534738384</c:v>
                      </c:pt>
                      <c:pt idx="538">
                        <c:v>147760.09902874238</c:v>
                      </c:pt>
                      <c:pt idx="539">
                        <c:v>148571.21107089409</c:v>
                      </c:pt>
                      <c:pt idx="540">
                        <c:v>149378.9496487866</c:v>
                      </c:pt>
                      <c:pt idx="541">
                        <c:v>150183.34243889598</c:v>
                      </c:pt>
                      <c:pt idx="542">
                        <c:v>150984.41663184608</c:v>
                      </c:pt>
                      <c:pt idx="543">
                        <c:v>151782.19894461011</c:v>
                      </c:pt>
                      <c:pt idx="544">
                        <c:v>152576.71563231142</c:v>
                      </c:pt>
                      <c:pt idx="545">
                        <c:v>153367.99249963966</c:v>
                      </c:pt>
                      <c:pt idx="546">
                        <c:v>154156.05491189761</c:v>
                      </c:pt>
                      <c:pt idx="547">
                        <c:v>154940.9278056937</c:v>
                      </c:pt>
                      <c:pt idx="548">
                        <c:v>155722.63569929387</c:v>
                      </c:pt>
                      <c:pt idx="549">
                        <c:v>156501.2027026462</c:v>
                      </c:pt>
                      <c:pt idx="550">
                        <c:v>157276.65252709115</c:v>
                      </c:pt>
                      <c:pt idx="551">
                        <c:v>158049.00849476946</c:v>
                      </c:pt>
                      <c:pt idx="552">
                        <c:v>158818.29354773925</c:v>
                      </c:pt>
                      <c:pt idx="553">
                        <c:v>159584.53025681336</c:v>
                      </c:pt>
                      <c:pt idx="554">
                        <c:v>160347.74083012767</c:v>
                      </c:pt>
                      <c:pt idx="555">
                        <c:v>161107.9471214503</c:v>
                      </c:pt>
                      <c:pt idx="556">
                        <c:v>161865.17063824122</c:v>
                      </c:pt>
                      <c:pt idx="557">
                        <c:v>162619.43254947194</c:v>
                      </c:pt>
                      <c:pt idx="558">
                        <c:v>163370.75369321357</c:v>
                      </c:pt>
                      <c:pt idx="559">
                        <c:v>164119.15458400192</c:v>
                      </c:pt>
                      <c:pt idx="560">
                        <c:v>164864.65541998786</c:v>
                      </c:pt>
                      <c:pt idx="561">
                        <c:v>165607.27608988018</c:v>
                      </c:pt>
                      <c:pt idx="562">
                        <c:v>166347.03617968885</c:v>
                      </c:pt>
                      <c:pt idx="563">
                        <c:v>167083.95497927547</c:v>
                      </c:pt>
                      <c:pt idx="564">
                        <c:v>167818.05148871787</c:v>
                      </c:pt>
                      <c:pt idx="565">
                        <c:v>168549.34442449507</c:v>
                      </c:pt>
                      <c:pt idx="566">
                        <c:v>169277.85222549908</c:v>
                      </c:pt>
                      <c:pt idx="567">
                        <c:v>170003.59305887957</c:v>
                      </c:pt>
                      <c:pt idx="568">
                        <c:v>170726.58482572678</c:v>
                      </c:pt>
                      <c:pt idx="569">
                        <c:v>171446.84516659856</c:v>
                      </c:pt>
                      <c:pt idx="570">
                        <c:v>172164.39146689657</c:v>
                      </c:pt>
                      <c:pt idx="571">
                        <c:v>172879.24086209686</c:v>
                      </c:pt>
                      <c:pt idx="572">
                        <c:v>173591.41024283951</c:v>
                      </c:pt>
                      <c:pt idx="573">
                        <c:v>174300.91625988213</c:v>
                      </c:pt>
                      <c:pt idx="574">
                        <c:v>175007.77532892171</c:v>
                      </c:pt>
                      <c:pt idx="575">
                        <c:v>175712.00363528906</c:v>
                      </c:pt>
                      <c:pt idx="576">
                        <c:v>176413.61713852012</c:v>
                      </c:pt>
                      <c:pt idx="577">
                        <c:v>177112.6315768077</c:v>
                      </c:pt>
                      <c:pt idx="578">
                        <c:v>177809.06247133829</c:v>
                      </c:pt>
                      <c:pt idx="579">
                        <c:v>178502.92513051661</c:v>
                      </c:pt>
                      <c:pt idx="580">
                        <c:v>179194.23465408251</c:v>
                      </c:pt>
                      <c:pt idx="581">
                        <c:v>179883.00593712254</c:v>
                      </c:pt>
                      <c:pt idx="582">
                        <c:v>180569.25367398042</c:v>
                      </c:pt>
                      <c:pt idx="583">
                        <c:v>181252.99236206911</c:v>
                      </c:pt>
                      <c:pt idx="584">
                        <c:v>181934.23630558737</c:v>
                      </c:pt>
                      <c:pt idx="585">
                        <c:v>182612.99961914422</c:v>
                      </c:pt>
                      <c:pt idx="586">
                        <c:v>183289.29623129376</c:v>
                      </c:pt>
                      <c:pt idx="587">
                        <c:v>183963.13988798318</c:v>
                      </c:pt>
                      <c:pt idx="588">
                        <c:v>184634.54415591658</c:v>
                      </c:pt>
                      <c:pt idx="589">
                        <c:v>185303.52242583717</c:v>
                      </c:pt>
                      <c:pt idx="590">
                        <c:v>185970.08791573026</c:v>
                      </c:pt>
                      <c:pt idx="591">
                        <c:v>186634.25367394937</c:v>
                      </c:pt>
                      <c:pt idx="592">
                        <c:v>187296.03258226774</c:v>
                      </c:pt>
                      <c:pt idx="593">
                        <c:v>187955.4373588576</c:v>
                      </c:pt>
                      <c:pt idx="594">
                        <c:v>188612.48056119884</c:v>
                      </c:pt>
                      <c:pt idx="595">
                        <c:v>189267.17458891976</c:v>
                      </c:pt>
                      <c:pt idx="596">
                        <c:v>189919.53168657134</c:v>
                      </c:pt>
                      <c:pt idx="597">
                        <c:v>190569.56394633732</c:v>
                      </c:pt>
                      <c:pt idx="598">
                        <c:v>191217.28331068164</c:v>
                      </c:pt>
                      <c:pt idx="599">
                        <c:v>191862.70157493517</c:v>
                      </c:pt>
                      <c:pt idx="600">
                        <c:v>192505.83038982336</c:v>
                      </c:pt>
                      <c:pt idx="601">
                        <c:v>193146.68126393654</c:v>
                      </c:pt>
                      <c:pt idx="602">
                        <c:v>193785.26556614458</c:v>
                      </c:pt>
                      <c:pt idx="603">
                        <c:v>194421.59452795709</c:v>
                      </c:pt>
                      <c:pt idx="604">
                        <c:v>195055.67924583115</c:v>
                      </c:pt>
                      <c:pt idx="605">
                        <c:v>195687.53068342753</c:v>
                      </c:pt>
                      <c:pt idx="606">
                        <c:v>196317.15967381728</c:v>
                      </c:pt>
                      <c:pt idx="607">
                        <c:v>196944.57692163959</c:v>
                      </c:pt>
                      <c:pt idx="608">
                        <c:v>197569.79300521262</c:v>
                      </c:pt>
                      <c:pt idx="609">
                        <c:v>198192.81837859831</c:v>
                      </c:pt>
                      <c:pt idx="610">
                        <c:v>198813.66337362255</c:v>
                      </c:pt>
                      <c:pt idx="611">
                        <c:v>199432.33820185179</c:v>
                      </c:pt>
                      <c:pt idx="612">
                        <c:v>200048.85295652735</c:v>
                      </c:pt>
                      <c:pt idx="613">
                        <c:v>200663.21761445847</c:v>
                      </c:pt>
                      <c:pt idx="614">
                        <c:v>201275.44203787515</c:v>
                      </c:pt>
                      <c:pt idx="615">
                        <c:v>201885.53597624213</c:v>
                      </c:pt>
                      <c:pt idx="616">
                        <c:v>202493.50906803436</c:v>
                      </c:pt>
                      <c:pt idx="617">
                        <c:v>203099.37084247576</c:v>
                      </c:pt>
                      <c:pt idx="618">
                        <c:v>203703.13072124164</c:v>
                      </c:pt>
                      <c:pt idx="619">
                        <c:v>204304.79802012595</c:v>
                      </c:pt>
                      <c:pt idx="620">
                        <c:v>204904.38195067414</c:v>
                      </c:pt>
                      <c:pt idx="621">
                        <c:v>205501.89162178268</c:v>
                      </c:pt>
                      <c:pt idx="622">
                        <c:v>206097.33604126581</c:v>
                      </c:pt>
                      <c:pt idx="623">
                        <c:v>206690.72411739064</c:v>
                      </c:pt>
                      <c:pt idx="624">
                        <c:v>207282.06466038123</c:v>
                      </c:pt>
                      <c:pt idx="625">
                        <c:v>207871.36638389231</c:v>
                      </c:pt>
                      <c:pt idx="626">
                        <c:v>208458.6379064536</c:v>
                      </c:pt>
                      <c:pt idx="627">
                        <c:v>209043.88775288546</c:v>
                      </c:pt>
                      <c:pt idx="628">
                        <c:v>209627.12435568642</c:v>
                      </c:pt>
                      <c:pt idx="629">
                        <c:v>210208.35605639315</c:v>
                      </c:pt>
                      <c:pt idx="630">
                        <c:v>210787.59110691413</c:v>
                      </c:pt>
                      <c:pt idx="631">
                        <c:v>211364.83767083683</c:v>
                      </c:pt>
                      <c:pt idx="632">
                        <c:v>211940.10382470986</c:v>
                      </c:pt>
                      <c:pt idx="633">
                        <c:v>212513.39755929986</c:v>
                      </c:pt>
                      <c:pt idx="634">
                        <c:v>213084.7267808246</c:v>
                      </c:pt>
                      <c:pt idx="635">
                        <c:v>213654.09931216206</c:v>
                      </c:pt>
                      <c:pt idx="636">
                        <c:v>214221.52289403661</c:v>
                      </c:pt>
                      <c:pt idx="637">
                        <c:v>214787.00518618265</c:v>
                      </c:pt>
                      <c:pt idx="638">
                        <c:v>215350.55376848596</c:v>
                      </c:pt>
                      <c:pt idx="639">
                        <c:v>215912.17614210391</c:v>
                      </c:pt>
                      <c:pt idx="640">
                        <c:v>216471.87973056437</c:v>
                      </c:pt>
                      <c:pt idx="641">
                        <c:v>217029.67188084414</c:v>
                      </c:pt>
                      <c:pt idx="642">
                        <c:v>217585.55986442743</c:v>
                      </c:pt>
                      <c:pt idx="643">
                        <c:v>218139.5508783446</c:v>
                      </c:pt>
                      <c:pt idx="644">
                        <c:v>218691.65204619183</c:v>
                      </c:pt>
                      <c:pt idx="645">
                        <c:v>219241.87041913197</c:v>
                      </c:pt>
                      <c:pt idx="646">
                        <c:v>219790.2129768772</c:v>
                      </c:pt>
                      <c:pt idx="647">
                        <c:v>220336.68662865373</c:v>
                      </c:pt>
                      <c:pt idx="648">
                        <c:v>220881.29821414905</c:v>
                      </c:pt>
                      <c:pt idx="649">
                        <c:v>221424.05450444197</c:v>
                      </c:pt>
                      <c:pt idx="650">
                        <c:v>221964.96220291613</c:v>
                      </c:pt>
                      <c:pt idx="651">
                        <c:v>222504.02794615703</c:v>
                      </c:pt>
                      <c:pt idx="652">
                        <c:v>223041.25830483297</c:v>
                      </c:pt>
                      <c:pt idx="653">
                        <c:v>223576.65978456062</c:v>
                      </c:pt>
                      <c:pt idx="654">
                        <c:v>224110.238826755</c:v>
                      </c:pt>
                      <c:pt idx="655">
                        <c:v>224642.00180946465</c:v>
                      </c:pt>
                      <c:pt idx="656">
                        <c:v>225171.95504819218</c:v>
                      </c:pt>
                      <c:pt idx="657">
                        <c:v>225700.1047967003</c:v>
                      </c:pt>
                      <c:pt idx="658">
                        <c:v>226226.45724780404</c:v>
                      </c:pt>
                      <c:pt idx="659">
                        <c:v>226751.01853414919</c:v>
                      </c:pt>
                      <c:pt idx="660">
                        <c:v>227273.79472897714</c:v>
                      </c:pt>
                      <c:pt idx="661">
                        <c:v>227794.79184687682</c:v>
                      </c:pt>
                      <c:pt idx="662">
                        <c:v>228314.0158445235</c:v>
                      </c:pt>
                      <c:pt idx="663">
                        <c:v>228831.47262140526</c:v>
                      </c:pt>
                      <c:pt idx="664">
                        <c:v>229347.16802053695</c:v>
                      </c:pt>
                      <c:pt idx="665">
                        <c:v>229861.10782916209</c:v>
                      </c:pt>
                      <c:pt idx="666">
                        <c:v>230373.297779443</c:v>
                      </c:pt>
                      <c:pt idx="667">
                        <c:v>230883.74354913921</c:v>
                      </c:pt>
                      <c:pt idx="668">
                        <c:v>231392.45076227465</c:v>
                      </c:pt>
                      <c:pt idx="669">
                        <c:v>231899.42498979374</c:v>
                      </c:pt>
                      <c:pt idx="670">
                        <c:v>232404.67175020638</c:v>
                      </c:pt>
                      <c:pt idx="671">
                        <c:v>232908.19651022257</c:v>
                      </c:pt>
                      <c:pt idx="672">
                        <c:v>233410.00468537631</c:v>
                      </c:pt>
                      <c:pt idx="673">
                        <c:v>233910.10164063942</c:v>
                      </c:pt>
                      <c:pt idx="674">
                        <c:v>234408.49269102531</c:v>
                      </c:pt>
                      <c:pt idx="675">
                        <c:v>234905.18310218275</c:v>
                      </c:pt>
                      <c:pt idx="676">
                        <c:v>235400.17809098025</c:v>
                      </c:pt>
                      <c:pt idx="677">
                        <c:v>235893.48282608076</c:v>
                      </c:pt>
                      <c:pt idx="678">
                        <c:v>236385.10242850732</c:v>
                      </c:pt>
                      <c:pt idx="679">
                        <c:v>236875.04197219943</c:v>
                      </c:pt>
                      <c:pt idx="680">
                        <c:v>237363.3064845606</c:v>
                      </c:pt>
                      <c:pt idx="681">
                        <c:v>237849.90094699725</c:v>
                      </c:pt>
                      <c:pt idx="682">
                        <c:v>238334.83029544889</c:v>
                      </c:pt>
                      <c:pt idx="683">
                        <c:v>238818.09942091012</c:v>
                      </c:pt>
                      <c:pt idx="684">
                        <c:v>239299.71316994409</c:v>
                      </c:pt>
                      <c:pt idx="685">
                        <c:v>239779.67634518826</c:v>
                      </c:pt>
                      <c:pt idx="686">
                        <c:v>240257.99370585184</c:v>
                      </c:pt>
                      <c:pt idx="687">
                        <c:v>240734.66996820588</c:v>
                      </c:pt>
                      <c:pt idx="688">
                        <c:v>241209.70980606545</c:v>
                      </c:pt>
                      <c:pt idx="689">
                        <c:v>241683.1178512644</c:v>
                      </c:pt>
                      <c:pt idx="690">
                        <c:v>242154.89869412279</c:v>
                      </c:pt>
                      <c:pt idx="691">
                        <c:v>242625.05688390727</c:v>
                      </c:pt>
                      <c:pt idx="692">
                        <c:v>243093.59692928413</c:v>
                      </c:pt>
                      <c:pt idx="693">
                        <c:v>243560.52329876565</c:v>
                      </c:pt>
                      <c:pt idx="694">
                        <c:v>244025.84042114957</c:v>
                      </c:pt>
                      <c:pt idx="695">
                        <c:v>244489.55268595181</c:v>
                      </c:pt>
                      <c:pt idx="696">
                        <c:v>244951.66444383279</c:v>
                      </c:pt>
                      <c:pt idx="697">
                        <c:v>245412.18000701722</c:v>
                      </c:pt>
                      <c:pt idx="698">
                        <c:v>245871.10364970745</c:v>
                      </c:pt>
                      <c:pt idx="699">
                        <c:v>246328.43960849103</c:v>
                      </c:pt>
                      <c:pt idx="700">
                        <c:v>246784.19208274165</c:v>
                      </c:pt>
                      <c:pt idx="701">
                        <c:v>247238.36523501459</c:v>
                      </c:pt>
                      <c:pt idx="702">
                        <c:v>247690.96319143591</c:v>
                      </c:pt>
                      <c:pt idx="703">
                        <c:v>248141.99004208614</c:v>
                      </c:pt>
                      <c:pt idx="704">
                        <c:v>248591.44984137817</c:v>
                      </c:pt>
                      <c:pt idx="705">
                        <c:v>249039.34660842977</c:v>
                      </c:pt>
                      <c:pt idx="706">
                        <c:v>249485.6843274303</c:v>
                      </c:pt>
                      <c:pt idx="707">
                        <c:v>249930.46694800249</c:v>
                      </c:pt>
                      <c:pt idx="708">
                        <c:v>250373.69838555853</c:v>
                      </c:pt>
                      <c:pt idx="709">
                        <c:v>250815.38252165139</c:v>
                      </c:pt>
                      <c:pt idx="710">
                        <c:v>251255.52320432072</c:v>
                      </c:pt>
                      <c:pt idx="711">
                        <c:v>251694.12424843389</c:v>
                      </c:pt>
                      <c:pt idx="712">
                        <c:v>252131.18943602222</c:v>
                      </c:pt>
                      <c:pt idx="713">
                        <c:v>252566.72251661218</c:v>
                      </c:pt>
                      <c:pt idx="714">
                        <c:v>253000.727207552</c:v>
                      </c:pt>
                      <c:pt idx="715">
                        <c:v>253433.20719433369</c:v>
                      </c:pt>
                      <c:pt idx="716">
                        <c:v>253864.16613091016</c:v>
                      </c:pt>
                      <c:pt idx="717">
                        <c:v>254293.60764000818</c:v>
                      </c:pt>
                      <c:pt idx="718">
                        <c:v>254721.53531343685</c:v>
                      </c:pt>
                      <c:pt idx="719">
                        <c:v>255147.95271239147</c:v>
                      </c:pt>
                      <c:pt idx="720">
                        <c:v>255572.86336775354</c:v>
                      </c:pt>
                      <c:pt idx="721">
                        <c:v>255996.27078038617</c:v>
                      </c:pt>
                      <c:pt idx="722">
                        <c:v>256418.17842142563</c:v>
                      </c:pt>
                      <c:pt idx="723">
                        <c:v>256838.58973256874</c:v>
                      </c:pt>
                      <c:pt idx="724">
                        <c:v>257257.5081263562</c:v>
                      </c:pt>
                      <c:pt idx="725">
                        <c:v>257674.93698645211</c:v>
                      </c:pt>
                      <c:pt idx="726">
                        <c:v>258090.87966791957</c:v>
                      </c:pt>
                      <c:pt idx="727">
                        <c:v>258505.33949749244</c:v>
                      </c:pt>
                      <c:pt idx="728">
                        <c:v>258918.31977384348</c:v>
                      </c:pt>
                      <c:pt idx="729">
                        <c:v>259329.82376784866</c:v>
                      </c:pt>
                      <c:pt idx="730">
                        <c:v>259739.85472284799</c:v>
                      </c:pt>
                      <c:pt idx="731">
                        <c:v>260148.41585490273</c:v>
                      </c:pt>
                      <c:pt idx="732">
                        <c:v>260555.51035304912</c:v>
                      </c:pt>
                      <c:pt idx="733">
                        <c:v>260961.14137954859</c:v>
                      </c:pt>
                      <c:pt idx="734">
                        <c:v>261365.31207013474</c:v>
                      </c:pt>
                      <c:pt idx="735">
                        <c:v>261768.02553425689</c:v>
                      </c:pt>
                      <c:pt idx="736">
                        <c:v>262169.28485532029</c:v>
                      </c:pt>
                      <c:pt idx="737">
                        <c:v>262569.09309092315</c:v>
                      </c:pt>
                      <c:pt idx="738">
                        <c:v>262967.45327309071</c:v>
                      </c:pt>
                      <c:pt idx="739">
                        <c:v>263364.3684085058</c:v>
                      </c:pt>
                      <c:pt idx="740">
                        <c:v>263759.84147873661</c:v>
                      </c:pt>
                      <c:pt idx="741">
                        <c:v>264153.87544046127</c:v>
                      </c:pt>
                      <c:pt idx="742">
                        <c:v>264546.47322568967</c:v>
                      </c:pt>
                      <c:pt idx="743">
                        <c:v>264937.63774198189</c:v>
                      </c:pt>
                      <c:pt idx="744">
                        <c:v>265327.37187266449</c:v>
                      </c:pt>
                      <c:pt idx="745">
                        <c:v>265715.67847704311</c:v>
                      </c:pt>
                      <c:pt idx="746">
                        <c:v>266102.56039061298</c:v>
                      </c:pt>
                      <c:pt idx="747">
                        <c:v>266488.02042526612</c:v>
                      </c:pt>
                      <c:pt idx="748">
                        <c:v>266872.06136949634</c:v>
                      </c:pt>
                      <c:pt idx="749">
                        <c:v>267254.68598860101</c:v>
                      </c:pt>
                      <c:pt idx="750">
                        <c:v>267635.8970248808</c:v>
                      </c:pt>
                      <c:pt idx="751">
                        <c:v>268015.69719783636</c:v>
                      </c:pt>
                      <c:pt idx="752">
                        <c:v>268394.08920436259</c:v>
                      </c:pt>
                      <c:pt idx="753">
                        <c:v>268771.07571894058</c:v>
                      </c:pt>
                      <c:pt idx="754">
                        <c:v>269146.65939382679</c:v>
                      </c:pt>
                      <c:pt idx="755">
                        <c:v>269520.8428592399</c:v>
                      </c:pt>
                      <c:pt idx="756">
                        <c:v>269893.62872354547</c:v>
                      </c:pt>
                      <c:pt idx="757">
                        <c:v>270265.01957343781</c:v>
                      </c:pt>
                      <c:pt idx="758">
                        <c:v>270635.01797411987</c:v>
                      </c:pt>
                      <c:pt idx="759">
                        <c:v>271003.62646948069</c:v>
                      </c:pt>
                      <c:pt idx="760">
                        <c:v>271370.84758227074</c:v>
                      </c:pt>
                      <c:pt idx="761">
                        <c:v>271736.68381427479</c:v>
                      </c:pt>
                      <c:pt idx="762">
                        <c:v>272101.13764648256</c:v>
                      </c:pt>
                      <c:pt idx="763">
                        <c:v>272464.21153925767</c:v>
                      </c:pt>
                      <c:pt idx="764">
                        <c:v>272825.90793250396</c:v>
                      </c:pt>
                      <c:pt idx="765">
                        <c:v>273186.22924582992</c:v>
                      </c:pt>
                      <c:pt idx="766">
                        <c:v>273545.17787871085</c:v>
                      </c:pt>
                      <c:pt idx="767">
                        <c:v>273902.7562106495</c:v>
                      </c:pt>
                      <c:pt idx="768">
                        <c:v>274258.96660133405</c:v>
                      </c:pt>
                      <c:pt idx="769">
                        <c:v>274613.81139079441</c:v>
                      </c:pt>
                      <c:pt idx="770">
                        <c:v>274967.29289955681</c:v>
                      </c:pt>
                      <c:pt idx="771">
                        <c:v>275319.41342879587</c:v>
                      </c:pt>
                      <c:pt idx="772">
                        <c:v>275670.17526048532</c:v>
                      </c:pt>
                      <c:pt idx="773">
                        <c:v>276019.5806575467</c:v>
                      </c:pt>
                      <c:pt idx="774">
                        <c:v>276367.6318639958</c:v>
                      </c:pt>
                      <c:pt idx="775">
                        <c:v>276714.33110508812</c:v>
                      </c:pt>
                      <c:pt idx="776">
                        <c:v>277059.68058746168</c:v>
                      </c:pt>
                      <c:pt idx="777">
                        <c:v>277403.68249927851</c:v>
                      </c:pt>
                      <c:pt idx="778">
                        <c:v>277746.33901036438</c:v>
                      </c:pt>
                      <c:pt idx="779">
                        <c:v>278087.6522723466</c:v>
                      </c:pt>
                      <c:pt idx="780">
                        <c:v>278427.62441879057</c:v>
                      </c:pt>
                      <c:pt idx="781">
                        <c:v>278766.25756533386</c:v>
                      </c:pt>
                      <c:pt idx="782">
                        <c:v>279103.55380981963</c:v>
                      </c:pt>
                      <c:pt idx="783">
                        <c:v>279439.51523242763</c:v>
                      </c:pt>
                      <c:pt idx="784">
                        <c:v>279774.14389580378</c:v>
                      </c:pt>
                      <c:pt idx="785">
                        <c:v>280107.44184518862</c:v>
                      </c:pt>
                      <c:pt idx="786">
                        <c:v>280439.41110854351</c:v>
                      </c:pt>
                      <c:pt idx="787">
                        <c:v>280770.05369667581</c:v>
                      </c:pt>
                      <c:pt idx="788">
                        <c:v>281099.37160336232</c:v>
                      </c:pt>
                      <c:pt idx="789">
                        <c:v>281427.36680547125</c:v>
                      </c:pt>
                      <c:pt idx="790">
                        <c:v>281754.04126308247</c:v>
                      </c:pt>
                      <c:pt idx="791">
                        <c:v>282079.39691960689</c:v>
                      </c:pt>
                      <c:pt idx="792">
                        <c:v>282403.43570190395</c:v>
                      </c:pt>
                      <c:pt idx="793">
                        <c:v>282726.1595203976</c:v>
                      </c:pt>
                      <c:pt idx="794">
                        <c:v>283047.57026919123</c:v>
                      </c:pt>
                      <c:pt idx="795">
                        <c:v>283367.66982618091</c:v>
                      </c:pt>
                      <c:pt idx="796">
                        <c:v>283686.46005316754</c:v>
                      </c:pt>
                      <c:pt idx="797">
                        <c:v>284003.94279596739</c:v>
                      </c:pt>
                      <c:pt idx="798">
                        <c:v>284320.11988452141</c:v>
                      </c:pt>
                      <c:pt idx="799">
                        <c:v>284634.9931330033</c:v>
                      </c:pt>
                      <c:pt idx="800">
                        <c:v>284948.56433992612</c:v>
                      </c:pt>
                      <c:pt idx="801">
                        <c:v>285260.83528824785</c:v>
                      </c:pt>
                      <c:pt idx="802">
                        <c:v>285571.80774547532</c:v>
                      </c:pt>
                      <c:pt idx="803">
                        <c:v>285881.48346376733</c:v>
                      </c:pt>
                      <c:pt idx="804">
                        <c:v>286189.8641800363</c:v>
                      </c:pt>
                      <c:pt idx="805">
                        <c:v>286496.95161604852</c:v>
                      </c:pt>
                      <c:pt idx="806">
                        <c:v>286802.74747852364</c:v>
                      </c:pt>
                      <c:pt idx="807">
                        <c:v>287107.25345923251</c:v>
                      </c:pt>
                      <c:pt idx="808">
                        <c:v>287410.47123509436</c:v>
                      </c:pt>
                      <c:pt idx="809">
                        <c:v>287712.40246827214</c:v>
                      </c:pt>
                      <c:pt idx="810">
                        <c:v>288013.04880626744</c:v>
                      </c:pt>
                      <c:pt idx="811">
                        <c:v>288312.41188201372</c:v>
                      </c:pt>
                      <c:pt idx="812">
                        <c:v>288610.49331396876</c:v>
                      </c:pt>
                      <c:pt idx="813">
                        <c:v>288907.29470620595</c:v>
                      </c:pt>
                      <c:pt idx="814">
                        <c:v>289202.81764850422</c:v>
                      </c:pt>
                      <c:pt idx="815">
                        <c:v>289497.06371643732</c:v>
                      </c:pt>
                      <c:pt idx="816">
                        <c:v>289790.03447146178</c:v>
                      </c:pt>
                      <c:pt idx="817">
                        <c:v>290081.73146100377</c:v>
                      </c:pt>
                      <c:pt idx="818">
                        <c:v>290372.15621854505</c:v>
                      </c:pt>
                      <c:pt idx="819">
                        <c:v>290661.31026370788</c:v>
                      </c:pt>
                      <c:pt idx="820">
                        <c:v>290949.19510233891</c:v>
                      </c:pt>
                      <c:pt idx="821">
                        <c:v>291235.81222659216</c:v>
                      </c:pt>
                      <c:pt idx="822">
                        <c:v>291521.16311501071</c:v>
                      </c:pt>
                      <c:pt idx="823">
                        <c:v>291805.24923260766</c:v>
                      </c:pt>
                      <c:pt idx="824">
                        <c:v>292088.0720309462</c:v>
                      </c:pt>
                      <c:pt idx="825">
                        <c:v>292369.63294821844</c:v>
                      </c:pt>
                      <c:pt idx="826">
                        <c:v>292649.93340932345</c:v>
                      </c:pt>
                      <c:pt idx="827">
                        <c:v>292928.97482594464</c:v>
                      </c:pt>
                      <c:pt idx="828">
                        <c:v>293206.75859662559</c:v>
                      </c:pt>
                      <c:pt idx="829">
                        <c:v>293483.28610684554</c:v>
                      </c:pt>
                      <c:pt idx="830">
                        <c:v>293758.55872909375</c:v>
                      </c:pt>
                      <c:pt idx="831">
                        <c:v>294032.57782294287</c:v>
                      </c:pt>
                      <c:pt idx="832">
                        <c:v>294305.3447351217</c:v>
                      </c:pt>
                      <c:pt idx="833">
                        <c:v>294576.86079958681</c:v>
                      </c:pt>
                      <c:pt idx="834">
                        <c:v>294847.12733759347</c:v>
                      </c:pt>
                      <c:pt idx="835">
                        <c:v>295116.14565776556</c:v>
                      </c:pt>
                      <c:pt idx="836">
                        <c:v>295383.91705616494</c:v>
                      </c:pt>
                      <c:pt idx="837">
                        <c:v>295650.44281635963</c:v>
                      </c:pt>
                      <c:pt idx="838">
                        <c:v>295915.7242094914</c:v>
                      </c:pt>
                      <c:pt idx="839">
                        <c:v>296179.76249434252</c:v>
                      </c:pt>
                      <c:pt idx="840">
                        <c:v>296442.55891740147</c:v>
                      </c:pt>
                      <c:pt idx="841">
                        <c:v>296704.11471292825</c:v>
                      </c:pt>
                      <c:pt idx="842">
                        <c:v>296964.43110301864</c:v>
                      </c:pt>
                      <c:pt idx="843">
                        <c:v>297223.50929766765</c:v>
                      </c:pt>
                      <c:pt idx="844">
                        <c:v>297481.35049483238</c:v>
                      </c:pt>
                      <c:pt idx="845">
                        <c:v>297737.95588049397</c:v>
                      </c:pt>
                      <c:pt idx="846">
                        <c:v>297993.32662871882</c:v>
                      </c:pt>
                      <c:pt idx="847">
                        <c:v>298247.46390171914</c:v>
                      </c:pt>
                      <c:pt idx="848">
                        <c:v>298500.36884991272</c:v>
                      </c:pt>
                      <c:pt idx="849">
                        <c:v>298752.0426119818</c:v>
                      </c:pt>
                      <c:pt idx="850">
                        <c:v>299002.48631493159</c:v>
                      </c:pt>
                      <c:pt idx="851">
                        <c:v>299251.70107414777</c:v>
                      </c:pt>
                      <c:pt idx="852">
                        <c:v>299499.68799345323</c:v>
                      </c:pt>
                      <c:pt idx="853">
                        <c:v>299746.44816516433</c:v>
                      </c:pt>
                      <c:pt idx="854">
                        <c:v>299991.98267014645</c:v>
                      </c:pt>
                      <c:pt idx="855">
                        <c:v>300236.29257786879</c:v>
                      </c:pt>
                      <c:pt idx="856">
                        <c:v>300479.37894645822</c:v>
                      </c:pt>
                      <c:pt idx="857">
                        <c:v>300721.24282275309</c:v>
                      </c:pt>
                      <c:pt idx="858">
                        <c:v>300961.88524235558</c:v>
                      </c:pt>
                      <c:pt idx="859">
                        <c:v>301201.30722968426</c:v>
                      </c:pt>
                      <c:pt idx="860">
                        <c:v>301439.50979802507</c:v>
                      </c:pt>
                      <c:pt idx="861">
                        <c:v>301676.49394958239</c:v>
                      </c:pt>
                      <c:pt idx="862">
                        <c:v>301912.26067552931</c:v>
                      </c:pt>
                      <c:pt idx="863">
                        <c:v>302146.81095605675</c:v>
                      </c:pt>
                      <c:pt idx="864">
                        <c:v>302380.14576042281</c:v>
                      </c:pt>
                      <c:pt idx="865">
                        <c:v>302612.26604700065</c:v>
                      </c:pt>
                      <c:pt idx="866">
                        <c:v>302843.17276332644</c:v>
                      </c:pt>
                      <c:pt idx="867">
                        <c:v>303072.86684614612</c:v>
                      </c:pt>
                      <c:pt idx="868">
                        <c:v>303301.34922146209</c:v>
                      </c:pt>
                      <c:pt idx="869">
                        <c:v>303528.62080457888</c:v>
                      </c:pt>
                      <c:pt idx="870">
                        <c:v>303754.68250014842</c:v>
                      </c:pt>
                      <c:pt idx="871">
                        <c:v>303979.53520221479</c:v>
                      </c:pt>
                      <c:pt idx="872">
                        <c:v>304203.17979425809</c:v>
                      </c:pt>
                      <c:pt idx="873">
                        <c:v>304425.61714923813</c:v>
                      </c:pt>
                      <c:pt idx="874">
                        <c:v>304646.84812963707</c:v>
                      </c:pt>
                      <c:pt idx="875">
                        <c:v>304866.87358750211</c:v>
                      </c:pt>
                      <c:pt idx="876">
                        <c:v>305085.6943644869</c:v>
                      </c:pt>
                      <c:pt idx="877">
                        <c:v>305303.31129189307</c:v>
                      </c:pt>
                      <c:pt idx="878">
                        <c:v>305519.7251907108</c:v>
                      </c:pt>
                      <c:pt idx="879">
                        <c:v>305734.93687165884</c:v>
                      </c:pt>
                      <c:pt idx="880">
                        <c:v>305948.94713522412</c:v>
                      </c:pt>
                      <c:pt idx="881">
                        <c:v>306161.75677170092</c:v>
                      </c:pt>
                      <c:pt idx="882">
                        <c:v>306373.36656122911</c:v>
                      </c:pt>
                      <c:pt idx="883">
                        <c:v>306583.77727383235</c:v>
                      </c:pt>
                      <c:pt idx="884">
                        <c:v>306792.98966945545</c:v>
                      </c:pt>
                      <c:pt idx="885">
                        <c:v>307001.00449800136</c:v>
                      </c:pt>
                      <c:pt idx="886">
                        <c:v>307207.82249936735</c:v>
                      </c:pt>
                      <c:pt idx="887">
                        <c:v>307413.44440348115</c:v>
                      </c:pt>
                      <c:pt idx="888">
                        <c:v>307617.87093033618</c:v>
                      </c:pt>
                      <c:pt idx="889">
                        <c:v>307821.10279002663</c:v>
                      </c:pt>
                      <c:pt idx="890">
                        <c:v>308023.14068278146</c:v>
                      </c:pt>
                      <c:pt idx="891">
                        <c:v>308223.98529899865</c:v>
                      </c:pt>
                      <c:pt idx="892">
                        <c:v>308423.6373192785</c:v>
                      </c:pt>
                      <c:pt idx="893">
                        <c:v>308622.09741445631</c:v>
                      </c:pt>
                      <c:pt idx="894">
                        <c:v>308819.36624563503</c:v>
                      </c:pt>
                      <c:pt idx="895">
                        <c:v>309015.44446421717</c:v>
                      </c:pt>
                      <c:pt idx="896">
                        <c:v>309210.33271193609</c:v>
                      </c:pt>
                      <c:pt idx="897">
                        <c:v>309404.03162088722</c:v>
                      </c:pt>
                      <c:pt idx="898">
                        <c:v>309596.54181355826</c:v>
                      </c:pt>
                      <c:pt idx="899">
                        <c:v>309787.86390285951</c:v>
                      </c:pt>
                      <c:pt idx="900">
                        <c:v>309977.9984921533</c:v>
                      </c:pt>
                      <c:pt idx="901">
                        <c:v>310166.94617528317</c:v>
                      </c:pt>
                      <c:pt idx="902">
                        <c:v>310354.70753660239</c:v>
                      </c:pt>
                      <c:pt idx="903">
                        <c:v>310541.28315100237</c:v>
                      </c:pt>
                      <c:pt idx="904">
                        <c:v>310726.67358394025</c:v>
                      </c:pt>
                      <c:pt idx="905">
                        <c:v>310910.87939146633</c:v>
                      </c:pt>
                      <c:pt idx="906">
                        <c:v>311093.90112025081</c:v>
                      </c:pt>
                      <c:pt idx="907">
                        <c:v>311275.73930761026</c:v>
                      </c:pt>
                      <c:pt idx="908">
                        <c:v>311456.39448153361</c:v>
                      </c:pt>
                      <c:pt idx="909">
                        <c:v>311635.86716070771</c:v>
                      </c:pt>
                      <c:pt idx="910">
                        <c:v>311814.15785454237</c:v>
                      </c:pt>
                      <c:pt idx="911">
                        <c:v>311991.26706319524</c:v>
                      </c:pt>
                      <c:pt idx="912">
                        <c:v>312167.19527759578</c:v>
                      </c:pt>
                      <c:pt idx="913">
                        <c:v>312341.9429794692</c:v>
                      </c:pt>
                      <c:pt idx="914">
                        <c:v>312515.51064136002</c:v>
                      </c:pt>
                      <c:pt idx="915">
                        <c:v>312687.89872665482</c:v>
                      </c:pt>
                      <c:pt idx="916">
                        <c:v>312859.10768960492</c:v>
                      </c:pt>
                      <c:pt idx="917">
                        <c:v>313029.13797534868</c:v>
                      </c:pt>
                      <c:pt idx="918">
                        <c:v>313197.99001993291</c:v>
                      </c:pt>
                      <c:pt idx="919">
                        <c:v>313365.66425033461</c:v>
                      </c:pt>
                      <c:pt idx="920">
                        <c:v>313532.16108448146</c:v>
                      </c:pt>
                      <c:pt idx="921">
                        <c:v>313697.48093127261</c:v>
                      </c:pt>
                      <c:pt idx="922">
                        <c:v>313861.6241905989</c:v>
                      </c:pt>
                      <c:pt idx="923">
                        <c:v>314024.59125336236</c:v>
                      </c:pt>
                      <c:pt idx="924">
                        <c:v>314186.38250149548</c:v>
                      </c:pt>
                      <c:pt idx="925">
                        <c:v>314346.99830798042</c:v>
                      </c:pt>
                      <c:pt idx="926">
                        <c:v>314506.43903686735</c:v>
                      </c:pt>
                      <c:pt idx="927">
                        <c:v>314664.70504329255</c:v>
                      </c:pt>
                      <c:pt idx="928">
                        <c:v>314821.79667349637</c:v>
                      </c:pt>
                      <c:pt idx="929">
                        <c:v>314977.71426484024</c:v>
                      </c:pt>
                      <c:pt idx="930">
                        <c:v>315132.45814582397</c:v>
                      </c:pt>
                      <c:pt idx="931">
                        <c:v>315286.02863610233</c:v>
                      </c:pt>
                      <c:pt idx="932">
                        <c:v>315438.42604650097</c:v>
                      </c:pt>
                      <c:pt idx="933">
                        <c:v>315589.65067903249</c:v>
                      </c:pt>
                      <c:pt idx="934">
                        <c:v>315739.70282691187</c:v>
                      </c:pt>
                      <c:pt idx="935">
                        <c:v>315888.58277457149</c:v>
                      </c:pt>
                      <c:pt idx="936">
                        <c:v>316036.29079767584</c:v>
                      </c:pt>
                      <c:pt idx="937">
                        <c:v>316182.82716313575</c:v>
                      </c:pt>
                      <c:pt idx="938">
                        <c:v>316328.19212912256</c:v>
                      </c:pt>
                      <c:pt idx="939">
                        <c:v>316472.38594508148</c:v>
                      </c:pt>
                      <c:pt idx="940">
                        <c:v>316615.40885174496</c:v>
                      </c:pt>
                      <c:pt idx="941">
                        <c:v>316757.26108114532</c:v>
                      </c:pt>
                      <c:pt idx="942">
                        <c:v>316897.94285662752</c:v>
                      </c:pt>
                      <c:pt idx="943">
                        <c:v>317037.45439286105</c:v>
                      </c:pt>
                      <c:pt idx="944">
                        <c:v>317175.79589585174</c:v>
                      </c:pt>
                      <c:pt idx="945">
                        <c:v>317312.96756295313</c:v>
                      </c:pt>
                      <c:pt idx="946">
                        <c:v>317448.96958287759</c:v>
                      </c:pt>
                      <c:pt idx="947">
                        <c:v>317583.80213570682</c:v>
                      </c:pt>
                      <c:pt idx="948">
                        <c:v>317717.46539290226</c:v>
                      </c:pt>
                      <c:pt idx="949">
                        <c:v>317849.95951731509</c:v>
                      </c:pt>
                      <c:pt idx="950">
                        <c:v>317981.28466319561</c:v>
                      </c:pt>
                      <c:pt idx="951">
                        <c:v>318111.44097620272</c:v>
                      </c:pt>
                      <c:pt idx="952">
                        <c:v>318240.42859341274</c:v>
                      </c:pt>
                      <c:pt idx="953">
                        <c:v>318368.24764332781</c:v>
                      </c:pt>
                      <c:pt idx="954">
                        <c:v>318494.89824588411</c:v>
                      </c:pt>
                      <c:pt idx="955">
                        <c:v>318620.3805124599</c:v>
                      </c:pt>
                      <c:pt idx="956">
                        <c:v>318744.69454588275</c:v>
                      </c:pt>
                      <c:pt idx="957">
                        <c:v>318867.84044043667</c:v>
                      </c:pt>
                      <c:pt idx="958">
                        <c:v>318989.81828186911</c:v>
                      </c:pt>
                      <c:pt idx="959">
                        <c:v>319110.62814739719</c:v>
                      </c:pt>
                      <c:pt idx="960">
                        <c:v>319230.27010571375</c:v>
                      </c:pt>
                      <c:pt idx="961">
                        <c:v>319348.74421699322</c:v>
                      </c:pt>
                      <c:pt idx="962">
                        <c:v>319466.05053289706</c:v>
                      </c:pt>
                      <c:pt idx="963">
                        <c:v>319582.18909657869</c:v>
                      </c:pt>
                      <c:pt idx="964">
                        <c:v>319697.15994268807</c:v>
                      </c:pt>
                      <c:pt idx="965">
                        <c:v>319810.96309737634</c:v>
                      </c:pt>
                      <c:pt idx="966">
                        <c:v>319923.59857829974</c:v>
                      </c:pt>
                      <c:pt idx="967">
                        <c:v>320035.06639462314</c:v>
                      </c:pt>
                      <c:pt idx="968">
                        <c:v>320145.36654702347</c:v>
                      </c:pt>
                      <c:pt idx="969">
                        <c:v>320254.49902769289</c:v>
                      </c:pt>
                      <c:pt idx="970">
                        <c:v>320362.4638203411</c:v>
                      </c:pt>
                      <c:pt idx="971">
                        <c:v>320469.26090019784</c:v>
                      </c:pt>
                      <c:pt idx="972">
                        <c:v>320574.89023401489</c:v>
                      </c:pt>
                      <c:pt idx="973">
                        <c:v>320679.35178006761</c:v>
                      </c:pt>
                      <c:pt idx="974">
                        <c:v>320782.6454881563</c:v>
                      </c:pt>
                      <c:pt idx="975">
                        <c:v>320884.77129960706</c:v>
                      </c:pt>
                      <c:pt idx="976">
                        <c:v>320985.72914727253</c:v>
                      </c:pt>
                      <c:pt idx="977">
                        <c:v>321085.518955532</c:v>
                      </c:pt>
                      <c:pt idx="978">
                        <c:v>321184.14064029144</c:v>
                      </c:pt>
                      <c:pt idx="979">
                        <c:v>321281.59410898312</c:v>
                      </c:pt>
                      <c:pt idx="980">
                        <c:v>321377.87926056486</c:v>
                      </c:pt>
                      <c:pt idx="981">
                        <c:v>321472.99598551885</c:v>
                      </c:pt>
                      <c:pt idx="982">
                        <c:v>321566.94416585029</c:v>
                      </c:pt>
                      <c:pt idx="983">
                        <c:v>321659.72367508564</c:v>
                      </c:pt>
                      <c:pt idx="984">
                        <c:v>321751.33437827049</c:v>
                      </c:pt>
                      <c:pt idx="985">
                        <c:v>321841.77613196726</c:v>
                      </c:pt>
                      <c:pt idx="986">
                        <c:v>321931.0487842522</c:v>
                      </c:pt>
                      <c:pt idx="987">
                        <c:v>322019.15217471245</c:v>
                      </c:pt>
                      <c:pt idx="988">
                        <c:v>322106.08613444242</c:v>
                      </c:pt>
                      <c:pt idx="989">
                        <c:v>322191.85048604023</c:v>
                      </c:pt>
                      <c:pt idx="990">
                        <c:v>322276.44504360342</c:v>
                      </c:pt>
                      <c:pt idx="991">
                        <c:v>322359.86961272446</c:v>
                      </c:pt>
                      <c:pt idx="992">
                        <c:v>322442.12399048608</c:v>
                      </c:pt>
                      <c:pt idx="993">
                        <c:v>322523.20796545589</c:v>
                      </c:pt>
                      <c:pt idx="994">
                        <c:v>322603.12131768116</c:v>
                      </c:pt>
                      <c:pt idx="995">
                        <c:v>322681.86381868279</c:v>
                      </c:pt>
                      <c:pt idx="996">
                        <c:v>322759.43523144926</c:v>
                      </c:pt>
                      <c:pt idx="997">
                        <c:v>322835.83531043003</c:v>
                      </c:pt>
                      <c:pt idx="998">
                        <c:v>322911.06380152871</c:v>
                      </c:pt>
                      <c:pt idx="999">
                        <c:v>322985.12044209579</c:v>
                      </c:pt>
                      <c:pt idx="1000">
                        <c:v>323058.00496092136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Calculs!$X$6:$X$1006</c15:sqref>
                        </c15:formulaRef>
                      </c:ext>
                    </c:extLst>
                    <c:numCache>
                      <c:formatCode>0.000</c:formatCode>
                      <c:ptCount val="1001"/>
                      <c:pt idx="0" formatCode="0">
                        <c:v>0</c:v>
                      </c:pt>
                      <c:pt idx="1">
                        <c:v>203.28646208806327</c:v>
                      </c:pt>
                      <c:pt idx="2">
                        <c:v>818.13493598587661</c:v>
                      </c:pt>
                      <c:pt idx="3">
                        <c:v>1863.6559014325958</c:v>
                      </c:pt>
                      <c:pt idx="4">
                        <c:v>3374.1183778560016</c:v>
                      </c:pt>
                      <c:pt idx="5">
                        <c:v>5388.1952022096611</c:v>
                      </c:pt>
                      <c:pt idx="6">
                        <c:v>7923.391182338376</c:v>
                      </c:pt>
                      <c:pt idx="7">
                        <c:v>10920.359341864738</c:v>
                      </c:pt>
                      <c:pt idx="8">
                        <c:v>14159.814634409866</c:v>
                      </c:pt>
                      <c:pt idx="9">
                        <c:v>17253.809917195529</c:v>
                      </c:pt>
                      <c:pt idx="10">
                        <c:v>19813.203588024291</c:v>
                      </c:pt>
                      <c:pt idx="11">
                        <c:v>21616.146998172459</c:v>
                      </c:pt>
                      <c:pt idx="12">
                        <c:v>22593.514804545273</c:v>
                      </c:pt>
                      <c:pt idx="13">
                        <c:v>22737.114320872639</c:v>
                      </c:pt>
                      <c:pt idx="14">
                        <c:v>22045.75005367825</c:v>
                      </c:pt>
                      <c:pt idx="15">
                        <c:v>20510.290379123126</c:v>
                      </c:pt>
                      <c:pt idx="16">
                        <c:v>18125.729496599775</c:v>
                      </c:pt>
                      <c:pt idx="17">
                        <c:v>14943.173392715129</c:v>
                      </c:pt>
                      <c:pt idx="18">
                        <c:v>11178.679041821182</c:v>
                      </c:pt>
                      <c:pt idx="19">
                        <c:v>7265.6698629774564</c:v>
                      </c:pt>
                      <c:pt idx="20">
                        <c:v>3640.8609580394232</c:v>
                      </c:pt>
                      <c:pt idx="21">
                        <c:v>489.04687714943844</c:v>
                      </c:pt>
                      <c:pt idx="22">
                        <c:v>-2226.2301738748388</c:v>
                      </c:pt>
                      <c:pt idx="23">
                        <c:v>-4621.498527056634</c:v>
                      </c:pt>
                      <c:pt idx="24">
                        <c:v>-6821.573393015542</c:v>
                      </c:pt>
                      <c:pt idx="25">
                        <c:v>-8928.3389995395137</c:v>
                      </c:pt>
                      <c:pt idx="26">
                        <c:v>-10997.718100834732</c:v>
                      </c:pt>
                      <c:pt idx="27">
                        <c:v>-13016.846940151587</c:v>
                      </c:pt>
                      <c:pt idx="28">
                        <c:v>-14887.226363585973</c:v>
                      </c:pt>
                      <c:pt idx="29">
                        <c:v>-16434.619309622536</c:v>
                      </c:pt>
                      <c:pt idx="30">
                        <c:v>-17462.370443813561</c:v>
                      </c:pt>
                      <c:pt idx="31">
                        <c:v>-17820.930815070966</c:v>
                      </c:pt>
                      <c:pt idx="32">
                        <c:v>-17442.735327070404</c:v>
                      </c:pt>
                      <c:pt idx="33">
                        <c:v>-16335.005920702997</c:v>
                      </c:pt>
                      <c:pt idx="34">
                        <c:v>-14559.533748503287</c:v>
                      </c:pt>
                      <c:pt idx="35">
                        <c:v>-12212.934107707753</c:v>
                      </c:pt>
                      <c:pt idx="36">
                        <c:v>-9398.7887687842504</c:v>
                      </c:pt>
                      <c:pt idx="37">
                        <c:v>-6189.7999121712537</c:v>
                      </c:pt>
                      <c:pt idx="38">
                        <c:v>-2601.5285898746347</c:v>
                      </c:pt>
                      <c:pt idx="39">
                        <c:v>1404.1251534411358</c:v>
                      </c:pt>
                      <c:pt idx="40">
                        <c:v>5892.7226908851135</c:v>
                      </c:pt>
                      <c:pt idx="41">
                        <c:v>10894.009180325418</c:v>
                      </c:pt>
                      <c:pt idx="42">
                        <c:v>16239.888561926624</c:v>
                      </c:pt>
                      <c:pt idx="43">
                        <c:v>21421.710122630342</c:v>
                      </c:pt>
                      <c:pt idx="44">
                        <c:v>25866.616497232637</c:v>
                      </c:pt>
                      <c:pt idx="45">
                        <c:v>29330.075271684618</c:v>
                      </c:pt>
                      <c:pt idx="46">
                        <c:v>31840.417076435919</c:v>
                      </c:pt>
                      <c:pt idx="47">
                        <c:v>33488.344745002018</c:v>
                      </c:pt>
                      <c:pt idx="48">
                        <c:v>34348.53241945945</c:v>
                      </c:pt>
                      <c:pt idx="49">
                        <c:v>34467.665985141874</c:v>
                      </c:pt>
                      <c:pt idx="50">
                        <c:v>33866.176907092427</c:v>
                      </c:pt>
                      <c:pt idx="51">
                        <c:v>32540.39360775665</c:v>
                      </c:pt>
                      <c:pt idx="52">
                        <c:v>30462.875125076571</c:v>
                      </c:pt>
                      <c:pt idx="53">
                        <c:v>27581.678263011523</c:v>
                      </c:pt>
                      <c:pt idx="54">
                        <c:v>23823.378159088024</c:v>
                      </c:pt>
                      <c:pt idx="55">
                        <c:v>19119.752962305061</c:v>
                      </c:pt>
                      <c:pt idx="56">
                        <c:v>13519.988099397751</c:v>
                      </c:pt>
                      <c:pt idx="57">
                        <c:v>7410.6501163878993</c:v>
                      </c:pt>
                      <c:pt idx="58">
                        <c:v>1419.7236415733018</c:v>
                      </c:pt>
                      <c:pt idx="59">
                        <c:v>-4085.9374525479316</c:v>
                      </c:pt>
                      <c:pt idx="60">
                        <c:v>-9110.3227808954543</c:v>
                      </c:pt>
                      <c:pt idx="61">
                        <c:v>-13753.736234596214</c:v>
                      </c:pt>
                      <c:pt idx="62">
                        <c:v>-18007.133151123177</c:v>
                      </c:pt>
                      <c:pt idx="63">
                        <c:v>-21665.672343282607</c:v>
                      </c:pt>
                      <c:pt idx="64">
                        <c:v>-24519.752457813185</c:v>
                      </c:pt>
                      <c:pt idx="65">
                        <c:v>-26535.664466984639</c:v>
                      </c:pt>
                      <c:pt idx="66">
                        <c:v>-27783.70361877948</c:v>
                      </c:pt>
                      <c:pt idx="67">
                        <c:v>-28341.342149015436</c:v>
                      </c:pt>
                      <c:pt idx="68">
                        <c:v>-28265.706341012301</c:v>
                      </c:pt>
                      <c:pt idx="69">
                        <c:v>-27592.45565066599</c:v>
                      </c:pt>
                      <c:pt idx="70">
                        <c:v>-26339.168541462222</c:v>
                      </c:pt>
                      <c:pt idx="71">
                        <c:v>-24508.671951444823</c:v>
                      </c:pt>
                      <c:pt idx="72">
                        <c:v>-22093.020546283366</c:v>
                      </c:pt>
                      <c:pt idx="73">
                        <c:v>-19082.462147203732</c:v>
                      </c:pt>
                      <c:pt idx="74">
                        <c:v>-15491.023809522014</c:v>
                      </c:pt>
                      <c:pt idx="75">
                        <c:v>-11414.581308572133</c:v>
                      </c:pt>
                      <c:pt idx="76">
                        <c:v>-7066.9125271245348</c:v>
                      </c:pt>
                      <c:pt idx="77">
                        <c:v>-2631.4324563300734</c:v>
                      </c:pt>
                      <c:pt idx="78">
                        <c:v>1923.9893896404412</c:v>
                      </c:pt>
                      <c:pt idx="79">
                        <c:v>6781.3531146247333</c:v>
                      </c:pt>
                      <c:pt idx="80">
                        <c:v>12072.58293223783</c:v>
                      </c:pt>
                      <c:pt idx="81">
                        <c:v>17606.256415601383</c:v>
                      </c:pt>
                      <c:pt idx="82">
                        <c:v>22797.575212912099</c:v>
                      </c:pt>
                      <c:pt idx="83">
                        <c:v>27209.100633033966</c:v>
                      </c:pt>
                      <c:pt idx="84">
                        <c:v>30836.318731298168</c:v>
                      </c:pt>
                      <c:pt idx="85">
                        <c:v>33818.729497649772</c:v>
                      </c:pt>
                      <c:pt idx="86">
                        <c:v>36277.076611277414</c:v>
                      </c:pt>
                      <c:pt idx="87">
                        <c:v>38297.316415394045</c:v>
                      </c:pt>
                      <c:pt idx="88">
                        <c:v>39939.741382976361</c:v>
                      </c:pt>
                      <c:pt idx="89">
                        <c:v>41247.350171295184</c:v>
                      </c:pt>
                      <c:pt idx="90">
                        <c:v>42251.348246556758</c:v>
                      </c:pt>
                      <c:pt idx="91">
                        <c:v>42974.607773241762</c:v>
                      </c:pt>
                      <c:pt idx="92">
                        <c:v>43433.858551129459</c:v>
                      </c:pt>
                      <c:pt idx="93">
                        <c:v>43641.092971154416</c:v>
                      </c:pt>
                      <c:pt idx="94">
                        <c:v>43604.467792994394</c:v>
                      </c:pt>
                      <c:pt idx="95">
                        <c:v>43328.866344872527</c:v>
                      </c:pt>
                      <c:pt idx="96">
                        <c:v>42816.214078227895</c:v>
                      </c:pt>
                      <c:pt idx="97">
                        <c:v>42065.596095159213</c:v>
                      </c:pt>
                      <c:pt idx="98">
                        <c:v>41073.194007926337</c:v>
                      </c:pt>
                      <c:pt idx="99">
                        <c:v>39832.032757850749</c:v>
                      </c:pt>
                      <c:pt idx="100">
                        <c:v>38331.49898410077</c:v>
                      </c:pt>
                      <c:pt idx="101">
                        <c:v>36556.553643212501</c:v>
                      </c:pt>
                      <c:pt idx="102">
                        <c:v>34486.502119217956</c:v>
                      </c:pt>
                      <c:pt idx="103">
                        <c:v>32093.088757401125</c:v>
                      </c:pt>
                      <c:pt idx="104">
                        <c:v>29337.53078555414</c:v>
                      </c:pt>
                      <c:pt idx="105">
                        <c:v>26165.924463924719</c:v>
                      </c:pt>
                      <c:pt idx="106">
                        <c:v>22502.661736356473</c:v>
                      </c:pt>
                      <c:pt idx="107">
                        <c:v>18245.350134400072</c:v>
                      </c:pt>
                      <c:pt idx="108">
                        <c:v>13294.330499481048</c:v>
                      </c:pt>
                      <c:pt idx="109">
                        <c:v>7762.6557465568076</c:v>
                      </c:pt>
                      <c:pt idx="110">
                        <c:v>2185.7427261724333</c:v>
                      </c:pt>
                      <c:pt idx="111">
                        <c:v>-2955.4373493769681</c:v>
                      </c:pt>
                      <c:pt idx="112">
                        <c:v>-7677.0215896906348</c:v>
                      </c:pt>
                      <c:pt idx="113">
                        <c:v>-12229.278045539633</c:v>
                      </c:pt>
                      <c:pt idx="114">
                        <c:v>-16671.747544172897</c:v>
                      </c:pt>
                      <c:pt idx="115">
                        <c:v>-20813.594533366584</c:v>
                      </c:pt>
                      <c:pt idx="116">
                        <c:v>-24533.915787791979</c:v>
                      </c:pt>
                      <c:pt idx="117">
                        <c:v>-27854.236737971871</c:v>
                      </c:pt>
                      <c:pt idx="118">
                        <c:v>-30825.898162229347</c:v>
                      </c:pt>
                      <c:pt idx="119">
                        <c:v>-33494.001092657709</c:v>
                      </c:pt>
                      <c:pt idx="120">
                        <c:v>-35893.668401982002</c:v>
                      </c:pt>
                      <c:pt idx="121">
                        <c:v>-38051.857545812323</c:v>
                      </c:pt>
                      <c:pt idx="122">
                        <c:v>-39989.426135544039</c:v>
                      </c:pt>
                      <c:pt idx="123">
                        <c:v>-41722.701953680582</c:v>
                      </c:pt>
                      <c:pt idx="124">
                        <c:v>-43264.593739672055</c:v>
                      </c:pt>
                      <c:pt idx="125">
                        <c:v>-44625.370110247859</c:v>
                      </c:pt>
                      <c:pt idx="126">
                        <c:v>-45813.210084422644</c:v>
                      </c:pt>
                      <c:pt idx="127">
                        <c:v>-46834.596474971899</c:v>
                      </c:pt>
                      <c:pt idx="128">
                        <c:v>-47694.599352373261</c:v>
                      </c:pt>
                      <c:pt idx="129">
                        <c:v>-48397.080682397107</c:v>
                      </c:pt>
                      <c:pt idx="130">
                        <c:v>-48944.840688481185</c:v>
                      </c:pt>
                      <c:pt idx="131">
                        <c:v>-49339.719512233831</c:v>
                      </c:pt>
                      <c:pt idx="132">
                        <c:v>-49582.663001061046</c:v>
                      </c:pt>
                      <c:pt idx="133">
                        <c:v>-49673.758076194761</c:v>
                      </c:pt>
                      <c:pt idx="134">
                        <c:v>-49612.240560776336</c:v>
                      </c:pt>
                      <c:pt idx="135">
                        <c:v>-49396.476181447666</c:v>
                      </c:pt>
                      <c:pt idx="136">
                        <c:v>-49023.913387783476</c:v>
                      </c:pt>
                      <c:pt idx="137">
                        <c:v>-48491.004368515343</c:v>
                      </c:pt>
                      <c:pt idx="138">
                        <c:v>-47793.087840244232</c:v>
                      </c:pt>
                      <c:pt idx="139">
                        <c:v>-46924.223369994637</c:v>
                      </c:pt>
                      <c:pt idx="140">
                        <c:v>-45876.961431355201</c:v>
                      </c:pt>
                      <c:pt idx="141">
                        <c:v>-44642.024852526913</c:v>
                      </c:pt>
                      <c:pt idx="142">
                        <c:v>-43207.863620273536</c:v>
                      </c:pt>
                      <c:pt idx="143">
                        <c:v>-41560.02215774764</c:v>
                      </c:pt>
                      <c:pt idx="144">
                        <c:v>-39680.218543445764</c:v>
                      </c:pt>
                      <c:pt idx="145">
                        <c:v>-37544.963508081724</c:v>
                      </c:pt>
                      <c:pt idx="146">
                        <c:v>-35123.412621399875</c:v>
                      </c:pt>
                      <c:pt idx="147">
                        <c:v>-32373.886339576009</c:v>
                      </c:pt>
                      <c:pt idx="148">
                        <c:v>-29238.008475013703</c:v>
                      </c:pt>
                      <c:pt idx="149">
                        <c:v>-25630.757248859132</c:v>
                      </c:pt>
                      <c:pt idx="150">
                        <c:v>-21426.447476268524</c:v>
                      </c:pt>
                      <c:pt idx="151">
                        <c:v>-16470.371289604234</c:v>
                      </c:pt>
                      <c:pt idx="152">
                        <c:v>-10783.084941093117</c:v>
                      </c:pt>
                      <c:pt idx="153">
                        <c:v>-4662.8441890915483</c:v>
                      </c:pt>
                      <c:pt idx="154">
                        <c:v>1774.2680936374406</c:v>
                      </c:pt>
                      <c:pt idx="155">
                        <c:v>8682.965962581191</c:v>
                      </c:pt>
                      <c:pt idx="156">
                        <c:v>16001.03908711413</c:v>
                      </c:pt>
                      <c:pt idx="157">
                        <c:v>23156.838478136244</c:v>
                      </c:pt>
                      <c:pt idx="158">
                        <c:v>29594.827362373057</c:v>
                      </c:pt>
                      <c:pt idx="159">
                        <c:v>35270.013405376099</c:v>
                      </c:pt>
                      <c:pt idx="160">
                        <c:v>40331.852027463668</c:v>
                      </c:pt>
                      <c:pt idx="161">
                        <c:v>44909.816233220758</c:v>
                      </c:pt>
                      <c:pt idx="162">
                        <c:v>49095.629207185986</c:v>
                      </c:pt>
                      <c:pt idx="163">
                        <c:v>52954.135016581095</c:v>
                      </c:pt>
                      <c:pt idx="164">
                        <c:v>56532.530246686991</c:v>
                      </c:pt>
                      <c:pt idx="165">
                        <c:v>59866.262691420328</c:v>
                      </c:pt>
                      <c:pt idx="166">
                        <c:v>62982.710149150327</c:v>
                      </c:pt>
                      <c:pt idx="167">
                        <c:v>65903.525485714563</c:v>
                      </c:pt>
                      <c:pt idx="168">
                        <c:v>68646.178907414025</c:v>
                      </c:pt>
                      <c:pt idx="169">
                        <c:v>71225.004428878179</c:v>
                      </c:pt>
                      <c:pt idx="170">
                        <c:v>73651.930575905964</c:v>
                      </c:pt>
                      <c:pt idx="171">
                        <c:v>75937.003830588408</c:v>
                      </c:pt>
                      <c:pt idx="172">
                        <c:v>78088.772191063705</c:v>
                      </c:pt>
                      <c:pt idx="173">
                        <c:v>80114.571901571602</c:v>
                      </c:pt>
                      <c:pt idx="174">
                        <c:v>82020.745615110456</c:v>
                      </c:pt>
                      <c:pt idx="175">
                        <c:v>83812.810999418929</c:v>
                      </c:pt>
                      <c:pt idx="176">
                        <c:v>85495.592860413046</c:v>
                      </c:pt>
                      <c:pt idx="177">
                        <c:v>87073.327956552923</c:v>
                      </c:pt>
                      <c:pt idx="178">
                        <c:v>88549.74905853589</c:v>
                      </c:pt>
                      <c:pt idx="179">
                        <c:v>89928.153014942436</c:v>
                      </c:pt>
                      <c:pt idx="180">
                        <c:v>91211.456333429262</c:v>
                      </c:pt>
                      <c:pt idx="181">
                        <c:v>92402.240899884011</c:v>
                      </c:pt>
                      <c:pt idx="182">
                        <c:v>93502.791819052873</c:v>
                      </c:pt>
                      <c:pt idx="183">
                        <c:v>94515.128893434405</c:v>
                      </c:pt>
                      <c:pt idx="184">
                        <c:v>95441.032911718532</c:v>
                      </c:pt>
                      <c:pt idx="185">
                        <c:v>96282.067659024746</c:v>
                      </c:pt>
                      <c:pt idx="186">
                        <c:v>97039.598364654245</c:v>
                      </c:pt>
                      <c:pt idx="187">
                        <c:v>97714.807152186753</c:v>
                      </c:pt>
                      <c:pt idx="188">
                        <c:v>98308.705939554988</c:v>
                      </c:pt>
                      <c:pt idx="189">
                        <c:v>98822.147144601273</c:v>
                      </c:pt>
                      <c:pt idx="190">
                        <c:v>99255.832478270182</c:v>
                      </c:pt>
                      <c:pt idx="191">
                        <c:v>99610.320048368012</c:v>
                      </c:pt>
                      <c:pt idx="192">
                        <c:v>99886.029948235315</c:v>
                      </c:pt>
                      <c:pt idx="193">
                        <c:v>100083.24846407177</c:v>
                      </c:pt>
                      <c:pt idx="194">
                        <c:v>100202.1309999552</c:v>
                      </c:pt>
                      <c:pt idx="195">
                        <c:v>100242.70378916098</c:v>
                      </c:pt>
                      <c:pt idx="196">
                        <c:v>100204.86443285841</c:v>
                      </c:pt>
                      <c:pt idx="197">
                        <c:v>100088.38128147788</c:v>
                      </c:pt>
                      <c:pt idx="198">
                        <c:v>99892.891648962235</c:v>
                      </c:pt>
                      <c:pt idx="199">
                        <c:v>99617.89882474333</c:v>
                      </c:pt>
                      <c:pt idx="200">
                        <c:v>99262.767821611487</c:v>
                      </c:pt>
                      <c:pt idx="201">
                        <c:v>98826.719768584298</c:v>
                      </c:pt>
                      <c:pt idx="202">
                        <c:v>98308.824825198142</c:v>
                      </c:pt>
                      <c:pt idx="203">
                        <c:v>97707.993455873599</c:v>
                      </c:pt>
                      <c:pt idx="204">
                        <c:v>97022.965858339929</c:v>
                      </c:pt>
                      <c:pt idx="205">
                        <c:v>96252.29928626187</c:v>
                      </c:pt>
                      <c:pt idx="206">
                        <c:v>95394.352940248282</c:v>
                      </c:pt>
                      <c:pt idx="207">
                        <c:v>94447.270019464253</c:v>
                      </c:pt>
                      <c:pt idx="208">
                        <c:v>93408.956422958479</c:v>
                      </c:pt>
                      <c:pt idx="209">
                        <c:v>92277.055458587405</c:v>
                      </c:pt>
                      <c:pt idx="210">
                        <c:v>91048.917748541542</c:v>
                      </c:pt>
                      <c:pt idx="211">
                        <c:v>89721.565300773422</c:v>
                      </c:pt>
                      <c:pt idx="212">
                        <c:v>88291.648426616768</c:v>
                      </c:pt>
                      <c:pt idx="213">
                        <c:v>86755.393800347214</c:v>
                      </c:pt>
                      <c:pt idx="214">
                        <c:v>85108.541438632717</c:v>
                      </c:pt>
                      <c:pt idx="215">
                        <c:v>83346.267671672133</c:v>
                      </c:pt>
                      <c:pt idx="216">
                        <c:v>81463.09020166751</c:v>
                      </c:pt>
                      <c:pt idx="217">
                        <c:v>79452.749975055718</c:v>
                      </c:pt>
                      <c:pt idx="218">
                        <c:v>77308.062643862519</c:v>
                      </c:pt>
                      <c:pt idx="219">
                        <c:v>75020.729563496265</c:v>
                      </c:pt>
                      <c:pt idx="220">
                        <c:v>72581.09409832205</c:v>
                      </c:pt>
                      <c:pt idx="221">
                        <c:v>69977.82271443597</c:v>
                      </c:pt>
                      <c:pt idx="222">
                        <c:v>67197.480649559919</c:v>
                      </c:pt>
                      <c:pt idx="223">
                        <c:v>64223.956672527536</c:v>
                      </c:pt>
                      <c:pt idx="224">
                        <c:v>61037.666746298499</c:v>
                      </c:pt>
                      <c:pt idx="225">
                        <c:v>57614.425437249105</c:v>
                      </c:pt>
                      <c:pt idx="226">
                        <c:v>53923.804261360579</c:v>
                      </c:pt>
                      <c:pt idx="227">
                        <c:v>49926.675575310946</c:v>
                      </c:pt>
                      <c:pt idx="228">
                        <c:v>45571.432386172011</c:v>
                      </c:pt>
                      <c:pt idx="229">
                        <c:v>40788.040091168965</c:v>
                      </c:pt>
                      <c:pt idx="230">
                        <c:v>35478.732390904865</c:v>
                      </c:pt>
                      <c:pt idx="231">
                        <c:v>29505.237692822189</c:v>
                      </c:pt>
                      <c:pt idx="232">
                        <c:v>22685.402625416045</c:v>
                      </c:pt>
                      <c:pt idx="233">
                        <c:v>14893.497634394938</c:v>
                      </c:pt>
                      <c:pt idx="234">
                        <c:v>6463.1875239652663</c:v>
                      </c:pt>
                      <c:pt idx="235">
                        <c:v>-1877.207558922579</c:v>
                      </c:pt>
                      <c:pt idx="236">
                        <c:v>-9787.7808638123188</c:v>
                      </c:pt>
                      <c:pt idx="237">
                        <c:v>-17352.064059363191</c:v>
                      </c:pt>
                      <c:pt idx="238">
                        <c:v>-24427.236367242913</c:v>
                      </c:pt>
                      <c:pt idx="239">
                        <c:v>-30778.920017896024</c:v>
                      </c:pt>
                      <c:pt idx="240">
                        <c:v>-36458.809243219563</c:v>
                      </c:pt>
                      <c:pt idx="241">
                        <c:v>-41627.334642204769</c:v>
                      </c:pt>
                      <c:pt idx="242">
                        <c:v>-46401.536928283844</c:v>
                      </c:pt>
                      <c:pt idx="243">
                        <c:v>-50859.308434470302</c:v>
                      </c:pt>
                      <c:pt idx="244">
                        <c:v>-55054.380666291821</c:v>
                      </c:pt>
                      <c:pt idx="245">
                        <c:v>-59025.56210810646</c:v>
                      </c:pt>
                      <c:pt idx="246">
                        <c:v>-62802.015207794117</c:v>
                      </c:pt>
                      <c:pt idx="247">
                        <c:v>-66406.370780448429</c:v>
                      </c:pt>
                      <c:pt idx="248">
                        <c:v>-69856.654989564966</c:v>
                      </c:pt>
                      <c:pt idx="249">
                        <c:v>-73167.536191338921</c:v>
                      </c:pt>
                      <c:pt idx="250">
                        <c:v>-76351.163876946855</c:v>
                      </c:pt>
                      <c:pt idx="251">
                        <c:v>-79417.752403015998</c:v>
                      </c:pt>
                      <c:pt idx="252">
                        <c:v>-82375.998973282651</c:v>
                      </c:pt>
                      <c:pt idx="253">
                        <c:v>-85233.390416872891</c:v>
                      </c:pt>
                      <c:pt idx="254">
                        <c:v>-87996.433216381847</c:v>
                      </c:pt>
                      <c:pt idx="255">
                        <c:v>-90670.829237453785</c:v>
                      </c:pt>
                      <c:pt idx="256">
                        <c:v>-93261.61219912066</c:v>
                      </c:pt>
                      <c:pt idx="257">
                        <c:v>-95773.255207505979</c:v>
                      </c:pt>
                      <c:pt idx="258">
                        <c:v>-98209.756593350452</c:v>
                      </c:pt>
                      <c:pt idx="259">
                        <c:v>-100574.7092312684</c:v>
                      </c:pt>
                      <c:pt idx="260">
                        <c:v>-102871.35710861186</c:v>
                      </c:pt>
                      <c:pt idx="261">
                        <c:v>-105102.64192913251</c:v>
                      </c:pt>
                      <c:pt idx="262">
                        <c:v>-107271.24183972938</c:v>
                      </c:pt>
                      <c:pt idx="263">
                        <c:v>-109379.60386645136</c:v>
                      </c:pt>
                      <c:pt idx="264">
                        <c:v>-111429.97127887665</c:v>
                      </c:pt>
                      <c:pt idx="265">
                        <c:v>-113424.40683010717</c:v>
                      </c:pt>
                      <c:pt idx="266">
                        <c:v>-115364.81261575618</c:v>
                      </c:pt>
                      <c:pt idx="267">
                        <c:v>-117252.94714072901</c:v>
                      </c:pt>
                      <c:pt idx="268">
                        <c:v>-119090.44006416309</c:v>
                      </c:pt>
                      <c:pt idx="269">
                        <c:v>-120878.80500127701</c:v>
                      </c:pt>
                      <c:pt idx="270">
                        <c:v>-122619.45068936818</c:v>
                      </c:pt>
                      <c:pt idx="271">
                        <c:v>-124313.69076891623</c:v>
                      </c:pt>
                      <c:pt idx="272">
                        <c:v>-125962.75238610373</c:v>
                      </c:pt>
                      <c:pt idx="273">
                        <c:v>-127567.78378739316</c:v>
                      </c:pt>
                      <c:pt idx="274">
                        <c:v>-129129.86104809832</c:v>
                      </c:pt>
                      <c:pt idx="275">
                        <c:v>-130649.99405364918</c:v>
                      </c:pt>
                      <c:pt idx="276">
                        <c:v>-132129.13183331612</c:v>
                      </c:pt>
                      <c:pt idx="277">
                        <c:v>-133568.16733064773</c:v>
                      </c:pt>
                      <c:pt idx="278">
                        <c:v>-134967.94168209669</c:v>
                      </c:pt>
                      <c:pt idx="279">
                        <c:v>-136329.24806472711</c:v>
                      </c:pt>
                      <c:pt idx="280">
                        <c:v>-137652.83516509199</c:v>
                      </c:pt>
                      <c:pt idx="281">
                        <c:v>-138939.41031400923</c:v>
                      </c:pt>
                      <c:pt idx="282">
                        <c:v>-140189.64232578539</c:v>
                      </c:pt>
                      <c:pt idx="283">
                        <c:v>-141404.16407522588</c:v>
                      </c:pt>
                      <c:pt idx="284">
                        <c:v>-142583.57484136004</c:v>
                      </c:pt>
                      <c:pt idx="285">
                        <c:v>-143728.44244306188</c:v>
                      </c:pt>
                      <c:pt idx="286">
                        <c:v>-144839.30518855105</c:v>
                      </c:pt>
                      <c:pt idx="287">
                        <c:v>-145916.67365802289</c:v>
                      </c:pt>
                      <c:pt idx="288">
                        <c:v>-146961.03233630865</c:v>
                      </c:pt>
                      <c:pt idx="289">
                        <c:v>-147972.84111044236</c:v>
                      </c:pt>
                      <c:pt idx="290">
                        <c:v>-148952.53664526349</c:v>
                      </c:pt>
                      <c:pt idx="291">
                        <c:v>-149900.53364866864</c:v>
                      </c:pt>
                      <c:pt idx="292">
                        <c:v>-150817.22603680898</c:v>
                      </c:pt>
                      <c:pt idx="293">
                        <c:v>-151702.98800838215</c:v>
                      </c:pt>
                      <c:pt idx="294">
                        <c:v>-152558.17503616406</c:v>
                      </c:pt>
                      <c:pt idx="295">
                        <c:v>-153383.12478304785</c:v>
                      </c:pt>
                      <c:pt idx="296">
                        <c:v>-154178.15794908471</c:v>
                      </c:pt>
                      <c:pt idx="297">
                        <c:v>-154943.57905534207</c:v>
                      </c:pt>
                      <c:pt idx="298">
                        <c:v>-155679.67716979492</c:v>
                      </c:pt>
                      <c:pt idx="299">
                        <c:v>-156386.72657993485</c:v>
                      </c:pt>
                      <c:pt idx="300">
                        <c:v>-157064.98741631169</c:v>
                      </c:pt>
                      <c:pt idx="301">
                        <c:v>-157714.70623080427</c:v>
                      </c:pt>
                      <c:pt idx="302">
                        <c:v>-158336.11653304426</c:v>
                      </c:pt>
                      <c:pt idx="303">
                        <c:v>-158929.43928808524</c:v>
                      </c:pt>
                      <c:pt idx="304">
                        <c:v>-159494.8833781115</c:v>
                      </c:pt>
                      <c:pt idx="305">
                        <c:v>-160032.64603071523</c:v>
                      </c:pt>
                      <c:pt idx="306">
                        <c:v>-160542.9132160306</c:v>
                      </c:pt>
                      <c:pt idx="307">
                        <c:v>-161025.86001479841</c:v>
                      </c:pt>
                      <c:pt idx="308">
                        <c:v>-161481.65095924007</c:v>
                      </c:pt>
                      <c:pt idx="309">
                        <c:v>-161910.44034844419</c:v>
                      </c:pt>
                      <c:pt idx="310">
                        <c:v>-162312.37253980915</c:v>
                      </c:pt>
                      <c:pt idx="311">
                        <c:v>-162687.58221794013</c:v>
                      </c:pt>
                      <c:pt idx="312">
                        <c:v>-163036.19464226734</c:v>
                      </c:pt>
                      <c:pt idx="313">
                        <c:v>-163358.32587453103</c:v>
                      </c:pt>
                      <c:pt idx="314">
                        <c:v>-163654.08298716834</c:v>
                      </c:pt>
                      <c:pt idx="315">
                        <c:v>-163923.5642535355</c:v>
                      </c:pt>
                      <c:pt idx="316">
                        <c:v>-164166.859320805</c:v>
                      </c:pt>
                      <c:pt idx="317">
                        <c:v>-164384.04936629048</c:v>
                      </c:pt>
                      <c:pt idx="318">
                        <c:v>-164575.20723787136</c:v>
                      </c:pt>
                      <c:pt idx="319">
                        <c:v>-164740.39757911421</c:v>
                      </c:pt>
                      <c:pt idx="320">
                        <c:v>-164879.67693961691</c:v>
                      </c:pt>
                      <c:pt idx="321">
                        <c:v>-164993.09387103558</c:v>
                      </c:pt>
                      <c:pt idx="322">
                        <c:v>-165080.68900919132</c:v>
                      </c:pt>
                      <c:pt idx="323">
                        <c:v>-165142.49514259369</c:v>
                      </c:pt>
                      <c:pt idx="324">
                        <c:v>-165178.53726766101</c:v>
                      </c:pt>
                      <c:pt idx="325">
                        <c:v>-165188.83263086196</c:v>
                      </c:pt>
                      <c:pt idx="326">
                        <c:v>-165173.39075794964</c:v>
                      </c:pt>
                      <c:pt idx="327">
                        <c:v>-165132.2134704073</c:v>
                      </c:pt>
                      <c:pt idx="328">
                        <c:v>-165065.29488917277</c:v>
                      </c:pt>
                      <c:pt idx="329">
                        <c:v>-164972.62142565913</c:v>
                      </c:pt>
                      <c:pt idx="330">
                        <c:v>-164854.17176003678</c:v>
                      </c:pt>
                      <c:pt idx="331">
                        <c:v>-164709.91680669278</c:v>
                      </c:pt>
                      <c:pt idx="332">
                        <c:v>-164539.81966673062</c:v>
                      </c:pt>
                      <c:pt idx="333">
                        <c:v>-164343.83556732131</c:v>
                      </c:pt>
                      <c:pt idx="334">
                        <c:v>-164121.91178766324</c:v>
                      </c:pt>
                      <c:pt idx="335">
                        <c:v>-163873.9875712519</c:v>
                      </c:pt>
                      <c:pt idx="336">
                        <c:v>-163599.99402410278</c:v>
                      </c:pt>
                      <c:pt idx="337">
                        <c:v>-163299.85399851025</c:v>
                      </c:pt>
                      <c:pt idx="338">
                        <c:v>-162973.48196186157</c:v>
                      </c:pt>
                      <c:pt idx="339">
                        <c:v>-162620.78384995682</c:v>
                      </c:pt>
                      <c:pt idx="340">
                        <c:v>-162241.65690421514</c:v>
                      </c:pt>
                      <c:pt idx="341">
                        <c:v>-161835.98949206964</c:v>
                      </c:pt>
                      <c:pt idx="342">
                        <c:v>-161403.66090977172</c:v>
                      </c:pt>
                      <c:pt idx="343">
                        <c:v>-160944.54116673709</c:v>
                      </c:pt>
                      <c:pt idx="344">
                        <c:v>-160458.49075046933</c:v>
                      </c:pt>
                      <c:pt idx="345">
                        <c:v>-159945.36037099315</c:v>
                      </c:pt>
                      <c:pt idx="346">
                        <c:v>-159404.99068361684</c:v>
                      </c:pt>
                      <c:pt idx="347">
                        <c:v>-158837.21198871857</c:v>
                      </c:pt>
                      <c:pt idx="348">
                        <c:v>-158241.84390711735</c:v>
                      </c:pt>
                      <c:pt idx="349">
                        <c:v>-157618.69502943975</c:v>
                      </c:pt>
                      <c:pt idx="350">
                        <c:v>-156967.56253773061</c:v>
                      </c:pt>
                      <c:pt idx="351">
                        <c:v>-156288.2317973754</c:v>
                      </c:pt>
                      <c:pt idx="352">
                        <c:v>-155580.47591720242</c:v>
                      </c:pt>
                      <c:pt idx="353">
                        <c:v>-154844.05527541178</c:v>
                      </c:pt>
                      <c:pt idx="354">
                        <c:v>-154078.71700873275</c:v>
                      </c:pt>
                      <c:pt idx="355">
                        <c:v>-153284.19446193712</c:v>
                      </c:pt>
                      <c:pt idx="356">
                        <c:v>-152460.20659453119</c:v>
                      </c:pt>
                      <c:pt idx="357">
                        <c:v>-151606.45734110824</c:v>
                      </c:pt>
                      <c:pt idx="358">
                        <c:v>-150722.63492145992</c:v>
                      </c:pt>
                      <c:pt idx="359">
                        <c:v>-149808.41109611656</c:v>
                      </c:pt>
                      <c:pt idx="360">
                        <c:v>-148863.44036250236</c:v>
                      </c:pt>
                      <c:pt idx="361">
                        <c:v>-147887.35908634661</c:v>
                      </c:pt>
                      <c:pt idx="362">
                        <c:v>-146879.78456237537</c:v>
                      </c:pt>
                      <c:pt idx="363">
                        <c:v>-145840.31399760974</c:v>
                      </c:pt>
                      <c:pt idx="364">
                        <c:v>-144768.52340980357</c:v>
                      </c:pt>
                      <c:pt idx="365">
                        <c:v>-143663.96643264958</c:v>
                      </c:pt>
                      <c:pt idx="366">
                        <c:v>-142526.17301835254</c:v>
                      </c:pt>
                      <c:pt idx="367">
                        <c:v>-141354.64802698721</c:v>
                      </c:pt>
                      <c:pt idx="368">
                        <c:v>-140148.86969070564</c:v>
                      </c:pt>
                      <c:pt idx="369">
                        <c:v>-138908.28793929963</c:v>
                      </c:pt>
                      <c:pt idx="370">
                        <c:v>-137632.32257182687</c:v>
                      </c:pt>
                      <c:pt idx="371">
                        <c:v>-136320.36125692914</c:v>
                      </c:pt>
                      <c:pt idx="372">
                        <c:v>-134971.75734205486</c:v>
                      </c:pt>
                      <c:pt idx="373">
                        <c:v>-133585.82744898615</c:v>
                      </c:pt>
                      <c:pt idx="374">
                        <c:v>-132161.84882978429</c:v>
                      </c:pt>
                      <c:pt idx="375">
                        <c:v>-130699.05645341295</c:v>
                      </c:pt>
                      <c:pt idx="376">
                        <c:v>-129196.63978876401</c:v>
                      </c:pt>
                      <c:pt idx="377">
                        <c:v>-127653.73924445311</c:v>
                      </c:pt>
                      <c:pt idx="378">
                        <c:v>-126069.4422193987</c:v>
                      </c:pt>
                      <c:pt idx="379">
                        <c:v>-124442.77871063018</c:v>
                      </c:pt>
                      <c:pt idx="380">
                        <c:v>-122772.71641571965</c:v>
                      </c:pt>
                      <c:pt idx="381">
                        <c:v>-121058.15525635269</c:v>
                      </c:pt>
                      <c:pt idx="382">
                        <c:v>-119297.92123641832</c:v>
                      </c:pt>
                      <c:pt idx="383">
                        <c:v>-117490.75953205336</c:v>
                      </c:pt>
                      <c:pt idx="384">
                        <c:v>-115635.32669161966</c:v>
                      </c:pt>
                      <c:pt idx="385">
                        <c:v>-113730.18179971135</c:v>
                      </c:pt>
                      <c:pt idx="386">
                        <c:v>-111773.77642980238</c:v>
                      </c:pt>
                      <c:pt idx="387">
                        <c:v>-109764.4431734981</c:v>
                      </c:pt>
                      <c:pt idx="388">
                        <c:v>-107700.38248850204</c:v>
                      </c:pt>
                      <c:pt idx="389">
                        <c:v>-105579.64754961364</c:v>
                      </c:pt>
                      <c:pt idx="390">
                        <c:v>-103400.12671365941</c:v>
                      </c:pt>
                      <c:pt idx="391">
                        <c:v>-101159.52311522712</c:v>
                      </c:pt>
                      <c:pt idx="392">
                        <c:v>-98855.330788548337</c:v>
                      </c:pt>
                      <c:pt idx="393">
                        <c:v>-96484.80655230867</c:v>
                      </c:pt>
                      <c:pt idx="394">
                        <c:v>-94044.936685110995</c:v>
                      </c:pt>
                      <c:pt idx="395">
                        <c:v>-91532.39714059759</c:v>
                      </c:pt>
                      <c:pt idx="396">
                        <c:v>-88943.505675092762</c:v>
                      </c:pt>
                      <c:pt idx="397">
                        <c:v>-86274.163746247374</c:v>
                      </c:pt>
                      <c:pt idx="398">
                        <c:v>-83519.785327508886</c:v>
                      </c:pt>
                      <c:pt idx="399">
                        <c:v>-80675.20877729154</c:v>
                      </c:pt>
                      <c:pt idx="400">
                        <c:v>-77734.586458814738</c:v>
                      </c:pt>
                      <c:pt idx="401">
                        <c:v>-74691.244696609589</c:v>
                      </c:pt>
                      <c:pt idx="402">
                        <c:v>-71537.503503492335</c:v>
                      </c:pt>
                      <c:pt idx="403">
                        <c:v>-68264.440688737915</c:v>
                      </c:pt>
                      <c:pt idx="404">
                        <c:v>-64861.577378601112</c:v>
                      </c:pt>
                      <c:pt idx="405">
                        <c:v>-61316.449705558276</c:v>
                      </c:pt>
                      <c:pt idx="406">
                        <c:v>-57614.010860928604</c:v>
                      </c:pt>
                      <c:pt idx="407">
                        <c:v>-53735.771930714684</c:v>
                      </c:pt>
                      <c:pt idx="408">
                        <c:v>-49658.525016217769</c:v>
                      </c:pt>
                      <c:pt idx="409">
                        <c:v>-45352.368909791803</c:v>
                      </c:pt>
                      <c:pt idx="410">
                        <c:v>-40777.513358158765</c:v>
                      </c:pt>
                      <c:pt idx="411">
                        <c:v>-35878.842474203077</c:v>
                      </c:pt>
                      <c:pt idx="412">
                        <c:v>-30576.286662905142</c:v>
                      </c:pt>
                      <c:pt idx="413">
                        <c:v>-24748.466245437026</c:v>
                      </c:pt>
                      <c:pt idx="414">
                        <c:v>-18221.398075829755</c:v>
                      </c:pt>
                      <c:pt idx="415">
                        <c:v>-10910.734821340993</c:v>
                      </c:pt>
                      <c:pt idx="416">
                        <c:v>-3103.4069516545906</c:v>
                      </c:pt>
                      <c:pt idx="417">
                        <c:v>4977.110694277636</c:v>
                      </c:pt>
                      <c:pt idx="418">
                        <c:v>13449.221489529946</c:v>
                      </c:pt>
                      <c:pt idx="419">
                        <c:v>22107.249856027407</c:v>
                      </c:pt>
                      <c:pt idx="420">
                        <c:v>30237.117516592523</c:v>
                      </c:pt>
                      <c:pt idx="421">
                        <c:v>37422.032036220255</c:v>
                      </c:pt>
                      <c:pt idx="422">
                        <c:v>43804.267535106366</c:v>
                      </c:pt>
                      <c:pt idx="423">
                        <c:v>49593.666295593554</c:v>
                      </c:pt>
                      <c:pt idx="424">
                        <c:v>54936.263981709431</c:v>
                      </c:pt>
                      <c:pt idx="425">
                        <c:v>59929.02310892284</c:v>
                      </c:pt>
                      <c:pt idx="426">
                        <c:v>64638.562499843487</c:v>
                      </c:pt>
                      <c:pt idx="427">
                        <c:v>69112.588592702697</c:v>
                      </c:pt>
                      <c:pt idx="428">
                        <c:v>73386.542294186554</c:v>
                      </c:pt>
                      <c:pt idx="429">
                        <c:v>77487.576002431728</c:v>
                      </c:pt>
                      <c:pt idx="430">
                        <c:v>81437.032215402229</c:v>
                      </c:pt>
                      <c:pt idx="431">
                        <c:v>85252.050587499893</c:v>
                      </c:pt>
                      <c:pt idx="432">
                        <c:v>88946.647434376689</c:v>
                      </c:pt>
                      <c:pt idx="433">
                        <c:v>92532.463681529844</c:v>
                      </c:pt>
                      <c:pt idx="434">
                        <c:v>96019.297272317024</c:v>
                      </c:pt>
                      <c:pt idx="435">
                        <c:v>99415.491193294525</c:v>
                      </c:pt>
                      <c:pt idx="436">
                        <c:v>102728.22218675145</c:v>
                      </c:pt>
                      <c:pt idx="437">
                        <c:v>105963.71953012884</c:v>
                      </c:pt>
                      <c:pt idx="438">
                        <c:v>109127.43353305392</c:v>
                      </c:pt>
                      <c:pt idx="439">
                        <c:v>112224.16720161415</c:v>
                      </c:pt>
                      <c:pt idx="440">
                        <c:v>115258.18046756463</c:v>
                      </c:pt>
                      <c:pt idx="441">
                        <c:v>118233.27367246026</c:v>
                      </c:pt>
                      <c:pt idx="442">
                        <c:v>121152.85515014213</c:v>
                      </c:pt>
                      <c:pt idx="443">
                        <c:v>124019.99646825276</c:v>
                      </c:pt>
                      <c:pt idx="444">
                        <c:v>126837.47798324563</c:v>
                      </c:pt>
                      <c:pt idx="445">
                        <c:v>129607.82671323325</c:v>
                      </c:pt>
                      <c:pt idx="446">
                        <c:v>132333.34805998742</c:v>
                      </c:pt>
                      <c:pt idx="447">
                        <c:v>135016.15256272739</c:v>
                      </c:pt>
                      <c:pt idx="448">
                        <c:v>137658.17860621671</c:v>
                      </c:pt>
                      <c:pt idx="449">
                        <c:v>140261.21180947602</c:v>
                      </c:pt>
                      <c:pt idx="450">
                        <c:v>142826.9016718787</c:v>
                      </c:pt>
                      <c:pt idx="451">
                        <c:v>145356.775938326</c:v>
                      </c:pt>
                      <c:pt idx="452">
                        <c:v>147852.25305586142</c:v>
                      </c:pt>
                      <c:pt idx="453">
                        <c:v>150314.6530241404</c:v>
                      </c:pt>
                      <c:pt idx="454">
                        <c:v>152745.20688698292</c:v>
                      </c:pt>
                      <c:pt idx="455">
                        <c:v>155145.06506836842</c:v>
                      </c:pt>
                      <c:pt idx="456">
                        <c:v>157515.30472112147</c:v>
                      </c:pt>
                      <c:pt idx="457">
                        <c:v>159856.93622825018</c:v>
                      </c:pt>
                      <c:pt idx="458">
                        <c:v>162170.90897397214</c:v>
                      </c:pt>
                      <c:pt idx="459">
                        <c:v>164458.11648276937</c:v>
                      </c:pt>
                      <c:pt idx="460">
                        <c:v>166719.40100948993</c:v>
                      </c:pt>
                      <c:pt idx="461">
                        <c:v>168955.5576508852</c:v>
                      </c:pt>
                      <c:pt idx="462">
                        <c:v>171167.33803851486</c:v>
                      </c:pt>
                      <c:pt idx="463">
                        <c:v>173355.45366424942</c:v>
                      </c:pt>
                      <c:pt idx="464">
                        <c:v>175520.5788823271</c:v>
                      </c:pt>
                      <c:pt idx="465">
                        <c:v>177663.35362581912</c:v>
                      </c:pt>
                      <c:pt idx="466">
                        <c:v>179784.38587021129</c:v>
                      </c:pt>
                      <c:pt idx="467">
                        <c:v>181884.25387245847</c:v>
                      </c:pt>
                      <c:pt idx="468">
                        <c:v>183963.50821017203</c:v>
                      </c:pt>
                      <c:pt idx="469">
                        <c:v>186022.67364245059</c:v>
                      </c:pt>
                      <c:pt idx="470">
                        <c:v>188062.25081117108</c:v>
                      </c:pt>
                      <c:pt idx="471">
                        <c:v>190082.71779924593</c:v>
                      </c:pt>
                      <c:pt idx="472">
                        <c:v>192084.53156036479</c:v>
                      </c:pt>
                      <c:pt idx="473">
                        <c:v>194068.12923302094</c:v>
                      </c:pt>
                      <c:pt idx="474">
                        <c:v>196033.92935013838</c:v>
                      </c:pt>
                      <c:pt idx="475">
                        <c:v>197982.33295432469</c:v>
                      </c:pt>
                      <c:pt idx="476">
                        <c:v>199913.72462765226</c:v>
                      </c:pt>
                      <c:pt idx="477">
                        <c:v>201828.47344389083</c:v>
                      </c:pt>
                      <c:pt idx="478">
                        <c:v>203726.93385025748</c:v>
                      </c:pt>
                      <c:pt idx="479">
                        <c:v>205609.44648499813</c:v>
                      </c:pt>
                      <c:pt idx="480">
                        <c:v>207476.33893645438</c:v>
                      </c:pt>
                      <c:pt idx="481">
                        <c:v>209327.92644868803</c:v>
                      </c:pt>
                      <c:pt idx="482">
                        <c:v>211164.51257822092</c:v>
                      </c:pt>
                      <c:pt idx="483">
                        <c:v>212986.38980599475</c:v>
                      </c:pt>
                      <c:pt idx="484">
                        <c:v>214793.84010825143</c:v>
                      </c:pt>
                      <c:pt idx="485">
                        <c:v>216587.13548967763</c:v>
                      </c:pt>
                      <c:pt idx="486">
                        <c:v>218366.53848183891</c:v>
                      </c:pt>
                      <c:pt idx="487">
                        <c:v>220132.30260964454</c:v>
                      </c:pt>
                      <c:pt idx="488">
                        <c:v>221884.6728283313</c:v>
                      </c:pt>
                      <c:pt idx="489">
                        <c:v>223623.88593322763</c:v>
                      </c:pt>
                      <c:pt idx="490">
                        <c:v>225350.17094435636</c:v>
                      </c:pt>
                      <c:pt idx="491">
                        <c:v>227063.74946775235</c:v>
                      </c:pt>
                      <c:pt idx="492">
                        <c:v>228764.83603520691</c:v>
                      </c:pt>
                      <c:pt idx="493">
                        <c:v>230453.63842400425</c:v>
                      </c:pt>
                      <c:pt idx="494">
                        <c:v>232130.35795808097</c:v>
                      </c:pt>
                      <c:pt idx="495">
                        <c:v>233795.18979192121</c:v>
                      </c:pt>
                      <c:pt idx="496">
                        <c:v>235448.32317838958</c:v>
                      </c:pt>
                      <c:pt idx="497">
                        <c:v>237089.94172160764</c:v>
                      </c:pt>
                      <c:pt idx="498">
                        <c:v>238720.22361588883</c:v>
                      </c:pt>
                      <c:pt idx="499">
                        <c:v>240339.34187166716</c:v>
                      </c:pt>
                      <c:pt idx="500">
                        <c:v>241947.46452928078</c:v>
                      </c:pt>
                      <c:pt idx="501">
                        <c:v>243544.7548614048</c:v>
                      </c:pt>
                      <c:pt idx="502">
                        <c:v>245131.37156486663</c:v>
                      </c:pt>
                      <c:pt idx="503">
                        <c:v>246707.46894252195</c:v>
                      </c:pt>
                      <c:pt idx="504">
                        <c:v>248273.19707581805</c:v>
                      </c:pt>
                      <c:pt idx="505">
                        <c:v>249828.70198862487</c:v>
                      </c:pt>
                      <c:pt idx="506">
                        <c:v>251374.12580287253</c:v>
                      </c:pt>
                      <c:pt idx="507">
                        <c:v>252909.60688649365</c:v>
                      </c:pt>
                      <c:pt idx="508">
                        <c:v>254435.27999413453</c:v>
                      </c:pt>
                      <c:pt idx="509">
                        <c:v>255951.27640106529</c:v>
                      </c:pt>
                      <c:pt idx="510">
                        <c:v>257457.72403068989</c:v>
                      </c:pt>
                      <c:pt idx="511">
                        <c:v>258954.74757602857</c:v>
                      </c:pt>
                      <c:pt idx="512">
                        <c:v>260442.46861552025</c:v>
                      </c:pt>
                      <c:pt idx="513">
                        <c:v>261921.00572346806</c:v>
                      </c:pt>
                      <c:pt idx="514">
                        <c:v>263390.47457543085</c:v>
                      </c:pt>
                      <c:pt idx="515">
                        <c:v>264850.98804884224</c:v>
                      </c:pt>
                      <c:pt idx="516">
                        <c:v>266302.65631912067</c:v>
                      </c:pt>
                      <c:pt idx="517">
                        <c:v>267745.58695151721</c:v>
                      </c:pt>
                      <c:pt idx="518">
                        <c:v>269179.8849889313</c:v>
                      </c:pt>
                      <c:pt idx="519">
                        <c:v>270605.65303591103</c:v>
                      </c:pt>
                      <c:pt idx="520">
                        <c:v>272022.99133903912</c:v>
                      </c:pt>
                      <c:pt idx="521">
                        <c:v>273431.99786389561</c:v>
                      </c:pt>
                      <c:pt idx="522">
                        <c:v>274832.76836877427</c:v>
                      </c:pt>
                      <c:pt idx="523">
                        <c:v>276225.39647532016</c:v>
                      </c:pt>
                      <c:pt idx="524">
                        <c:v>277609.97373624524</c:v>
                      </c:pt>
                      <c:pt idx="525">
                        <c:v>278986.58970026992</c:v>
                      </c:pt>
                      <c:pt idx="526">
                        <c:v>280355.33197442861</c:v>
                      </c:pt>
                      <c:pt idx="527">
                        <c:v>281716.28628387069</c:v>
                      </c:pt>
                      <c:pt idx="528">
                        <c:v>283069.53652927914</c:v>
                      </c:pt>
                      <c:pt idx="529">
                        <c:v>284415.16484202322</c:v>
                      </c:pt>
                      <c:pt idx="530">
                        <c:v>285753.25163715449</c:v>
                      </c:pt>
                      <c:pt idx="531">
                        <c:v>287083.87566434848</c:v>
                      </c:pt>
                      <c:pt idx="532">
                        <c:v>288407.11405689019</c:v>
                      </c:pt>
                      <c:pt idx="533">
                        <c:v>289723.04237879463</c:v>
                      </c:pt>
                      <c:pt idx="534">
                        <c:v>291031.73467014928</c:v>
                      </c:pt>
                      <c:pt idx="535">
                        <c:v>292333.2634907607</c:v>
                      </c:pt>
                      <c:pt idx="536">
                        <c:v>293627.6999621822</c:v>
                      </c:pt>
                      <c:pt idx="537">
                        <c:v>294915.11380819685</c:v>
                      </c:pt>
                      <c:pt idx="538">
                        <c:v>296195.57339382428</c:v>
                      </c:pt>
                      <c:pt idx="539">
                        <c:v>297469.14576291782</c:v>
                      </c:pt>
                      <c:pt idx="540">
                        <c:v>298735.89667441387</c:v>
                      </c:pt>
                      <c:pt idx="541">
                        <c:v>299995.89063729258</c:v>
                      </c:pt>
                      <c:pt idx="542">
                        <c:v>301249.19094430626</c:v>
                      </c:pt>
                      <c:pt idx="543">
                        <c:v>302495.85970452777</c:v>
                      </c:pt>
                      <c:pt idx="544">
                        <c:v>303735.95787477039</c:v>
                      </c:pt>
                      <c:pt idx="545">
                        <c:v>304969.54528992646</c:v>
                      </c:pt>
                      <c:pt idx="546">
                        <c:v>306196.68069227011</c:v>
                      </c:pt>
                      <c:pt idx="547">
                        <c:v>307417.4217597681</c:v>
                      </c:pt>
                      <c:pt idx="548">
                        <c:v>308631.82513343892</c:v>
                      </c:pt>
                      <c:pt idx="549">
                        <c:v>309839.94644380006</c:v>
                      </c:pt>
                      <c:pt idx="550">
                        <c:v>311041.84033644025</c:v>
                      </c:pt>
                      <c:pt idx="551">
                        <c:v>312237.56049675192</c:v>
                      </c:pt>
                      <c:pt idx="552">
                        <c:v>313427.15967385814</c:v>
                      </c:pt>
                      <c:pt idx="553">
                        <c:v>314610.68970376591</c:v>
                      </c:pt>
                      <c:pt idx="554">
                        <c:v>315788.20153177594</c:v>
                      </c:pt>
                      <c:pt idx="555">
                        <c:v>316959.74523417925</c:v>
                      </c:pt>
                      <c:pt idx="556">
                        <c:v>318125.370039267</c:v>
                      </c:pt>
                      <c:pt idx="557">
                        <c:v>319285.12434768135</c:v>
                      </c:pt>
                      <c:pt idx="558">
                        <c:v>320439.0557521318</c:v>
                      </c:pt>
                      <c:pt idx="559">
                        <c:v>321587.21105650195</c:v>
                      </c:pt>
                      <c:pt idx="560">
                        <c:v>322729.63629436895</c:v>
                      </c:pt>
                      <c:pt idx="561">
                        <c:v>323866.37674695859</c:v>
                      </c:pt>
                      <c:pt idx="562">
                        <c:v>324997.47696055635</c:v>
                      </c:pt>
                      <c:pt idx="563">
                        <c:v>326122.98076339526</c:v>
                      </c:pt>
                      <c:pt idx="564">
                        <c:v>327242.93128203903</c:v>
                      </c:pt>
                      <c:pt idx="565">
                        <c:v>328357.37095727975</c:v>
                      </c:pt>
                      <c:pt idx="566">
                        <c:v>329466.34155956731</c:v>
                      </c:pt>
                      <c:pt idx="567">
                        <c:v>330569.88420398731</c:v>
                      </c:pt>
                      <c:pt idx="568">
                        <c:v>331668.03936480422</c:v>
                      </c:pt>
                      <c:pt idx="569">
                        <c:v>332760.8468895845</c:v>
                      </c:pt>
                      <c:pt idx="570">
                        <c:v>333848.34601291531</c:v>
                      </c:pt>
                      <c:pt idx="571">
                        <c:v>334930.57536973216</c:v>
                      </c:pt>
                      <c:pt idx="572">
                        <c:v>336007.57300827006</c:v>
                      </c:pt>
                      <c:pt idx="573">
                        <c:v>337079.37640265044</c:v>
                      </c:pt>
                      <c:pt idx="574">
                        <c:v>338146.02246511675</c:v>
                      </c:pt>
                      <c:pt idx="575">
                        <c:v>339207.54755793069</c:v>
                      </c:pt>
                      <c:pt idx="576">
                        <c:v>340263.98750494083</c:v>
                      </c:pt>
                      <c:pt idx="577">
                        <c:v>341315.37760283396</c:v>
                      </c:pt>
                      <c:pt idx="578">
                        <c:v>342361.75263208098</c:v>
                      </c:pt>
                      <c:pt idx="579">
                        <c:v>343403.1468675863</c:v>
                      </c:pt>
                      <c:pt idx="580">
                        <c:v>344439.59408905124</c:v>
                      </c:pt>
                      <c:pt idx="581">
                        <c:v>345471.12759106106</c:v>
                      </c:pt>
                      <c:pt idx="582">
                        <c:v>346497.78019290388</c:v>
                      </c:pt>
                      <c:pt idx="583">
                        <c:v>347519.58424813102</c:v>
                      </c:pt>
                      <c:pt idx="584">
                        <c:v>348536.5716538665</c:v>
                      </c:pt>
                      <c:pt idx="585">
                        <c:v>349548.77385987423</c:v>
                      </c:pt>
                      <c:pt idx="586">
                        <c:v>350556.22187739011</c:v>
                      </c:pt>
                      <c:pt idx="587">
                        <c:v>351558.94628772739</c:v>
                      </c:pt>
                      <c:pt idx="588">
                        <c:v>352556.97725066118</c:v>
                      </c:pt>
                      <c:pt idx="589">
                        <c:v>353550.34451260004</c:v>
                      </c:pt>
                      <c:pt idx="590">
                        <c:v>354539.07741455123</c:v>
                      </c:pt>
                      <c:pt idx="591">
                        <c:v>355523.20489988505</c:v>
                      </c:pt>
                      <c:pt idx="592">
                        <c:v>356502.75552190602</c:v>
                      </c:pt>
                      <c:pt idx="593">
                        <c:v>357477.75745123532</c:v>
                      </c:pt>
                      <c:pt idx="594">
                        <c:v>358448.23848301102</c:v>
                      </c:pt>
                      <c:pt idx="595">
                        <c:v>359414.22604391177</c:v>
                      </c:pt>
                      <c:pt idx="596">
                        <c:v>360375.74719900859</c:v>
                      </c:pt>
                      <c:pt idx="597">
                        <c:v>361332.82865845045</c:v>
                      </c:pt>
                      <c:pt idx="598">
                        <c:v>362285.49678398861</c:v>
                      </c:pt>
                      <c:pt idx="599">
                        <c:v>363233.77759534394</c:v>
                      </c:pt>
                      <c:pt idx="600">
                        <c:v>364177.69677642256</c:v>
                      </c:pt>
                      <c:pt idx="601">
                        <c:v>365117.27968138363</c:v>
                      </c:pt>
                      <c:pt idx="602">
                        <c:v>366052.5513405641</c:v>
                      </c:pt>
                      <c:pt idx="603">
                        <c:v>366983.53646626411</c:v>
                      </c:pt>
                      <c:pt idx="604">
                        <c:v>367910.2594583974</c:v>
                      </c:pt>
                      <c:pt idx="605">
                        <c:v>368832.74441001052</c:v>
                      </c:pt>
                      <c:pt idx="606">
                        <c:v>369751.01511267433</c:v>
                      </c:pt>
                      <c:pt idx="607">
                        <c:v>370665.09506175155</c:v>
                      </c:pt>
                      <c:pt idx="608">
                        <c:v>371575.0074615443</c:v>
                      </c:pt>
                      <c:pt idx="609">
                        <c:v>372480.7752303243</c:v>
                      </c:pt>
                      <c:pt idx="610">
                        <c:v>373382.42100524908</c:v>
                      </c:pt>
                      <c:pt idx="611">
                        <c:v>374279.96714716824</c:v>
                      </c:pt>
                      <c:pt idx="612">
                        <c:v>375173.43574532139</c:v>
                      </c:pt>
                      <c:pt idx="613">
                        <c:v>376062.84862193209</c:v>
                      </c:pt>
                      <c:pt idx="614">
                        <c:v>376948.22733669943</c:v>
                      </c:pt>
                      <c:pt idx="615">
                        <c:v>377829.59319119132</c:v>
                      </c:pt>
                      <c:pt idx="616">
                        <c:v>378706.96723314095</c:v>
                      </c:pt>
                      <c:pt idx="617">
                        <c:v>379580.37026064959</c:v>
                      </c:pt>
                      <c:pt idx="618">
                        <c:v>380449.82282629836</c:v>
                      </c:pt>
                      <c:pt idx="619">
                        <c:v>381315.34524117113</c:v>
                      </c:pt>
                      <c:pt idx="620">
                        <c:v>382176.95757879084</c:v>
                      </c:pt>
                      <c:pt idx="621">
                        <c:v>383034.67967897182</c:v>
                      </c:pt>
                      <c:pt idx="622">
                        <c:v>383888.53115159017</c:v>
                      </c:pt>
                      <c:pt idx="623">
                        <c:v>384738.53138027422</c:v>
                      </c:pt>
                      <c:pt idx="624">
                        <c:v>385584.69952601724</c:v>
                      </c:pt>
                      <c:pt idx="625">
                        <c:v>386427.05453071446</c:v>
                      </c:pt>
                      <c:pt idx="626">
                        <c:v>387265.61512062646</c:v>
                      </c:pt>
                      <c:pt idx="627">
                        <c:v>388100.39980977023</c:v>
                      </c:pt>
                      <c:pt idx="628">
                        <c:v>388931.42690324073</c:v>
                      </c:pt>
                      <c:pt idx="629">
                        <c:v>389758.71450046368</c:v>
                      </c:pt>
                      <c:pt idx="630">
                        <c:v>390582.28049838194</c:v>
                      </c:pt>
                      <c:pt idx="631">
                        <c:v>391402.14259457693</c:v>
                      </c:pt>
                      <c:pt idx="632">
                        <c:v>392218.31829032715</c:v>
                      </c:pt>
                      <c:pt idx="633">
                        <c:v>393030.82489360432</c:v>
                      </c:pt>
                      <c:pt idx="634">
                        <c:v>393839.67952200992</c:v>
                      </c:pt>
                      <c:pt idx="635">
                        <c:v>394644.8991056527</c:v>
                      </c:pt>
                      <c:pt idx="636">
                        <c:v>395446.50038996915</c:v>
                      </c:pt>
                      <c:pt idx="637">
                        <c:v>396244.49993848783</c:v>
                      </c:pt>
                      <c:pt idx="638">
                        <c:v>397038.91413553944</c:v>
                      </c:pt>
                      <c:pt idx="639">
                        <c:v>397829.75918891368</c:v>
                      </c:pt>
                      <c:pt idx="640">
                        <c:v>398617.05113246397</c:v>
                      </c:pt>
                      <c:pt idx="641">
                        <c:v>399400.80582866195</c:v>
                      </c:pt>
                      <c:pt idx="642">
                        <c:v>400181.03897110187</c:v>
                      </c:pt>
                      <c:pt idx="643">
                        <c:v>400957.76608695736</c:v>
                      </c:pt>
                      <c:pt idx="644">
                        <c:v>401731.00253939064</c:v>
                      </c:pt>
                      <c:pt idx="645">
                        <c:v>402500.76352991589</c:v>
                      </c:pt>
                      <c:pt idx="646">
                        <c:v>403267.06410071749</c:v>
                      </c:pt>
                      <c:pt idx="647">
                        <c:v>404029.91913692455</c:v>
                      </c:pt>
                      <c:pt idx="648">
                        <c:v>404789.34336884227</c:v>
                      </c:pt>
                      <c:pt idx="649">
                        <c:v>405545.35137414187</c:v>
                      </c:pt>
                      <c:pt idx="650">
                        <c:v>406297.95758000913</c:v>
                      </c:pt>
                      <c:pt idx="651">
                        <c:v>407047.1762652531</c:v>
                      </c:pt>
                      <c:pt idx="652">
                        <c:v>407793.02156237577</c:v>
                      </c:pt>
                      <c:pt idx="653">
                        <c:v>408535.50745960342</c:v>
                      </c:pt>
                      <c:pt idx="654">
                        <c:v>409274.64780288091</c:v>
                      </c:pt>
                      <c:pt idx="655">
                        <c:v>410010.45629782905</c:v>
                      </c:pt>
                      <c:pt idx="656">
                        <c:v>410742.94651166676</c:v>
                      </c:pt>
                      <c:pt idx="657">
                        <c:v>411472.13187509798</c:v>
                      </c:pt>
                      <c:pt idx="658">
                        <c:v>412198.02568416455</c:v>
                      </c:pt>
                      <c:pt idx="659">
                        <c:v>412920.64110206609</c:v>
                      </c:pt>
                      <c:pt idx="660">
                        <c:v>413639.99116094672</c:v>
                      </c:pt>
                      <c:pt idx="661">
                        <c:v>414356.08876365027</c:v>
                      </c:pt>
                      <c:pt idx="662">
                        <c:v>415068.9466854441</c:v>
                      </c:pt>
                      <c:pt idx="663">
                        <c:v>415778.57757571252</c:v>
                      </c:pt>
                      <c:pt idx="664">
                        <c:v>416484.99395962042</c:v>
                      </c:pt>
                      <c:pt idx="665">
                        <c:v>417188.20823974739</c:v>
                      </c:pt>
                      <c:pt idx="666">
                        <c:v>417888.23269769334</c:v>
                      </c:pt>
                      <c:pt idx="667">
                        <c:v>418585.07949565654</c:v>
                      </c:pt>
                      <c:pt idx="668">
                        <c:v>419278.76067798375</c:v>
                      </c:pt>
                      <c:pt idx="669">
                        <c:v>419969.28817269386</c:v>
                      </c:pt>
                      <c:pt idx="670">
                        <c:v>420656.67379297508</c:v>
                      </c:pt>
                      <c:pt idx="671">
                        <c:v>421340.92923865677</c:v>
                      </c:pt>
                      <c:pt idx="672">
                        <c:v>422022.06609765592</c:v>
                      </c:pt>
                      <c:pt idx="673">
                        <c:v>422700.09584739897</c:v>
                      </c:pt>
                      <c:pt idx="674">
                        <c:v>423375.0298562196</c:v>
                      </c:pt>
                      <c:pt idx="675">
                        <c:v>424046.87938473281</c:v>
                      </c:pt>
                      <c:pt idx="676">
                        <c:v>424715.65558718634</c:v>
                      </c:pt>
                      <c:pt idx="677">
                        <c:v>425381.36951278872</c:v>
                      </c:pt>
                      <c:pt idx="678">
                        <c:v>426044.03210701572</c:v>
                      </c:pt>
                      <c:pt idx="679">
                        <c:v>426703.65421289497</c:v>
                      </c:pt>
                      <c:pt idx="680">
                        <c:v>427360.24657226895</c:v>
                      </c:pt>
                      <c:pt idx="681">
                        <c:v>428013.81982703751</c:v>
                      </c:pt>
                      <c:pt idx="682">
                        <c:v>428664.38452038</c:v>
                      </c:pt>
                      <c:pt idx="683">
                        <c:v>429311.95109795692</c:v>
                      </c:pt>
                      <c:pt idx="684">
                        <c:v>429956.52990909253</c:v>
                      </c:pt>
                      <c:pt idx="685">
                        <c:v>430598.13120793767</c:v>
                      </c:pt>
                      <c:pt idx="686">
                        <c:v>431236.76515461423</c:v>
                      </c:pt>
                      <c:pt idx="687">
                        <c:v>431872.44181634084</c:v>
                      </c:pt>
                      <c:pt idx="688">
                        <c:v>432505.1711685406</c:v>
                      </c:pt>
                      <c:pt idx="689">
                        <c:v>433134.96309593081</c:v>
                      </c:pt>
                      <c:pt idx="690">
                        <c:v>433761.82739359571</c:v>
                      </c:pt>
                      <c:pt idx="691">
                        <c:v>434385.77376804169</c:v>
                      </c:pt>
                      <c:pt idx="692">
                        <c:v>435006.81183823629</c:v>
                      </c:pt>
                      <c:pt idx="693">
                        <c:v>435624.95113663009</c:v>
                      </c:pt>
                      <c:pt idx="694">
                        <c:v>436240.20111016324</c:v>
                      </c:pt>
                      <c:pt idx="695">
                        <c:v>436852.57112125558</c:v>
                      </c:pt>
                      <c:pt idx="696">
                        <c:v>437462.07044878189</c:v>
                      </c:pt>
                      <c:pt idx="697">
                        <c:v>438068.70828903129</c:v>
                      </c:pt>
                      <c:pt idx="698">
                        <c:v>438672.49375665223</c:v>
                      </c:pt>
                      <c:pt idx="699">
                        <c:v>439273.43588558253</c:v>
                      </c:pt>
                      <c:pt idx="700">
                        <c:v>439871.54362996551</c:v>
                      </c:pt>
                      <c:pt idx="701">
                        <c:v>440466.82586505148</c:v>
                      </c:pt>
                      <c:pt idx="702">
                        <c:v>441059.29138808593</c:v>
                      </c:pt>
                      <c:pt idx="703">
                        <c:v>441648.94891918375</c:v>
                      </c:pt>
                      <c:pt idx="704">
                        <c:v>442235.80710219039</c:v>
                      </c:pt>
                      <c:pt idx="705">
                        <c:v>442819.87450553</c:v>
                      </c:pt>
                      <c:pt idx="706">
                        <c:v>443401.15962304053</c:v>
                      </c:pt>
                      <c:pt idx="707">
                        <c:v>443979.67087479652</c:v>
                      </c:pt>
                      <c:pt idx="708">
                        <c:v>444555.41660791921</c:v>
                      </c:pt>
                      <c:pt idx="709">
                        <c:v>445128.40509737493</c:v>
                      </c:pt>
                      <c:pt idx="710">
                        <c:v>445698.64454676112</c:v>
                      </c:pt>
                      <c:pt idx="711">
                        <c:v>446266.14308908116</c:v>
                      </c:pt>
                      <c:pt idx="712">
                        <c:v>446830.90878750721</c:v>
                      </c:pt>
                      <c:pt idx="713">
                        <c:v>447392.9496361324</c:v>
                      </c:pt>
                      <c:pt idx="714">
                        <c:v>447952.27356071112</c:v>
                      </c:pt>
                      <c:pt idx="715">
                        <c:v>448508.88841938932</c:v>
                      </c:pt>
                      <c:pt idx="716">
                        <c:v>449062.80200342333</c:v>
                      </c:pt>
                      <c:pt idx="717">
                        <c:v>449614.02203788905</c:v>
                      </c:pt>
                      <c:pt idx="718">
                        <c:v>450162.55618237983</c:v>
                      </c:pt>
                      <c:pt idx="719">
                        <c:v>450708.41203169519</c:v>
                      </c:pt>
                      <c:pt idx="720">
                        <c:v>451251.59711651882</c:v>
                      </c:pt>
                      <c:pt idx="721">
                        <c:v>451792.11890408752</c:v>
                      </c:pt>
                      <c:pt idx="722">
                        <c:v>452329.98479884979</c:v>
                      </c:pt>
                      <c:pt idx="723">
                        <c:v>452865.20214311563</c:v>
                      </c:pt>
                      <c:pt idx="724">
                        <c:v>453397.77821769676</c:v>
                      </c:pt>
                      <c:pt idx="725">
                        <c:v>453927.72024253762</c:v>
                      </c:pt>
                      <c:pt idx="726">
                        <c:v>454455.03537733771</c:v>
                      </c:pt>
                      <c:pt idx="727">
                        <c:v>454979.73072216491</c:v>
                      </c:pt>
                      <c:pt idx="728">
                        <c:v>455501.81331806042</c:v>
                      </c:pt>
                      <c:pt idx="729">
                        <c:v>456021.29014763475</c:v>
                      </c:pt>
                      <c:pt idx="730">
                        <c:v>456538.16813565564</c:v>
                      </c:pt>
                      <c:pt idx="731">
                        <c:v>457052.454149628</c:v>
                      </c:pt>
                      <c:pt idx="732">
                        <c:v>457564.15500036511</c:v>
                      </c:pt>
                      <c:pt idx="733">
                        <c:v>458073.27744255256</c:v>
                      </c:pt>
                      <c:pt idx="734">
                        <c:v>458579.82817530382</c:v>
                      </c:pt>
                      <c:pt idx="735">
                        <c:v>459083.81384270871</c:v>
                      </c:pt>
                      <c:pt idx="736">
                        <c:v>459585.24103437376</c:v>
                      </c:pt>
                      <c:pt idx="737">
                        <c:v>460084.11628595548</c:v>
                      </c:pt>
                      <c:pt idx="738">
                        <c:v>460580.44607968611</c:v>
                      </c:pt>
                      <c:pt idx="739">
                        <c:v>461074.2368448925</c:v>
                      </c:pt>
                      <c:pt idx="740">
                        <c:v>461565.49495850754</c:v>
                      </c:pt>
                      <c:pt idx="741">
                        <c:v>462054.22674557491</c:v>
                      </c:pt>
                      <c:pt idx="742">
                        <c:v>462540.43847974687</c:v>
                      </c:pt>
                      <c:pt idx="743">
                        <c:v>463024.13638377545</c:v>
                      </c:pt>
                      <c:pt idx="744">
                        <c:v>463505.32662999677</c:v>
                      </c:pt>
                      <c:pt idx="745">
                        <c:v>463984.01534080907</c:v>
                      </c:pt>
                      <c:pt idx="746">
                        <c:v>464460.20858914434</c:v>
                      </c:pt>
                      <c:pt idx="747">
                        <c:v>464933.91239893355</c:v>
                      </c:pt>
                      <c:pt idx="748">
                        <c:v>465405.13274556556</c:v>
                      </c:pt>
                      <c:pt idx="749">
                        <c:v>465873.87555634027</c:v>
                      </c:pt>
                      <c:pt idx="750">
                        <c:v>466340.14671091543</c:v>
                      </c:pt>
                      <c:pt idx="751">
                        <c:v>466803.95204174775</c:v>
                      </c:pt>
                      <c:pt idx="752">
                        <c:v>467265.297334528</c:v>
                      </c:pt>
                      <c:pt idx="753">
                        <c:v>467724.18832861056</c:v>
                      </c:pt>
                      <c:pt idx="754">
                        <c:v>468180.63071743731</c:v>
                      </c:pt>
                      <c:pt idx="755">
                        <c:v>468634.63014895574</c:v>
                      </c:pt>
                      <c:pt idx="756">
                        <c:v>469086.19222603197</c:v>
                      </c:pt>
                      <c:pt idx="757">
                        <c:v>469535.32250685809</c:v>
                      </c:pt>
                      <c:pt idx="758">
                        <c:v>469982.02650535438</c:v>
                      </c:pt>
                      <c:pt idx="759">
                        <c:v>470426.30969156622</c:v>
                      </c:pt>
                      <c:pt idx="760">
                        <c:v>470868.17749205581</c:v>
                      </c:pt>
                      <c:pt idx="761">
                        <c:v>471307.63529028906</c:v>
                      </c:pt>
                      <c:pt idx="762">
                        <c:v>471744.68842701724</c:v>
                      </c:pt>
                      <c:pt idx="763">
                        <c:v>472179.3422006538</c:v>
                      </c:pt>
                      <c:pt idx="764">
                        <c:v>472611.60186764662</c:v>
                      </c:pt>
                      <c:pt idx="765">
                        <c:v>473041.47264284512</c:v>
                      </c:pt>
                      <c:pt idx="766">
                        <c:v>473468.95969986299</c:v>
                      </c:pt>
                      <c:pt idx="767">
                        <c:v>473894.06817143597</c:v>
                      </c:pt>
                      <c:pt idx="768">
                        <c:v>474316.80314977543</c:v>
                      </c:pt>
                      <c:pt idx="769">
                        <c:v>474737.16968691739</c:v>
                      </c:pt>
                      <c:pt idx="770">
                        <c:v>475155.1727950669</c:v>
                      </c:pt>
                      <c:pt idx="771">
                        <c:v>475570.81744693848</c:v>
                      </c:pt>
                      <c:pt idx="772">
                        <c:v>475984.10857609176</c:v>
                      </c:pt>
                      <c:pt idx="773">
                        <c:v>476395.05107726355</c:v>
                      </c:pt>
                      <c:pt idx="774">
                        <c:v>476803.649806695</c:v>
                      </c:pt>
                      <c:pt idx="775">
                        <c:v>477209.90958245547</c:v>
                      </c:pt>
                      <c:pt idx="776">
                        <c:v>477613.83518476161</c:v>
                      </c:pt>
                      <c:pt idx="777">
                        <c:v>478015.43135629303</c:v>
                      </c:pt>
                      <c:pt idx="778">
                        <c:v>478414.70280250377</c:v>
                      </c:pt>
                      <c:pt idx="779">
                        <c:v>478811.65419192996</c:v>
                      </c:pt>
                      <c:pt idx="780">
                        <c:v>479206.29015649372</c:v>
                      </c:pt>
                      <c:pt idx="781">
                        <c:v>479598.61529180332</c:v>
                      </c:pt>
                      <c:pt idx="782">
                        <c:v>479988.63415744941</c:v>
                      </c:pt>
                      <c:pt idx="783">
                        <c:v>480376.35127729806</c:v>
                      </c:pt>
                      <c:pt idx="784">
                        <c:v>480761.77113977971</c:v>
                      </c:pt>
                      <c:pt idx="785">
                        <c:v>481144.89819817507</c:v>
                      </c:pt>
                      <c:pt idx="786">
                        <c:v>481525.736870897</c:v>
                      </c:pt>
                      <c:pt idx="787">
                        <c:v>481904.29154176929</c:v>
                      </c:pt>
                      <c:pt idx="788">
                        <c:v>482280.56656030216</c:v>
                      </c:pt>
                      <c:pt idx="789">
                        <c:v>482654.56624196406</c:v>
                      </c:pt>
                      <c:pt idx="790">
                        <c:v>483026.29486845026</c:v>
                      </c:pt>
                      <c:pt idx="791">
                        <c:v>483395.75668794854</c:v>
                      </c:pt>
                      <c:pt idx="792">
                        <c:v>483762.95591540111</c:v>
                      </c:pt>
                      <c:pt idx="793">
                        <c:v>484127.89673276374</c:v>
                      </c:pt>
                      <c:pt idx="794">
                        <c:v>484490.58328926179</c:v>
                      </c:pt>
                      <c:pt idx="795">
                        <c:v>484851.01970164292</c:v>
                      </c:pt>
                      <c:pt idx="796">
                        <c:v>485209.21005442692</c:v>
                      </c:pt>
                      <c:pt idx="797">
                        <c:v>485565.15840015269</c:v>
                      </c:pt>
                      <c:pt idx="798">
                        <c:v>485918.86875962175</c:v>
                      </c:pt>
                      <c:pt idx="799">
                        <c:v>486270.34512213949</c:v>
                      </c:pt>
                      <c:pt idx="800">
                        <c:v>486619.59144575312</c:v>
                      </c:pt>
                      <c:pt idx="801">
                        <c:v>486966.611657487</c:v>
                      </c:pt>
                      <c:pt idx="802">
                        <c:v>487311.40965357481</c:v>
                      </c:pt>
                      <c:pt idx="803">
                        <c:v>487653.98929968965</c:v>
                      </c:pt>
                      <c:pt idx="804">
                        <c:v>487994.35443117062</c:v>
                      </c:pt>
                      <c:pt idx="805">
                        <c:v>488332.50885324716</c:v>
                      </c:pt>
                      <c:pt idx="806">
                        <c:v>488668.45634126087</c:v>
                      </c:pt>
                      <c:pt idx="807">
                        <c:v>489002.20064088429</c:v>
                      </c:pt>
                      <c:pt idx="808">
                        <c:v>489333.74546833744</c:v>
                      </c:pt>
                      <c:pt idx="809">
                        <c:v>489663.0945106016</c:v>
                      </c:pt>
                      <c:pt idx="810">
                        <c:v>489990.25142563082</c:v>
                      </c:pt>
                      <c:pt idx="811">
                        <c:v>490315.21984256053</c:v>
                      </c:pt>
                      <c:pt idx="812">
                        <c:v>490638.00336191413</c:v>
                      </c:pt>
                      <c:pt idx="813">
                        <c:v>490958.60555580712</c:v>
                      </c:pt>
                      <c:pt idx="814">
                        <c:v>491277.02996814845</c:v>
                      </c:pt>
                      <c:pt idx="815">
                        <c:v>491593.2801148399</c:v>
                      </c:pt>
                      <c:pt idx="816">
                        <c:v>491907.35948397312</c:v>
                      </c:pt>
                      <c:pt idx="817">
                        <c:v>492219.27153602417</c:v>
                      </c:pt>
                      <c:pt idx="818">
                        <c:v>492529.01970404573</c:v>
                      </c:pt>
                      <c:pt idx="819">
                        <c:v>492836.60739385762</c:v>
                      </c:pt>
                      <c:pt idx="820">
                        <c:v>493142.03798423428</c:v>
                      </c:pt>
                      <c:pt idx="821">
                        <c:v>493445.31482709094</c:v>
                      </c:pt>
                      <c:pt idx="822">
                        <c:v>493746.44124766695</c:v>
                      </c:pt>
                      <c:pt idx="823">
                        <c:v>494045.42054470722</c:v>
                      </c:pt>
                      <c:pt idx="824">
                        <c:v>494342.25599064166</c:v>
                      </c:pt>
                      <c:pt idx="825">
                        <c:v>494636.95083176257</c:v>
                      </c:pt>
                      <c:pt idx="826">
                        <c:v>494929.50828839967</c:v>
                      </c:pt>
                      <c:pt idx="827">
                        <c:v>495219.9315550935</c:v>
                      </c:pt>
                      <c:pt idx="828">
                        <c:v>495508.22380076634</c:v>
                      </c:pt>
                      <c:pt idx="829">
                        <c:v>495794.38816889183</c:v>
                      </c:pt>
                      <c:pt idx="830">
                        <c:v>496078.42777766206</c:v>
                      </c:pt>
                      <c:pt idx="831">
                        <c:v>496360.34572015278</c:v>
                      </c:pt>
                      <c:pt idx="832">
                        <c:v>496640.14506448718</c:v>
                      </c:pt>
                      <c:pt idx="833">
                        <c:v>496917.82885399717</c:v>
                      </c:pt>
                      <c:pt idx="834">
                        <c:v>497193.40010738332</c:v>
                      </c:pt>
                      <c:pt idx="835">
                        <c:v>497466.86181887263</c:v>
                      </c:pt>
                      <c:pt idx="836">
                        <c:v>497738.2169583746</c:v>
                      </c:pt>
                      <c:pt idx="837">
                        <c:v>498007.46847163554</c:v>
                      </c:pt>
                      <c:pt idx="838">
                        <c:v>498274.61928039102</c:v>
                      </c:pt>
                      <c:pt idx="839">
                        <c:v>498539.67228251672</c:v>
                      </c:pt>
                      <c:pt idx="840">
                        <c:v>498802.63035217737</c:v>
                      </c:pt>
                      <c:pt idx="841">
                        <c:v>499063.49633997405</c:v>
                      </c:pt>
                      <c:pt idx="842">
                        <c:v>499322.27307309001</c:v>
                      </c:pt>
                      <c:pt idx="843">
                        <c:v>499578.96335543442</c:v>
                      </c:pt>
                      <c:pt idx="844">
                        <c:v>499833.56996778463</c:v>
                      </c:pt>
                      <c:pt idx="845">
                        <c:v>500086.09566792712</c:v>
                      </c:pt>
                      <c:pt idx="846">
                        <c:v>500336.54319079634</c:v>
                      </c:pt>
                      <c:pt idx="847">
                        <c:v>500584.91524861229</c:v>
                      </c:pt>
                      <c:pt idx="848">
                        <c:v>500831.21453101636</c:v>
                      </c:pt>
                      <c:pt idx="849">
                        <c:v>501075.44370520563</c:v>
                      </c:pt>
                      <c:pt idx="850">
                        <c:v>501317.6054160659</c:v>
                      </c:pt>
                      <c:pt idx="851">
                        <c:v>501557.70228630258</c:v>
                      </c:pt>
                      <c:pt idx="852">
                        <c:v>501795.73691657075</c:v>
                      </c:pt>
                      <c:pt idx="853">
                        <c:v>502031.71188560349</c:v>
                      </c:pt>
                      <c:pt idx="854">
                        <c:v>502265.62975033844</c:v>
                      </c:pt>
                      <c:pt idx="855">
                        <c:v>502497.49304604338</c:v>
                      </c:pt>
                      <c:pt idx="856">
                        <c:v>502727.30428643996</c:v>
                      </c:pt>
                      <c:pt idx="857">
                        <c:v>502955.06596382632</c:v>
                      </c:pt>
                      <c:pt idx="858">
                        <c:v>503180.78054919821</c:v>
                      </c:pt>
                      <c:pt idx="859">
                        <c:v>503404.45049236843</c:v>
                      </c:pt>
                      <c:pt idx="860">
                        <c:v>503626.07822208549</c:v>
                      </c:pt>
                      <c:pt idx="861">
                        <c:v>503845.66614615032</c:v>
                      </c:pt>
                      <c:pt idx="862">
                        <c:v>504063.21665153193</c:v>
                      </c:pt>
                      <c:pt idx="863">
                        <c:v>504278.73210448172</c:v>
                      </c:pt>
                      <c:pt idx="864">
                        <c:v>504492.21485064639</c:v>
                      </c:pt>
                      <c:pt idx="865">
                        <c:v>504703.66721517959</c:v>
                      </c:pt>
                      <c:pt idx="866">
                        <c:v>504913.09150285233</c:v>
                      </c:pt>
                      <c:pt idx="867">
                        <c:v>505120.48999816191</c:v>
                      </c:pt>
                      <c:pt idx="868">
                        <c:v>505325.86496543989</c:v>
                      </c:pt>
                      <c:pt idx="869">
                        <c:v>505529.21864895849</c:v>
                      </c:pt>
                      <c:pt idx="870">
                        <c:v>505730.55327303614</c:v>
                      </c:pt>
                      <c:pt idx="871">
                        <c:v>505929.87104214134</c:v>
                      </c:pt>
                      <c:pt idx="872">
                        <c:v>506127.17414099572</c:v>
                      </c:pt>
                      <c:pt idx="873">
                        <c:v>506322.46473467548</c:v>
                      </c:pt>
                      <c:pt idx="874">
                        <c:v>506515.74496871216</c:v>
                      </c:pt>
                      <c:pt idx="875">
                        <c:v>506707.01696919184</c:v>
                      </c:pt>
                      <c:pt idx="876">
                        <c:v>506896.28284285316</c:v>
                      </c:pt>
                      <c:pt idx="877">
                        <c:v>507083.54467718466</c:v>
                      </c:pt>
                      <c:pt idx="878">
                        <c:v>507268.8045405203</c:v>
                      </c:pt>
                      <c:pt idx="879">
                        <c:v>507452.0644821343</c:v>
                      </c:pt>
                      <c:pt idx="880">
                        <c:v>507633.32653233485</c:v>
                      </c:pt>
                      <c:pt idx="881">
                        <c:v>507812.5927025564</c:v>
                      </c:pt>
                      <c:pt idx="882">
                        <c:v>507989.86498545134</c:v>
                      </c:pt>
                      <c:pt idx="883">
                        <c:v>508165.14535498008</c:v>
                      </c:pt>
                      <c:pt idx="884">
                        <c:v>508338.43576650042</c:v>
                      </c:pt>
                      <c:pt idx="885">
                        <c:v>508509.73815685575</c:v>
                      </c:pt>
                      <c:pt idx="886">
                        <c:v>508679.054444462</c:v>
                      </c:pt>
                      <c:pt idx="887">
                        <c:v>508846.38652939402</c:v>
                      </c:pt>
                      <c:pt idx="888">
                        <c:v>509011.73629347025</c:v>
                      </c:pt>
                      <c:pt idx="889">
                        <c:v>509175.10560033703</c:v>
                      </c:pt>
                      <c:pt idx="890">
                        <c:v>509336.49629555159</c:v>
                      </c:pt>
                      <c:pt idx="891">
                        <c:v>509495.91020666383</c:v>
                      </c:pt>
                      <c:pt idx="892">
                        <c:v>509653.34914329747</c:v>
                      </c:pt>
                      <c:pt idx="893">
                        <c:v>509808.81489723019</c:v>
                      </c:pt>
                      <c:pt idx="894">
                        <c:v>509962.30924247234</c:v>
                      </c:pt>
                      <c:pt idx="895">
                        <c:v>510113.83393534529</c:v>
                      </c:pt>
                      <c:pt idx="896">
                        <c:v>510263.39071455842</c:v>
                      </c:pt>
                      <c:pt idx="897">
                        <c:v>510410.98130128527</c:v>
                      </c:pt>
                      <c:pt idx="898">
                        <c:v>510556.60739923868</c:v>
                      </c:pt>
                      <c:pt idx="899">
                        <c:v>510700.27069474524</c:v>
                      </c:pt>
                      <c:pt idx="900">
                        <c:v>510841.97285681847</c:v>
                      </c:pt>
                      <c:pt idx="901">
                        <c:v>510981.7155372313</c:v>
                      </c:pt>
                      <c:pt idx="902">
                        <c:v>511119.50037058769</c:v>
                      </c:pt>
                      <c:pt idx="903">
                        <c:v>511255.32897439296</c:v>
                      </c:pt>
                      <c:pt idx="904">
                        <c:v>511389.20294912381</c:v>
                      </c:pt>
                      <c:pt idx="905">
                        <c:v>511521.12387829699</c:v>
                      </c:pt>
                      <c:pt idx="906">
                        <c:v>511651.09332853724</c:v>
                      </c:pt>
                      <c:pt idx="907">
                        <c:v>511779.11284964444</c:v>
                      </c:pt>
                      <c:pt idx="908">
                        <c:v>511905.18397465965</c:v>
                      </c:pt>
                      <c:pt idx="909">
                        <c:v>512029.3082199308</c:v>
                      </c:pt>
                      <c:pt idx="910">
                        <c:v>512151.48708517669</c:v>
                      </c:pt>
                      <c:pt idx="911">
                        <c:v>512271.72205355117</c:v>
                      </c:pt>
                      <c:pt idx="912">
                        <c:v>512390.01459170558</c:v>
                      </c:pt>
                      <c:pt idx="913">
                        <c:v>512506.36614985077</c:v>
                      </c:pt>
                      <c:pt idx="914">
                        <c:v>512620.77816181857</c:v>
                      </c:pt>
                      <c:pt idx="915">
                        <c:v>512733.25204512163</c:v>
                      </c:pt>
                      <c:pt idx="916">
                        <c:v>512843.78920101345</c:v>
                      </c:pt>
                      <c:pt idx="917">
                        <c:v>512952.3910145468</c:v>
                      </c:pt>
                      <c:pt idx="918">
                        <c:v>513059.05885463161</c:v>
                      </c:pt>
                      <c:pt idx="919">
                        <c:v>513163.79407409235</c:v>
                      </c:pt>
                      <c:pt idx="920">
                        <c:v>513266.59800972417</c:v>
                      </c:pt>
                      <c:pt idx="921">
                        <c:v>513367.47198234865</c:v>
                      </c:pt>
                      <c:pt idx="922">
                        <c:v>513466.41729686828</c:v>
                      </c:pt>
                      <c:pt idx="923">
                        <c:v>513563.43524232082</c:v>
                      </c:pt>
                      <c:pt idx="924">
                        <c:v>513658.52709193237</c:v>
                      </c:pt>
                      <c:pt idx="925">
                        <c:v>513751.69410316978</c:v>
                      </c:pt>
                      <c:pt idx="926">
                        <c:v>513842.93751779274</c:v>
                      </c:pt>
                      <c:pt idx="927">
                        <c:v>513932.25856190437</c:v>
                      </c:pt>
                      <c:pt idx="928">
                        <c:v>514019.6584460017</c:v>
                      </c:pt>
                      <c:pt idx="929">
                        <c:v>514105.13836502517</c:v>
                      </c:pt>
                      <c:pt idx="930">
                        <c:v>514188.69949840748</c:v>
                      </c:pt>
                      <c:pt idx="931">
                        <c:v>514270.34301012143</c:v>
                      </c:pt>
                      <c:pt idx="932">
                        <c:v>514350.07004872739</c:v>
                      </c:pt>
                      <c:pt idx="933">
                        <c:v>514427.88174742006</c:v>
                      </c:pt>
                      <c:pt idx="934">
                        <c:v>514503.7792240741</c:v>
                      </c:pt>
                      <c:pt idx="935">
                        <c:v>514577.76358128944</c:v>
                      </c:pt>
                      <c:pt idx="936">
                        <c:v>514649.83590643597</c:v>
                      </c:pt>
                      <c:pt idx="937">
                        <c:v>514719.9972716971</c:v>
                      </c:pt>
                      <c:pt idx="938">
                        <c:v>514788.24873411283</c:v>
                      </c:pt>
                      <c:pt idx="939">
                        <c:v>514854.59133562236</c:v>
                      </c:pt>
                      <c:pt idx="940">
                        <c:v>514919.02610310569</c:v>
                      </c:pt>
                      <c:pt idx="941">
                        <c:v>514981.55404842476</c:v>
                      </c:pt>
                      <c:pt idx="942">
                        <c:v>515042.17616846366</c:v>
                      </c:pt>
                      <c:pt idx="943">
                        <c:v>515100.89344516856</c:v>
                      </c:pt>
                      <c:pt idx="944">
                        <c:v>515157.70684558648</c:v>
                      </c:pt>
                      <c:pt idx="945">
                        <c:v>515212.61732190388</c:v>
                      </c:pt>
                      <c:pt idx="946">
                        <c:v>515265.62581148418</c:v>
                      </c:pt>
                      <c:pt idx="947">
                        <c:v>515316.73323690484</c:v>
                      </c:pt>
                      <c:pt idx="948">
                        <c:v>515365.94050599379</c:v>
                      </c:pt>
                      <c:pt idx="949">
                        <c:v>515413.24851186527</c:v>
                      </c:pt>
                      <c:pt idx="950">
                        <c:v>515458.65813295468</c:v>
                      </c:pt>
                      <c:pt idx="951">
                        <c:v>515502.17023305327</c:v>
                      </c:pt>
                      <c:pt idx="952">
                        <c:v>515543.78566134174</c:v>
                      </c:pt>
                      <c:pt idx="953">
                        <c:v>515583.50525242346</c:v>
                      </c:pt>
                      <c:pt idx="954">
                        <c:v>515621.32982635719</c:v>
                      </c:pt>
                      <c:pt idx="955">
                        <c:v>515657.26018868864</c:v>
                      </c:pt>
                      <c:pt idx="956">
                        <c:v>515691.29713048204</c:v>
                      </c:pt>
                      <c:pt idx="957">
                        <c:v>515723.44142835069</c:v>
                      </c:pt>
                      <c:pt idx="958">
                        <c:v>515753.69384448702</c:v>
                      </c:pt>
                      <c:pt idx="959">
                        <c:v>515782.05512669182</c:v>
                      </c:pt>
                      <c:pt idx="960">
                        <c:v>515808.52600840339</c:v>
                      </c:pt>
                      <c:pt idx="961">
                        <c:v>515833.10720872547</c:v>
                      </c:pt>
                      <c:pt idx="962">
                        <c:v>515855.79943245475</c:v>
                      </c:pt>
                      <c:pt idx="963">
                        <c:v>515876.603370108</c:v>
                      </c:pt>
                      <c:pt idx="964">
                        <c:v>515895.51969794842</c:v>
                      </c:pt>
                      <c:pt idx="965">
                        <c:v>515912.54907801136</c:v>
                      </c:pt>
                      <c:pt idx="966">
                        <c:v>515927.69215812942</c:v>
                      </c:pt>
                      <c:pt idx="967">
                        <c:v>515940.94957195711</c:v>
                      </c:pt>
                      <c:pt idx="968">
                        <c:v>515952.32193899475</c:v>
                      </c:pt>
                      <c:pt idx="969">
                        <c:v>515961.80986461183</c:v>
                      </c:pt>
                      <c:pt idx="970">
                        <c:v>515969.41394006991</c:v>
                      </c:pt>
                      <c:pt idx="971">
                        <c:v>515975.13474254456</c:v>
                      </c:pt>
                      <c:pt idx="972">
                        <c:v>515978.97283514729</c:v>
                      </c:pt>
                      <c:pt idx="973">
                        <c:v>515980.92876694637</c:v>
                      </c:pt>
                      <c:pt idx="974">
                        <c:v>515981.00307298719</c:v>
                      </c:pt>
                      <c:pt idx="975">
                        <c:v>515979.19627431239</c:v>
                      </c:pt>
                      <c:pt idx="976">
                        <c:v>515975.50887798093</c:v>
                      </c:pt>
                      <c:pt idx="977">
                        <c:v>515969.9413770868</c:v>
                      </c:pt>
                      <c:pt idx="978">
                        <c:v>515962.49425077729</c:v>
                      </c:pt>
                      <c:pt idx="979">
                        <c:v>515953.16796427034</c:v>
                      </c:pt>
                      <c:pt idx="980">
                        <c:v>515941.96296887175</c:v>
                      </c:pt>
                      <c:pt idx="981">
                        <c:v>515928.87970199139</c:v>
                      </c:pt>
                      <c:pt idx="982">
                        <c:v>515913.91858715907</c:v>
                      </c:pt>
                      <c:pt idx="983">
                        <c:v>515897.08003403997</c:v>
                      </c:pt>
                      <c:pt idx="984">
                        <c:v>515878.36443844927</c:v>
                      </c:pt>
                      <c:pt idx="985">
                        <c:v>515857.77218236623</c:v>
                      </c:pt>
                      <c:pt idx="986">
                        <c:v>515835.30363394774</c:v>
                      </c:pt>
                      <c:pt idx="987">
                        <c:v>515810.95914754149</c:v>
                      </c:pt>
                      <c:pt idx="988">
                        <c:v>515784.73906369839</c:v>
                      </c:pt>
                      <c:pt idx="989">
                        <c:v>515756.64370918431</c:v>
                      </c:pt>
                      <c:pt idx="990">
                        <c:v>515726.67339699162</c:v>
                      </c:pt>
                      <c:pt idx="991">
                        <c:v>515694.82842634997</c:v>
                      </c:pt>
                      <c:pt idx="992">
                        <c:v>515661.10908273625</c:v>
                      </c:pt>
                      <c:pt idx="993">
                        <c:v>515625.51563788461</c:v>
                      </c:pt>
                      <c:pt idx="994">
                        <c:v>515588.04834979528</c:v>
                      </c:pt>
                      <c:pt idx="995">
                        <c:v>515548.70746274345</c:v>
                      </c:pt>
                      <c:pt idx="996">
                        <c:v>515507.49320728687</c:v>
                      </c:pt>
                      <c:pt idx="997">
                        <c:v>515464.40580027364</c:v>
                      </c:pt>
                      <c:pt idx="998">
                        <c:v>515419.44544484897</c:v>
                      </c:pt>
                      <c:pt idx="999">
                        <c:v>515372.61233046162</c:v>
                      </c:pt>
                      <c:pt idx="1000">
                        <c:v>515323.90663286962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744A-4ABD-A04D-ECD5E14780CD}"/>
                  </c:ext>
                </c:extLst>
              </c15:ser>
            </c15:filteredScatterSeries>
          </c:ext>
        </c:extLst>
      </c:scatterChart>
      <c:valAx>
        <c:axId val="1080160736"/>
        <c:scaling>
          <c:orientation val="minMax"/>
          <c:max val="50000"/>
          <c:min val="-50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cross"/>
        <c:tickLblPos val="nextTo"/>
        <c:crossAx val="1080163648"/>
        <c:crosses val="autoZero"/>
        <c:crossBetween val="midCat"/>
      </c:valAx>
      <c:valAx>
        <c:axId val="1080163648"/>
        <c:scaling>
          <c:orientation val="minMax"/>
          <c:max val="50000"/>
          <c:min val="-5000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cross"/>
        <c:tickLblPos val="nextTo"/>
        <c:crossAx val="108016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tx1"/>
      </a:solidFill>
      <a:prstDash val="solid"/>
      <a:miter lim="800000"/>
    </a:ln>
    <a:effectLst>
      <a:outerShdw blurRad="63500" dist="38100" dir="2700000" sx="101000" sy="101000" algn="tl" rotWithShape="0">
        <a:prstClr val="black">
          <a:alpha val="45000"/>
        </a:prst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7327</xdr:colOff>
      <xdr:row>3</xdr:row>
      <xdr:rowOff>7325</xdr:rowOff>
    </xdr:from>
    <xdr:to>
      <xdr:col>22</xdr:col>
      <xdr:colOff>762000</xdr:colOff>
      <xdr:row>52</xdr:row>
      <xdr:rowOff>161192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9525</xdr:rowOff>
    </xdr:from>
    <xdr:to>
      <xdr:col>9</xdr:col>
      <xdr:colOff>754673</xdr:colOff>
      <xdr:row>43</xdr:row>
      <xdr:rowOff>24180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9525</xdr:rowOff>
        </xdr:from>
        <xdr:to>
          <xdr:col>5</xdr:col>
          <xdr:colOff>0</xdr:colOff>
          <xdr:row>8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28575</xdr:rowOff>
        </xdr:from>
        <xdr:to>
          <xdr:col>6</xdr:col>
          <xdr:colOff>752475</xdr:colOff>
          <xdr:row>48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24DB3-FB11-45C9-8021-D1796BF5CA5D}">
  <sheetPr codeName="Feuil2"/>
  <dimension ref="B1:BB1006"/>
  <sheetViews>
    <sheetView zoomScale="85" zoomScaleNormal="85" workbookViewId="0">
      <selection activeCell="E51" sqref="E51"/>
    </sheetView>
  </sheetViews>
  <sheetFormatPr baseColWidth="10" defaultRowHeight="15" x14ac:dyDescent="0.25"/>
  <cols>
    <col min="1" max="1" width="1.140625" customWidth="1"/>
    <col min="4" max="7" width="8.28515625" customWidth="1"/>
    <col min="8" max="8" width="1.140625" customWidth="1"/>
    <col min="9" max="9" width="13.5703125" bestFit="1" customWidth="1"/>
    <col min="10" max="11" width="11.42578125" style="41"/>
    <col min="13" max="13" width="13.5703125" bestFit="1" customWidth="1"/>
    <col min="14" max="15" width="11.42578125" style="41"/>
    <col min="17" max="17" width="13.5703125" bestFit="1" customWidth="1"/>
    <col min="18" max="19" width="11.42578125" style="41"/>
    <col min="21" max="23" width="11.42578125" style="41"/>
    <col min="24" max="24" width="13.28515625" style="41" bestFit="1" customWidth="1"/>
    <col min="25" max="32" width="11.42578125" style="41"/>
    <col min="33" max="34" width="12.28515625" style="41" bestFit="1" customWidth="1"/>
    <col min="36" max="38" width="11.42578125" style="41"/>
    <col min="48" max="48" width="11.42578125" style="41"/>
    <col min="49" max="49" width="11.42578125" style="59"/>
    <col min="50" max="50" width="11.42578125" style="41"/>
    <col min="51" max="51" width="12.42578125" style="41" bestFit="1" customWidth="1"/>
    <col min="53" max="54" width="11.42578125" style="41"/>
  </cols>
  <sheetData>
    <row r="1" spans="2:54" ht="15.75" thickBot="1" x14ac:dyDescent="0.3"/>
    <row r="2" spans="2:54" ht="15.75" thickBot="1" x14ac:dyDescent="0.3">
      <c r="B2" s="18" t="s">
        <v>3</v>
      </c>
      <c r="C2" s="19"/>
      <c r="D2" s="44" t="s">
        <v>49</v>
      </c>
      <c r="E2" s="26"/>
      <c r="F2" s="27">
        <f>'Conditions initiales et traject'!I9</f>
        <v>2</v>
      </c>
      <c r="G2" s="28"/>
      <c r="H2" s="56"/>
    </row>
    <row r="3" spans="2:54" ht="15.75" thickBot="1" x14ac:dyDescent="0.3">
      <c r="B3" s="18" t="s">
        <v>1</v>
      </c>
      <c r="C3" s="19"/>
      <c r="D3" s="44" t="s">
        <v>55</v>
      </c>
      <c r="E3" s="26"/>
      <c r="F3" s="27">
        <f>'Conditions initiales et traject'!I7</f>
        <v>0.5</v>
      </c>
      <c r="G3" s="28"/>
      <c r="I3" s="40"/>
      <c r="J3" s="39"/>
      <c r="K3" s="39"/>
    </row>
    <row r="4" spans="2:54" ht="15.75" thickBot="1" x14ac:dyDescent="0.3">
      <c r="B4" s="55"/>
      <c r="C4" s="55"/>
      <c r="D4" s="55"/>
      <c r="E4" s="55"/>
      <c r="F4" s="55"/>
      <c r="G4" s="55"/>
      <c r="I4" s="90" t="s">
        <v>10</v>
      </c>
      <c r="J4" s="91"/>
      <c r="K4" s="92"/>
      <c r="M4" s="93" t="s">
        <v>18</v>
      </c>
      <c r="N4" s="94"/>
      <c r="O4" s="95"/>
      <c r="Q4" s="96" t="s">
        <v>19</v>
      </c>
      <c r="R4" s="97"/>
      <c r="S4" s="98"/>
      <c r="AN4" s="87" t="s">
        <v>81</v>
      </c>
      <c r="AO4" s="88"/>
      <c r="AP4" s="89"/>
      <c r="AR4" s="78" t="s">
        <v>82</v>
      </c>
      <c r="AS4" s="79"/>
      <c r="AT4" s="80"/>
    </row>
    <row r="5" spans="2:54" ht="15.75" thickBot="1" x14ac:dyDescent="0.3">
      <c r="B5" s="55"/>
      <c r="C5" s="55"/>
      <c r="D5" s="55"/>
      <c r="E5" s="55"/>
      <c r="F5" s="55"/>
      <c r="G5" s="55"/>
      <c r="I5" s="42" t="s">
        <v>31</v>
      </c>
      <c r="J5" s="42" t="s">
        <v>29</v>
      </c>
      <c r="K5" s="42" t="s">
        <v>30</v>
      </c>
      <c r="M5" s="42" t="s">
        <v>31</v>
      </c>
      <c r="N5" s="42" t="s">
        <v>29</v>
      </c>
      <c r="O5" s="42" t="s">
        <v>30</v>
      </c>
      <c r="Q5" s="42" t="s">
        <v>31</v>
      </c>
      <c r="R5" s="42" t="s">
        <v>29</v>
      </c>
      <c r="S5" s="42" t="s">
        <v>30</v>
      </c>
      <c r="U5" s="42" t="s">
        <v>31</v>
      </c>
      <c r="V5" s="42" t="s">
        <v>32</v>
      </c>
      <c r="W5" s="42" t="s">
        <v>33</v>
      </c>
      <c r="X5" s="42" t="s">
        <v>34</v>
      </c>
      <c r="Y5" s="42" t="s">
        <v>35</v>
      </c>
      <c r="Z5" s="42" t="s">
        <v>47</v>
      </c>
      <c r="AA5" s="42" t="s">
        <v>36</v>
      </c>
      <c r="AB5" s="42" t="s">
        <v>37</v>
      </c>
      <c r="AC5" s="42" t="s">
        <v>38</v>
      </c>
      <c r="AD5" s="42" t="s">
        <v>39</v>
      </c>
      <c r="AE5" s="42" t="s">
        <v>40</v>
      </c>
      <c r="AF5" s="42" t="s">
        <v>41</v>
      </c>
      <c r="AG5" s="42" t="s">
        <v>42</v>
      </c>
      <c r="AH5" s="42" t="s">
        <v>43</v>
      </c>
      <c r="AJ5" s="42" t="s">
        <v>44</v>
      </c>
      <c r="AK5" s="42" t="s">
        <v>45</v>
      </c>
      <c r="AL5" s="42" t="s">
        <v>46</v>
      </c>
      <c r="AN5" s="42" t="s">
        <v>31</v>
      </c>
      <c r="AO5" s="42" t="s">
        <v>29</v>
      </c>
      <c r="AP5" s="42" t="s">
        <v>30</v>
      </c>
      <c r="AR5" s="42" t="s">
        <v>31</v>
      </c>
      <c r="AS5" s="42" t="s">
        <v>29</v>
      </c>
      <c r="AT5" s="42" t="s">
        <v>30</v>
      </c>
      <c r="AV5" s="42" t="s">
        <v>83</v>
      </c>
      <c r="AW5" s="77" t="s">
        <v>84</v>
      </c>
      <c r="AX5" s="42" t="s">
        <v>85</v>
      </c>
      <c r="AY5" s="42" t="s">
        <v>86</v>
      </c>
      <c r="BA5" s="42" t="s">
        <v>87</v>
      </c>
      <c r="BB5" s="42" t="s">
        <v>88</v>
      </c>
    </row>
    <row r="6" spans="2:54" ht="15.75" thickBot="1" x14ac:dyDescent="0.3">
      <c r="B6" s="90" t="s">
        <v>10</v>
      </c>
      <c r="C6" s="91"/>
      <c r="D6" s="91"/>
      <c r="E6" s="91"/>
      <c r="F6" s="91"/>
      <c r="G6" s="92"/>
      <c r="I6" s="41">
        <v>1</v>
      </c>
      <c r="J6" s="57">
        <f>$F$8*COS(I6*PI()/180)+$E$7</f>
        <v>24999.238475781956</v>
      </c>
      <c r="K6" s="57">
        <f>$F$8*SIN(I6*PI()/180)+$G$7</f>
        <v>7587.2620321864179</v>
      </c>
      <c r="M6" s="41">
        <v>1</v>
      </c>
      <c r="N6" s="57">
        <f>$F$19*COS(M6*PI()/180)+$E$18</f>
        <v>-16500.53306695263</v>
      </c>
      <c r="O6" s="57">
        <f>$F$19*SIN(M6*PI()/180)+$G$18</f>
        <v>10061.083422530492</v>
      </c>
      <c r="Q6" s="41">
        <v>1</v>
      </c>
      <c r="R6" s="57">
        <f>$F$30*COS(Q6*PI()/180)+$E$29</f>
        <v>-0.76152421804363257</v>
      </c>
      <c r="S6" s="41">
        <f>$F$30*SIN(Q6*PI()/180)+$G$29</f>
        <v>-14912.737967813582</v>
      </c>
      <c r="U6" s="41">
        <v>0</v>
      </c>
      <c r="V6" s="41">
        <v>0</v>
      </c>
      <c r="W6" s="58">
        <f>0</f>
        <v>0</v>
      </c>
      <c r="X6" s="58">
        <f>0</f>
        <v>0</v>
      </c>
      <c r="Y6" s="58">
        <v>0</v>
      </c>
      <c r="Z6" s="58">
        <v>0</v>
      </c>
      <c r="AA6" s="57">
        <f>AC6+AE6+AG6+AV6+AX6</f>
        <v>1493.7128974818736</v>
      </c>
      <c r="AB6" s="57">
        <f>AD6+AF6+AH6+AW6+AY6</f>
        <v>1626.2916967045062</v>
      </c>
      <c r="AC6" s="57">
        <f>(($E$7-W6)/(AJ6^2+$F$12^2)^(3/2))*$E$11</f>
        <v>798.22179539145645</v>
      </c>
      <c r="AD6" s="57">
        <f>(($G$7-X6)/(AJ6^2+$F$12^2)^(3/2))*$E$11</f>
        <v>299.33317327179617</v>
      </c>
      <c r="AE6" s="57">
        <f>(($E$18-W6)/(AK6^2+$F$23^2)^(3/2))*$E$22</f>
        <v>-279.23137914452502</v>
      </c>
      <c r="AF6" s="57">
        <f>(($G$18-X6)/(AK6^2+$F$23^2)^(3/2))*$E$22</f>
        <v>139.61568957226251</v>
      </c>
      <c r="AG6" s="57">
        <f>(($E$29-W6)/(AL6^2+$F$34^2)^(3/2))*$E$33</f>
        <v>-399.8218829435051</v>
      </c>
      <c r="AH6" s="57">
        <f>(($G$29-X6)/(AL6^2+$F$34^2)^(3/2))*$E$33</f>
        <v>-1199.4656488305152</v>
      </c>
      <c r="AJ6" s="57">
        <f>SQRT(($E$7-W6)^2+($G$7-X6)^2)</f>
        <v>21360.00936329383</v>
      </c>
      <c r="AK6" s="57">
        <f>SQRT(($E$18-W6)^2+($G$18-X6)^2)</f>
        <v>22360.679774997898</v>
      </c>
      <c r="AL6" s="57">
        <f>SQRT(($E$29-W6)^2+($G$29-X6)^2)</f>
        <v>15811.388300841896</v>
      </c>
      <c r="AN6" s="41">
        <v>1</v>
      </c>
      <c r="AO6" s="57">
        <f>$F$41*COS(AN6*PI()/180)+$E$40</f>
        <v>12498.857713672935</v>
      </c>
      <c r="AP6" s="57">
        <f>$F$41*SIN(AN6*PI()/180)+$G$40</f>
        <v>15130.893048279626</v>
      </c>
      <c r="AQ6" s="41"/>
      <c r="AR6" s="41">
        <v>1</v>
      </c>
      <c r="AS6" s="57">
        <f>$F$52*COS(AR6*PI()/180)+$E$51</f>
        <v>18499.46693304737</v>
      </c>
      <c r="AT6" s="57">
        <f>$F$52*SIN(AR6*PI()/180)+$G$51</f>
        <v>-4938.9165774695075</v>
      </c>
      <c r="AV6" s="57">
        <f>(($E$40-W6)/(BA6^2+$F$45^2)^(3/2))*$E$44</f>
        <v>853.49698122513348</v>
      </c>
      <c r="AW6" s="57">
        <f>(($G$40-X6)/(BA6^2+$F$45^2)^(3/2))*$E$44</f>
        <v>2560.4909436754006</v>
      </c>
      <c r="AX6" s="57">
        <f>(($E$51-W6)/(BB6^2+$F$56^2)^(3/2))*$E$55</f>
        <v>521.04738295331379</v>
      </c>
      <c r="AY6" s="57">
        <f>(($G$51-X6)/(BB6^2+$F$56^2)^(3/2))*$E$55</f>
        <v>-173.68246098443794</v>
      </c>
      <c r="BA6" s="57">
        <f>SQRT(($E$40-W6)^2+($G$40-X6)^2)</f>
        <v>15811.388300841896</v>
      </c>
      <c r="BB6" s="57">
        <f>SQRT(($E$51-W6)^2+($G$51-X6)^2)</f>
        <v>15811.388300841896</v>
      </c>
    </row>
    <row r="7" spans="2:54" ht="15.75" thickBot="1" x14ac:dyDescent="0.3">
      <c r="B7" s="6" t="s">
        <v>11</v>
      </c>
      <c r="C7" s="7"/>
      <c r="D7" s="43" t="s">
        <v>63</v>
      </c>
      <c r="E7" s="23">
        <f>'Conditions initiales et traject'!H25</f>
        <v>20000</v>
      </c>
      <c r="F7" s="24"/>
      <c r="G7" s="25">
        <f>'Conditions initiales et traject'!J25</f>
        <v>7500</v>
      </c>
      <c r="I7" s="41">
        <v>2</v>
      </c>
      <c r="J7" s="57">
        <f t="shared" ref="J7:J70" si="0">$F$8*COS(I7*PI()/180)+$E$7</f>
        <v>24996.954135095479</v>
      </c>
      <c r="K7" s="57">
        <f t="shared" ref="K7:K70" si="1">$F$8*SIN(I7*PI()/180)+$G$7</f>
        <v>7674.4974835125049</v>
      </c>
      <c r="M7" s="41">
        <v>2</v>
      </c>
      <c r="N7" s="57">
        <f t="shared" ref="N7:N70" si="2">$F$19*COS(M7*PI()/180)+$E$18</f>
        <v>-16502.132105433164</v>
      </c>
      <c r="O7" s="57">
        <f t="shared" ref="O7:O70" si="3">$F$19*SIN(M7*PI()/180)+$G$18</f>
        <v>10122.148238458753</v>
      </c>
      <c r="Q7" s="41">
        <v>2</v>
      </c>
      <c r="R7" s="57">
        <f t="shared" ref="R7:R70" si="4">$F$30*COS(Q7*PI()/180)+$E$29</f>
        <v>-3.0458649045212951</v>
      </c>
      <c r="S7" s="41">
        <f t="shared" ref="S7:S70" si="5">$F$30*SIN(Q7*PI()/180)+$G$29</f>
        <v>-14825.502516487495</v>
      </c>
      <c r="U7" s="41">
        <v>1</v>
      </c>
      <c r="V7" s="41">
        <f>V6+0.5</f>
        <v>0.5</v>
      </c>
      <c r="W7" s="57">
        <f>W6+Y6*$F$3+((1/2)*AA6)*$F$3^2</f>
        <v>186.7141121852342</v>
      </c>
      <c r="X7" s="57">
        <f>X6+Z6*$F$3+((1/2)*AB6)*$F$3^2</f>
        <v>203.28646208806327</v>
      </c>
      <c r="Y7" s="57">
        <f>Y6+AA6*$F$3</f>
        <v>746.8564487409368</v>
      </c>
      <c r="Z7" s="57">
        <f>Z6+AB6*$F$3</f>
        <v>813.1458483522531</v>
      </c>
      <c r="AA7" s="57">
        <f t="shared" ref="AA7:AA70" si="6">AC7+AE7+AG7+AV7+AX7</f>
        <v>1499.7710372848715</v>
      </c>
      <c r="AB7" s="57">
        <f t="shared" ref="AB7:AB70" si="7">AD7+AF7+AH7+AW7+AY7</f>
        <v>1666.2043977734936</v>
      </c>
      <c r="AC7" s="57">
        <f t="shared" ref="AC7:AC70" si="8">(($E$7-W7)/(AJ7^2+$F$12^2)^(3/2))*$E$11</f>
        <v>813.56993996448273</v>
      </c>
      <c r="AD7" s="57">
        <f t="shared" ref="AD7:AD70" si="9">(($G$7-X7)/(AJ7^2+$F$12^2)^(3/2))*$E$11</f>
        <v>299.61647091701934</v>
      </c>
      <c r="AE7" s="57">
        <f t="shared" ref="AE7:AE70" si="10">(($E$18-W7)/(AK7^2+$F$23^2)^(3/2))*$E$22</f>
        <v>-279.1802460064103</v>
      </c>
      <c r="AF7" s="57">
        <f t="shared" ref="AF7:AF70" si="11">(($G$18-X7)/(AK7^2+$F$23^2)^(3/2))*$E$22</f>
        <v>135.4875726861182</v>
      </c>
      <c r="AG7" s="57">
        <f t="shared" ref="AG7:AG70" si="12">(($E$29-W7)/(AL7^2+$F$34^2)^(3/2))*$E$33</f>
        <v>-400.85759111074424</v>
      </c>
      <c r="AH7" s="57">
        <f t="shared" ref="AH7:AH70" si="13">(($G$29-X7)/(AL7^2+$F$34^2)^(3/2))*$E$33</f>
        <v>-1174.9930025720223</v>
      </c>
      <c r="AJ7" s="57">
        <f t="shared" ref="AJ7:AJ70" si="14">SQRT(($E$7-W7)^2+($G$7-X7)^2)</f>
        <v>21114.173583795015</v>
      </c>
      <c r="AK7" s="57">
        <f t="shared" ref="AK7:AK70" si="15">SQRT(($E$18-W7)^2+($G$18-X7)^2)</f>
        <v>22438.338235952444</v>
      </c>
      <c r="AL7" s="57">
        <f t="shared" ref="AL7:AL70" si="16">SQRT(($E$29-W7)^2+($G$29-X7)^2)</f>
        <v>16063.68334255415</v>
      </c>
      <c r="AN7" s="41">
        <v>2</v>
      </c>
      <c r="AO7" s="57">
        <f t="shared" ref="AO7:AO70" si="17">$F$41*COS(AN7*PI()/180)+$E$40</f>
        <v>12495.431202643218</v>
      </c>
      <c r="AP7" s="57">
        <f t="shared" ref="AP7:AP70" si="18">$F$41*SIN(AN7*PI()/180)+$G$40</f>
        <v>15261.746225268756</v>
      </c>
      <c r="AR7" s="41">
        <v>2</v>
      </c>
      <c r="AS7" s="57">
        <f t="shared" ref="AS7:AS70" si="19">$F$52*COS(AR7*PI()/180)+$E$51</f>
        <v>18497.867894566836</v>
      </c>
      <c r="AT7" s="57">
        <f t="shared" ref="AT7:AT70" si="20">$F$52*SIN(AR7*PI()/180)+$G$51</f>
        <v>-4877.8517615412466</v>
      </c>
      <c r="AV7" s="57">
        <f t="shared" ref="AV7:AV70" si="21">(($E$40-W7)/(BA7^2+$F$45^2)^(3/2))*$E$44</f>
        <v>842.52865146433032</v>
      </c>
      <c r="AW7" s="57">
        <f t="shared" ref="AW7:AW70" si="22">(($G$40-X7)/(BA7^2+$F$45^2)^(3/2))*$E$44</f>
        <v>2590.0508288446613</v>
      </c>
      <c r="AX7" s="57">
        <f t="shared" ref="AX7:AX70" si="23">(($E$51-W7)/(BB7^2+$F$56^2)^(3/2))*$E$55</f>
        <v>523.71028297321277</v>
      </c>
      <c r="AY7" s="57">
        <f t="shared" ref="AY7:AY70" si="24">(($G$51-X7)/(BB7^2+$F$56^2)^(3/2))*$E$55</f>
        <v>-183.95747210228296</v>
      </c>
      <c r="BA7" s="57">
        <f t="shared" ref="BA7:BA70" si="25">SQRT(($E$40-W7)^2+($G$40-X7)^2)</f>
        <v>15559.898860881558</v>
      </c>
      <c r="BB7" s="57">
        <f t="shared" ref="BB7:BB70" si="26">SQRT(($E$51-W7)^2+($G$51-X7)^2)</f>
        <v>15700.561416735422</v>
      </c>
    </row>
    <row r="8" spans="2:54" ht="15.75" thickBot="1" x14ac:dyDescent="0.3">
      <c r="B8" s="18" t="s">
        <v>12</v>
      </c>
      <c r="C8" s="20"/>
      <c r="D8" s="44" t="s">
        <v>58</v>
      </c>
      <c r="E8" s="26"/>
      <c r="F8" s="27">
        <f>'Conditions initiales et traject'!I26</f>
        <v>5000</v>
      </c>
      <c r="G8" s="28"/>
      <c r="I8" s="41">
        <v>3</v>
      </c>
      <c r="J8" s="57">
        <f t="shared" si="0"/>
        <v>24993.14767377287</v>
      </c>
      <c r="K8" s="57">
        <f t="shared" si="1"/>
        <v>7761.6797812147188</v>
      </c>
      <c r="M8" s="41">
        <v>3</v>
      </c>
      <c r="N8" s="57">
        <f t="shared" si="2"/>
        <v>-16504.796628358992</v>
      </c>
      <c r="O8" s="57">
        <f t="shared" si="3"/>
        <v>10183.175846850303</v>
      </c>
      <c r="Q8" s="41">
        <v>3</v>
      </c>
      <c r="R8" s="57">
        <f t="shared" si="4"/>
        <v>-6.8523262271310159</v>
      </c>
      <c r="S8" s="41">
        <f t="shared" si="5"/>
        <v>-14738.32021878528</v>
      </c>
      <c r="U8" s="41">
        <v>2</v>
      </c>
      <c r="V8" s="41">
        <f t="shared" ref="V8:V71" si="27">V7+0.5</f>
        <v>1</v>
      </c>
      <c r="W8" s="57">
        <f t="shared" ref="W8:W71" si="28">W7+Y7*$F$3+((1/2)*AA7)*$F$3^2</f>
        <v>747.61371621631156</v>
      </c>
      <c r="X8" s="57">
        <f t="shared" ref="X8:X71" si="29">X7+Z7*$F$3+((1/2)*AB7)*$F$3^2</f>
        <v>818.13493598587661</v>
      </c>
      <c r="Y8" s="57">
        <f t="shared" ref="Y8:Y71" si="30">Y7+AA7*$F$3</f>
        <v>1496.7419673833724</v>
      </c>
      <c r="Z8" s="57">
        <f t="shared" ref="Z8:Z71" si="31">Z7+AB7*$F$3</f>
        <v>1646.2480472389998</v>
      </c>
      <c r="AA8" s="57">
        <f t="shared" si="6"/>
        <v>1514.2110067360381</v>
      </c>
      <c r="AB8" s="57">
        <f t="shared" si="7"/>
        <v>1779.1755346177549</v>
      </c>
      <c r="AC8" s="57">
        <f t="shared" si="8"/>
        <v>861.76892273752549</v>
      </c>
      <c r="AD8" s="57">
        <f t="shared" si="9"/>
        <v>299.09142551035956</v>
      </c>
      <c r="AE8" s="57">
        <f t="shared" si="10"/>
        <v>-278.36063160131033</v>
      </c>
      <c r="AF8" s="57">
        <f t="shared" si="11"/>
        <v>123.18861308369706</v>
      </c>
      <c r="AG8" s="57">
        <f t="shared" si="12"/>
        <v>-401.11192485245016</v>
      </c>
      <c r="AH8" s="57">
        <f t="shared" si="13"/>
        <v>-1103.9090072890167</v>
      </c>
      <c r="AJ8" s="57">
        <f t="shared" si="14"/>
        <v>20378.95233699993</v>
      </c>
      <c r="AK8" s="57">
        <f t="shared" si="15"/>
        <v>22688.54603034514</v>
      </c>
      <c r="AL8" s="57">
        <f t="shared" si="16"/>
        <v>16829.986817698187</v>
      </c>
      <c r="AN8" s="41">
        <v>3</v>
      </c>
      <c r="AO8" s="57">
        <f t="shared" si="17"/>
        <v>12489.721510659303</v>
      </c>
      <c r="AP8" s="57">
        <f t="shared" si="18"/>
        <v>15392.51967182208</v>
      </c>
      <c r="AR8" s="41">
        <v>3</v>
      </c>
      <c r="AS8" s="57">
        <f t="shared" si="19"/>
        <v>18495.203371641008</v>
      </c>
      <c r="AT8" s="57">
        <f t="shared" si="20"/>
        <v>-4816.8241531496969</v>
      </c>
      <c r="AV8" s="57">
        <f t="shared" si="21"/>
        <v>802.64853745452024</v>
      </c>
      <c r="AW8" s="57">
        <f t="shared" si="22"/>
        <v>2676.8624702363304</v>
      </c>
      <c r="AX8" s="57">
        <f t="shared" si="23"/>
        <v>529.26610299775268</v>
      </c>
      <c r="AY8" s="57">
        <f t="shared" si="24"/>
        <v>-216.05796692361531</v>
      </c>
      <c r="BA8" s="57">
        <f t="shared" si="25"/>
        <v>14805.677485357297</v>
      </c>
      <c r="BB8" s="57">
        <f t="shared" si="26"/>
        <v>15394.194000191266</v>
      </c>
    </row>
    <row r="9" spans="2:54" ht="15.75" thickBot="1" x14ac:dyDescent="0.3">
      <c r="B9" s="8" t="s">
        <v>13</v>
      </c>
      <c r="C9" s="9"/>
      <c r="D9" s="45" t="s">
        <v>57</v>
      </c>
      <c r="E9" s="32"/>
      <c r="F9" s="33">
        <f>'Conditions initiales et traject'!I27</f>
        <v>1</v>
      </c>
      <c r="G9" s="34"/>
      <c r="I9" s="41">
        <v>4</v>
      </c>
      <c r="J9" s="57">
        <f t="shared" si="0"/>
        <v>24987.820251299119</v>
      </c>
      <c r="K9" s="57">
        <f t="shared" si="1"/>
        <v>7848.7823687206264</v>
      </c>
      <c r="M9" s="41">
        <v>4</v>
      </c>
      <c r="N9" s="57">
        <f t="shared" si="2"/>
        <v>-16508.525824090615</v>
      </c>
      <c r="O9" s="57">
        <f t="shared" si="3"/>
        <v>10244.147658104439</v>
      </c>
      <c r="Q9" s="41">
        <v>4</v>
      </c>
      <c r="R9" s="57">
        <f t="shared" si="4"/>
        <v>-12.179748700878918</v>
      </c>
      <c r="S9" s="41">
        <f t="shared" si="5"/>
        <v>-14651.217631279373</v>
      </c>
      <c r="U9" s="41">
        <v>3</v>
      </c>
      <c r="V9" s="41">
        <f t="shared" si="27"/>
        <v>1.5</v>
      </c>
      <c r="W9" s="57">
        <f t="shared" si="28"/>
        <v>1685.2610757500024</v>
      </c>
      <c r="X9" s="57">
        <f t="shared" si="29"/>
        <v>1863.6559014325958</v>
      </c>
      <c r="Y9" s="57">
        <f t="shared" si="30"/>
        <v>2253.8474707513915</v>
      </c>
      <c r="Z9" s="57">
        <f t="shared" si="31"/>
        <v>2535.8358145478774</v>
      </c>
      <c r="AA9" s="57">
        <f t="shared" si="6"/>
        <v>1519.1742992264119</v>
      </c>
      <c r="AB9" s="57">
        <f t="shared" si="7"/>
        <v>1940.3565531957345</v>
      </c>
      <c r="AC9" s="57">
        <f t="shared" si="8"/>
        <v>949.61560104973489</v>
      </c>
      <c r="AD9" s="57">
        <f t="shared" si="9"/>
        <v>292.24332986790824</v>
      </c>
      <c r="AE9" s="57">
        <f t="shared" si="10"/>
        <v>-274.92989503112045</v>
      </c>
      <c r="AF9" s="57">
        <f t="shared" si="11"/>
        <v>103.15412948648796</v>
      </c>
      <c r="AG9" s="57">
        <f t="shared" si="12"/>
        <v>-393.83676702120613</v>
      </c>
      <c r="AH9" s="57">
        <f t="shared" si="13"/>
        <v>-993.45824271091794</v>
      </c>
      <c r="AJ9" s="57">
        <f t="shared" si="14"/>
        <v>19162.412078360427</v>
      </c>
      <c r="AK9" s="57">
        <f t="shared" si="15"/>
        <v>23161.404171891882</v>
      </c>
      <c r="AL9" s="57">
        <f t="shared" si="16"/>
        <v>18140.441174703017</v>
      </c>
      <c r="AN9" s="41">
        <v>4</v>
      </c>
      <c r="AO9" s="57">
        <f t="shared" si="17"/>
        <v>12481.730376948683</v>
      </c>
      <c r="AP9" s="57">
        <f t="shared" si="18"/>
        <v>15523.17355308094</v>
      </c>
      <c r="AR9" s="41">
        <v>4</v>
      </c>
      <c r="AS9" s="57">
        <f t="shared" si="19"/>
        <v>18491.474175909385</v>
      </c>
      <c r="AT9" s="57">
        <f t="shared" si="20"/>
        <v>-4755.852341895561</v>
      </c>
      <c r="AV9" s="57">
        <f t="shared" si="21"/>
        <v>709.3364259271932</v>
      </c>
      <c r="AW9" s="57">
        <f t="shared" si="22"/>
        <v>2811.1074765068915</v>
      </c>
      <c r="AX9" s="57">
        <f t="shared" si="23"/>
        <v>528.98893430181045</v>
      </c>
      <c r="AY9" s="57">
        <f t="shared" si="24"/>
        <v>-272.69013995463524</v>
      </c>
      <c r="BA9" s="57">
        <f t="shared" si="25"/>
        <v>13548.100620083418</v>
      </c>
      <c r="BB9" s="57">
        <f t="shared" si="26"/>
        <v>14979.721124046619</v>
      </c>
    </row>
    <row r="10" spans="2:54" ht="15.75" thickBot="1" x14ac:dyDescent="0.3">
      <c r="B10" s="21" t="s">
        <v>14</v>
      </c>
      <c r="C10" s="22"/>
      <c r="D10" s="51" t="s">
        <v>72</v>
      </c>
      <c r="E10" s="81">
        <f>'Conditions initiales et traject'!H28</f>
        <v>523598775598.29883</v>
      </c>
      <c r="F10" s="82"/>
      <c r="G10" s="83"/>
      <c r="I10" s="41">
        <v>5</v>
      </c>
      <c r="J10" s="57">
        <f t="shared" si="0"/>
        <v>24980.973490458728</v>
      </c>
      <c r="K10" s="57">
        <f t="shared" si="1"/>
        <v>7935.7787137382911</v>
      </c>
      <c r="M10" s="41">
        <v>5</v>
      </c>
      <c r="N10" s="57">
        <f t="shared" si="2"/>
        <v>-16513.318556678889</v>
      </c>
      <c r="O10" s="57">
        <f t="shared" si="3"/>
        <v>10305.045099616804</v>
      </c>
      <c r="Q10" s="41">
        <v>5</v>
      </c>
      <c r="R10" s="57">
        <f t="shared" si="4"/>
        <v>-19.026509541272389</v>
      </c>
      <c r="S10" s="41">
        <f t="shared" si="5"/>
        <v>-14564.221286261709</v>
      </c>
      <c r="U10" s="41">
        <v>4</v>
      </c>
      <c r="V10" s="41">
        <f t="shared" si="27"/>
        <v>2</v>
      </c>
      <c r="W10" s="57">
        <f t="shared" si="28"/>
        <v>3002.0815985289996</v>
      </c>
      <c r="X10" s="57">
        <f t="shared" si="29"/>
        <v>3374.1183778560016</v>
      </c>
      <c r="Y10" s="57">
        <f t="shared" si="30"/>
        <v>3013.4346203645973</v>
      </c>
      <c r="Z10" s="57">
        <f t="shared" si="31"/>
        <v>3506.0140911457447</v>
      </c>
      <c r="AA10" s="57">
        <f t="shared" si="6"/>
        <v>1461.9685251759577</v>
      </c>
      <c r="AB10" s="57">
        <f t="shared" si="7"/>
        <v>2088.5582302462972</v>
      </c>
      <c r="AC10" s="57">
        <f t="shared" si="8"/>
        <v>1088.133364935419</v>
      </c>
      <c r="AD10" s="57">
        <f t="shared" si="9"/>
        <v>264.12113217582169</v>
      </c>
      <c r="AE10" s="57">
        <f t="shared" si="10"/>
        <v>-266.30316713442414</v>
      </c>
      <c r="AF10" s="57">
        <f t="shared" si="11"/>
        <v>76.7101557081496</v>
      </c>
      <c r="AG10" s="57">
        <f t="shared" si="12"/>
        <v>-372.91629812612706</v>
      </c>
      <c r="AH10" s="57">
        <f t="shared" si="13"/>
        <v>-856.27822241413844</v>
      </c>
      <c r="AJ10" s="57">
        <f t="shared" si="14"/>
        <v>17491.48733364353</v>
      </c>
      <c r="AK10" s="57">
        <f t="shared" si="15"/>
        <v>23937.377992087018</v>
      </c>
      <c r="AL10" s="57">
        <f t="shared" si="16"/>
        <v>20040.99638423654</v>
      </c>
      <c r="AN10" s="41">
        <v>5</v>
      </c>
      <c r="AO10" s="57">
        <f t="shared" si="17"/>
        <v>12471.460235688091</v>
      </c>
      <c r="AP10" s="57">
        <f t="shared" si="18"/>
        <v>15653.668070607437</v>
      </c>
      <c r="AR10" s="41">
        <v>5</v>
      </c>
      <c r="AS10" s="57">
        <f t="shared" si="19"/>
        <v>18486.681443321111</v>
      </c>
      <c r="AT10" s="57">
        <f t="shared" si="20"/>
        <v>-4694.9549003831962</v>
      </c>
      <c r="AV10" s="57">
        <f t="shared" si="21"/>
        <v>508.07130029599597</v>
      </c>
      <c r="AW10" s="57">
        <f t="shared" si="22"/>
        <v>2956.4654835257852</v>
      </c>
      <c r="AX10" s="57">
        <f t="shared" si="23"/>
        <v>504.98332520509399</v>
      </c>
      <c r="AY10" s="57">
        <f t="shared" si="24"/>
        <v>-352.46031874932089</v>
      </c>
      <c r="BA10" s="57">
        <f t="shared" si="25"/>
        <v>11796.304566729448</v>
      </c>
      <c r="BB10" s="57">
        <f t="shared" si="26"/>
        <v>14631.332973270142</v>
      </c>
    </row>
    <row r="11" spans="2:54" ht="15.75" thickBot="1" x14ac:dyDescent="0.3">
      <c r="B11" s="10" t="s">
        <v>15</v>
      </c>
      <c r="C11" s="11"/>
      <c r="D11" s="52" t="s">
        <v>73</v>
      </c>
      <c r="E11" s="81">
        <f>'Conditions initiales et traject'!H29</f>
        <v>523598775598.29883</v>
      </c>
      <c r="F11" s="82"/>
      <c r="G11" s="83"/>
      <c r="I11" s="41">
        <v>6</v>
      </c>
      <c r="J11" s="57">
        <f t="shared" si="0"/>
        <v>24972.609476841368</v>
      </c>
      <c r="K11" s="57">
        <f t="shared" si="1"/>
        <v>8022.6423163382669</v>
      </c>
      <c r="M11" s="41">
        <v>6</v>
      </c>
      <c r="N11" s="57">
        <f t="shared" si="2"/>
        <v>-16519.173366211042</v>
      </c>
      <c r="O11" s="57">
        <f t="shared" si="3"/>
        <v>10365.849621436788</v>
      </c>
      <c r="Q11" s="41">
        <v>6</v>
      </c>
      <c r="R11" s="57">
        <f t="shared" si="4"/>
        <v>-27.390523158633187</v>
      </c>
      <c r="S11" s="41">
        <f t="shared" si="5"/>
        <v>-14477.357683661732</v>
      </c>
      <c r="U11" s="41">
        <v>5</v>
      </c>
      <c r="V11" s="41">
        <f t="shared" si="27"/>
        <v>2.5</v>
      </c>
      <c r="W11" s="57">
        <f t="shared" si="28"/>
        <v>4691.5449743582931</v>
      </c>
      <c r="X11" s="57">
        <f t="shared" si="29"/>
        <v>5388.1952022096611</v>
      </c>
      <c r="Y11" s="57">
        <f t="shared" si="30"/>
        <v>3744.418882952576</v>
      </c>
      <c r="Z11" s="57">
        <f t="shared" si="31"/>
        <v>4550.2932062688933</v>
      </c>
      <c r="AA11" s="57">
        <f t="shared" si="6"/>
        <v>1228.0016029339522</v>
      </c>
      <c r="AB11" s="57">
        <f t="shared" si="7"/>
        <v>2080.3950159541487</v>
      </c>
      <c r="AC11" s="57">
        <f t="shared" si="8"/>
        <v>1285.2822518680839</v>
      </c>
      <c r="AD11" s="57">
        <f t="shared" si="9"/>
        <v>177.30497437288008</v>
      </c>
      <c r="AE11" s="57">
        <f t="shared" si="10"/>
        <v>-250.11171371728568</v>
      </c>
      <c r="AF11" s="57">
        <f t="shared" si="11"/>
        <v>46.715035551756486</v>
      </c>
      <c r="AG11" s="57">
        <f t="shared" si="12"/>
        <v>-337.14703181708717</v>
      </c>
      <c r="AH11" s="57">
        <f t="shared" si="13"/>
        <v>-709.25941268590157</v>
      </c>
      <c r="AJ11" s="57">
        <f t="shared" si="14"/>
        <v>15453.430518045665</v>
      </c>
      <c r="AK11" s="57">
        <f t="shared" si="15"/>
        <v>25118.541691620561</v>
      </c>
      <c r="AL11" s="57">
        <f t="shared" si="16"/>
        <v>22574.422419929473</v>
      </c>
      <c r="AN11" s="41">
        <v>6</v>
      </c>
      <c r="AO11" s="57">
        <f t="shared" si="17"/>
        <v>12458.91421526205</v>
      </c>
      <c r="AP11" s="57">
        <f t="shared" si="18"/>
        <v>15783.963474507402</v>
      </c>
      <c r="AR11" s="41">
        <v>6</v>
      </c>
      <c r="AS11" s="57">
        <f t="shared" si="19"/>
        <v>18480.826633788958</v>
      </c>
      <c r="AT11" s="57">
        <f t="shared" si="20"/>
        <v>-4634.1503785632131</v>
      </c>
      <c r="AV11" s="57">
        <f t="shared" si="21"/>
        <v>96.357543593583017</v>
      </c>
      <c r="AW11" s="57">
        <f t="shared" si="22"/>
        <v>3002.609206607342</v>
      </c>
      <c r="AX11" s="57">
        <f t="shared" si="23"/>
        <v>433.62055300665816</v>
      </c>
      <c r="AY11" s="57">
        <f t="shared" si="24"/>
        <v>-436.97478789192832</v>
      </c>
      <c r="BA11" s="57">
        <f t="shared" si="25"/>
        <v>9616.7528809712585</v>
      </c>
      <c r="BB11" s="57">
        <f t="shared" si="26"/>
        <v>14634.850343440126</v>
      </c>
    </row>
    <row r="12" spans="2:54" ht="15.75" thickBot="1" x14ac:dyDescent="0.3">
      <c r="B12" s="21" t="s">
        <v>16</v>
      </c>
      <c r="C12" s="22"/>
      <c r="D12" s="51" t="s">
        <v>74</v>
      </c>
      <c r="E12" s="38"/>
      <c r="F12" s="37">
        <f>'Conditions initiales et traject'!I30</f>
        <v>10000</v>
      </c>
      <c r="G12" s="35"/>
      <c r="I12" s="41">
        <v>7</v>
      </c>
      <c r="J12" s="57">
        <f t="shared" si="0"/>
        <v>24962.73075820661</v>
      </c>
      <c r="K12" s="57">
        <f t="shared" si="1"/>
        <v>8109.3467170257372</v>
      </c>
      <c r="M12" s="41">
        <v>7</v>
      </c>
      <c r="N12" s="57">
        <f t="shared" si="2"/>
        <v>-16526.088469255374</v>
      </c>
      <c r="O12" s="57">
        <f t="shared" si="3"/>
        <v>10426.542701918017</v>
      </c>
      <c r="Q12" s="41">
        <v>7</v>
      </c>
      <c r="R12" s="57">
        <f t="shared" si="4"/>
        <v>-37.269241793390393</v>
      </c>
      <c r="S12" s="41">
        <f t="shared" si="5"/>
        <v>-14390.653282974263</v>
      </c>
      <c r="U12" s="41">
        <v>6</v>
      </c>
      <c r="V12" s="41">
        <f t="shared" si="27"/>
        <v>3</v>
      </c>
      <c r="W12" s="57">
        <f t="shared" si="28"/>
        <v>6717.254616201325</v>
      </c>
      <c r="X12" s="57">
        <f t="shared" si="29"/>
        <v>7923.391182338376</v>
      </c>
      <c r="Y12" s="57">
        <f t="shared" si="30"/>
        <v>4358.4196844195521</v>
      </c>
      <c r="Z12" s="57">
        <f t="shared" si="31"/>
        <v>5590.4907142459679</v>
      </c>
      <c r="AA12" s="57">
        <f t="shared" si="6"/>
        <v>649.89866608653142</v>
      </c>
      <c r="AB12" s="57">
        <f t="shared" si="7"/>
        <v>1613.7824192270214</v>
      </c>
      <c r="AC12" s="57">
        <f t="shared" si="8"/>
        <v>1511.7614871636279</v>
      </c>
      <c r="AD12" s="57">
        <f t="shared" si="9"/>
        <v>-48.187815468068557</v>
      </c>
      <c r="AE12" s="57">
        <f t="shared" si="10"/>
        <v>-225.83238327160839</v>
      </c>
      <c r="AF12" s="57">
        <f t="shared" si="11"/>
        <v>17.552908229237786</v>
      </c>
      <c r="AG12" s="57">
        <f t="shared" si="12"/>
        <v>-291.22525137171368</v>
      </c>
      <c r="AH12" s="57">
        <f t="shared" si="13"/>
        <v>-569.74697384641297</v>
      </c>
      <c r="AJ12" s="57">
        <f t="shared" si="14"/>
        <v>13289.491526168596</v>
      </c>
      <c r="AK12" s="57">
        <f t="shared" si="15"/>
        <v>26797.835703812369</v>
      </c>
      <c r="AL12" s="57">
        <f t="shared" si="16"/>
        <v>25744.434719748653</v>
      </c>
      <c r="AN12" s="41">
        <v>7</v>
      </c>
      <c r="AO12" s="57">
        <f t="shared" si="17"/>
        <v>12444.096137309916</v>
      </c>
      <c r="AP12" s="57">
        <f t="shared" si="18"/>
        <v>15914.020075538607</v>
      </c>
      <c r="AR12" s="41">
        <v>7</v>
      </c>
      <c r="AS12" s="57">
        <f t="shared" si="19"/>
        <v>18473.911530744626</v>
      </c>
      <c r="AT12" s="57">
        <f t="shared" si="20"/>
        <v>-4573.4572980819839</v>
      </c>
      <c r="AV12" s="57">
        <f t="shared" si="21"/>
        <v>-654.59969411205952</v>
      </c>
      <c r="AW12" s="57">
        <f t="shared" si="22"/>
        <v>2697.530071364165</v>
      </c>
      <c r="AX12" s="57">
        <f t="shared" si="23"/>
        <v>309.79450767828524</v>
      </c>
      <c r="AY12" s="57">
        <f t="shared" si="24"/>
        <v>-483.36577105189969</v>
      </c>
      <c r="BA12" s="57">
        <f t="shared" si="25"/>
        <v>7281.9884492541605</v>
      </c>
      <c r="BB12" s="57">
        <f t="shared" si="26"/>
        <v>15349.850512124851</v>
      </c>
    </row>
    <row r="13" spans="2:54" ht="15.75" thickBot="1" x14ac:dyDescent="0.3">
      <c r="B13" s="12" t="s">
        <v>17</v>
      </c>
      <c r="C13" s="13"/>
      <c r="D13" s="46"/>
      <c r="E13" s="29"/>
      <c r="F13" s="30" t="s">
        <v>48</v>
      </c>
      <c r="G13" s="31"/>
      <c r="I13" s="41">
        <v>8</v>
      </c>
      <c r="J13" s="57">
        <f t="shared" si="0"/>
        <v>24951.340343707852</v>
      </c>
      <c r="K13" s="57">
        <f t="shared" si="1"/>
        <v>8195.8655048003275</v>
      </c>
      <c r="M13" s="41">
        <v>8</v>
      </c>
      <c r="N13" s="57">
        <f t="shared" si="2"/>
        <v>-16534.061759404503</v>
      </c>
      <c r="O13" s="57">
        <f t="shared" si="3"/>
        <v>10487.10585336023</v>
      </c>
      <c r="Q13" s="41">
        <v>8</v>
      </c>
      <c r="R13" s="57">
        <f t="shared" si="4"/>
        <v>-48.659656292148611</v>
      </c>
      <c r="S13" s="41">
        <f t="shared" si="5"/>
        <v>-14304.134495199673</v>
      </c>
      <c r="U13" s="41">
        <v>7</v>
      </c>
      <c r="V13" s="41">
        <f t="shared" si="27"/>
        <v>3.5</v>
      </c>
      <c r="W13" s="57">
        <f t="shared" si="28"/>
        <v>8977.7017916719178</v>
      </c>
      <c r="X13" s="57">
        <f t="shared" si="29"/>
        <v>10920.359341864738</v>
      </c>
      <c r="Y13" s="57">
        <f t="shared" si="30"/>
        <v>4683.3690174628182</v>
      </c>
      <c r="Z13" s="57">
        <f t="shared" si="31"/>
        <v>6397.3819238594788</v>
      </c>
      <c r="AA13" s="57">
        <f t="shared" si="6"/>
        <v>-346.71874124057661</v>
      </c>
      <c r="AB13" s="57">
        <f t="shared" si="7"/>
        <v>326.11464492311671</v>
      </c>
      <c r="AC13" s="57">
        <f t="shared" si="8"/>
        <v>1620.7130553948391</v>
      </c>
      <c r="AD13" s="57">
        <f t="shared" si="9"/>
        <v>-502.92787717478524</v>
      </c>
      <c r="AE13" s="57">
        <f t="shared" si="10"/>
        <v>-196.15438160296253</v>
      </c>
      <c r="AF13" s="57">
        <f t="shared" si="11"/>
        <v>-6.2300495344275921</v>
      </c>
      <c r="AG13" s="57">
        <f t="shared" si="12"/>
        <v>-243.29446490998473</v>
      </c>
      <c r="AH13" s="57">
        <f t="shared" si="13"/>
        <v>-451.16715539824025</v>
      </c>
      <c r="AJ13" s="57">
        <f t="shared" si="14"/>
        <v>11540.793552472629</v>
      </c>
      <c r="AK13" s="57">
        <f t="shared" si="15"/>
        <v>28992.313851178274</v>
      </c>
      <c r="AL13" s="57">
        <f t="shared" si="16"/>
        <v>29448.958823501769</v>
      </c>
      <c r="AN13" s="41">
        <v>8</v>
      </c>
      <c r="AO13" s="57">
        <f t="shared" si="17"/>
        <v>12427.010515561778</v>
      </c>
      <c r="AP13" s="57">
        <f t="shared" si="18"/>
        <v>16043.798257200491</v>
      </c>
      <c r="AR13" s="41">
        <v>8</v>
      </c>
      <c r="AS13" s="57">
        <f t="shared" si="19"/>
        <v>18465.938240595497</v>
      </c>
      <c r="AT13" s="57">
        <f t="shared" si="20"/>
        <v>-4512.894146639771</v>
      </c>
      <c r="AV13" s="57">
        <f t="shared" si="21"/>
        <v>-1701.4761103431206</v>
      </c>
      <c r="AW13" s="57">
        <f t="shared" si="22"/>
        <v>1745.0808235888396</v>
      </c>
      <c r="AX13" s="57">
        <f t="shared" si="23"/>
        <v>173.49316022065216</v>
      </c>
      <c r="AY13" s="57">
        <f t="shared" si="24"/>
        <v>-458.64109655826991</v>
      </c>
      <c r="BA13" s="57">
        <f t="shared" si="25"/>
        <v>5697.8574431956704</v>
      </c>
      <c r="BB13" s="57">
        <f t="shared" si="26"/>
        <v>17021.337117986102</v>
      </c>
    </row>
    <row r="14" spans="2:54" x14ac:dyDescent="0.25">
      <c r="I14" s="41">
        <v>9</v>
      </c>
      <c r="J14" s="57">
        <f t="shared" si="0"/>
        <v>24938.441702975688</v>
      </c>
      <c r="K14" s="57">
        <f t="shared" si="1"/>
        <v>8282.1723252011543</v>
      </c>
      <c r="M14" s="41">
        <v>9</v>
      </c>
      <c r="N14" s="57">
        <f t="shared" si="2"/>
        <v>-16543.090807917019</v>
      </c>
      <c r="O14" s="57">
        <f t="shared" si="3"/>
        <v>10547.520627640808</v>
      </c>
      <c r="Q14" s="41">
        <v>9</v>
      </c>
      <c r="R14" s="57">
        <f t="shared" si="4"/>
        <v>-61.558297024311287</v>
      </c>
      <c r="S14" s="41">
        <f t="shared" si="5"/>
        <v>-14217.827674798846</v>
      </c>
      <c r="U14" s="41">
        <v>8</v>
      </c>
      <c r="V14" s="41">
        <f t="shared" si="27"/>
        <v>4</v>
      </c>
      <c r="W14" s="57">
        <f t="shared" si="28"/>
        <v>11276.046457748254</v>
      </c>
      <c r="X14" s="57">
        <f t="shared" si="29"/>
        <v>14159.814634409866</v>
      </c>
      <c r="Y14" s="57">
        <f t="shared" si="30"/>
        <v>4510.0096468425299</v>
      </c>
      <c r="Z14" s="57">
        <f t="shared" si="31"/>
        <v>6560.439246321037</v>
      </c>
      <c r="AA14" s="57">
        <f t="shared" si="6"/>
        <v>-1466.6520598232937</v>
      </c>
      <c r="AB14" s="57">
        <f t="shared" si="7"/>
        <v>-1489.7947229988401</v>
      </c>
      <c r="AC14" s="57">
        <f t="shared" si="8"/>
        <v>1395.4548682523516</v>
      </c>
      <c r="AD14" s="57">
        <f t="shared" si="9"/>
        <v>-1065.2820086942781</v>
      </c>
      <c r="AE14" s="57">
        <f t="shared" si="10"/>
        <v>-166.39679487592329</v>
      </c>
      <c r="AF14" s="57">
        <f t="shared" si="11"/>
        <v>-22.131308168340546</v>
      </c>
      <c r="AG14" s="57">
        <f t="shared" si="12"/>
        <v>-201.17476440407492</v>
      </c>
      <c r="AH14" s="57">
        <f t="shared" si="13"/>
        <v>-360.42037938219767</v>
      </c>
      <c r="AJ14" s="57">
        <f t="shared" si="14"/>
        <v>10975.449711609388</v>
      </c>
      <c r="AK14" s="57">
        <f t="shared" si="15"/>
        <v>31551.468108788184</v>
      </c>
      <c r="AL14" s="57">
        <f t="shared" si="16"/>
        <v>33394.677387390991</v>
      </c>
      <c r="AN14" s="41">
        <v>9</v>
      </c>
      <c r="AO14" s="57">
        <f t="shared" si="17"/>
        <v>12407.662554463534</v>
      </c>
      <c r="AP14" s="57">
        <f t="shared" si="18"/>
        <v>16173.258487801731</v>
      </c>
      <c r="AR14" s="41">
        <v>9</v>
      </c>
      <c r="AS14" s="57">
        <f t="shared" si="19"/>
        <v>18456.909192082981</v>
      </c>
      <c r="AT14" s="57">
        <f t="shared" si="20"/>
        <v>-4452.479372359192</v>
      </c>
      <c r="AV14" s="57">
        <f t="shared" si="21"/>
        <v>-2569.5498879153915</v>
      </c>
      <c r="AW14" s="57">
        <f t="shared" si="22"/>
        <v>343.99015789868128</v>
      </c>
      <c r="AX14" s="57">
        <f t="shared" si="23"/>
        <v>75.014519119744435</v>
      </c>
      <c r="AY14" s="57">
        <f t="shared" si="24"/>
        <v>-385.95118465270485</v>
      </c>
      <c r="BA14" s="57">
        <f t="shared" si="25"/>
        <v>6332.0352643021688</v>
      </c>
      <c r="BB14" s="57">
        <f t="shared" si="26"/>
        <v>19518.358711986923</v>
      </c>
    </row>
    <row r="15" spans="2:54" x14ac:dyDescent="0.25">
      <c r="B15" s="55"/>
      <c r="C15" s="55"/>
      <c r="D15" s="55"/>
      <c r="E15" s="55"/>
      <c r="F15" s="55"/>
      <c r="G15" s="55"/>
      <c r="I15" s="41">
        <v>10</v>
      </c>
      <c r="J15" s="57">
        <f t="shared" si="0"/>
        <v>24924.038765061039</v>
      </c>
      <c r="K15" s="57">
        <f t="shared" si="1"/>
        <v>8368.2408883346525</v>
      </c>
      <c r="M15" s="41">
        <v>10</v>
      </c>
      <c r="N15" s="57">
        <f t="shared" si="2"/>
        <v>-16553.172864457272</v>
      </c>
      <c r="O15" s="57">
        <f t="shared" si="3"/>
        <v>10607.768621834257</v>
      </c>
      <c r="Q15" s="41">
        <v>10</v>
      </c>
      <c r="R15" s="57">
        <f t="shared" si="4"/>
        <v>-75.961234938959933</v>
      </c>
      <c r="S15" s="41">
        <f t="shared" si="5"/>
        <v>-14131.759111665348</v>
      </c>
      <c r="U15" s="41">
        <v>9</v>
      </c>
      <c r="V15" s="41">
        <f t="shared" si="27"/>
        <v>4.5</v>
      </c>
      <c r="W15" s="57">
        <f t="shared" si="28"/>
        <v>13347.719773691608</v>
      </c>
      <c r="X15" s="57">
        <f t="shared" si="29"/>
        <v>17253.809917195529</v>
      </c>
      <c r="Y15" s="57">
        <f t="shared" si="30"/>
        <v>3776.6836169308831</v>
      </c>
      <c r="Z15" s="57">
        <f t="shared" si="31"/>
        <v>5815.5418848216168</v>
      </c>
      <c r="AA15" s="57">
        <f t="shared" si="6"/>
        <v>-2189.6077888503487</v>
      </c>
      <c r="AB15" s="57">
        <f t="shared" si="7"/>
        <v>-2787.0181726563715</v>
      </c>
      <c r="AC15" s="57">
        <f t="shared" si="8"/>
        <v>940.3967728324194</v>
      </c>
      <c r="AD15" s="57">
        <f t="shared" si="9"/>
        <v>-1378.8432021664355</v>
      </c>
      <c r="AE15" s="57">
        <f t="shared" si="10"/>
        <v>-141.64400768134036</v>
      </c>
      <c r="AF15" s="57">
        <f t="shared" si="11"/>
        <v>-30.810463641978913</v>
      </c>
      <c r="AG15" s="57">
        <f t="shared" si="12"/>
        <v>-169.25180976751659</v>
      </c>
      <c r="AH15" s="57">
        <f t="shared" si="13"/>
        <v>-297.53101571838812</v>
      </c>
      <c r="AJ15" s="57">
        <f t="shared" si="14"/>
        <v>11806.338979976625</v>
      </c>
      <c r="AK15" s="57">
        <f t="shared" si="15"/>
        <v>34127.528073674868</v>
      </c>
      <c r="AL15" s="57">
        <f t="shared" si="16"/>
        <v>37107.237502520918</v>
      </c>
      <c r="AN15" s="41">
        <v>10</v>
      </c>
      <c r="AO15" s="57">
        <f t="shared" si="17"/>
        <v>12386.058147591561</v>
      </c>
      <c r="AP15" s="57">
        <f t="shared" si="18"/>
        <v>16302.361332501978</v>
      </c>
      <c r="AR15" s="41">
        <v>10</v>
      </c>
      <c r="AS15" s="57">
        <f t="shared" si="19"/>
        <v>18446.827135542728</v>
      </c>
      <c r="AT15" s="57">
        <f t="shared" si="20"/>
        <v>-4392.231378165744</v>
      </c>
      <c r="AV15" s="57">
        <f t="shared" si="21"/>
        <v>-2842.3062137815809</v>
      </c>
      <c r="AW15" s="57">
        <f t="shared" si="22"/>
        <v>-767.39733795525729</v>
      </c>
      <c r="AX15" s="57">
        <f t="shared" si="23"/>
        <v>23.19746954766978</v>
      </c>
      <c r="AY15" s="57">
        <f t="shared" si="24"/>
        <v>-312.43615317431153</v>
      </c>
      <c r="BA15" s="57">
        <f t="shared" si="25"/>
        <v>8646.622725835261</v>
      </c>
      <c r="BB15" s="57">
        <f t="shared" si="26"/>
        <v>22315.064099771702</v>
      </c>
    </row>
    <row r="16" spans="2:54" ht="15.75" thickBot="1" x14ac:dyDescent="0.3">
      <c r="B16" s="55"/>
      <c r="C16" s="55"/>
      <c r="D16" s="55"/>
      <c r="E16" s="55"/>
      <c r="F16" s="55"/>
      <c r="G16" s="55"/>
      <c r="I16" s="41">
        <v>11</v>
      </c>
      <c r="J16" s="57">
        <f t="shared" si="0"/>
        <v>24908.13591723832</v>
      </c>
      <c r="K16" s="57">
        <f t="shared" si="1"/>
        <v>8454.0449768827239</v>
      </c>
      <c r="M16" s="41">
        <v>11</v>
      </c>
      <c r="N16" s="57">
        <f t="shared" si="2"/>
        <v>-16564.304857933177</v>
      </c>
      <c r="O16" s="57">
        <f t="shared" si="3"/>
        <v>10667.831483817907</v>
      </c>
      <c r="Q16" s="41">
        <v>11</v>
      </c>
      <c r="R16" s="57">
        <f t="shared" si="4"/>
        <v>-91.864082761680038</v>
      </c>
      <c r="S16" s="41">
        <f t="shared" si="5"/>
        <v>-14045.955023117276</v>
      </c>
      <c r="U16" s="41">
        <v>10</v>
      </c>
      <c r="V16" s="41">
        <f t="shared" si="27"/>
        <v>5</v>
      </c>
      <c r="W16" s="57">
        <f t="shared" si="28"/>
        <v>14962.360608550756</v>
      </c>
      <c r="X16" s="57">
        <f t="shared" si="29"/>
        <v>19813.203588024291</v>
      </c>
      <c r="Y16" s="57">
        <f t="shared" si="30"/>
        <v>2681.8797225057087</v>
      </c>
      <c r="Z16" s="57">
        <f t="shared" si="31"/>
        <v>4422.0327984934311</v>
      </c>
      <c r="AA16" s="57">
        <f t="shared" si="6"/>
        <v>-2418.0336951173672</v>
      </c>
      <c r="AB16" s="57">
        <f t="shared" si="7"/>
        <v>-3264.5839127883955</v>
      </c>
      <c r="AC16" s="57">
        <f t="shared" si="8"/>
        <v>572.16724742558836</v>
      </c>
      <c r="AD16" s="57">
        <f t="shared" si="9"/>
        <v>-1398.5145137440948</v>
      </c>
      <c r="AE16" s="57">
        <f t="shared" si="10"/>
        <v>-124.14338799215069</v>
      </c>
      <c r="AF16" s="57">
        <f t="shared" si="11"/>
        <v>-34.844453271159225</v>
      </c>
      <c r="AG16" s="57">
        <f t="shared" si="12"/>
        <v>-147.75529223861037</v>
      </c>
      <c r="AH16" s="57">
        <f t="shared" si="13"/>
        <v>-257.67669319165776</v>
      </c>
      <c r="AJ16" s="57">
        <f t="shared" si="14"/>
        <v>13303.863846207063</v>
      </c>
      <c r="AK16" s="57">
        <f t="shared" si="15"/>
        <v>36313.435860330741</v>
      </c>
      <c r="AL16" s="57">
        <f t="shared" si="16"/>
        <v>40130.474519086441</v>
      </c>
      <c r="AN16" s="41">
        <v>11</v>
      </c>
      <c r="AO16" s="57">
        <f t="shared" si="17"/>
        <v>12362.20387585748</v>
      </c>
      <c r="AP16" s="57">
        <f t="shared" si="18"/>
        <v>16431.067465324086</v>
      </c>
      <c r="AR16" s="41">
        <v>11</v>
      </c>
      <c r="AS16" s="57">
        <f t="shared" si="19"/>
        <v>18435.695142066823</v>
      </c>
      <c r="AT16" s="57">
        <f t="shared" si="20"/>
        <v>-4332.1685161820933</v>
      </c>
      <c r="AV16" s="57">
        <f t="shared" si="21"/>
        <v>-2718.6967198488933</v>
      </c>
      <c r="AW16" s="57">
        <f t="shared" si="22"/>
        <v>-1313.5080450204821</v>
      </c>
      <c r="AX16" s="57">
        <f t="shared" si="23"/>
        <v>0.39445753669852746</v>
      </c>
      <c r="AY16" s="57">
        <f t="shared" si="24"/>
        <v>-260.04020756100169</v>
      </c>
      <c r="BA16" s="57">
        <f t="shared" si="25"/>
        <v>11064.156437549756</v>
      </c>
      <c r="BB16" s="57">
        <f t="shared" si="26"/>
        <v>24813.232135788563</v>
      </c>
    </row>
    <row r="17" spans="2:54" ht="15.75" thickBot="1" x14ac:dyDescent="0.3">
      <c r="B17" s="93" t="s">
        <v>18</v>
      </c>
      <c r="C17" s="94"/>
      <c r="D17" s="94"/>
      <c r="E17" s="94"/>
      <c r="F17" s="94"/>
      <c r="G17" s="95"/>
      <c r="I17" s="41">
        <v>12</v>
      </c>
      <c r="J17" s="57">
        <f t="shared" si="0"/>
        <v>24890.73800366903</v>
      </c>
      <c r="K17" s="57">
        <f t="shared" si="1"/>
        <v>8539.5584540887976</v>
      </c>
      <c r="M17" s="41">
        <v>12</v>
      </c>
      <c r="N17" s="57">
        <f t="shared" si="2"/>
        <v>-16576.483397431679</v>
      </c>
      <c r="O17" s="57">
        <f t="shared" si="3"/>
        <v>10727.690917862157</v>
      </c>
      <c r="Q17" s="41">
        <v>12</v>
      </c>
      <c r="R17" s="57">
        <f t="shared" si="4"/>
        <v>-109.26199633097167</v>
      </c>
      <c r="S17" s="41">
        <f t="shared" si="5"/>
        <v>-13960.441545911202</v>
      </c>
      <c r="U17" s="41">
        <v>11</v>
      </c>
      <c r="V17" s="41">
        <f t="shared" si="27"/>
        <v>5.5</v>
      </c>
      <c r="W17" s="57">
        <f t="shared" si="28"/>
        <v>16001.04625791394</v>
      </c>
      <c r="X17" s="57">
        <f t="shared" si="29"/>
        <v>21616.146998172459</v>
      </c>
      <c r="Y17" s="57">
        <f t="shared" si="30"/>
        <v>1472.8628749470251</v>
      </c>
      <c r="Z17" s="57">
        <f t="shared" si="31"/>
        <v>2789.7408420992333</v>
      </c>
      <c r="AA17" s="57">
        <f t="shared" si="6"/>
        <v>-2408.8982786332276</v>
      </c>
      <c r="AB17" s="57">
        <f t="shared" si="7"/>
        <v>-3340.0209174144229</v>
      </c>
      <c r="AC17" s="57">
        <f t="shared" si="8"/>
        <v>374.06528464811572</v>
      </c>
      <c r="AD17" s="57">
        <f t="shared" si="9"/>
        <v>-1320.4355152784333</v>
      </c>
      <c r="AE17" s="57">
        <f t="shared" si="10"/>
        <v>-113.55618685482364</v>
      </c>
      <c r="AF17" s="57">
        <f t="shared" si="11"/>
        <v>-36.640195110096343</v>
      </c>
      <c r="AG17" s="57">
        <f t="shared" si="12"/>
        <v>-134.70513361024931</v>
      </c>
      <c r="AH17" s="57">
        <f t="shared" si="13"/>
        <v>-234.86367836662671</v>
      </c>
      <c r="AJ17" s="57">
        <f t="shared" si="14"/>
        <v>14671.647388938893</v>
      </c>
      <c r="AK17" s="57">
        <f t="shared" si="15"/>
        <v>37828.695493601292</v>
      </c>
      <c r="AL17" s="57">
        <f t="shared" si="16"/>
        <v>42211.208996175592</v>
      </c>
      <c r="AN17" s="41">
        <v>12</v>
      </c>
      <c r="AO17" s="57">
        <f t="shared" si="17"/>
        <v>12336.107005503542</v>
      </c>
      <c r="AP17" s="57">
        <f t="shared" si="18"/>
        <v>16559.337681133195</v>
      </c>
      <c r="AR17" s="41">
        <v>12</v>
      </c>
      <c r="AS17" s="57">
        <f t="shared" si="19"/>
        <v>18423.516602568321</v>
      </c>
      <c r="AT17" s="57">
        <f t="shared" si="20"/>
        <v>-4272.3090821378428</v>
      </c>
      <c r="AV17" s="57">
        <f t="shared" si="21"/>
        <v>-2526.0946633178751</v>
      </c>
      <c r="AW17" s="57">
        <f t="shared" si="22"/>
        <v>-1519.2203752244936</v>
      </c>
      <c r="AX17" s="57">
        <f t="shared" si="23"/>
        <v>-8.6075794983954044</v>
      </c>
      <c r="AY17" s="57">
        <f t="shared" si="24"/>
        <v>-228.861153434773</v>
      </c>
      <c r="BA17" s="57">
        <f t="shared" si="25"/>
        <v>12837.305787048494</v>
      </c>
      <c r="BB17" s="57">
        <f t="shared" si="26"/>
        <v>26634.965264456572</v>
      </c>
    </row>
    <row r="18" spans="2:54" ht="15.75" thickBot="1" x14ac:dyDescent="0.3">
      <c r="B18" s="6" t="s">
        <v>11</v>
      </c>
      <c r="C18" s="7"/>
      <c r="D18" s="47" t="s">
        <v>64</v>
      </c>
      <c r="E18" s="24">
        <f>'Conditions initiales et traject'!H36</f>
        <v>-20000</v>
      </c>
      <c r="F18" s="24"/>
      <c r="G18" s="25">
        <f>'Conditions initiales et traject'!J36</f>
        <v>10000</v>
      </c>
      <c r="I18" s="41">
        <v>13</v>
      </c>
      <c r="J18" s="57">
        <f t="shared" si="0"/>
        <v>24871.850323926177</v>
      </c>
      <c r="K18" s="57">
        <f t="shared" si="1"/>
        <v>8624.7552717193248</v>
      </c>
      <c r="M18" s="41">
        <v>13</v>
      </c>
      <c r="N18" s="57">
        <f t="shared" si="2"/>
        <v>-16589.704773251677</v>
      </c>
      <c r="O18" s="57">
        <f t="shared" si="3"/>
        <v>10787.328690203527</v>
      </c>
      <c r="Q18" s="41">
        <v>13</v>
      </c>
      <c r="R18" s="57">
        <f t="shared" si="4"/>
        <v>-128.14967607382368</v>
      </c>
      <c r="S18" s="41">
        <f t="shared" si="5"/>
        <v>-13875.244728280675</v>
      </c>
      <c r="U18" s="41">
        <v>12</v>
      </c>
      <c r="V18" s="41">
        <f t="shared" si="27"/>
        <v>6</v>
      </c>
      <c r="W18" s="57">
        <f t="shared" si="28"/>
        <v>16436.365410558301</v>
      </c>
      <c r="X18" s="57">
        <f t="shared" si="29"/>
        <v>22593.514804545273</v>
      </c>
      <c r="Y18" s="57">
        <f t="shared" si="30"/>
        <v>268.41373563041134</v>
      </c>
      <c r="Z18" s="57">
        <f t="shared" si="31"/>
        <v>1119.7303833920218</v>
      </c>
      <c r="AA18" s="57">
        <f t="shared" si="6"/>
        <v>-2355.0017647473164</v>
      </c>
      <c r="AB18" s="57">
        <f t="shared" si="7"/>
        <v>-3330.1254029491561</v>
      </c>
      <c r="AC18" s="57">
        <f t="shared" si="8"/>
        <v>296.95452018992233</v>
      </c>
      <c r="AD18" s="57">
        <f t="shared" si="9"/>
        <v>-1257.7292464392156</v>
      </c>
      <c r="AE18" s="57">
        <f t="shared" si="10"/>
        <v>-108.7872711385735</v>
      </c>
      <c r="AF18" s="57">
        <f t="shared" si="11"/>
        <v>-37.600185808673231</v>
      </c>
      <c r="AG18" s="57">
        <f t="shared" si="12"/>
        <v>-128.09389993599314</v>
      </c>
      <c r="AH18" s="57">
        <f t="shared" si="13"/>
        <v>-224.64162330634022</v>
      </c>
      <c r="AJ18" s="57">
        <f t="shared" si="14"/>
        <v>15508.503494602328</v>
      </c>
      <c r="AK18" s="57">
        <f t="shared" si="15"/>
        <v>38551.333822113476</v>
      </c>
      <c r="AL18" s="57">
        <f t="shared" si="16"/>
        <v>43275.745139449013</v>
      </c>
      <c r="AN18" s="41">
        <v>13</v>
      </c>
      <c r="AO18" s="57">
        <f t="shared" si="17"/>
        <v>12307.775485889264</v>
      </c>
      <c r="AP18" s="57">
        <f t="shared" si="18"/>
        <v>16687.132907578987</v>
      </c>
      <c r="AR18" s="41">
        <v>13</v>
      </c>
      <c r="AS18" s="57">
        <f t="shared" si="19"/>
        <v>18410.295226748323</v>
      </c>
      <c r="AT18" s="57">
        <f t="shared" si="20"/>
        <v>-4212.671309796473</v>
      </c>
      <c r="AV18" s="57">
        <f t="shared" si="21"/>
        <v>-2403.9360030448015</v>
      </c>
      <c r="AW18" s="57">
        <f t="shared" si="22"/>
        <v>-1596.1647755192664</v>
      </c>
      <c r="AX18" s="57">
        <f t="shared" si="23"/>
        <v>-11.139110817870446</v>
      </c>
      <c r="AY18" s="57">
        <f t="shared" si="24"/>
        <v>-213.9895718756608</v>
      </c>
      <c r="BA18" s="57">
        <f t="shared" si="25"/>
        <v>13727.779168192596</v>
      </c>
      <c r="BB18" s="57">
        <f t="shared" si="26"/>
        <v>27630.87412409002</v>
      </c>
    </row>
    <row r="19" spans="2:54" ht="15.75" thickBot="1" x14ac:dyDescent="0.3">
      <c r="B19" s="18" t="s">
        <v>12</v>
      </c>
      <c r="C19" s="20"/>
      <c r="D19" s="48" t="s">
        <v>59</v>
      </c>
      <c r="E19" s="27"/>
      <c r="F19" s="27">
        <f>'Conditions initiales et traject'!I37</f>
        <v>3500</v>
      </c>
      <c r="G19" s="28"/>
      <c r="I19" s="41">
        <v>14</v>
      </c>
      <c r="J19" s="57">
        <f t="shared" si="0"/>
        <v>24851.478631379981</v>
      </c>
      <c r="K19" s="57">
        <f t="shared" si="1"/>
        <v>8709.6094779983396</v>
      </c>
      <c r="M19" s="41">
        <v>14</v>
      </c>
      <c r="N19" s="57">
        <f t="shared" si="2"/>
        <v>-16603.964958034012</v>
      </c>
      <c r="O19" s="57">
        <f t="shared" si="3"/>
        <v>10846.726634598837</v>
      </c>
      <c r="Q19" s="41">
        <v>14</v>
      </c>
      <c r="R19" s="57">
        <f t="shared" si="4"/>
        <v>-148.52136862001771</v>
      </c>
      <c r="S19" s="41">
        <f t="shared" si="5"/>
        <v>-13790.39052200166</v>
      </c>
      <c r="U19" s="41">
        <v>13</v>
      </c>
      <c r="V19" s="41">
        <f t="shared" si="27"/>
        <v>6.5</v>
      </c>
      <c r="W19" s="57">
        <f t="shared" si="28"/>
        <v>16276.197057780093</v>
      </c>
      <c r="X19" s="57">
        <f t="shared" si="29"/>
        <v>22737.114320872639</v>
      </c>
      <c r="Y19" s="57">
        <f t="shared" si="30"/>
        <v>-909.08714674324688</v>
      </c>
      <c r="Z19" s="57">
        <f t="shared" si="31"/>
        <v>-545.33231808255618</v>
      </c>
      <c r="AA19" s="57">
        <f t="shared" si="6"/>
        <v>-2325.4485155002599</v>
      </c>
      <c r="AB19" s="57">
        <f t="shared" si="7"/>
        <v>-3349.5848652248915</v>
      </c>
      <c r="AC19" s="57">
        <f t="shared" si="8"/>
        <v>302.90239578711186</v>
      </c>
      <c r="AD19" s="57">
        <f t="shared" si="9"/>
        <v>-1239.420695533109</v>
      </c>
      <c r="AE19" s="57">
        <f t="shared" si="10"/>
        <v>-109.16215271078605</v>
      </c>
      <c r="AF19" s="57">
        <f t="shared" si="11"/>
        <v>-38.328461397847654</v>
      </c>
      <c r="AG19" s="57">
        <f t="shared" si="12"/>
        <v>-126.75339902008756</v>
      </c>
      <c r="AH19" s="57">
        <f t="shared" si="13"/>
        <v>-224.81966567569049</v>
      </c>
      <c r="AJ19" s="57">
        <f t="shared" si="14"/>
        <v>15685.546250603697</v>
      </c>
      <c r="AK19" s="57">
        <f t="shared" si="15"/>
        <v>38447.321807869426</v>
      </c>
      <c r="AL19" s="57">
        <f t="shared" si="16"/>
        <v>43321.661539097287</v>
      </c>
      <c r="AN19" s="41">
        <v>14</v>
      </c>
      <c r="AO19" s="57">
        <f t="shared" si="17"/>
        <v>12277.217947069974</v>
      </c>
      <c r="AP19" s="57">
        <f t="shared" si="18"/>
        <v>16814.414216997509</v>
      </c>
      <c r="AR19" s="41">
        <v>14</v>
      </c>
      <c r="AS19" s="57">
        <f t="shared" si="19"/>
        <v>18396.035041965988</v>
      </c>
      <c r="AT19" s="57">
        <f t="shared" si="20"/>
        <v>-4153.2733654011627</v>
      </c>
      <c r="AV19" s="57">
        <f t="shared" si="21"/>
        <v>-2382.6740380131364</v>
      </c>
      <c r="AW19" s="57">
        <f t="shared" si="22"/>
        <v>-1634.8615873791866</v>
      </c>
      <c r="AX19" s="57">
        <f t="shared" si="23"/>
        <v>-9.7613215433618343</v>
      </c>
      <c r="AY19" s="57">
        <f t="shared" si="24"/>
        <v>-212.15445523905791</v>
      </c>
      <c r="BA19" s="57">
        <f t="shared" si="25"/>
        <v>13675.363179826008</v>
      </c>
      <c r="BB19" s="57">
        <f t="shared" si="26"/>
        <v>27766.457998445618</v>
      </c>
    </row>
    <row r="20" spans="2:54" ht="15.75" thickBot="1" x14ac:dyDescent="0.3">
      <c r="B20" s="8" t="s">
        <v>13</v>
      </c>
      <c r="C20" s="9"/>
      <c r="D20" s="49" t="s">
        <v>60</v>
      </c>
      <c r="E20" s="33"/>
      <c r="F20" s="33">
        <f>'Conditions initiales et traject'!I38</f>
        <v>1</v>
      </c>
      <c r="G20" s="34"/>
      <c r="I20" s="41">
        <v>15</v>
      </c>
      <c r="J20" s="57">
        <f t="shared" si="0"/>
        <v>24829.629131445341</v>
      </c>
      <c r="K20" s="57">
        <f t="shared" si="1"/>
        <v>8794.0952255126031</v>
      </c>
      <c r="M20" s="41">
        <v>15</v>
      </c>
      <c r="N20" s="57">
        <f t="shared" si="2"/>
        <v>-16619.259607988261</v>
      </c>
      <c r="O20" s="57">
        <f t="shared" si="3"/>
        <v>10905.866657858822</v>
      </c>
      <c r="Q20" s="41">
        <v>15</v>
      </c>
      <c r="R20" s="57">
        <f t="shared" si="4"/>
        <v>-170.37086855465805</v>
      </c>
      <c r="S20" s="41">
        <f t="shared" si="5"/>
        <v>-13705.904774487397</v>
      </c>
      <c r="U20" s="41">
        <v>14</v>
      </c>
      <c r="V20" s="41">
        <f t="shared" si="27"/>
        <v>7</v>
      </c>
      <c r="W20" s="57">
        <f t="shared" si="28"/>
        <v>15530.972419970936</v>
      </c>
      <c r="X20" s="57">
        <f t="shared" si="29"/>
        <v>22045.75005367825</v>
      </c>
      <c r="Y20" s="57">
        <f t="shared" si="30"/>
        <v>-2071.8114044933768</v>
      </c>
      <c r="Z20" s="57">
        <f t="shared" si="31"/>
        <v>-2220.1247506950021</v>
      </c>
      <c r="AA20" s="57">
        <f t="shared" si="6"/>
        <v>-2320.261111522615</v>
      </c>
      <c r="AB20" s="57">
        <f t="shared" si="7"/>
        <v>-3403.1783936609881</v>
      </c>
      <c r="AC20" s="57">
        <f t="shared" si="8"/>
        <v>387.60202875079699</v>
      </c>
      <c r="AD20" s="57">
        <f t="shared" si="9"/>
        <v>-1261.5635346942831</v>
      </c>
      <c r="AE20" s="57">
        <f t="shared" si="10"/>
        <v>-114.79201963303775</v>
      </c>
      <c r="AF20" s="57">
        <f t="shared" si="11"/>
        <v>-38.916919028067241</v>
      </c>
      <c r="AG20" s="57">
        <f t="shared" si="12"/>
        <v>-130.42765250230869</v>
      </c>
      <c r="AH20" s="57">
        <f t="shared" si="13"/>
        <v>-235.34151796865396</v>
      </c>
      <c r="AJ20" s="57">
        <f t="shared" si="14"/>
        <v>15216.801639475401</v>
      </c>
      <c r="AK20" s="57">
        <f t="shared" si="15"/>
        <v>37517.330601529007</v>
      </c>
      <c r="AL20" s="57">
        <f t="shared" si="16"/>
        <v>42354.556136845647</v>
      </c>
      <c r="AN20" s="41">
        <v>15</v>
      </c>
      <c r="AO20" s="57">
        <f t="shared" si="17"/>
        <v>12244.443697168012</v>
      </c>
      <c r="AP20" s="57">
        <f t="shared" si="18"/>
        <v>16941.142838268905</v>
      </c>
      <c r="AR20" s="41">
        <v>15</v>
      </c>
      <c r="AS20" s="57">
        <f t="shared" si="19"/>
        <v>18380.740392011739</v>
      </c>
      <c r="AT20" s="57">
        <f t="shared" si="20"/>
        <v>-4094.1333421411773</v>
      </c>
      <c r="AV20" s="57">
        <f t="shared" si="21"/>
        <v>-2458.2723460321172</v>
      </c>
      <c r="AW20" s="57">
        <f t="shared" si="22"/>
        <v>-1644.7078031621461</v>
      </c>
      <c r="AX20" s="57">
        <f t="shared" si="23"/>
        <v>-4.371122105948257</v>
      </c>
      <c r="AY20" s="57">
        <f t="shared" si="24"/>
        <v>-222.64861880783801</v>
      </c>
      <c r="BA20" s="57">
        <f t="shared" si="25"/>
        <v>12670.594853008897</v>
      </c>
      <c r="BB20" s="57">
        <f t="shared" si="26"/>
        <v>27050.961677485826</v>
      </c>
    </row>
    <row r="21" spans="2:54" ht="15.75" thickBot="1" x14ac:dyDescent="0.3">
      <c r="B21" s="21" t="s">
        <v>14</v>
      </c>
      <c r="C21" s="22"/>
      <c r="D21" s="53" t="s">
        <v>69</v>
      </c>
      <c r="E21" s="81">
        <f>'Conditions initiales et traject'!H39</f>
        <v>179594380030.21649</v>
      </c>
      <c r="F21" s="82"/>
      <c r="G21" s="83"/>
      <c r="I21" s="41">
        <v>16</v>
      </c>
      <c r="J21" s="57">
        <f t="shared" si="0"/>
        <v>24806.308479691594</v>
      </c>
      <c r="K21" s="57">
        <f t="shared" si="1"/>
        <v>8878.1867790849956</v>
      </c>
      <c r="M21" s="41">
        <v>16</v>
      </c>
      <c r="N21" s="57">
        <f t="shared" si="2"/>
        <v>-16635.584064215884</v>
      </c>
      <c r="O21" s="57">
        <f t="shared" si="3"/>
        <v>10964.730745359497</v>
      </c>
      <c r="Q21" s="41">
        <v>16</v>
      </c>
      <c r="R21" s="57">
        <f t="shared" si="4"/>
        <v>-193.69152030840542</v>
      </c>
      <c r="S21" s="41">
        <f t="shared" si="5"/>
        <v>-13621.813220915004</v>
      </c>
      <c r="U21" s="41">
        <v>15</v>
      </c>
      <c r="V21" s="41">
        <f t="shared" si="27"/>
        <v>7.5</v>
      </c>
      <c r="W21" s="57">
        <f t="shared" si="28"/>
        <v>14205.034078783921</v>
      </c>
      <c r="X21" s="57">
        <f t="shared" si="29"/>
        <v>20510.290379123126</v>
      </c>
      <c r="Y21" s="57">
        <f t="shared" si="30"/>
        <v>-3231.9419602546841</v>
      </c>
      <c r="Z21" s="57">
        <f t="shared" si="31"/>
        <v>-3921.7139475254962</v>
      </c>
      <c r="AA21" s="57">
        <f t="shared" si="6"/>
        <v>-2276.6345607408393</v>
      </c>
      <c r="AB21" s="57">
        <f t="shared" si="7"/>
        <v>-3389.6312700848098</v>
      </c>
      <c r="AC21" s="57">
        <f t="shared" si="8"/>
        <v>575.71782759100211</v>
      </c>
      <c r="AD21" s="57">
        <f t="shared" si="9"/>
        <v>-1292.5453255858049</v>
      </c>
      <c r="AE21" s="57">
        <f t="shared" si="10"/>
        <v>-126.72855495308463</v>
      </c>
      <c r="AF21" s="57">
        <f t="shared" si="11"/>
        <v>-38.940288988331744</v>
      </c>
      <c r="AG21" s="57">
        <f t="shared" si="12"/>
        <v>-139.77019515183846</v>
      </c>
      <c r="AH21" s="57">
        <f t="shared" si="13"/>
        <v>-258.43641806767209</v>
      </c>
      <c r="AJ21" s="57">
        <f t="shared" si="14"/>
        <v>14242.516834364615</v>
      </c>
      <c r="AK21" s="57">
        <f t="shared" si="15"/>
        <v>35783.383855977874</v>
      </c>
      <c r="AL21" s="57">
        <f t="shared" si="16"/>
        <v>40370.955608913893</v>
      </c>
      <c r="AN21" s="41">
        <v>16</v>
      </c>
      <c r="AO21" s="57">
        <f t="shared" si="17"/>
        <v>12209.462719537391</v>
      </c>
      <c r="AP21" s="57">
        <f t="shared" si="18"/>
        <v>17067.280168627494</v>
      </c>
      <c r="AR21" s="41">
        <v>16</v>
      </c>
      <c r="AS21" s="57">
        <f t="shared" si="19"/>
        <v>18364.415935784116</v>
      </c>
      <c r="AT21" s="57">
        <f t="shared" si="20"/>
        <v>-4035.2692546405028</v>
      </c>
      <c r="AV21" s="57">
        <f t="shared" si="21"/>
        <v>-2593.5558533299195</v>
      </c>
      <c r="AW21" s="57">
        <f t="shared" si="22"/>
        <v>-1552.5467634347251</v>
      </c>
      <c r="AX21" s="57">
        <f t="shared" si="23"/>
        <v>7.7022151030014223</v>
      </c>
      <c r="AY21" s="57">
        <f t="shared" si="24"/>
        <v>-247.16247400827575</v>
      </c>
      <c r="BA21" s="57">
        <f t="shared" si="25"/>
        <v>10728.278168179189</v>
      </c>
      <c r="BB21" s="57">
        <f t="shared" si="26"/>
        <v>25522.673959502692</v>
      </c>
    </row>
    <row r="22" spans="2:54" ht="15.75" thickBot="1" x14ac:dyDescent="0.3">
      <c r="B22" s="10" t="s">
        <v>15</v>
      </c>
      <c r="C22" s="11"/>
      <c r="D22" s="54" t="s">
        <v>70</v>
      </c>
      <c r="E22" s="81">
        <f>'Conditions initiales et traject'!H40</f>
        <v>179594380030.21649</v>
      </c>
      <c r="F22" s="82"/>
      <c r="G22" s="83"/>
      <c r="I22" s="41">
        <v>17</v>
      </c>
      <c r="J22" s="57">
        <f t="shared" si="0"/>
        <v>24781.523779815179</v>
      </c>
      <c r="K22" s="57">
        <f t="shared" si="1"/>
        <v>8961.8585236136842</v>
      </c>
      <c r="M22" s="41">
        <v>17</v>
      </c>
      <c r="N22" s="57">
        <f t="shared" si="2"/>
        <v>-16652.933354129374</v>
      </c>
      <c r="O22" s="57">
        <f t="shared" si="3"/>
        <v>11023.300966529579</v>
      </c>
      <c r="Q22" s="41">
        <v>17</v>
      </c>
      <c r="R22" s="57">
        <f t="shared" si="4"/>
        <v>-218.47622018482252</v>
      </c>
      <c r="S22" s="41">
        <f t="shared" si="5"/>
        <v>-13538.141476386316</v>
      </c>
      <c r="U22" s="41">
        <v>16</v>
      </c>
      <c r="V22" s="41">
        <f t="shared" si="27"/>
        <v>8</v>
      </c>
      <c r="W22" s="57">
        <f t="shared" si="28"/>
        <v>12304.483778563974</v>
      </c>
      <c r="X22" s="57">
        <f t="shared" si="29"/>
        <v>18125.729496599775</v>
      </c>
      <c r="Y22" s="57">
        <f t="shared" si="30"/>
        <v>-4370.2592406251042</v>
      </c>
      <c r="Z22" s="57">
        <f t="shared" si="31"/>
        <v>-5616.5295825679013</v>
      </c>
      <c r="AA22" s="57">
        <f t="shared" si="6"/>
        <v>-2011.6040277318255</v>
      </c>
      <c r="AB22" s="57">
        <f t="shared" si="7"/>
        <v>-2994.3305008055604</v>
      </c>
      <c r="AC22" s="57">
        <f t="shared" si="8"/>
        <v>897.59142838897174</v>
      </c>
      <c r="AD22" s="57">
        <f t="shared" si="9"/>
        <v>-1239.3663325613859</v>
      </c>
      <c r="AE22" s="57">
        <f t="shared" si="10"/>
        <v>-147.11306378782905</v>
      </c>
      <c r="AF22" s="57">
        <f t="shared" si="11"/>
        <v>-37.004180904111813</v>
      </c>
      <c r="AG22" s="57">
        <f t="shared" si="12"/>
        <v>-156.46939511201703</v>
      </c>
      <c r="AH22" s="57">
        <f t="shared" si="13"/>
        <v>-299.52715858521816</v>
      </c>
      <c r="AJ22" s="57">
        <f t="shared" si="14"/>
        <v>13119.721690999986</v>
      </c>
      <c r="AK22" s="57">
        <f t="shared" si="15"/>
        <v>33310.766308378661</v>
      </c>
      <c r="AL22" s="57">
        <f t="shared" si="16"/>
        <v>37373.240607746127</v>
      </c>
      <c r="AN22" s="41">
        <v>17</v>
      </c>
      <c r="AO22" s="57">
        <f t="shared" si="17"/>
        <v>12172.285669722765</v>
      </c>
      <c r="AP22" s="57">
        <f t="shared" si="18"/>
        <v>17192.787785420525</v>
      </c>
      <c r="AR22" s="41">
        <v>17</v>
      </c>
      <c r="AS22" s="57">
        <f t="shared" si="19"/>
        <v>18347.066645870626</v>
      </c>
      <c r="AT22" s="57">
        <f t="shared" si="20"/>
        <v>-3976.6990334704215</v>
      </c>
      <c r="AV22" s="57">
        <f t="shared" si="21"/>
        <v>-2639.3014943406347</v>
      </c>
      <c r="AW22" s="57">
        <f t="shared" si="22"/>
        <v>-1129.4080158669674</v>
      </c>
      <c r="AX22" s="57">
        <f t="shared" si="23"/>
        <v>33.688497119683682</v>
      </c>
      <c r="AY22" s="57">
        <f t="shared" si="24"/>
        <v>-289.02481288787726</v>
      </c>
      <c r="BA22" s="57">
        <f t="shared" si="25"/>
        <v>7945.1663391786906</v>
      </c>
      <c r="BB22" s="57">
        <f t="shared" si="26"/>
        <v>23282.293109784732</v>
      </c>
    </row>
    <row r="23" spans="2:54" ht="15.75" thickBot="1" x14ac:dyDescent="0.3">
      <c r="B23" s="21" t="s">
        <v>16</v>
      </c>
      <c r="C23" s="22"/>
      <c r="D23" s="53" t="s">
        <v>71</v>
      </c>
      <c r="E23" s="37"/>
      <c r="F23" s="37">
        <f>'Conditions initiales et traject'!I41</f>
        <v>7000</v>
      </c>
      <c r="G23" s="35"/>
      <c r="I23" s="41">
        <v>18</v>
      </c>
      <c r="J23" s="57">
        <f t="shared" si="0"/>
        <v>24755.282581475767</v>
      </c>
      <c r="K23" s="57">
        <f t="shared" si="1"/>
        <v>9045.0849718747377</v>
      </c>
      <c r="M23" s="41">
        <v>18</v>
      </c>
      <c r="N23" s="57">
        <f t="shared" si="2"/>
        <v>-16671.302192966963</v>
      </c>
      <c r="O23" s="57">
        <f t="shared" si="3"/>
        <v>11081.559480312317</v>
      </c>
      <c r="Q23" s="41">
        <v>18</v>
      </c>
      <c r="R23" s="57">
        <f t="shared" si="4"/>
        <v>-244.71741852423202</v>
      </c>
      <c r="S23" s="41">
        <f t="shared" si="5"/>
        <v>-13454.915028125262</v>
      </c>
      <c r="U23" s="41">
        <v>17</v>
      </c>
      <c r="V23" s="41">
        <f t="shared" si="27"/>
        <v>8.5</v>
      </c>
      <c r="W23" s="57">
        <f t="shared" si="28"/>
        <v>9867.9036547849446</v>
      </c>
      <c r="X23" s="57">
        <f t="shared" si="29"/>
        <v>14943.173392715129</v>
      </c>
      <c r="Y23" s="57">
        <f t="shared" si="30"/>
        <v>-5376.0612544910173</v>
      </c>
      <c r="Z23" s="57">
        <f t="shared" si="31"/>
        <v>-7113.6948329706811</v>
      </c>
      <c r="AA23" s="57">
        <f t="shared" si="6"/>
        <v>-1186.0251885527782</v>
      </c>
      <c r="AB23" s="57">
        <f t="shared" si="7"/>
        <v>-1661.175475268863</v>
      </c>
      <c r="AC23" s="57">
        <f t="shared" si="8"/>
        <v>1279.7241697758629</v>
      </c>
      <c r="AD23" s="57">
        <f t="shared" si="9"/>
        <v>-940.10247889011634</v>
      </c>
      <c r="AE23" s="57">
        <f t="shared" si="10"/>
        <v>-178.79324147591655</v>
      </c>
      <c r="AF23" s="57">
        <f t="shared" si="11"/>
        <v>-29.590493001320926</v>
      </c>
      <c r="AG23" s="57">
        <f t="shared" si="12"/>
        <v>-183.21693690644338</v>
      </c>
      <c r="AH23" s="57">
        <f t="shared" si="13"/>
        <v>-368.98924271050066</v>
      </c>
      <c r="AJ23" s="57">
        <f t="shared" si="14"/>
        <v>12572.199747965458</v>
      </c>
      <c r="AK23" s="57">
        <f t="shared" si="15"/>
        <v>30274.190854950408</v>
      </c>
      <c r="AL23" s="57">
        <f t="shared" si="16"/>
        <v>33431.245742780375</v>
      </c>
      <c r="AN23" s="41">
        <v>18</v>
      </c>
      <c r="AO23" s="57">
        <f t="shared" si="17"/>
        <v>12132.923872213651</v>
      </c>
      <c r="AP23" s="57">
        <f t="shared" si="18"/>
        <v>17317.627457812105</v>
      </c>
      <c r="AR23" s="41">
        <v>18</v>
      </c>
      <c r="AS23" s="57">
        <f t="shared" si="19"/>
        <v>18328.697807033037</v>
      </c>
      <c r="AT23" s="57">
        <f t="shared" si="20"/>
        <v>-3918.4405196876842</v>
      </c>
      <c r="AV23" s="57">
        <f t="shared" si="21"/>
        <v>-2193.3171857057278</v>
      </c>
      <c r="AW23" s="57">
        <f t="shared" si="22"/>
        <v>25.604199097232168</v>
      </c>
      <c r="AX23" s="57">
        <f t="shared" si="23"/>
        <v>89.578005759446469</v>
      </c>
      <c r="AY23" s="57">
        <f t="shared" si="24"/>
        <v>-348.09745976415707</v>
      </c>
      <c r="BA23" s="57">
        <f t="shared" si="25"/>
        <v>4868.2353328042936</v>
      </c>
      <c r="BB23" s="57">
        <f t="shared" si="26"/>
        <v>20592.925432499153</v>
      </c>
    </row>
    <row r="24" spans="2:54" ht="15.75" thickBot="1" x14ac:dyDescent="0.3">
      <c r="B24" s="12" t="s">
        <v>17</v>
      </c>
      <c r="C24" s="13"/>
      <c r="D24" s="50"/>
      <c r="E24" s="30"/>
      <c r="F24" s="30" t="s">
        <v>48</v>
      </c>
      <c r="G24" s="31"/>
      <c r="I24" s="41">
        <v>19</v>
      </c>
      <c r="J24" s="57">
        <f t="shared" si="0"/>
        <v>24727.592877996583</v>
      </c>
      <c r="K24" s="57">
        <f t="shared" si="1"/>
        <v>9127.8407722857828</v>
      </c>
      <c r="M24" s="41">
        <v>19</v>
      </c>
      <c r="N24" s="57">
        <f t="shared" si="2"/>
        <v>-16690.684985402389</v>
      </c>
      <c r="O24" s="57">
        <f t="shared" si="3"/>
        <v>11139.488540600049</v>
      </c>
      <c r="Q24" s="41">
        <v>19</v>
      </c>
      <c r="R24" s="57">
        <f t="shared" si="4"/>
        <v>-272.40712200341568</v>
      </c>
      <c r="S24" s="41">
        <f t="shared" si="5"/>
        <v>-13372.159227714217</v>
      </c>
      <c r="U24" s="41">
        <v>18</v>
      </c>
      <c r="V24" s="41">
        <f t="shared" si="27"/>
        <v>9</v>
      </c>
      <c r="W24" s="57">
        <f t="shared" si="28"/>
        <v>7031.6198789703385</v>
      </c>
      <c r="X24" s="57">
        <f t="shared" si="29"/>
        <v>11178.679041821182</v>
      </c>
      <c r="Y24" s="57">
        <f t="shared" si="30"/>
        <v>-5969.0738487674062</v>
      </c>
      <c r="Z24" s="57">
        <f t="shared" si="31"/>
        <v>-7944.2825706051126</v>
      </c>
      <c r="AA24" s="57">
        <f t="shared" si="6"/>
        <v>245.73847128819955</v>
      </c>
      <c r="AB24" s="57">
        <f t="shared" si="7"/>
        <v>473.05685167063928</v>
      </c>
      <c r="AC24" s="57">
        <f t="shared" si="8"/>
        <v>1436.0757398381218</v>
      </c>
      <c r="AD24" s="57">
        <f t="shared" si="9"/>
        <v>-407.36481174264804</v>
      </c>
      <c r="AE24" s="57">
        <f t="shared" si="10"/>
        <v>-222.38563346844583</v>
      </c>
      <c r="AF24" s="57">
        <f t="shared" si="11"/>
        <v>-9.6968397212223909</v>
      </c>
      <c r="AG24" s="57">
        <f t="shared" si="12"/>
        <v>-222.09566708635569</v>
      </c>
      <c r="AH24" s="57">
        <f t="shared" si="13"/>
        <v>-483.24093045818944</v>
      </c>
      <c r="AJ24" s="57">
        <f t="shared" si="14"/>
        <v>13480.043117744532</v>
      </c>
      <c r="AK24" s="57">
        <f t="shared" si="15"/>
        <v>27057.305068405702</v>
      </c>
      <c r="AL24" s="57">
        <f t="shared" si="16"/>
        <v>28811.162997815998</v>
      </c>
      <c r="AN24" s="41">
        <v>19</v>
      </c>
      <c r="AO24" s="57">
        <f t="shared" si="17"/>
        <v>12091.389316994875</v>
      </c>
      <c r="AP24" s="57">
        <f t="shared" si="18"/>
        <v>17441.761158428675</v>
      </c>
      <c r="AR24" s="41">
        <v>19</v>
      </c>
      <c r="AS24" s="57">
        <f t="shared" si="19"/>
        <v>18309.315014597611</v>
      </c>
      <c r="AT24" s="57">
        <f t="shared" si="20"/>
        <v>-3860.5114593999515</v>
      </c>
      <c r="AV24" s="57">
        <f t="shared" si="21"/>
        <v>-943.52072041873259</v>
      </c>
      <c r="AW24" s="57">
        <f t="shared" si="22"/>
        <v>1774.6900100423361</v>
      </c>
      <c r="AX24" s="57">
        <f t="shared" si="23"/>
        <v>197.66475242361184</v>
      </c>
      <c r="AY24" s="57">
        <f t="shared" si="24"/>
        <v>-401.33057644963696</v>
      </c>
      <c r="BA24" s="57">
        <f t="shared" si="25"/>
        <v>4327.8139052001907</v>
      </c>
      <c r="BB24" s="57">
        <f t="shared" si="26"/>
        <v>18034.5428911155</v>
      </c>
    </row>
    <row r="25" spans="2:54" x14ac:dyDescent="0.25">
      <c r="I25" s="41">
        <v>20</v>
      </c>
      <c r="J25" s="57">
        <f t="shared" si="0"/>
        <v>24698.463103929542</v>
      </c>
      <c r="K25" s="57">
        <f t="shared" si="1"/>
        <v>9210.1007166283434</v>
      </c>
      <c r="M25" s="41">
        <v>20</v>
      </c>
      <c r="N25" s="57">
        <f t="shared" si="2"/>
        <v>-16711.075827249319</v>
      </c>
      <c r="O25" s="57">
        <f t="shared" si="3"/>
        <v>11197.070501639841</v>
      </c>
      <c r="Q25" s="41">
        <v>20</v>
      </c>
      <c r="R25" s="57">
        <f t="shared" si="4"/>
        <v>-301.53689607045817</v>
      </c>
      <c r="S25" s="41">
        <f t="shared" si="5"/>
        <v>-13289.899283371657</v>
      </c>
      <c r="U25" s="41">
        <v>19</v>
      </c>
      <c r="V25" s="41">
        <f t="shared" si="27"/>
        <v>9.5</v>
      </c>
      <c r="W25" s="57">
        <f t="shared" si="28"/>
        <v>4077.8002634976606</v>
      </c>
      <c r="X25" s="57">
        <f t="shared" si="29"/>
        <v>7265.6698629774564</v>
      </c>
      <c r="Y25" s="57">
        <f t="shared" si="30"/>
        <v>-5846.2046131233064</v>
      </c>
      <c r="Z25" s="57">
        <f t="shared" si="31"/>
        <v>-7707.7541447697931</v>
      </c>
      <c r="AA25" s="57">
        <f t="shared" si="6"/>
        <v>1397.5882686159027</v>
      </c>
      <c r="AB25" s="57">
        <f t="shared" si="7"/>
        <v>1832.5453395749053</v>
      </c>
      <c r="AC25" s="57">
        <f t="shared" si="8"/>
        <v>1253.9669219269158</v>
      </c>
      <c r="AD25" s="57">
        <f t="shared" si="9"/>
        <v>18.454877184037905</v>
      </c>
      <c r="AE25" s="57">
        <f t="shared" si="10"/>
        <v>-269.46453723360349</v>
      </c>
      <c r="AF25" s="57">
        <f t="shared" si="11"/>
        <v>30.60100993252626</v>
      </c>
      <c r="AG25" s="57">
        <f t="shared" si="12"/>
        <v>-269.13782255510358</v>
      </c>
      <c r="AH25" s="57">
        <f t="shared" si="13"/>
        <v>-660.13061873027266</v>
      </c>
      <c r="AJ25" s="57">
        <f t="shared" si="14"/>
        <v>15923.923984439018</v>
      </c>
      <c r="AK25" s="57">
        <f t="shared" si="15"/>
        <v>24232.561293167459</v>
      </c>
      <c r="AL25" s="57">
        <f t="shared" si="16"/>
        <v>24045.093305517879</v>
      </c>
      <c r="AN25" s="41">
        <v>20</v>
      </c>
      <c r="AO25" s="57">
        <f t="shared" si="17"/>
        <v>12047.694655894313</v>
      </c>
      <c r="AP25" s="57">
        <f t="shared" si="18"/>
        <v>17565.151074942514</v>
      </c>
      <c r="AR25" s="41">
        <v>20</v>
      </c>
      <c r="AS25" s="57">
        <f t="shared" si="19"/>
        <v>18288.924172750681</v>
      </c>
      <c r="AT25" s="57">
        <f t="shared" si="20"/>
        <v>-3802.9294983601594</v>
      </c>
      <c r="AV25" s="57">
        <f t="shared" si="21"/>
        <v>337.52016346917037</v>
      </c>
      <c r="AW25" s="57">
        <f t="shared" si="22"/>
        <v>2830.7233984616928</v>
      </c>
      <c r="AX25" s="57">
        <f t="shared" si="23"/>
        <v>344.7035430085237</v>
      </c>
      <c r="AY25" s="57">
        <f t="shared" si="24"/>
        <v>-387.103327273079</v>
      </c>
      <c r="BA25" s="57">
        <f t="shared" si="25"/>
        <v>7789.115162998949</v>
      </c>
      <c r="BB25" s="57">
        <f t="shared" si="26"/>
        <v>16423.79688962346</v>
      </c>
    </row>
    <row r="26" spans="2:54" x14ac:dyDescent="0.25">
      <c r="B26" s="55"/>
      <c r="C26" s="55"/>
      <c r="D26" s="55"/>
      <c r="E26" s="55"/>
      <c r="F26" s="55"/>
      <c r="G26" s="55"/>
      <c r="I26" s="41">
        <v>21</v>
      </c>
      <c r="J26" s="57">
        <f t="shared" si="0"/>
        <v>24667.902132486008</v>
      </c>
      <c r="K26" s="57">
        <f t="shared" si="1"/>
        <v>9291.8397477265007</v>
      </c>
      <c r="M26" s="41">
        <v>21</v>
      </c>
      <c r="N26" s="57">
        <f t="shared" si="2"/>
        <v>-16732.468507259793</v>
      </c>
      <c r="O26" s="57">
        <f t="shared" si="3"/>
        <v>11254.287823408551</v>
      </c>
      <c r="Q26" s="41">
        <v>21</v>
      </c>
      <c r="R26" s="57">
        <f t="shared" si="4"/>
        <v>-332.09786751399133</v>
      </c>
      <c r="S26" s="41">
        <f t="shared" si="5"/>
        <v>-13208.160252273499</v>
      </c>
      <c r="U26" s="41">
        <v>20</v>
      </c>
      <c r="V26" s="41">
        <f t="shared" si="27"/>
        <v>10</v>
      </c>
      <c r="W26" s="57">
        <f t="shared" si="28"/>
        <v>1329.3964905129951</v>
      </c>
      <c r="X26" s="57">
        <f t="shared" si="29"/>
        <v>3640.8609580394232</v>
      </c>
      <c r="Y26" s="57">
        <f t="shared" si="30"/>
        <v>-5147.4104788153554</v>
      </c>
      <c r="Z26" s="57">
        <f t="shared" si="31"/>
        <v>-6791.4814749823408</v>
      </c>
      <c r="AA26" s="57">
        <f t="shared" si="6"/>
        <v>1739.6086271163492</v>
      </c>
      <c r="AB26" s="57">
        <f t="shared" si="7"/>
        <v>1951.4132528094856</v>
      </c>
      <c r="AC26" s="57">
        <f t="shared" si="8"/>
        <v>979.72527359298283</v>
      </c>
      <c r="AD26" s="57">
        <f t="shared" si="9"/>
        <v>202.50529404670925</v>
      </c>
      <c r="AE26" s="57">
        <f t="shared" si="10"/>
        <v>-301.58928596475522</v>
      </c>
      <c r="AF26" s="57">
        <f t="shared" si="11"/>
        <v>89.915727520397454</v>
      </c>
      <c r="AG26" s="57">
        <f t="shared" si="12"/>
        <v>-307.85172639125301</v>
      </c>
      <c r="AH26" s="57">
        <f t="shared" si="13"/>
        <v>-906.66167555678453</v>
      </c>
      <c r="AJ26" s="57">
        <f t="shared" si="14"/>
        <v>19065.266574418856</v>
      </c>
      <c r="AK26" s="57">
        <f t="shared" si="15"/>
        <v>22257.17421427292</v>
      </c>
      <c r="AL26" s="57">
        <f t="shared" si="16"/>
        <v>19686.110768536193</v>
      </c>
      <c r="AN26" s="41">
        <v>21</v>
      </c>
      <c r="AO26" s="57">
        <f t="shared" si="17"/>
        <v>12001.853198729013</v>
      </c>
      <c r="AP26" s="57">
        <f t="shared" si="18"/>
        <v>17687.75962158975</v>
      </c>
      <c r="AR26" s="41">
        <v>21</v>
      </c>
      <c r="AS26" s="57">
        <f t="shared" si="19"/>
        <v>18267.531492740207</v>
      </c>
      <c r="AT26" s="57">
        <f t="shared" si="20"/>
        <v>-3745.712176591449</v>
      </c>
      <c r="AV26" s="57">
        <f t="shared" si="21"/>
        <v>920.69945546267593</v>
      </c>
      <c r="AW26" s="57">
        <f t="shared" si="22"/>
        <v>2849.2189645183344</v>
      </c>
      <c r="AX26" s="57">
        <f t="shared" si="23"/>
        <v>448.62491041669858</v>
      </c>
      <c r="AY26" s="57">
        <f t="shared" si="24"/>
        <v>-283.56505771917097</v>
      </c>
      <c r="BA26" s="57">
        <f t="shared" si="25"/>
        <v>11937.477534992533</v>
      </c>
      <c r="BB26" s="57">
        <f t="shared" si="26"/>
        <v>16172.503776773972</v>
      </c>
    </row>
    <row r="27" spans="2:54" ht="15.75" thickBot="1" x14ac:dyDescent="0.3">
      <c r="B27" s="55"/>
      <c r="C27" s="55"/>
      <c r="D27" s="55"/>
      <c r="E27" s="55"/>
      <c r="F27" s="55"/>
      <c r="G27" s="55"/>
      <c r="I27" s="41">
        <v>22</v>
      </c>
      <c r="J27" s="57">
        <f t="shared" si="0"/>
        <v>24635.919272833937</v>
      </c>
      <c r="K27" s="57">
        <f t="shared" si="1"/>
        <v>9373.03296707956</v>
      </c>
      <c r="M27" s="41">
        <v>22</v>
      </c>
      <c r="N27" s="57">
        <f t="shared" si="2"/>
        <v>-16754.856509016245</v>
      </c>
      <c r="O27" s="57">
        <f t="shared" si="3"/>
        <v>11311.123076955691</v>
      </c>
      <c r="Q27" s="41">
        <v>22</v>
      </c>
      <c r="R27" s="57">
        <f t="shared" si="4"/>
        <v>-364.0807271660633</v>
      </c>
      <c r="S27" s="41">
        <f t="shared" si="5"/>
        <v>-13126.96703292044</v>
      </c>
      <c r="U27" s="41">
        <v>21</v>
      </c>
      <c r="V27" s="41">
        <f t="shared" si="27"/>
        <v>10.5</v>
      </c>
      <c r="W27" s="57">
        <f t="shared" si="28"/>
        <v>-1026.8576705051389</v>
      </c>
      <c r="X27" s="57">
        <f t="shared" si="29"/>
        <v>489.04687714943844</v>
      </c>
      <c r="Y27" s="57">
        <f t="shared" si="30"/>
        <v>-4277.6061652571807</v>
      </c>
      <c r="Z27" s="57">
        <f t="shared" si="31"/>
        <v>-5815.7748485775983</v>
      </c>
      <c r="AA27" s="57">
        <f t="shared" si="6"/>
        <v>1656.6689829085249</v>
      </c>
      <c r="AB27" s="57">
        <f t="shared" si="7"/>
        <v>1540.8829861161762</v>
      </c>
      <c r="AC27" s="57">
        <f t="shared" si="8"/>
        <v>765.73902618900672</v>
      </c>
      <c r="AD27" s="57">
        <f t="shared" si="9"/>
        <v>255.31919705144384</v>
      </c>
      <c r="AE27" s="57">
        <f t="shared" si="10"/>
        <v>-305.28759972452343</v>
      </c>
      <c r="AF27" s="57">
        <f t="shared" si="11"/>
        <v>153.03611808433701</v>
      </c>
      <c r="AG27" s="57">
        <f t="shared" si="12"/>
        <v>-310.10836416425656</v>
      </c>
      <c r="AH27" s="57">
        <f t="shared" si="13"/>
        <v>-1208.9380624194705</v>
      </c>
      <c r="AJ27" s="57">
        <f t="shared" si="14"/>
        <v>22164.886807436866</v>
      </c>
      <c r="AK27" s="57">
        <f t="shared" si="15"/>
        <v>21223.533145080499</v>
      </c>
      <c r="AL27" s="57">
        <f t="shared" si="16"/>
        <v>15990.510721454664</v>
      </c>
      <c r="AN27" s="41">
        <v>22</v>
      </c>
      <c r="AO27" s="57">
        <f t="shared" si="17"/>
        <v>11953.878909250907</v>
      </c>
      <c r="AP27" s="57">
        <f t="shared" si="18"/>
        <v>17809.549450619339</v>
      </c>
      <c r="AR27" s="41">
        <v>22</v>
      </c>
      <c r="AS27" s="57">
        <f t="shared" si="19"/>
        <v>18245.143490983755</v>
      </c>
      <c r="AT27" s="57">
        <f t="shared" si="20"/>
        <v>-3688.8769230443077</v>
      </c>
      <c r="AV27" s="57">
        <f t="shared" si="21"/>
        <v>1038.9654489505822</v>
      </c>
      <c r="AW27" s="57">
        <f t="shared" si="22"/>
        <v>2501.5322661037167</v>
      </c>
      <c r="AX27" s="57">
        <f t="shared" si="23"/>
        <v>467.36047165771618</v>
      </c>
      <c r="AY27" s="57">
        <f t="shared" si="24"/>
        <v>-160.06653270385098</v>
      </c>
      <c r="BA27" s="57">
        <f t="shared" si="25"/>
        <v>15712.758316543061</v>
      </c>
      <c r="BB27" s="57">
        <f t="shared" si="26"/>
        <v>16940.773371076462</v>
      </c>
    </row>
    <row r="28" spans="2:54" ht="15.75" thickBot="1" x14ac:dyDescent="0.3">
      <c r="B28" s="99" t="s">
        <v>19</v>
      </c>
      <c r="C28" s="100"/>
      <c r="D28" s="100"/>
      <c r="E28" s="100"/>
      <c r="F28" s="100"/>
      <c r="G28" s="101"/>
      <c r="I28" s="41">
        <v>23</v>
      </c>
      <c r="J28" s="57">
        <f t="shared" si="0"/>
        <v>24602.524267262201</v>
      </c>
      <c r="K28" s="57">
        <f t="shared" si="1"/>
        <v>9453.6556424463688</v>
      </c>
      <c r="M28" s="41">
        <v>23</v>
      </c>
      <c r="N28" s="57">
        <f t="shared" si="2"/>
        <v>-16778.233012916458</v>
      </c>
      <c r="O28" s="57">
        <f t="shared" si="3"/>
        <v>11367.558949712458</v>
      </c>
      <c r="Q28" s="41">
        <v>23</v>
      </c>
      <c r="R28" s="57">
        <f t="shared" si="4"/>
        <v>-397.47573273779835</v>
      </c>
      <c r="S28" s="41">
        <f t="shared" si="5"/>
        <v>-13046.344357553631</v>
      </c>
      <c r="U28" s="41">
        <v>22</v>
      </c>
      <c r="V28" s="41">
        <f t="shared" si="27"/>
        <v>11</v>
      </c>
      <c r="W28" s="57">
        <f t="shared" si="28"/>
        <v>-2958.5771302701637</v>
      </c>
      <c r="X28" s="57">
        <f t="shared" si="29"/>
        <v>-2226.2301738748388</v>
      </c>
      <c r="Y28" s="57">
        <f t="shared" si="30"/>
        <v>-3449.2716738029185</v>
      </c>
      <c r="Z28" s="57">
        <f t="shared" si="31"/>
        <v>-5045.3333555195104</v>
      </c>
      <c r="AA28" s="57">
        <f t="shared" si="6"/>
        <v>1522.900997815711</v>
      </c>
      <c r="AB28" s="57">
        <f t="shared" si="7"/>
        <v>1019.18659662368</v>
      </c>
      <c r="AC28" s="57">
        <f t="shared" si="8"/>
        <v>620.02943697229171</v>
      </c>
      <c r="AD28" s="57">
        <f t="shared" si="9"/>
        <v>262.67085213305495</v>
      </c>
      <c r="AE28" s="57">
        <f t="shared" si="10"/>
        <v>-283.12668340984817</v>
      </c>
      <c r="AF28" s="57">
        <f t="shared" si="11"/>
        <v>203.12693524454937</v>
      </c>
      <c r="AG28" s="57">
        <f t="shared" si="12"/>
        <v>-244.53665119473905</v>
      </c>
      <c r="AH28" s="57">
        <f t="shared" si="13"/>
        <v>-1530.1361333462664</v>
      </c>
      <c r="AJ28" s="57">
        <f t="shared" si="14"/>
        <v>24933.828772207402</v>
      </c>
      <c r="AK28" s="57">
        <f t="shared" si="15"/>
        <v>20973.573793932177</v>
      </c>
      <c r="AL28" s="57">
        <f t="shared" si="16"/>
        <v>12935.864984757749</v>
      </c>
      <c r="AN28" s="41">
        <v>23</v>
      </c>
      <c r="AO28" s="57">
        <f t="shared" si="17"/>
        <v>11903.786400893303</v>
      </c>
      <c r="AP28" s="57">
        <f t="shared" si="18"/>
        <v>17930.483463669552</v>
      </c>
      <c r="AR28" s="41">
        <v>23</v>
      </c>
      <c r="AS28" s="57">
        <f t="shared" si="19"/>
        <v>18221.766987083542</v>
      </c>
      <c r="AT28" s="57">
        <f t="shared" si="20"/>
        <v>-3632.4410502875417</v>
      </c>
      <c r="AV28" s="57">
        <f t="shared" si="21"/>
        <v>993.76288382528605</v>
      </c>
      <c r="AW28" s="57">
        <f t="shared" si="22"/>
        <v>2150.9860236093359</v>
      </c>
      <c r="AX28" s="57">
        <f t="shared" si="23"/>
        <v>436.77201162272036</v>
      </c>
      <c r="AY28" s="57">
        <f t="shared" si="24"/>
        <v>-67.461081016993916</v>
      </c>
      <c r="BA28" s="57">
        <f t="shared" si="25"/>
        <v>18975.825566804077</v>
      </c>
      <c r="BB28" s="57">
        <f t="shared" si="26"/>
        <v>18171.524195625003</v>
      </c>
    </row>
    <row r="29" spans="2:54" ht="15.75" thickBot="1" x14ac:dyDescent="0.3">
      <c r="B29" s="6" t="s">
        <v>11</v>
      </c>
      <c r="C29" s="7"/>
      <c r="D29" s="43" t="s">
        <v>65</v>
      </c>
      <c r="E29" s="23">
        <f>'Conditions initiales et traject'!H47</f>
        <v>-5000</v>
      </c>
      <c r="F29" s="24"/>
      <c r="G29" s="25">
        <f>'Conditions initiales et traject'!J47</f>
        <v>-15000</v>
      </c>
      <c r="I29" s="41">
        <v>24</v>
      </c>
      <c r="J29" s="57">
        <f t="shared" si="0"/>
        <v>24567.727288213006</v>
      </c>
      <c r="K29" s="57">
        <f t="shared" si="1"/>
        <v>9533.6832153790001</v>
      </c>
      <c r="M29" s="41">
        <v>24</v>
      </c>
      <c r="N29" s="57">
        <f t="shared" si="2"/>
        <v>-16802.590898250895</v>
      </c>
      <c r="O29" s="57">
        <f t="shared" si="3"/>
        <v>11423.5782507653</v>
      </c>
      <c r="Q29" s="41">
        <v>24</v>
      </c>
      <c r="R29" s="57">
        <f t="shared" si="4"/>
        <v>-432.27271178699539</v>
      </c>
      <c r="S29" s="41">
        <f t="shared" si="5"/>
        <v>-12966.316784621</v>
      </c>
      <c r="U29" s="41">
        <v>23</v>
      </c>
      <c r="V29" s="41">
        <f t="shared" si="27"/>
        <v>11.5</v>
      </c>
      <c r="W29" s="57">
        <f t="shared" si="28"/>
        <v>-4492.850342444659</v>
      </c>
      <c r="X29" s="57">
        <f t="shared" si="29"/>
        <v>-4621.498527056634</v>
      </c>
      <c r="Y29" s="57">
        <f t="shared" si="30"/>
        <v>-2687.821174895063</v>
      </c>
      <c r="Z29" s="57">
        <f t="shared" si="31"/>
        <v>-4535.7400572076704</v>
      </c>
      <c r="AA29" s="57">
        <f t="shared" si="6"/>
        <v>1484.5675271271703</v>
      </c>
      <c r="AB29" s="57">
        <f t="shared" si="7"/>
        <v>542.36130115941251</v>
      </c>
      <c r="AC29" s="57">
        <f t="shared" si="8"/>
        <v>520.40715228370982</v>
      </c>
      <c r="AD29" s="57">
        <f t="shared" si="9"/>
        <v>257.54922116782535</v>
      </c>
      <c r="AE29" s="57">
        <f t="shared" si="10"/>
        <v>-246.68129381911294</v>
      </c>
      <c r="AF29" s="57">
        <f t="shared" si="11"/>
        <v>232.59272360676982</v>
      </c>
      <c r="AG29" s="57">
        <f t="shared" si="12"/>
        <v>-88.538503064685614</v>
      </c>
      <c r="AH29" s="57">
        <f t="shared" si="13"/>
        <v>-1811.8852507926003</v>
      </c>
      <c r="AJ29" s="57">
        <f t="shared" si="14"/>
        <v>27328.198704613296</v>
      </c>
      <c r="AK29" s="57">
        <f t="shared" si="15"/>
        <v>21313.373962808844</v>
      </c>
      <c r="AL29" s="57">
        <f t="shared" si="16"/>
        <v>10390.885121059038</v>
      </c>
      <c r="AN29" s="41">
        <v>24</v>
      </c>
      <c r="AO29" s="57">
        <f t="shared" si="17"/>
        <v>11851.590932319506</v>
      </c>
      <c r="AP29" s="57">
        <f t="shared" si="18"/>
        <v>18050.524823068503</v>
      </c>
      <c r="AR29" s="41">
        <v>24</v>
      </c>
      <c r="AS29" s="57">
        <f t="shared" si="19"/>
        <v>18197.409101749105</v>
      </c>
      <c r="AT29" s="57">
        <f t="shared" si="20"/>
        <v>-3576.4217492346997</v>
      </c>
      <c r="AV29" s="57">
        <f t="shared" si="21"/>
        <v>905.55058495736671</v>
      </c>
      <c r="AW29" s="57">
        <f t="shared" si="22"/>
        <v>1871.7517740135831</v>
      </c>
      <c r="AX29" s="57">
        <f t="shared" si="23"/>
        <v>393.82958676989233</v>
      </c>
      <c r="AY29" s="57">
        <f t="shared" si="24"/>
        <v>-7.6471668361655665</v>
      </c>
      <c r="BA29" s="57">
        <f t="shared" si="25"/>
        <v>21797.188168920718</v>
      </c>
      <c r="BB29" s="57">
        <f t="shared" si="26"/>
        <v>19496.524763094709</v>
      </c>
    </row>
    <row r="30" spans="2:54" ht="15.75" thickBot="1" x14ac:dyDescent="0.3">
      <c r="B30" s="18" t="s">
        <v>12</v>
      </c>
      <c r="C30" s="20"/>
      <c r="D30" s="44" t="s">
        <v>61</v>
      </c>
      <c r="E30" s="26"/>
      <c r="F30" s="27">
        <f>'Conditions initiales et traject'!I48</f>
        <v>5000</v>
      </c>
      <c r="G30" s="28"/>
      <c r="I30" s="41">
        <v>25</v>
      </c>
      <c r="J30" s="57">
        <f t="shared" si="0"/>
        <v>24531.538935183249</v>
      </c>
      <c r="K30" s="57">
        <f t="shared" si="1"/>
        <v>9613.0913087034969</v>
      </c>
      <c r="M30" s="41">
        <v>25</v>
      </c>
      <c r="N30" s="57">
        <f t="shared" si="2"/>
        <v>-16827.922745371725</v>
      </c>
      <c r="O30" s="57">
        <f t="shared" si="3"/>
        <v>11479.163916092448</v>
      </c>
      <c r="Q30" s="41">
        <v>25</v>
      </c>
      <c r="R30" s="57">
        <f t="shared" si="4"/>
        <v>-468.46106481674997</v>
      </c>
      <c r="S30" s="41">
        <f t="shared" si="5"/>
        <v>-12886.908691296503</v>
      </c>
      <c r="U30" s="41">
        <v>24</v>
      </c>
      <c r="V30" s="41">
        <f t="shared" si="27"/>
        <v>12</v>
      </c>
      <c r="W30" s="57">
        <f t="shared" si="28"/>
        <v>-5651.1899890012946</v>
      </c>
      <c r="X30" s="57">
        <f t="shared" si="29"/>
        <v>-6821.573393015542</v>
      </c>
      <c r="Y30" s="57">
        <f t="shared" si="30"/>
        <v>-1945.5374113314779</v>
      </c>
      <c r="Z30" s="57">
        <f t="shared" si="31"/>
        <v>-4264.5594066279646</v>
      </c>
      <c r="AA30" s="57">
        <f t="shared" si="6"/>
        <v>1563.8705298040682</v>
      </c>
      <c r="AB30" s="57">
        <f t="shared" si="7"/>
        <v>204.11277432008222</v>
      </c>
      <c r="AC30" s="57">
        <f t="shared" si="8"/>
        <v>449.37110630530321</v>
      </c>
      <c r="AD30" s="57">
        <f t="shared" si="9"/>
        <v>250.89289356211103</v>
      </c>
      <c r="AE30" s="57">
        <f t="shared" si="10"/>
        <v>-206.59148185266474</v>
      </c>
      <c r="AF30" s="57">
        <f t="shared" si="11"/>
        <v>242.19386636889183</v>
      </c>
      <c r="AG30" s="57">
        <f t="shared" si="12"/>
        <v>157.55084026241855</v>
      </c>
      <c r="AH30" s="57">
        <f t="shared" si="13"/>
        <v>-1978.7128268526872</v>
      </c>
      <c r="AJ30" s="57">
        <f t="shared" si="14"/>
        <v>29378.410649716414</v>
      </c>
      <c r="AK30" s="57">
        <f t="shared" si="15"/>
        <v>22110.035733764544</v>
      </c>
      <c r="AL30" s="57">
        <f t="shared" si="16"/>
        <v>8204.3104626535696</v>
      </c>
      <c r="AN30" s="41">
        <v>25</v>
      </c>
      <c r="AO30" s="57">
        <f t="shared" si="17"/>
        <v>11797.308402774874</v>
      </c>
      <c r="AP30" s="57">
        <f t="shared" si="18"/>
        <v>18169.636963055247</v>
      </c>
      <c r="AR30" s="41">
        <v>25</v>
      </c>
      <c r="AS30" s="57">
        <f t="shared" si="19"/>
        <v>18172.077254628275</v>
      </c>
      <c r="AT30" s="57">
        <f t="shared" si="20"/>
        <v>-3520.8360839075522</v>
      </c>
      <c r="AV30" s="57">
        <f t="shared" si="21"/>
        <v>809.52599724425465</v>
      </c>
      <c r="AW30" s="57">
        <f t="shared" si="22"/>
        <v>1658.5124273119804</v>
      </c>
      <c r="AX30" s="57">
        <f t="shared" si="23"/>
        <v>354.01406784475654</v>
      </c>
      <c r="AY30" s="57">
        <f t="shared" si="24"/>
        <v>31.226413929786016</v>
      </c>
      <c r="BA30" s="57">
        <f t="shared" si="25"/>
        <v>24282.275707366582</v>
      </c>
      <c r="BB30" s="57">
        <f t="shared" si="26"/>
        <v>20731.371821178873</v>
      </c>
    </row>
    <row r="31" spans="2:54" ht="15.75" thickBot="1" x14ac:dyDescent="0.3">
      <c r="B31" s="8" t="s">
        <v>13</v>
      </c>
      <c r="C31" s="9"/>
      <c r="D31" s="45" t="s">
        <v>62</v>
      </c>
      <c r="E31" s="32"/>
      <c r="F31" s="33">
        <f>'Conditions initiales et traject'!I49</f>
        <v>1</v>
      </c>
      <c r="G31" s="34"/>
      <c r="I31" s="41">
        <v>26</v>
      </c>
      <c r="J31" s="57">
        <f t="shared" si="0"/>
        <v>24493.970231495834</v>
      </c>
      <c r="K31" s="57">
        <f t="shared" si="1"/>
        <v>9691.8557339453873</v>
      </c>
      <c r="M31" s="41">
        <v>26</v>
      </c>
      <c r="N31" s="57">
        <f t="shared" si="2"/>
        <v>-16854.220837952915</v>
      </c>
      <c r="O31" s="57">
        <f t="shared" si="3"/>
        <v>11534.299013761771</v>
      </c>
      <c r="Q31" s="41">
        <v>26</v>
      </c>
      <c r="R31" s="57">
        <f t="shared" si="4"/>
        <v>-506.02976850416508</v>
      </c>
      <c r="S31" s="41">
        <f t="shared" si="5"/>
        <v>-12808.144266054613</v>
      </c>
      <c r="U31" s="41">
        <v>25</v>
      </c>
      <c r="V31" s="41">
        <f t="shared" si="27"/>
        <v>12.5</v>
      </c>
      <c r="W31" s="57">
        <f t="shared" si="28"/>
        <v>-6428.4748784415251</v>
      </c>
      <c r="X31" s="57">
        <f t="shared" si="29"/>
        <v>-8928.3389995395137</v>
      </c>
      <c r="Y31" s="57">
        <f t="shared" si="30"/>
        <v>-1163.6021464294438</v>
      </c>
      <c r="Z31" s="57">
        <f t="shared" si="31"/>
        <v>-4162.5030194679239</v>
      </c>
      <c r="AA31" s="57">
        <f t="shared" si="6"/>
        <v>1719.0906314188239</v>
      </c>
      <c r="AB31" s="57">
        <f t="shared" si="7"/>
        <v>94.979267509948471</v>
      </c>
      <c r="AC31" s="57">
        <f t="shared" si="8"/>
        <v>396.27582938773963</v>
      </c>
      <c r="AD31" s="57">
        <f t="shared" si="9"/>
        <v>246.33103848970077</v>
      </c>
      <c r="AE31" s="57">
        <f t="shared" si="10"/>
        <v>-169.44321169735719</v>
      </c>
      <c r="AF31" s="57">
        <f t="shared" si="11"/>
        <v>236.32410679353407</v>
      </c>
      <c r="AG31" s="57">
        <f t="shared" si="12"/>
        <v>456.86886330413535</v>
      </c>
      <c r="AH31" s="57">
        <f t="shared" si="13"/>
        <v>-1941.8982451233803</v>
      </c>
      <c r="AJ31" s="57">
        <f t="shared" si="14"/>
        <v>31118.396595650709</v>
      </c>
      <c r="AK31" s="57">
        <f t="shared" si="15"/>
        <v>23290.949130651188</v>
      </c>
      <c r="AL31" s="57">
        <f t="shared" si="16"/>
        <v>6237.4359942889487</v>
      </c>
      <c r="AN31" s="41">
        <v>26</v>
      </c>
      <c r="AO31" s="57">
        <f t="shared" si="17"/>
        <v>11740.955347243753</v>
      </c>
      <c r="AP31" s="57">
        <f t="shared" si="18"/>
        <v>18287.783600918079</v>
      </c>
      <c r="AR31" s="41">
        <v>26</v>
      </c>
      <c r="AS31" s="57">
        <f t="shared" si="19"/>
        <v>18145.779162047085</v>
      </c>
      <c r="AT31" s="57">
        <f t="shared" si="20"/>
        <v>-3465.7009862382292</v>
      </c>
      <c r="AV31" s="57">
        <f t="shared" si="21"/>
        <v>714.19295990015166</v>
      </c>
      <c r="AW31" s="57">
        <f t="shared" si="22"/>
        <v>1495.3396176958486</v>
      </c>
      <c r="AX31" s="57">
        <f t="shared" si="23"/>
        <v>321.19619052415436</v>
      </c>
      <c r="AY31" s="57">
        <f t="shared" si="24"/>
        <v>58.882749654245423</v>
      </c>
      <c r="BA31" s="57">
        <f t="shared" si="25"/>
        <v>26517.455483587648</v>
      </c>
      <c r="BB31" s="57">
        <f t="shared" si="26"/>
        <v>21785.577405965229</v>
      </c>
    </row>
    <row r="32" spans="2:54" ht="15.75" thickBot="1" x14ac:dyDescent="0.3">
      <c r="B32" s="21" t="s">
        <v>14</v>
      </c>
      <c r="C32" s="22"/>
      <c r="D32" s="51" t="s">
        <v>66</v>
      </c>
      <c r="E32" s="81">
        <f>'Conditions initiales et traject'!H50</f>
        <v>523598775598.29883</v>
      </c>
      <c r="F32" s="82"/>
      <c r="G32" s="83"/>
      <c r="I32" s="41">
        <v>27</v>
      </c>
      <c r="J32" s="57">
        <f t="shared" si="0"/>
        <v>24455.032620941842</v>
      </c>
      <c r="K32" s="57">
        <f t="shared" si="1"/>
        <v>9769.952498697734</v>
      </c>
      <c r="M32" s="41">
        <v>27</v>
      </c>
      <c r="N32" s="57">
        <f t="shared" si="2"/>
        <v>-16881.477165340712</v>
      </c>
      <c r="O32" s="57">
        <f t="shared" si="3"/>
        <v>11588.966749088413</v>
      </c>
      <c r="Q32" s="41">
        <v>27</v>
      </c>
      <c r="R32" s="57">
        <f t="shared" si="4"/>
        <v>-544.96737905816008</v>
      </c>
      <c r="S32" s="41">
        <f t="shared" si="5"/>
        <v>-12730.047501302266</v>
      </c>
      <c r="U32" s="41">
        <v>26</v>
      </c>
      <c r="V32" s="41">
        <f t="shared" si="27"/>
        <v>13</v>
      </c>
      <c r="W32" s="57">
        <f t="shared" si="28"/>
        <v>-6795.3896227288942</v>
      </c>
      <c r="X32" s="57">
        <f t="shared" si="29"/>
        <v>-10997.718100834732</v>
      </c>
      <c r="Y32" s="57">
        <f t="shared" si="30"/>
        <v>-304.05683072003183</v>
      </c>
      <c r="Z32" s="57">
        <f t="shared" si="31"/>
        <v>-4115.0133857129495</v>
      </c>
      <c r="AA32" s="57">
        <f t="shared" si="6"/>
        <v>1855.3364977774263</v>
      </c>
      <c r="AB32" s="57">
        <f t="shared" si="7"/>
        <v>307.02282831695618</v>
      </c>
      <c r="AC32" s="57">
        <f t="shared" si="8"/>
        <v>355.04444369630903</v>
      </c>
      <c r="AD32" s="57">
        <f t="shared" si="9"/>
        <v>245.09858319773016</v>
      </c>
      <c r="AE32" s="57">
        <f t="shared" si="10"/>
        <v>-138.51773932779886</v>
      </c>
      <c r="AF32" s="57">
        <f t="shared" si="11"/>
        <v>220.26825171430147</v>
      </c>
      <c r="AG32" s="57">
        <f t="shared" si="12"/>
        <v>721.96339777856758</v>
      </c>
      <c r="AH32" s="57">
        <f t="shared" si="13"/>
        <v>-1609.4005458253298</v>
      </c>
      <c r="AJ32" s="57">
        <f t="shared" si="14"/>
        <v>32560.074938055594</v>
      </c>
      <c r="AK32" s="57">
        <f t="shared" si="15"/>
        <v>24804.554030614185</v>
      </c>
      <c r="AL32" s="57">
        <f t="shared" si="16"/>
        <v>4386.5344291124102</v>
      </c>
      <c r="AN32" s="41">
        <v>27</v>
      </c>
      <c r="AO32" s="57">
        <f t="shared" si="17"/>
        <v>11682.548931412759</v>
      </c>
      <c r="AP32" s="57">
        <f t="shared" si="18"/>
        <v>18404.928748046601</v>
      </c>
      <c r="AR32" s="41">
        <v>27</v>
      </c>
      <c r="AS32" s="57">
        <f t="shared" si="19"/>
        <v>18118.522834659288</v>
      </c>
      <c r="AT32" s="57">
        <f t="shared" si="20"/>
        <v>-3411.0332509115865</v>
      </c>
      <c r="AV32" s="57">
        <f t="shared" si="21"/>
        <v>621.47950676407515</v>
      </c>
      <c r="AW32" s="57">
        <f t="shared" si="22"/>
        <v>1369.776627909326</v>
      </c>
      <c r="AX32" s="57">
        <f t="shared" si="23"/>
        <v>295.36688886627314</v>
      </c>
      <c r="AY32" s="57">
        <f t="shared" si="24"/>
        <v>81.279911320928392</v>
      </c>
      <c r="BA32" s="57">
        <f t="shared" si="25"/>
        <v>28548.424874280721</v>
      </c>
      <c r="BB32" s="57">
        <f t="shared" si="26"/>
        <v>22605.566376970935</v>
      </c>
    </row>
    <row r="33" spans="2:54" ht="15.75" thickBot="1" x14ac:dyDescent="0.3">
      <c r="B33" s="10" t="s">
        <v>15</v>
      </c>
      <c r="C33" s="11"/>
      <c r="D33" s="52" t="s">
        <v>67</v>
      </c>
      <c r="E33" s="84">
        <f>'Conditions initiales et traject'!H51</f>
        <v>523598775598.29883</v>
      </c>
      <c r="F33" s="85"/>
      <c r="G33" s="86"/>
      <c r="I33" s="41">
        <v>28</v>
      </c>
      <c r="J33" s="57">
        <f t="shared" si="0"/>
        <v>24414.737964294636</v>
      </c>
      <c r="K33" s="57">
        <f t="shared" si="1"/>
        <v>9847.357813929455</v>
      </c>
      <c r="M33" s="41">
        <v>28</v>
      </c>
      <c r="N33" s="57">
        <f t="shared" si="2"/>
        <v>-16909.683424993756</v>
      </c>
      <c r="O33" s="57">
        <f t="shared" si="3"/>
        <v>11643.150469750617</v>
      </c>
      <c r="Q33" s="41">
        <v>28</v>
      </c>
      <c r="R33" s="57">
        <f t="shared" si="4"/>
        <v>-585.26203570536472</v>
      </c>
      <c r="S33" s="41">
        <f t="shared" si="5"/>
        <v>-12652.642186070545</v>
      </c>
      <c r="U33" s="41">
        <v>27</v>
      </c>
      <c r="V33" s="41">
        <f t="shared" si="27"/>
        <v>13.5</v>
      </c>
      <c r="W33" s="57">
        <f t="shared" si="28"/>
        <v>-6715.500975866732</v>
      </c>
      <c r="X33" s="57">
        <f t="shared" si="29"/>
        <v>-13016.846940151587</v>
      </c>
      <c r="Y33" s="57">
        <f t="shared" si="30"/>
        <v>623.61141816868133</v>
      </c>
      <c r="Z33" s="57">
        <f t="shared" si="31"/>
        <v>-3961.5019715544713</v>
      </c>
      <c r="AA33" s="57">
        <f t="shared" si="6"/>
        <v>1829.0137744068893</v>
      </c>
      <c r="AB33" s="57">
        <f t="shared" si="7"/>
        <v>882.97249874279396</v>
      </c>
      <c r="AC33" s="57">
        <f t="shared" si="8"/>
        <v>322.43442593987538</v>
      </c>
      <c r="AD33" s="57">
        <f t="shared" si="9"/>
        <v>247.6216998969993</v>
      </c>
      <c r="AE33" s="57">
        <f t="shared" si="10"/>
        <v>-114.94738594080684</v>
      </c>
      <c r="AF33" s="57">
        <f t="shared" si="11"/>
        <v>199.15891322388057</v>
      </c>
      <c r="AG33" s="57">
        <f t="shared" si="12"/>
        <v>812.96206769364142</v>
      </c>
      <c r="AH33" s="57">
        <f t="shared" si="13"/>
        <v>-939.80023023465947</v>
      </c>
      <c r="AJ33" s="57">
        <f t="shared" si="14"/>
        <v>33684.699802093295</v>
      </c>
      <c r="AK33" s="57">
        <f t="shared" si="15"/>
        <v>26575.42393619645</v>
      </c>
      <c r="AL33" s="57">
        <f t="shared" si="16"/>
        <v>2622.1822318416075</v>
      </c>
      <c r="AN33" s="41">
        <v>28</v>
      </c>
      <c r="AO33" s="57">
        <f t="shared" si="17"/>
        <v>11622.106946441952</v>
      </c>
      <c r="AP33" s="57">
        <f t="shared" si="18"/>
        <v>18521.036720894183</v>
      </c>
      <c r="AR33" s="41">
        <v>28</v>
      </c>
      <c r="AS33" s="57">
        <f t="shared" si="19"/>
        <v>18090.316575006244</v>
      </c>
      <c r="AT33" s="57">
        <f t="shared" si="20"/>
        <v>-3356.849530249382</v>
      </c>
      <c r="AV33" s="57">
        <f t="shared" si="21"/>
        <v>532.81500192599651</v>
      </c>
      <c r="AW33" s="57">
        <f t="shared" si="22"/>
        <v>1274.1918921886165</v>
      </c>
      <c r="AX33" s="57">
        <f t="shared" si="23"/>
        <v>275.74966478818294</v>
      </c>
      <c r="AY33" s="57">
        <f t="shared" si="24"/>
        <v>101.80022366795693</v>
      </c>
      <c r="BA33" s="57">
        <f t="shared" si="25"/>
        <v>30367.691311382492</v>
      </c>
      <c r="BB33" s="57">
        <f t="shared" si="26"/>
        <v>23148.062931802455</v>
      </c>
    </row>
    <row r="34" spans="2:54" ht="15.75" thickBot="1" x14ac:dyDescent="0.3">
      <c r="B34" s="21" t="s">
        <v>16</v>
      </c>
      <c r="C34" s="22"/>
      <c r="D34" s="51" t="s">
        <v>68</v>
      </c>
      <c r="E34" s="38"/>
      <c r="F34" s="37">
        <f>'Conditions initiales et traject'!I52</f>
        <v>10000</v>
      </c>
      <c r="G34" s="35"/>
      <c r="I34" s="41">
        <v>29</v>
      </c>
      <c r="J34" s="57">
        <f t="shared" si="0"/>
        <v>24373.09853569698</v>
      </c>
      <c r="K34" s="57">
        <f t="shared" si="1"/>
        <v>9924.048101231685</v>
      </c>
      <c r="M34" s="41">
        <v>29</v>
      </c>
      <c r="N34" s="57">
        <f t="shared" si="2"/>
        <v>-16938.831025012114</v>
      </c>
      <c r="O34" s="57">
        <f t="shared" si="3"/>
        <v>11696.833670862179</v>
      </c>
      <c r="Q34" s="41">
        <v>29</v>
      </c>
      <c r="R34" s="57">
        <f t="shared" si="4"/>
        <v>-626.90146430302138</v>
      </c>
      <c r="S34" s="41">
        <f t="shared" si="5"/>
        <v>-12575.951898768315</v>
      </c>
      <c r="U34" s="41">
        <v>28</v>
      </c>
      <c r="V34" s="41">
        <f t="shared" si="27"/>
        <v>14</v>
      </c>
      <c r="W34" s="57">
        <f t="shared" si="28"/>
        <v>-6175.0685449815301</v>
      </c>
      <c r="X34" s="57">
        <f t="shared" si="29"/>
        <v>-14887.226363585973</v>
      </c>
      <c r="Y34" s="57">
        <f t="shared" si="30"/>
        <v>1538.1183053721261</v>
      </c>
      <c r="Z34" s="57">
        <f t="shared" si="31"/>
        <v>-3520.0157221830741</v>
      </c>
      <c r="AA34" s="57">
        <f t="shared" si="6"/>
        <v>1513.6501274781253</v>
      </c>
      <c r="AB34" s="57">
        <f t="shared" si="7"/>
        <v>1700.9193204397668</v>
      </c>
      <c r="AC34" s="57">
        <f t="shared" si="8"/>
        <v>297.07208492810196</v>
      </c>
      <c r="AD34" s="57">
        <f t="shared" si="9"/>
        <v>254.08223860651393</v>
      </c>
      <c r="AE34" s="57">
        <f t="shared" si="10"/>
        <v>-98.533704567893906</v>
      </c>
      <c r="AF34" s="57">
        <f t="shared" si="11"/>
        <v>177.37741543258917</v>
      </c>
      <c r="AG34" s="57">
        <f t="shared" si="12"/>
        <v>602.62428001091041</v>
      </c>
      <c r="AH34" s="57">
        <f t="shared" si="13"/>
        <v>-57.835035869574426</v>
      </c>
      <c r="AJ34" s="57">
        <f t="shared" si="14"/>
        <v>34443.027125804729</v>
      </c>
      <c r="AK34" s="57">
        <f t="shared" si="15"/>
        <v>28469.330266241384</v>
      </c>
      <c r="AL34" s="57">
        <f t="shared" si="16"/>
        <v>1180.4676948036542</v>
      </c>
      <c r="AN34" s="41">
        <v>29</v>
      </c>
      <c r="AO34" s="57">
        <f t="shared" si="17"/>
        <v>11559.647803545467</v>
      </c>
      <c r="AP34" s="57">
        <f t="shared" si="18"/>
        <v>18636.072151847529</v>
      </c>
      <c r="AR34" s="41">
        <v>29</v>
      </c>
      <c r="AS34" s="57">
        <f t="shared" si="19"/>
        <v>18061.168974987886</v>
      </c>
      <c r="AT34" s="57">
        <f t="shared" si="20"/>
        <v>-3303.16632913782</v>
      </c>
      <c r="AV34" s="57">
        <f t="shared" si="21"/>
        <v>450.55579821489812</v>
      </c>
      <c r="AW34" s="57">
        <f t="shared" si="22"/>
        <v>1204.9915467160188</v>
      </c>
      <c r="AX34" s="57">
        <f t="shared" si="23"/>
        <v>261.9316688921088</v>
      </c>
      <c r="AY34" s="57">
        <f t="shared" si="24"/>
        <v>122.30315555421922</v>
      </c>
      <c r="BA34" s="57">
        <f t="shared" si="25"/>
        <v>31908.125245668445</v>
      </c>
      <c r="BB34" s="57">
        <f t="shared" si="26"/>
        <v>23369.654962139593</v>
      </c>
    </row>
    <row r="35" spans="2:54" ht="15.75" thickBot="1" x14ac:dyDescent="0.3">
      <c r="B35" s="12" t="s">
        <v>17</v>
      </c>
      <c r="C35" s="13"/>
      <c r="D35" s="46"/>
      <c r="E35" s="29"/>
      <c r="F35" s="30" t="s">
        <v>48</v>
      </c>
      <c r="G35" s="31"/>
      <c r="I35" s="41">
        <v>30</v>
      </c>
      <c r="J35" s="57">
        <f t="shared" si="0"/>
        <v>24330.127018922194</v>
      </c>
      <c r="K35" s="57">
        <f t="shared" si="1"/>
        <v>10000</v>
      </c>
      <c r="M35" s="41">
        <v>30</v>
      </c>
      <c r="N35" s="57">
        <f t="shared" si="2"/>
        <v>-16968.911086754466</v>
      </c>
      <c r="O35" s="57">
        <f t="shared" si="3"/>
        <v>11750</v>
      </c>
      <c r="Q35" s="41">
        <v>30</v>
      </c>
      <c r="R35" s="57">
        <f t="shared" si="4"/>
        <v>-669.8729810778068</v>
      </c>
      <c r="S35" s="41">
        <f t="shared" si="5"/>
        <v>-12500</v>
      </c>
      <c r="U35" s="41">
        <v>29</v>
      </c>
      <c r="V35" s="41">
        <f t="shared" si="27"/>
        <v>14.5</v>
      </c>
      <c r="W35" s="57">
        <f t="shared" si="28"/>
        <v>-5216.8031263607018</v>
      </c>
      <c r="X35" s="57">
        <f t="shared" si="29"/>
        <v>-16434.619309622536</v>
      </c>
      <c r="Y35" s="57">
        <f t="shared" si="30"/>
        <v>2294.943369111189</v>
      </c>
      <c r="Z35" s="57">
        <f t="shared" si="31"/>
        <v>-2669.5560619631906</v>
      </c>
      <c r="AA35" s="57">
        <f t="shared" si="6"/>
        <v>932.38536483860912</v>
      </c>
      <c r="AB35" s="57">
        <f t="shared" si="7"/>
        <v>2456.2151743245649</v>
      </c>
      <c r="AC35" s="57">
        <f t="shared" si="8"/>
        <v>278.87015269466519</v>
      </c>
      <c r="AD35" s="57">
        <f t="shared" si="9"/>
        <v>264.69060761257595</v>
      </c>
      <c r="AE35" s="57">
        <f t="shared" si="10"/>
        <v>-88.383573238790845</v>
      </c>
      <c r="AF35" s="57">
        <f t="shared" si="11"/>
        <v>158.04336042887394</v>
      </c>
      <c r="AG35" s="57">
        <f t="shared" si="12"/>
        <v>110.02535529538055</v>
      </c>
      <c r="AH35" s="57">
        <f t="shared" si="13"/>
        <v>728.05453456525595</v>
      </c>
      <c r="AJ35" s="57">
        <f t="shared" si="14"/>
        <v>34767.127597922015</v>
      </c>
      <c r="AK35" s="57">
        <f t="shared" si="15"/>
        <v>30287.489295903142</v>
      </c>
      <c r="AL35" s="57">
        <f t="shared" si="16"/>
        <v>1450.9087356348837</v>
      </c>
      <c r="AN35" s="41">
        <v>30</v>
      </c>
      <c r="AO35" s="57">
        <f t="shared" si="17"/>
        <v>11495.190528383289</v>
      </c>
      <c r="AP35" s="57">
        <f t="shared" si="18"/>
        <v>18750</v>
      </c>
      <c r="AR35" s="41">
        <v>30</v>
      </c>
      <c r="AS35" s="57">
        <f t="shared" si="19"/>
        <v>18031.088913245534</v>
      </c>
      <c r="AT35" s="57">
        <f t="shared" si="20"/>
        <v>-3250</v>
      </c>
      <c r="AV35" s="57">
        <f t="shared" si="21"/>
        <v>377.53082029566059</v>
      </c>
      <c r="AW35" s="57">
        <f t="shared" si="22"/>
        <v>1161.5705487192756</v>
      </c>
      <c r="AX35" s="57">
        <f t="shared" si="23"/>
        <v>254.34260979169352</v>
      </c>
      <c r="AY35" s="57">
        <f t="shared" si="24"/>
        <v>143.85612299858332</v>
      </c>
      <c r="BA35" s="57">
        <f t="shared" si="25"/>
        <v>33053.26545537835</v>
      </c>
      <c r="BB35" s="57">
        <f t="shared" si="26"/>
        <v>23226.485903081</v>
      </c>
    </row>
    <row r="36" spans="2:54" x14ac:dyDescent="0.25">
      <c r="I36" s="41">
        <v>31</v>
      </c>
      <c r="J36" s="57">
        <f t="shared" si="0"/>
        <v>24285.83650351056</v>
      </c>
      <c r="K36" s="57">
        <f t="shared" si="1"/>
        <v>10075.190374550271</v>
      </c>
      <c r="M36" s="41">
        <v>31</v>
      </c>
      <c r="N36" s="57">
        <f t="shared" si="2"/>
        <v>-16999.914447542607</v>
      </c>
      <c r="O36" s="57">
        <f t="shared" si="3"/>
        <v>11802.633262185189</v>
      </c>
      <c r="Q36" s="41">
        <v>31</v>
      </c>
      <c r="R36" s="57">
        <f t="shared" si="4"/>
        <v>-714.16349648943833</v>
      </c>
      <c r="S36" s="41">
        <f t="shared" si="5"/>
        <v>-12424.809625449729</v>
      </c>
      <c r="U36" s="41">
        <v>30</v>
      </c>
      <c r="V36" s="41">
        <f t="shared" si="27"/>
        <v>15</v>
      </c>
      <c r="W36" s="57">
        <f t="shared" si="28"/>
        <v>-3952.783271200281</v>
      </c>
      <c r="X36" s="57">
        <f t="shared" si="29"/>
        <v>-17462.370443813561</v>
      </c>
      <c r="Y36" s="57">
        <f t="shared" si="30"/>
        <v>2761.1360515304937</v>
      </c>
      <c r="Z36" s="57">
        <f t="shared" si="31"/>
        <v>-1441.4484748009081</v>
      </c>
      <c r="AA36" s="57">
        <f t="shared" si="6"/>
        <v>261.079912570999</v>
      </c>
      <c r="AB36" s="57">
        <f t="shared" si="7"/>
        <v>2897.3109291443798</v>
      </c>
      <c r="AC36" s="57">
        <f t="shared" si="8"/>
        <v>268.54501314719465</v>
      </c>
      <c r="AD36" s="57">
        <f t="shared" si="9"/>
        <v>279.86393159909136</v>
      </c>
      <c r="AE36" s="57">
        <f t="shared" si="10"/>
        <v>-83.427015124668515</v>
      </c>
      <c r="AF36" s="57">
        <f t="shared" si="11"/>
        <v>142.77264606662109</v>
      </c>
      <c r="AG36" s="57">
        <f t="shared" si="12"/>
        <v>-494.29538437895576</v>
      </c>
      <c r="AH36" s="57">
        <f t="shared" si="13"/>
        <v>1162.2602194325552</v>
      </c>
      <c r="AJ36" s="57">
        <f t="shared" si="14"/>
        <v>34595.603255489979</v>
      </c>
      <c r="AK36" s="57">
        <f t="shared" si="15"/>
        <v>31807.152578222311</v>
      </c>
      <c r="AL36" s="57">
        <f t="shared" si="16"/>
        <v>2675.8047536478775</v>
      </c>
      <c r="AN36" s="41">
        <v>31</v>
      </c>
      <c r="AO36" s="57">
        <f t="shared" si="17"/>
        <v>11428.754755265843</v>
      </c>
      <c r="AP36" s="57">
        <f t="shared" si="18"/>
        <v>18862.785561825407</v>
      </c>
      <c r="AR36" s="41">
        <v>31</v>
      </c>
      <c r="AS36" s="57">
        <f t="shared" si="19"/>
        <v>18000.085552457393</v>
      </c>
      <c r="AT36" s="57">
        <f t="shared" si="20"/>
        <v>-3197.3667378148102</v>
      </c>
      <c r="AV36" s="57">
        <f t="shared" si="21"/>
        <v>315.80681926399575</v>
      </c>
      <c r="AW36" s="57">
        <f t="shared" si="22"/>
        <v>1145.1006513928337</v>
      </c>
      <c r="AX36" s="57">
        <f t="shared" si="23"/>
        <v>254.45047966343287</v>
      </c>
      <c r="AY36" s="57">
        <f t="shared" si="24"/>
        <v>167.31348065327856</v>
      </c>
      <c r="BA36" s="57">
        <f t="shared" si="25"/>
        <v>33674.290239475929</v>
      </c>
      <c r="BB36" s="57">
        <f t="shared" si="26"/>
        <v>22683.004007492636</v>
      </c>
    </row>
    <row r="37" spans="2:54" x14ac:dyDescent="0.25">
      <c r="I37" s="41">
        <v>32</v>
      </c>
      <c r="J37" s="57">
        <f t="shared" si="0"/>
        <v>24240.240480782129</v>
      </c>
      <c r="K37" s="57">
        <f t="shared" si="1"/>
        <v>10149.596321166024</v>
      </c>
      <c r="M37" s="41">
        <v>32</v>
      </c>
      <c r="N37" s="57">
        <f t="shared" si="2"/>
        <v>-17031.831663452511</v>
      </c>
      <c r="O37" s="57">
        <f t="shared" si="3"/>
        <v>11854.717424816217</v>
      </c>
      <c r="Q37" s="41">
        <v>32</v>
      </c>
      <c r="R37" s="57">
        <f t="shared" si="4"/>
        <v>-759.75951921787055</v>
      </c>
      <c r="S37" s="41">
        <f t="shared" si="5"/>
        <v>-12350.403678833976</v>
      </c>
      <c r="U37" s="41">
        <v>31</v>
      </c>
      <c r="V37" s="41">
        <f t="shared" si="27"/>
        <v>15.5</v>
      </c>
      <c r="W37" s="57">
        <f t="shared" si="28"/>
        <v>-2539.5802563636594</v>
      </c>
      <c r="X37" s="57">
        <f t="shared" si="29"/>
        <v>-17820.930815070966</v>
      </c>
      <c r="Y37" s="57">
        <f t="shared" si="30"/>
        <v>2891.6760078159932</v>
      </c>
      <c r="Z37" s="57">
        <f t="shared" si="31"/>
        <v>7.2069897712817692</v>
      </c>
      <c r="AA37" s="57">
        <f t="shared" si="6"/>
        <v>-342.92570260187568</v>
      </c>
      <c r="AB37" s="57">
        <f t="shared" si="7"/>
        <v>2996.7359449193682</v>
      </c>
      <c r="AC37" s="57">
        <f t="shared" si="8"/>
        <v>267.30418457378971</v>
      </c>
      <c r="AD37" s="57">
        <f t="shared" si="9"/>
        <v>300.2891219440944</v>
      </c>
      <c r="AE37" s="57">
        <f t="shared" si="10"/>
        <v>-82.7863232998629</v>
      </c>
      <c r="AF37" s="57">
        <f t="shared" si="11"/>
        <v>131.90934735684172</v>
      </c>
      <c r="AG37" s="57">
        <f t="shared" si="12"/>
        <v>-1058.2441779631542</v>
      </c>
      <c r="AH37" s="57">
        <f t="shared" si="13"/>
        <v>1213.3025753864761</v>
      </c>
      <c r="AJ37" s="57">
        <f t="shared" si="14"/>
        <v>33899.590196264449</v>
      </c>
      <c r="AK37" s="57">
        <f t="shared" si="15"/>
        <v>32846.163383885963</v>
      </c>
      <c r="AL37" s="57">
        <f t="shared" si="16"/>
        <v>3743.1692425393298</v>
      </c>
      <c r="AN37" s="41">
        <v>32</v>
      </c>
      <c r="AO37" s="57">
        <f t="shared" si="17"/>
        <v>11360.360721173194</v>
      </c>
      <c r="AP37" s="57">
        <f t="shared" si="18"/>
        <v>18974.394481749037</v>
      </c>
      <c r="AR37" s="41">
        <v>32</v>
      </c>
      <c r="AS37" s="57">
        <f t="shared" si="19"/>
        <v>17968.168336547489</v>
      </c>
      <c r="AT37" s="57">
        <f t="shared" si="20"/>
        <v>-3145.2825751837827</v>
      </c>
      <c r="AV37" s="57">
        <f t="shared" si="21"/>
        <v>265.92686385909366</v>
      </c>
      <c r="AW37" s="57">
        <f t="shared" si="22"/>
        <v>1157.6197750824938</v>
      </c>
      <c r="AX37" s="57">
        <f t="shared" si="23"/>
        <v>264.87375022825807</v>
      </c>
      <c r="AY37" s="57">
        <f t="shared" si="24"/>
        <v>193.61512514946207</v>
      </c>
      <c r="BA37" s="57">
        <f t="shared" si="25"/>
        <v>33675.789077760652</v>
      </c>
      <c r="BB37" s="57">
        <f t="shared" si="26"/>
        <v>21725.863447381285</v>
      </c>
    </row>
    <row r="38" spans="2:54" ht="15.75" thickBot="1" x14ac:dyDescent="0.3">
      <c r="I38" s="41">
        <v>33</v>
      </c>
      <c r="J38" s="57">
        <f t="shared" si="0"/>
        <v>24193.352839727122</v>
      </c>
      <c r="K38" s="57">
        <f t="shared" si="1"/>
        <v>10223.195175075136</v>
      </c>
      <c r="M38" s="41">
        <v>33</v>
      </c>
      <c r="N38" s="57">
        <f t="shared" si="2"/>
        <v>-17064.653012191015</v>
      </c>
      <c r="O38" s="57">
        <f t="shared" si="3"/>
        <v>11906.236622552595</v>
      </c>
      <c r="Q38" s="41">
        <v>33</v>
      </c>
      <c r="R38" s="57">
        <f t="shared" si="4"/>
        <v>-806.64716027287977</v>
      </c>
      <c r="S38" s="41">
        <f t="shared" si="5"/>
        <v>-12276.804824924864</v>
      </c>
      <c r="U38" s="41">
        <v>32</v>
      </c>
      <c r="V38" s="41">
        <f t="shared" si="27"/>
        <v>16</v>
      </c>
      <c r="W38" s="57">
        <f t="shared" si="28"/>
        <v>-1136.6079652808971</v>
      </c>
      <c r="X38" s="57">
        <f t="shared" si="29"/>
        <v>-17442.735327070404</v>
      </c>
      <c r="Y38" s="57">
        <f t="shared" si="30"/>
        <v>2720.2131565150553</v>
      </c>
      <c r="Z38" s="57">
        <f t="shared" si="31"/>
        <v>1505.5749622309659</v>
      </c>
      <c r="AA38" s="57">
        <f t="shared" si="6"/>
        <v>-813.76401144951069</v>
      </c>
      <c r="AB38" s="57">
        <f t="shared" si="7"/>
        <v>2839.5354020153832</v>
      </c>
      <c r="AC38" s="57">
        <f t="shared" si="8"/>
        <v>276.92997797203896</v>
      </c>
      <c r="AD38" s="57">
        <f t="shared" si="9"/>
        <v>326.79752380486599</v>
      </c>
      <c r="AE38" s="57">
        <f t="shared" si="10"/>
        <v>-85.978200924471082</v>
      </c>
      <c r="AF38" s="57">
        <f t="shared" si="11"/>
        <v>125.08232917627932</v>
      </c>
      <c r="AG38" s="57">
        <f t="shared" si="12"/>
        <v>-1521.8329964054033</v>
      </c>
      <c r="AH38" s="57">
        <f t="shared" si="13"/>
        <v>962.22055354813892</v>
      </c>
      <c r="AJ38" s="57">
        <f t="shared" si="14"/>
        <v>32693.978679173659</v>
      </c>
      <c r="AK38" s="57">
        <f t="shared" si="15"/>
        <v>33300.619833377605</v>
      </c>
      <c r="AL38" s="57">
        <f t="shared" si="16"/>
        <v>4570.8592072004103</v>
      </c>
      <c r="AN38" s="41">
        <v>33</v>
      </c>
      <c r="AO38" s="57">
        <f t="shared" si="17"/>
        <v>11290.029259590679</v>
      </c>
      <c r="AP38" s="57">
        <f t="shared" si="18"/>
        <v>19084.792762612702</v>
      </c>
      <c r="AR38" s="41">
        <v>33</v>
      </c>
      <c r="AS38" s="57">
        <f t="shared" si="19"/>
        <v>17935.346987808985</v>
      </c>
      <c r="AT38" s="57">
        <f t="shared" si="20"/>
        <v>-3093.7633774474052</v>
      </c>
      <c r="AV38" s="57">
        <f t="shared" si="21"/>
        <v>227.36232981511586</v>
      </c>
      <c r="AW38" s="57">
        <f t="shared" si="22"/>
        <v>1202.0086554771881</v>
      </c>
      <c r="AX38" s="57">
        <f t="shared" si="23"/>
        <v>289.7548780932089</v>
      </c>
      <c r="AY38" s="57">
        <f t="shared" si="24"/>
        <v>223.42634000891087</v>
      </c>
      <c r="BA38" s="57">
        <f t="shared" si="25"/>
        <v>33018.010733869036</v>
      </c>
      <c r="BB38" s="57">
        <f t="shared" si="26"/>
        <v>20376.746036712848</v>
      </c>
    </row>
    <row r="39" spans="2:54" ht="15.75" thickBot="1" x14ac:dyDescent="0.3">
      <c r="B39" s="87" t="s">
        <v>81</v>
      </c>
      <c r="C39" s="88"/>
      <c r="D39" s="88"/>
      <c r="E39" s="88"/>
      <c r="F39" s="88"/>
      <c r="G39" s="89"/>
      <c r="I39" s="41">
        <v>34</v>
      </c>
      <c r="J39" s="57">
        <f t="shared" si="0"/>
        <v>24145.187862775208</v>
      </c>
      <c r="K39" s="57">
        <f t="shared" si="1"/>
        <v>10295.964517353736</v>
      </c>
      <c r="M39" s="41">
        <v>34</v>
      </c>
      <c r="N39" s="57">
        <f t="shared" si="2"/>
        <v>-17098.368496057356</v>
      </c>
      <c r="O39" s="57">
        <f t="shared" si="3"/>
        <v>11957.175162147614</v>
      </c>
      <c r="Q39" s="41">
        <v>34</v>
      </c>
      <c r="R39" s="57">
        <f t="shared" si="4"/>
        <v>-854.81213722479151</v>
      </c>
      <c r="S39" s="41">
        <f t="shared" si="5"/>
        <v>-12204.035482646264</v>
      </c>
      <c r="U39" s="41">
        <v>33</v>
      </c>
      <c r="V39" s="41">
        <f t="shared" si="27"/>
        <v>16.5</v>
      </c>
      <c r="W39" s="57">
        <f t="shared" si="28"/>
        <v>121.77811154544167</v>
      </c>
      <c r="X39" s="57">
        <f t="shared" si="29"/>
        <v>-16335.005920702997</v>
      </c>
      <c r="Y39" s="57">
        <f t="shared" si="30"/>
        <v>2313.3311507902999</v>
      </c>
      <c r="Z39" s="57">
        <f t="shared" si="31"/>
        <v>2925.3426632386572</v>
      </c>
      <c r="AA39" s="57">
        <f t="shared" si="6"/>
        <v>-1109.1603480187873</v>
      </c>
      <c r="AB39" s="57">
        <f t="shared" si="7"/>
        <v>2502.4067246430554</v>
      </c>
      <c r="AC39" s="57">
        <f t="shared" si="8"/>
        <v>300.20804497658395</v>
      </c>
      <c r="AD39" s="57">
        <f t="shared" si="9"/>
        <v>359.96481826251789</v>
      </c>
      <c r="AE39" s="57">
        <f t="shared" si="10"/>
        <v>-92.977171728491882</v>
      </c>
      <c r="AF39" s="57">
        <f t="shared" si="11"/>
        <v>121.68677909012055</v>
      </c>
      <c r="AG39" s="57">
        <f t="shared" si="12"/>
        <v>-1851.5218658117478</v>
      </c>
      <c r="AH39" s="57">
        <f t="shared" si="13"/>
        <v>482.60440013944816</v>
      </c>
      <c r="AJ39" s="57">
        <f t="shared" si="14"/>
        <v>31036.288642274561</v>
      </c>
      <c r="AK39" s="57">
        <f t="shared" si="15"/>
        <v>33142.397185685455</v>
      </c>
      <c r="AL39" s="57">
        <f t="shared" si="16"/>
        <v>5292.9058023186144</v>
      </c>
      <c r="AN39" s="41">
        <v>34</v>
      </c>
      <c r="AO39" s="57">
        <f t="shared" si="17"/>
        <v>11217.781794162813</v>
      </c>
      <c r="AP39" s="57">
        <f t="shared" si="18"/>
        <v>19193.9467760306</v>
      </c>
      <c r="AR39" s="41">
        <v>34</v>
      </c>
      <c r="AS39" s="57">
        <f t="shared" si="19"/>
        <v>17901.631503942644</v>
      </c>
      <c r="AT39" s="57">
        <f t="shared" si="20"/>
        <v>-3042.8248378523858</v>
      </c>
      <c r="AV39" s="57">
        <f t="shared" si="21"/>
        <v>199.67165779477432</v>
      </c>
      <c r="AW39" s="57">
        <f t="shared" si="22"/>
        <v>1282.5805636278653</v>
      </c>
      <c r="AX39" s="57">
        <f t="shared" si="23"/>
        <v>335.45898675009431</v>
      </c>
      <c r="AY39" s="57">
        <f t="shared" si="24"/>
        <v>255.57016352310339</v>
      </c>
      <c r="BA39" s="57">
        <f t="shared" si="25"/>
        <v>31712.452520161369</v>
      </c>
      <c r="BB39" s="57">
        <f t="shared" si="26"/>
        <v>18704.113071312961</v>
      </c>
    </row>
    <row r="40" spans="2:54" ht="15.75" thickBot="1" x14ac:dyDescent="0.3">
      <c r="B40" s="6" t="s">
        <v>11</v>
      </c>
      <c r="C40" s="7"/>
      <c r="D40" s="43" t="s">
        <v>65</v>
      </c>
      <c r="E40" s="23">
        <f>'Conditions initiales et traject'!H58</f>
        <v>5000</v>
      </c>
      <c r="F40" s="24"/>
      <c r="G40" s="25">
        <f>'Conditions initiales et traject'!J58</f>
        <v>15000</v>
      </c>
      <c r="I40" s="41">
        <v>35</v>
      </c>
      <c r="J40" s="57">
        <f t="shared" si="0"/>
        <v>24095.760221444958</v>
      </c>
      <c r="K40" s="57">
        <f t="shared" si="1"/>
        <v>10367.882181755231</v>
      </c>
      <c r="M40" s="41">
        <v>35</v>
      </c>
      <c r="N40" s="57">
        <f t="shared" si="2"/>
        <v>-17132.967844988529</v>
      </c>
      <c r="O40" s="57">
        <f t="shared" si="3"/>
        <v>12007.517527228661</v>
      </c>
      <c r="Q40" s="41">
        <v>35</v>
      </c>
      <c r="R40" s="57">
        <f t="shared" si="4"/>
        <v>-904.23977855504108</v>
      </c>
      <c r="S40" s="41">
        <f t="shared" si="5"/>
        <v>-12132.117818244769</v>
      </c>
      <c r="U40" s="41">
        <v>34</v>
      </c>
      <c r="V40" s="41">
        <f t="shared" si="27"/>
        <v>17</v>
      </c>
      <c r="W40" s="57">
        <f t="shared" si="28"/>
        <v>1139.7986434382433</v>
      </c>
      <c r="X40" s="57">
        <f t="shared" si="29"/>
        <v>-14559.533748503287</v>
      </c>
      <c r="Y40" s="57">
        <f t="shared" si="30"/>
        <v>1758.7509767809063</v>
      </c>
      <c r="Z40" s="57">
        <f t="shared" si="31"/>
        <v>4176.5460255601847</v>
      </c>
      <c r="AA40" s="57">
        <f t="shared" si="6"/>
        <v>-1154.0925856407744</v>
      </c>
      <c r="AB40" s="57">
        <f t="shared" si="7"/>
        <v>2066.613024123521</v>
      </c>
      <c r="AC40" s="57">
        <f t="shared" si="8"/>
        <v>341.38172295296704</v>
      </c>
      <c r="AD40" s="57">
        <f t="shared" si="9"/>
        <v>399.29168815491573</v>
      </c>
      <c r="AE40" s="57">
        <f t="shared" si="10"/>
        <v>-104.19825062948502</v>
      </c>
      <c r="AF40" s="57">
        <f t="shared" si="11"/>
        <v>121.0541545845882</v>
      </c>
      <c r="AG40" s="57">
        <f t="shared" si="12"/>
        <v>-1985.4009147558356</v>
      </c>
      <c r="AH40" s="57">
        <f t="shared" si="13"/>
        <v>-142.4317228343067</v>
      </c>
      <c r="AJ40" s="57">
        <f t="shared" si="14"/>
        <v>29022.92584167574</v>
      </c>
      <c r="AK40" s="57">
        <f t="shared" si="15"/>
        <v>32404.656835538088</v>
      </c>
      <c r="AL40" s="57">
        <f t="shared" si="16"/>
        <v>6155.5777877201472</v>
      </c>
      <c r="AN40" s="41">
        <v>35</v>
      </c>
      <c r="AO40" s="57">
        <f t="shared" si="17"/>
        <v>11143.640332167439</v>
      </c>
      <c r="AP40" s="57">
        <f t="shared" si="18"/>
        <v>19301.823272632846</v>
      </c>
      <c r="AR40" s="41">
        <v>35</v>
      </c>
      <c r="AS40" s="57">
        <f t="shared" si="19"/>
        <v>17867.032155011471</v>
      </c>
      <c r="AT40" s="57">
        <f t="shared" si="20"/>
        <v>-2992.4824727713385</v>
      </c>
      <c r="AV40" s="57">
        <f t="shared" si="21"/>
        <v>183.54781588954773</v>
      </c>
      <c r="AW40" s="57">
        <f t="shared" si="22"/>
        <v>1405.5193905956428</v>
      </c>
      <c r="AX40" s="57">
        <f t="shared" si="23"/>
        <v>410.57704090203146</v>
      </c>
      <c r="AY40" s="57">
        <f t="shared" si="24"/>
        <v>283.17951362268121</v>
      </c>
      <c r="BA40" s="57">
        <f t="shared" si="25"/>
        <v>29810.521463773592</v>
      </c>
      <c r="BB40" s="57">
        <f t="shared" si="26"/>
        <v>16837.157335287025</v>
      </c>
    </row>
    <row r="41" spans="2:54" ht="15.75" thickBot="1" x14ac:dyDescent="0.3">
      <c r="B41" s="18" t="s">
        <v>12</v>
      </c>
      <c r="C41" s="20"/>
      <c r="D41" s="44" t="s">
        <v>61</v>
      </c>
      <c r="E41" s="26"/>
      <c r="F41" s="27">
        <f>'Conditions initiales et traject'!I59</f>
        <v>7500</v>
      </c>
      <c r="G41" s="28"/>
      <c r="I41" s="41">
        <v>36</v>
      </c>
      <c r="J41" s="57">
        <f t="shared" si="0"/>
        <v>24045.084971874738</v>
      </c>
      <c r="K41" s="57">
        <f t="shared" si="1"/>
        <v>10438.926261462366</v>
      </c>
      <c r="M41" s="41">
        <v>36</v>
      </c>
      <c r="N41" s="57">
        <f t="shared" si="2"/>
        <v>-17168.440519687683</v>
      </c>
      <c r="O41" s="57">
        <f t="shared" si="3"/>
        <v>12057.248383023656</v>
      </c>
      <c r="Q41" s="41">
        <v>36</v>
      </c>
      <c r="R41" s="57">
        <f t="shared" si="4"/>
        <v>-954.91502812526278</v>
      </c>
      <c r="S41" s="41">
        <f t="shared" si="5"/>
        <v>-12061.073738537634</v>
      </c>
      <c r="U41" s="41">
        <v>35</v>
      </c>
      <c r="V41" s="41">
        <f t="shared" si="27"/>
        <v>17.5</v>
      </c>
      <c r="W41" s="57">
        <f t="shared" si="28"/>
        <v>1874.9125586235996</v>
      </c>
      <c r="X41" s="57">
        <f t="shared" si="29"/>
        <v>-12212.934107707753</v>
      </c>
      <c r="Y41" s="57">
        <f t="shared" si="30"/>
        <v>1181.7046839605191</v>
      </c>
      <c r="Z41" s="57">
        <f t="shared" si="31"/>
        <v>5209.852537621945</v>
      </c>
      <c r="AA41" s="57">
        <f t="shared" si="6"/>
        <v>-875.8898457006967</v>
      </c>
      <c r="AB41" s="57">
        <f t="shared" si="7"/>
        <v>1673.7525609002548</v>
      </c>
      <c r="AC41" s="57">
        <f t="shared" si="8"/>
        <v>406.30401627098206</v>
      </c>
      <c r="AD41" s="57">
        <f t="shared" si="9"/>
        <v>441.89824332448353</v>
      </c>
      <c r="AE41" s="57">
        <f t="shared" si="10"/>
        <v>-120.43355825110002</v>
      </c>
      <c r="AF41" s="57">
        <f t="shared" si="11"/>
        <v>122.29455485223637</v>
      </c>
      <c r="AG41" s="57">
        <f t="shared" si="12"/>
        <v>-1864.8036411904091</v>
      </c>
      <c r="AH41" s="57">
        <f t="shared" si="13"/>
        <v>-755.9849786983641</v>
      </c>
      <c r="AJ41" s="57">
        <f t="shared" si="14"/>
        <v>26779.069548667449</v>
      </c>
      <c r="AK41" s="57">
        <f t="shared" si="15"/>
        <v>31175.731605221314</v>
      </c>
      <c r="AL41" s="57">
        <f t="shared" si="16"/>
        <v>7418.3663280198871</v>
      </c>
      <c r="AN41" s="41">
        <v>36</v>
      </c>
      <c r="AO41" s="57">
        <f t="shared" si="17"/>
        <v>11067.627457812105</v>
      </c>
      <c r="AP41" s="57">
        <f t="shared" si="18"/>
        <v>19408.389392193549</v>
      </c>
      <c r="AR41" s="41">
        <v>36</v>
      </c>
      <c r="AS41" s="57">
        <f t="shared" si="19"/>
        <v>17831.559480312317</v>
      </c>
      <c r="AT41" s="57">
        <f t="shared" si="20"/>
        <v>-2942.7516169763439</v>
      </c>
      <c r="AV41" s="57">
        <f t="shared" si="21"/>
        <v>181.30951156513368</v>
      </c>
      <c r="AW41" s="57">
        <f t="shared" si="22"/>
        <v>1578.8242357626848</v>
      </c>
      <c r="AX41" s="57">
        <f t="shared" si="23"/>
        <v>521.73382590469646</v>
      </c>
      <c r="AY41" s="57">
        <f t="shared" si="24"/>
        <v>286.72050565921433</v>
      </c>
      <c r="BA41" s="57">
        <f t="shared" si="25"/>
        <v>27391.786255494411</v>
      </c>
      <c r="BB41" s="57">
        <f t="shared" si="26"/>
        <v>14976.45948767299</v>
      </c>
    </row>
    <row r="42" spans="2:54" ht="15.75" thickBot="1" x14ac:dyDescent="0.3">
      <c r="B42" s="8" t="s">
        <v>13</v>
      </c>
      <c r="C42" s="9"/>
      <c r="D42" s="45" t="s">
        <v>62</v>
      </c>
      <c r="E42" s="32"/>
      <c r="F42" s="33">
        <f>'Conditions initiales et traject'!I60</f>
        <v>1</v>
      </c>
      <c r="G42" s="34"/>
      <c r="I42" s="41">
        <v>37</v>
      </c>
      <c r="J42" s="57">
        <f t="shared" si="0"/>
        <v>23993.177550236465</v>
      </c>
      <c r="K42" s="57">
        <f t="shared" si="1"/>
        <v>10509.075115760241</v>
      </c>
      <c r="M42" s="41">
        <v>37</v>
      </c>
      <c r="N42" s="57">
        <f t="shared" si="2"/>
        <v>-17204.775714834475</v>
      </c>
      <c r="O42" s="57">
        <f t="shared" si="3"/>
        <v>12106.35258103217</v>
      </c>
      <c r="Q42" s="41">
        <v>37</v>
      </c>
      <c r="R42" s="57">
        <f t="shared" si="4"/>
        <v>-1006.822449763536</v>
      </c>
      <c r="S42" s="41">
        <f t="shared" si="5"/>
        <v>-11990.924884239759</v>
      </c>
      <c r="U42" s="41">
        <v>36</v>
      </c>
      <c r="V42" s="41">
        <f t="shared" si="27"/>
        <v>18</v>
      </c>
      <c r="W42" s="57">
        <f t="shared" si="28"/>
        <v>2356.2786698912719</v>
      </c>
      <c r="X42" s="57">
        <f t="shared" si="29"/>
        <v>-9398.7887687842504</v>
      </c>
      <c r="Y42" s="57">
        <f t="shared" si="30"/>
        <v>743.75976111017076</v>
      </c>
      <c r="Z42" s="57">
        <f t="shared" si="31"/>
        <v>6046.7288180720725</v>
      </c>
      <c r="AA42" s="57">
        <f t="shared" si="6"/>
        <v>-310.20960010412796</v>
      </c>
      <c r="AB42" s="57">
        <f t="shared" si="7"/>
        <v>1484.995580615684</v>
      </c>
      <c r="AC42" s="57">
        <f t="shared" si="8"/>
        <v>502.1820583959219</v>
      </c>
      <c r="AD42" s="57">
        <f t="shared" si="9"/>
        <v>480.97951500879128</v>
      </c>
      <c r="AE42" s="57">
        <f t="shared" si="10"/>
        <v>-142.69140902804537</v>
      </c>
      <c r="AF42" s="57">
        <f t="shared" si="11"/>
        <v>123.81490424804714</v>
      </c>
      <c r="AG42" s="57">
        <f t="shared" si="12"/>
        <v>-1524.6903497487876</v>
      </c>
      <c r="AH42" s="57">
        <f t="shared" si="13"/>
        <v>-1160.928384360051</v>
      </c>
      <c r="AJ42" s="57">
        <f t="shared" si="14"/>
        <v>24430.922295863544</v>
      </c>
      <c r="AK42" s="57">
        <f t="shared" si="15"/>
        <v>29599.26015395901</v>
      </c>
      <c r="AL42" s="57">
        <f t="shared" si="16"/>
        <v>9245.9938960500476</v>
      </c>
      <c r="AN42" s="41">
        <v>37</v>
      </c>
      <c r="AO42" s="57">
        <f t="shared" si="17"/>
        <v>10989.766325354696</v>
      </c>
      <c r="AP42" s="57">
        <f t="shared" si="18"/>
        <v>19513.61267364036</v>
      </c>
      <c r="AR42" s="41">
        <v>37</v>
      </c>
      <c r="AS42" s="57">
        <f t="shared" si="19"/>
        <v>17795.224285165525</v>
      </c>
      <c r="AT42" s="57">
        <f t="shared" si="20"/>
        <v>-2893.6474189678311</v>
      </c>
      <c r="AV42" s="57">
        <f t="shared" si="21"/>
        <v>196.33661070872671</v>
      </c>
      <c r="AW42" s="57">
        <f t="shared" si="22"/>
        <v>1811.9820110027383</v>
      </c>
      <c r="AX42" s="57">
        <f t="shared" si="23"/>
        <v>658.65348956805633</v>
      </c>
      <c r="AY42" s="57">
        <f t="shared" si="24"/>
        <v>229.14753471615828</v>
      </c>
      <c r="BA42" s="57">
        <f t="shared" si="25"/>
        <v>24541.600515349939</v>
      </c>
      <c r="BB42" s="57">
        <f t="shared" si="26"/>
        <v>13387.047161559896</v>
      </c>
    </row>
    <row r="43" spans="2:54" ht="15.75" thickBot="1" x14ac:dyDescent="0.3">
      <c r="B43" s="21" t="s">
        <v>14</v>
      </c>
      <c r="C43" s="22"/>
      <c r="D43" s="51" t="s">
        <v>66</v>
      </c>
      <c r="E43" s="81">
        <f>'Conditions initiales et traject'!H61</f>
        <v>1767145867644.2585</v>
      </c>
      <c r="F43" s="82"/>
      <c r="G43" s="83"/>
      <c r="I43" s="41">
        <v>38</v>
      </c>
      <c r="J43" s="57">
        <f t="shared" si="0"/>
        <v>23940.053768033609</v>
      </c>
      <c r="K43" s="57">
        <f t="shared" si="1"/>
        <v>10578.307376628291</v>
      </c>
      <c r="M43" s="41">
        <v>38</v>
      </c>
      <c r="N43" s="57">
        <f t="shared" si="2"/>
        <v>-17241.962362376471</v>
      </c>
      <c r="O43" s="57">
        <f t="shared" si="3"/>
        <v>12154.815163639803</v>
      </c>
      <c r="Q43" s="41">
        <v>38</v>
      </c>
      <c r="R43" s="57">
        <f t="shared" si="4"/>
        <v>-1059.9462319663899</v>
      </c>
      <c r="S43" s="41">
        <f t="shared" si="5"/>
        <v>-11921.692623371709</v>
      </c>
      <c r="U43" s="41">
        <v>37</v>
      </c>
      <c r="V43" s="41">
        <f t="shared" si="27"/>
        <v>18.5</v>
      </c>
      <c r="W43" s="57">
        <f t="shared" si="28"/>
        <v>2689.3823504333413</v>
      </c>
      <c r="X43" s="57">
        <f t="shared" si="29"/>
        <v>-6189.7999121712537</v>
      </c>
      <c r="Y43" s="57">
        <f t="shared" si="30"/>
        <v>588.65496105810678</v>
      </c>
      <c r="Z43" s="57">
        <f t="shared" si="31"/>
        <v>6789.226608379915</v>
      </c>
      <c r="AA43" s="57">
        <f t="shared" si="6"/>
        <v>361.15356377696935</v>
      </c>
      <c r="AB43" s="57">
        <f t="shared" si="7"/>
        <v>1549.264144853292</v>
      </c>
      <c r="AC43" s="57">
        <f t="shared" si="8"/>
        <v>637.20394669004293</v>
      </c>
      <c r="AD43" s="57">
        <f t="shared" si="9"/>
        <v>503.92162255694529</v>
      </c>
      <c r="AE43" s="57">
        <f t="shared" si="10"/>
        <v>-171.67626717168196</v>
      </c>
      <c r="AF43" s="57">
        <f t="shared" si="11"/>
        <v>122.49802009814964</v>
      </c>
      <c r="AG43" s="57">
        <f t="shared" si="12"/>
        <v>-1105.2626151030252</v>
      </c>
      <c r="AH43" s="57">
        <f t="shared" si="13"/>
        <v>-1266.3676150927433</v>
      </c>
      <c r="AJ43" s="57">
        <f t="shared" si="14"/>
        <v>22069.619503851278</v>
      </c>
      <c r="AK43" s="57">
        <f t="shared" si="15"/>
        <v>27873.243310391714</v>
      </c>
      <c r="AL43" s="57">
        <f t="shared" si="16"/>
        <v>11693.854220005202</v>
      </c>
      <c r="AN43" s="41">
        <v>38</v>
      </c>
      <c r="AO43" s="57">
        <f t="shared" si="17"/>
        <v>10910.080652050416</v>
      </c>
      <c r="AP43" s="57">
        <f t="shared" si="18"/>
        <v>19617.461064942436</v>
      </c>
      <c r="AR43" s="41">
        <v>38</v>
      </c>
      <c r="AS43" s="57">
        <f t="shared" si="19"/>
        <v>17758.037637623529</v>
      </c>
      <c r="AT43" s="57">
        <f t="shared" si="20"/>
        <v>-2845.1848363601962</v>
      </c>
      <c r="AV43" s="57">
        <f t="shared" si="21"/>
        <v>230.6021761133965</v>
      </c>
      <c r="AW43" s="57">
        <f t="shared" si="22"/>
        <v>2114.7652758865424</v>
      </c>
      <c r="AX43" s="57">
        <f t="shared" si="23"/>
        <v>770.28632324823707</v>
      </c>
      <c r="AY43" s="57">
        <f t="shared" si="24"/>
        <v>74.446841404397873</v>
      </c>
      <c r="BA43" s="57">
        <f t="shared" si="25"/>
        <v>21315.406968677416</v>
      </c>
      <c r="BB43" s="57">
        <f t="shared" si="26"/>
        <v>12367.980059202264</v>
      </c>
    </row>
    <row r="44" spans="2:54" ht="15.75" thickBot="1" x14ac:dyDescent="0.3">
      <c r="B44" s="10" t="s">
        <v>15</v>
      </c>
      <c r="C44" s="11"/>
      <c r="D44" s="52" t="s">
        <v>67</v>
      </c>
      <c r="E44" s="84">
        <f>'Conditions initiales et traject'!H62</f>
        <v>1767145867644.2585</v>
      </c>
      <c r="F44" s="85"/>
      <c r="G44" s="86"/>
      <c r="I44" s="41">
        <v>39</v>
      </c>
      <c r="J44" s="57">
        <f t="shared" si="0"/>
        <v>23885.729807284853</v>
      </c>
      <c r="K44" s="57">
        <f t="shared" si="1"/>
        <v>10646.601955249187</v>
      </c>
      <c r="M44" s="41">
        <v>39</v>
      </c>
      <c r="N44" s="57">
        <f t="shared" si="2"/>
        <v>-17279.989134900603</v>
      </c>
      <c r="O44" s="57">
        <f t="shared" si="3"/>
        <v>12202.62136867443</v>
      </c>
      <c r="Q44" s="41">
        <v>39</v>
      </c>
      <c r="R44" s="57">
        <f t="shared" si="4"/>
        <v>-1114.2701927151456</v>
      </c>
      <c r="S44" s="41">
        <f t="shared" si="5"/>
        <v>-11853.398044750813</v>
      </c>
      <c r="U44" s="41">
        <v>38</v>
      </c>
      <c r="V44" s="41">
        <f t="shared" si="27"/>
        <v>19</v>
      </c>
      <c r="W44" s="57">
        <f t="shared" si="28"/>
        <v>3028.8540264345161</v>
      </c>
      <c r="X44" s="57">
        <f t="shared" si="29"/>
        <v>-2601.5285898746347</v>
      </c>
      <c r="Y44" s="57">
        <f t="shared" si="30"/>
        <v>769.23174294659145</v>
      </c>
      <c r="Z44" s="57">
        <f t="shared" si="31"/>
        <v>7563.8586808065611</v>
      </c>
      <c r="AA44" s="57">
        <f t="shared" si="6"/>
        <v>922.07929885882436</v>
      </c>
      <c r="AB44" s="57">
        <f t="shared" si="7"/>
        <v>1789.7952232999196</v>
      </c>
      <c r="AC44" s="57">
        <f t="shared" si="8"/>
        <v>819.09638605687519</v>
      </c>
      <c r="AD44" s="57">
        <f t="shared" si="9"/>
        <v>487.54076916811749</v>
      </c>
      <c r="AE44" s="57">
        <f t="shared" si="10"/>
        <v>-206.23802872302025</v>
      </c>
      <c r="AF44" s="57">
        <f t="shared" si="11"/>
        <v>112.85470012052126</v>
      </c>
      <c r="AG44" s="57">
        <f t="shared" si="12"/>
        <v>-740.68486421888781</v>
      </c>
      <c r="AH44" s="57">
        <f t="shared" si="13"/>
        <v>-1143.7946290584948</v>
      </c>
      <c r="AJ44" s="57">
        <f t="shared" si="14"/>
        <v>19749.953810278203</v>
      </c>
      <c r="AK44" s="57">
        <f t="shared" si="15"/>
        <v>26251.22169675646</v>
      </c>
      <c r="AL44" s="57">
        <f t="shared" si="16"/>
        <v>14771.072753374745</v>
      </c>
      <c r="AN44" s="41">
        <v>39</v>
      </c>
      <c r="AO44" s="57">
        <f t="shared" si="17"/>
        <v>10828.594710927282</v>
      </c>
      <c r="AP44" s="57">
        <f t="shared" si="18"/>
        <v>19719.902932873782</v>
      </c>
      <c r="AR44" s="41">
        <v>39</v>
      </c>
      <c r="AS44" s="57">
        <f t="shared" si="19"/>
        <v>17720.010865099397</v>
      </c>
      <c r="AT44" s="57">
        <f t="shared" si="20"/>
        <v>-2797.3786313255691</v>
      </c>
      <c r="AV44" s="57">
        <f t="shared" si="21"/>
        <v>278.59393680615023</v>
      </c>
      <c r="AW44" s="57">
        <f t="shared" si="22"/>
        <v>2487.730086670962</v>
      </c>
      <c r="AX44" s="57">
        <f t="shared" si="23"/>
        <v>771.311868937707</v>
      </c>
      <c r="AY44" s="57">
        <f t="shared" si="24"/>
        <v>-154.53570360118653</v>
      </c>
      <c r="BA44" s="57">
        <f t="shared" si="25"/>
        <v>17711.556259947276</v>
      </c>
      <c r="BB44" s="57">
        <f t="shared" si="26"/>
        <v>12209.054059410248</v>
      </c>
    </row>
    <row r="45" spans="2:54" ht="15.75" thickBot="1" x14ac:dyDescent="0.3">
      <c r="B45" s="21" t="s">
        <v>16</v>
      </c>
      <c r="C45" s="22"/>
      <c r="D45" s="51" t="s">
        <v>68</v>
      </c>
      <c r="E45" s="38"/>
      <c r="F45" s="37">
        <f>'Conditions initiales et traject'!I63</f>
        <v>15000</v>
      </c>
      <c r="G45" s="35"/>
      <c r="I45" s="41">
        <v>40</v>
      </c>
      <c r="J45" s="57">
        <f t="shared" si="0"/>
        <v>23830.222215594891</v>
      </c>
      <c r="K45" s="57">
        <f t="shared" si="1"/>
        <v>10713.938048432696</v>
      </c>
      <c r="M45" s="41">
        <v>40</v>
      </c>
      <c r="N45" s="57">
        <f t="shared" si="2"/>
        <v>-17318.844449083575</v>
      </c>
      <c r="O45" s="57">
        <f t="shared" si="3"/>
        <v>12249.756633902887</v>
      </c>
      <c r="Q45" s="41">
        <v>40</v>
      </c>
      <c r="R45" s="57">
        <f t="shared" si="4"/>
        <v>-1169.7777844051097</v>
      </c>
      <c r="S45" s="41">
        <f t="shared" si="5"/>
        <v>-11786.061951567304</v>
      </c>
      <c r="U45" s="41">
        <v>39</v>
      </c>
      <c r="V45" s="41">
        <f t="shared" si="27"/>
        <v>19.5</v>
      </c>
      <c r="W45" s="57">
        <f t="shared" si="28"/>
        <v>3528.7298102651648</v>
      </c>
      <c r="X45" s="57">
        <f t="shared" si="29"/>
        <v>1404.1251534411358</v>
      </c>
      <c r="Y45" s="57">
        <f t="shared" si="30"/>
        <v>1230.2713923760036</v>
      </c>
      <c r="Z45" s="57">
        <f t="shared" si="31"/>
        <v>8458.7562924565209</v>
      </c>
      <c r="AA45" s="57">
        <f t="shared" si="6"/>
        <v>1259.1204208810011</v>
      </c>
      <c r="AB45" s="57">
        <f t="shared" si="7"/>
        <v>2073.7551297257401</v>
      </c>
      <c r="AC45" s="57">
        <f t="shared" si="8"/>
        <v>1044.7142911396259</v>
      </c>
      <c r="AD45" s="57">
        <f t="shared" si="9"/>
        <v>386.63973669544566</v>
      </c>
      <c r="AE45" s="57">
        <f t="shared" si="10"/>
        <v>-240.15905688032507</v>
      </c>
      <c r="AF45" s="57">
        <f t="shared" si="11"/>
        <v>87.738573771637903</v>
      </c>
      <c r="AG45" s="57">
        <f t="shared" si="12"/>
        <v>-480.83211024379659</v>
      </c>
      <c r="AH45" s="57">
        <f t="shared" si="13"/>
        <v>-924.83057731983786</v>
      </c>
      <c r="AJ45" s="57">
        <f t="shared" si="14"/>
        <v>17563.098582202303</v>
      </c>
      <c r="AK45" s="57">
        <f t="shared" si="15"/>
        <v>25049.754307421143</v>
      </c>
      <c r="AL45" s="57">
        <f t="shared" si="16"/>
        <v>18488.768326372254</v>
      </c>
      <c r="AN45" s="41">
        <v>40</v>
      </c>
      <c r="AO45" s="57">
        <f t="shared" si="17"/>
        <v>10745.333323392335</v>
      </c>
      <c r="AP45" s="57">
        <f t="shared" si="18"/>
        <v>19820.907072649046</v>
      </c>
      <c r="AR45" s="41">
        <v>40</v>
      </c>
      <c r="AS45" s="57">
        <f t="shared" si="19"/>
        <v>17681.155550916425</v>
      </c>
      <c r="AT45" s="57">
        <f t="shared" si="20"/>
        <v>-2750.2433660971128</v>
      </c>
      <c r="AV45" s="57">
        <f t="shared" si="21"/>
        <v>310.88468466433949</v>
      </c>
      <c r="AW45" s="57">
        <f t="shared" si="22"/>
        <v>2872.8572725109443</v>
      </c>
      <c r="AX45" s="57">
        <f t="shared" si="23"/>
        <v>624.51261220115748</v>
      </c>
      <c r="AY45" s="57">
        <f t="shared" si="24"/>
        <v>-348.64987593245002</v>
      </c>
      <c r="BA45" s="57">
        <f t="shared" si="25"/>
        <v>13675.249497339872</v>
      </c>
      <c r="BB45" s="57">
        <f t="shared" si="26"/>
        <v>13137.840718582202</v>
      </c>
    </row>
    <row r="46" spans="2:54" ht="15.75" thickBot="1" x14ac:dyDescent="0.3">
      <c r="B46" s="12" t="s">
        <v>17</v>
      </c>
      <c r="C46" s="13"/>
      <c r="D46" s="46"/>
      <c r="E46" s="29"/>
      <c r="F46" s="30" t="s">
        <v>48</v>
      </c>
      <c r="G46" s="31"/>
      <c r="I46" s="41">
        <v>41</v>
      </c>
      <c r="J46" s="57">
        <f t="shared" si="0"/>
        <v>23773.54790111386</v>
      </c>
      <c r="K46" s="57">
        <f t="shared" si="1"/>
        <v>10780.295144952535</v>
      </c>
      <c r="M46" s="41">
        <v>41</v>
      </c>
      <c r="N46" s="57">
        <f t="shared" si="2"/>
        <v>-17358.516469220296</v>
      </c>
      <c r="O46" s="57">
        <f t="shared" si="3"/>
        <v>12296.206601466776</v>
      </c>
      <c r="Q46" s="41">
        <v>41</v>
      </c>
      <c r="R46" s="57">
        <f t="shared" si="4"/>
        <v>-1226.4520988861395</v>
      </c>
      <c r="S46" s="41">
        <f t="shared" si="5"/>
        <v>-11719.704855047465</v>
      </c>
      <c r="U46" s="41">
        <v>40</v>
      </c>
      <c r="V46" s="41">
        <f t="shared" si="27"/>
        <v>20</v>
      </c>
      <c r="W46" s="57">
        <f t="shared" si="28"/>
        <v>4301.2555590632919</v>
      </c>
      <c r="X46" s="57">
        <f t="shared" si="29"/>
        <v>5892.7226908851135</v>
      </c>
      <c r="Y46" s="57">
        <f t="shared" si="30"/>
        <v>1859.8316028165041</v>
      </c>
      <c r="Z46" s="57">
        <f t="shared" si="31"/>
        <v>9495.6338573193916</v>
      </c>
      <c r="AA46" s="57">
        <f t="shared" si="6"/>
        <v>1321.3282409070916</v>
      </c>
      <c r="AB46" s="57">
        <f t="shared" si="7"/>
        <v>2027.756486244876</v>
      </c>
      <c r="AC46" s="57">
        <f t="shared" si="8"/>
        <v>1260.5558569115401</v>
      </c>
      <c r="AD46" s="57">
        <f t="shared" si="9"/>
        <v>129.05890871135804</v>
      </c>
      <c r="AE46" s="57">
        <f t="shared" si="10"/>
        <v>-259.50635927350697</v>
      </c>
      <c r="AF46" s="57">
        <f t="shared" si="11"/>
        <v>43.86047372838604</v>
      </c>
      <c r="AG46" s="57">
        <f t="shared" si="12"/>
        <v>-313.17568502023505</v>
      </c>
      <c r="AH46" s="57">
        <f t="shared" si="13"/>
        <v>-703.46338718540642</v>
      </c>
      <c r="AJ46" s="57">
        <f t="shared" si="14"/>
        <v>15780.808514465816</v>
      </c>
      <c r="AK46" s="57">
        <f t="shared" si="15"/>
        <v>24645.907340588506</v>
      </c>
      <c r="AL46" s="57">
        <f t="shared" si="16"/>
        <v>22869.613385740289</v>
      </c>
      <c r="AN46" s="41">
        <v>41</v>
      </c>
      <c r="AO46" s="57">
        <f t="shared" si="17"/>
        <v>10660.321851670791</v>
      </c>
      <c r="AP46" s="57">
        <f t="shared" si="18"/>
        <v>19920.442717428803</v>
      </c>
      <c r="AR46" s="41">
        <v>41</v>
      </c>
      <c r="AS46" s="57">
        <f t="shared" si="19"/>
        <v>17641.483530779704</v>
      </c>
      <c r="AT46" s="57">
        <f t="shared" si="20"/>
        <v>-2703.7933985332247</v>
      </c>
      <c r="AV46" s="57">
        <f t="shared" si="21"/>
        <v>227.95770367790496</v>
      </c>
      <c r="AW46" s="57">
        <f t="shared" si="22"/>
        <v>2971.1492507341018</v>
      </c>
      <c r="AX46" s="57">
        <f t="shared" si="23"/>
        <v>405.49672461138869</v>
      </c>
      <c r="AY46" s="57">
        <f t="shared" si="24"/>
        <v>-412.84875974356356</v>
      </c>
      <c r="BA46" s="57">
        <f t="shared" si="25"/>
        <v>9134.0431233303716</v>
      </c>
      <c r="BB46" s="57">
        <f t="shared" si="26"/>
        <v>15268.088951568154</v>
      </c>
    </row>
    <row r="47" spans="2:54" x14ac:dyDescent="0.25">
      <c r="I47" s="41">
        <v>42</v>
      </c>
      <c r="J47" s="57">
        <f t="shared" si="0"/>
        <v>23715.724127386973</v>
      </c>
      <c r="K47" s="57">
        <f t="shared" si="1"/>
        <v>10845.653031794291</v>
      </c>
      <c r="M47" s="41">
        <v>42</v>
      </c>
      <c r="N47" s="57">
        <f t="shared" si="2"/>
        <v>-17398.99311082912</v>
      </c>
      <c r="O47" s="57">
        <f t="shared" si="3"/>
        <v>12341.957122256004</v>
      </c>
      <c r="Q47" s="41">
        <v>42</v>
      </c>
      <c r="R47" s="57">
        <f t="shared" si="4"/>
        <v>-1284.2758726130287</v>
      </c>
      <c r="S47" s="41">
        <f t="shared" si="5"/>
        <v>-11654.346968205709</v>
      </c>
      <c r="U47" s="41">
        <v>41</v>
      </c>
      <c r="V47" s="41">
        <f t="shared" si="27"/>
        <v>20.5</v>
      </c>
      <c r="W47" s="57">
        <f t="shared" si="28"/>
        <v>5396.3373905849303</v>
      </c>
      <c r="X47" s="57">
        <f t="shared" si="29"/>
        <v>10894.009180325418</v>
      </c>
      <c r="Y47" s="57">
        <f t="shared" si="30"/>
        <v>2520.4957232700499</v>
      </c>
      <c r="Z47" s="57">
        <f t="shared" si="31"/>
        <v>10509.512100441829</v>
      </c>
      <c r="AA47" s="57">
        <f t="shared" si="6"/>
        <v>882.91830866493137</v>
      </c>
      <c r="AB47" s="57">
        <f t="shared" si="7"/>
        <v>728.98665104232839</v>
      </c>
      <c r="AC47" s="57">
        <f t="shared" si="8"/>
        <v>1306.3632090652545</v>
      </c>
      <c r="AD47" s="57">
        <f t="shared" si="9"/>
        <v>-303.60936451300535</v>
      </c>
      <c r="AE47" s="57">
        <f t="shared" si="10"/>
        <v>-249.05727889603318</v>
      </c>
      <c r="AF47" s="57">
        <f t="shared" si="11"/>
        <v>-8.7673860342738728</v>
      </c>
      <c r="AG47" s="57">
        <f t="shared" si="12"/>
        <v>-209.02796457567362</v>
      </c>
      <c r="AH47" s="57">
        <f t="shared" si="13"/>
        <v>-520.62296848589494</v>
      </c>
      <c r="AJ47" s="57">
        <f t="shared" si="14"/>
        <v>14992.873638024199</v>
      </c>
      <c r="AK47" s="57">
        <f t="shared" si="15"/>
        <v>25412.068102988553</v>
      </c>
      <c r="AL47" s="57">
        <f t="shared" si="16"/>
        <v>27903.109908568458</v>
      </c>
      <c r="AN47" s="41">
        <v>42</v>
      </c>
      <c r="AO47" s="57">
        <f t="shared" si="17"/>
        <v>10573.586191080456</v>
      </c>
      <c r="AP47" s="57">
        <f t="shared" si="18"/>
        <v>20018.479547691437</v>
      </c>
      <c r="AR47" s="41">
        <v>42</v>
      </c>
      <c r="AS47" s="57">
        <f t="shared" si="19"/>
        <v>17601.00688917088</v>
      </c>
      <c r="AT47" s="57">
        <f t="shared" si="20"/>
        <v>-2658.0428777439961</v>
      </c>
      <c r="AV47" s="57">
        <f t="shared" si="21"/>
        <v>-186.02472471260202</v>
      </c>
      <c r="AW47" s="57">
        <f t="shared" si="22"/>
        <v>1927.185852374831</v>
      </c>
      <c r="AX47" s="57">
        <f t="shared" si="23"/>
        <v>220.66506778398585</v>
      </c>
      <c r="AY47" s="57">
        <f t="shared" si="24"/>
        <v>-365.19948229932845</v>
      </c>
      <c r="BA47" s="57">
        <f t="shared" si="25"/>
        <v>4125.0750221574908</v>
      </c>
      <c r="BB47" s="57">
        <f t="shared" si="26"/>
        <v>18570.133638176805</v>
      </c>
    </row>
    <row r="48" spans="2:54" x14ac:dyDescent="0.25">
      <c r="I48" s="41">
        <v>43</v>
      </c>
      <c r="J48" s="57">
        <f t="shared" si="0"/>
        <v>23656.768508095854</v>
      </c>
      <c r="K48" s="57">
        <f t="shared" si="1"/>
        <v>10909.991800312491</v>
      </c>
      <c r="M48" s="41">
        <v>43</v>
      </c>
      <c r="N48" s="57">
        <f t="shared" si="2"/>
        <v>-17440.262044332903</v>
      </c>
      <c r="O48" s="57">
        <f t="shared" si="3"/>
        <v>12386.994260218744</v>
      </c>
      <c r="Q48" s="41">
        <v>43</v>
      </c>
      <c r="R48" s="57">
        <f t="shared" si="4"/>
        <v>-1343.2314919041473</v>
      </c>
      <c r="S48" s="41">
        <f t="shared" si="5"/>
        <v>-11590.008199687509</v>
      </c>
      <c r="U48" s="41">
        <v>42</v>
      </c>
      <c r="V48" s="41">
        <f t="shared" si="27"/>
        <v>21</v>
      </c>
      <c r="W48" s="57">
        <f t="shared" si="28"/>
        <v>6766.9500408030708</v>
      </c>
      <c r="X48" s="57">
        <f t="shared" si="29"/>
        <v>16239.888561926624</v>
      </c>
      <c r="Y48" s="57">
        <f t="shared" si="30"/>
        <v>2961.9548776025158</v>
      </c>
      <c r="Z48" s="57">
        <f t="shared" si="31"/>
        <v>10874.005425962992</v>
      </c>
      <c r="AA48" s="57">
        <f t="shared" si="6"/>
        <v>-92.794075618660258</v>
      </c>
      <c r="AB48" s="57">
        <f t="shared" si="7"/>
        <v>-2041.4492182222277</v>
      </c>
      <c r="AC48" s="57">
        <f t="shared" si="8"/>
        <v>1051.4096185492256</v>
      </c>
      <c r="AD48" s="57">
        <f t="shared" si="9"/>
        <v>-694.41307388638268</v>
      </c>
      <c r="AE48" s="57">
        <f t="shared" si="10"/>
        <v>-210.70693096463134</v>
      </c>
      <c r="AF48" s="57">
        <f t="shared" si="11"/>
        <v>-49.119820018366909</v>
      </c>
      <c r="AG48" s="57">
        <f t="shared" si="12"/>
        <v>-145.58757737170714</v>
      </c>
      <c r="AH48" s="57">
        <f t="shared" si="13"/>
        <v>-386.51814423634619</v>
      </c>
      <c r="AJ48" s="57">
        <f t="shared" si="14"/>
        <v>15858.728300134841</v>
      </c>
      <c r="AK48" s="57">
        <f t="shared" si="15"/>
        <v>27484.647055258149</v>
      </c>
      <c r="AL48" s="57">
        <f t="shared" si="16"/>
        <v>33382.506655797268</v>
      </c>
      <c r="AN48" s="41">
        <v>43</v>
      </c>
      <c r="AO48" s="57">
        <f t="shared" si="17"/>
        <v>10485.152762143778</v>
      </c>
      <c r="AP48" s="57">
        <f t="shared" si="18"/>
        <v>20114.987700468737</v>
      </c>
      <c r="AR48" s="41">
        <v>43</v>
      </c>
      <c r="AS48" s="57">
        <f t="shared" si="19"/>
        <v>17559.737955667097</v>
      </c>
      <c r="AT48" s="57">
        <f t="shared" si="20"/>
        <v>-2613.0057397812552</v>
      </c>
      <c r="AV48" s="57">
        <f t="shared" si="21"/>
        <v>-897.16067418966543</v>
      </c>
      <c r="AW48" s="57">
        <f t="shared" si="22"/>
        <v>-629.54765695162121</v>
      </c>
      <c r="AX48" s="57">
        <f t="shared" si="23"/>
        <v>109.25148835811797</v>
      </c>
      <c r="AY48" s="57">
        <f t="shared" si="24"/>
        <v>-281.85052312951046</v>
      </c>
      <c r="BA48" s="57">
        <f t="shared" si="25"/>
        <v>2158.5726980323007</v>
      </c>
      <c r="BB48" s="57">
        <f t="shared" si="26"/>
        <v>22779.727341513419</v>
      </c>
    </row>
    <row r="49" spans="2:54" ht="15.75" thickBot="1" x14ac:dyDescent="0.3">
      <c r="I49" s="41">
        <v>44</v>
      </c>
      <c r="J49" s="57">
        <f t="shared" si="0"/>
        <v>23596.699001693254</v>
      </c>
      <c r="K49" s="57">
        <f t="shared" si="1"/>
        <v>10973.291852294986</v>
      </c>
      <c r="M49" s="41">
        <v>44</v>
      </c>
      <c r="N49" s="57">
        <f t="shared" si="2"/>
        <v>-17482.310698814719</v>
      </c>
      <c r="O49" s="57">
        <f t="shared" si="3"/>
        <v>12431.30429660649</v>
      </c>
      <c r="Q49" s="41">
        <v>44</v>
      </c>
      <c r="R49" s="57">
        <f t="shared" si="4"/>
        <v>-1403.3009983067441</v>
      </c>
      <c r="S49" s="41">
        <f t="shared" si="5"/>
        <v>-11526.708147705014</v>
      </c>
      <c r="U49" s="41">
        <v>43</v>
      </c>
      <c r="V49" s="41">
        <f t="shared" si="27"/>
        <v>21.5</v>
      </c>
      <c r="W49" s="57">
        <f t="shared" si="28"/>
        <v>8236.328220151996</v>
      </c>
      <c r="X49" s="57">
        <f t="shared" si="29"/>
        <v>21421.710122630342</v>
      </c>
      <c r="Y49" s="57">
        <f t="shared" si="30"/>
        <v>2915.5578397931858</v>
      </c>
      <c r="Z49" s="57">
        <f t="shared" si="31"/>
        <v>9853.2808168518786</v>
      </c>
      <c r="AA49" s="57">
        <f t="shared" si="6"/>
        <v>-776.76932283839676</v>
      </c>
      <c r="AB49" s="57">
        <f t="shared" si="7"/>
        <v>-3853.8722705891632</v>
      </c>
      <c r="AC49" s="57">
        <f t="shared" si="8"/>
        <v>685.51571016105652</v>
      </c>
      <c r="AD49" s="57">
        <f t="shared" si="9"/>
        <v>-811.27314498183125</v>
      </c>
      <c r="AE49" s="57">
        <f t="shared" si="10"/>
        <v>-166.12259486450202</v>
      </c>
      <c r="AF49" s="57">
        <f t="shared" si="11"/>
        <v>-67.197268305138294</v>
      </c>
      <c r="AG49" s="57">
        <f t="shared" si="12"/>
        <v>-108.11291268556602</v>
      </c>
      <c r="AH49" s="57">
        <f t="shared" si="13"/>
        <v>-297.48863135260882</v>
      </c>
      <c r="AJ49" s="57">
        <f t="shared" si="14"/>
        <v>18226.299308486636</v>
      </c>
      <c r="AK49" s="57">
        <f t="shared" si="15"/>
        <v>30458.918127234076</v>
      </c>
      <c r="AL49" s="57">
        <f t="shared" si="16"/>
        <v>38752.307712038331</v>
      </c>
      <c r="AN49" s="41">
        <v>44</v>
      </c>
      <c r="AO49" s="57">
        <f t="shared" si="17"/>
        <v>10395.048502539885</v>
      </c>
      <c r="AP49" s="57">
        <f t="shared" si="18"/>
        <v>20209.93777844248</v>
      </c>
      <c r="AR49" s="41">
        <v>44</v>
      </c>
      <c r="AS49" s="57">
        <f t="shared" si="19"/>
        <v>17517.689301185281</v>
      </c>
      <c r="AT49" s="57">
        <f t="shared" si="20"/>
        <v>-2568.6957033935096</v>
      </c>
      <c r="AV49" s="57">
        <f t="shared" si="21"/>
        <v>-1242.4603636880272</v>
      </c>
      <c r="AW49" s="57">
        <f t="shared" si="22"/>
        <v>-2465.3619014228593</v>
      </c>
      <c r="AX49" s="57">
        <f t="shared" si="23"/>
        <v>54.410838238641958</v>
      </c>
      <c r="AY49" s="57">
        <f t="shared" si="24"/>
        <v>-212.55132452672552</v>
      </c>
      <c r="BA49" s="57">
        <f t="shared" si="25"/>
        <v>7191.1182195570382</v>
      </c>
      <c r="BB49" s="57">
        <f t="shared" si="26"/>
        <v>27273.687351544879</v>
      </c>
    </row>
    <row r="50" spans="2:54" ht="15.75" thickBot="1" x14ac:dyDescent="0.3">
      <c r="B50" s="78" t="s">
        <v>82</v>
      </c>
      <c r="C50" s="79"/>
      <c r="D50" s="79"/>
      <c r="E50" s="79"/>
      <c r="F50" s="79"/>
      <c r="G50" s="80"/>
      <c r="I50" s="41">
        <v>45</v>
      </c>
      <c r="J50" s="57">
        <f t="shared" si="0"/>
        <v>23535.533905932738</v>
      </c>
      <c r="K50" s="57">
        <f t="shared" si="1"/>
        <v>11035.533905932738</v>
      </c>
      <c r="M50" s="41">
        <v>45</v>
      </c>
      <c r="N50" s="57">
        <f t="shared" si="2"/>
        <v>-17525.126265847084</v>
      </c>
      <c r="O50" s="57">
        <f t="shared" si="3"/>
        <v>12474.873734152916</v>
      </c>
      <c r="Q50" s="41">
        <v>45</v>
      </c>
      <c r="R50" s="57">
        <f t="shared" si="4"/>
        <v>-1464.466094067262</v>
      </c>
      <c r="S50" s="41">
        <f t="shared" si="5"/>
        <v>-11464.466094067262</v>
      </c>
      <c r="U50" s="41">
        <v>44</v>
      </c>
      <c r="V50" s="41">
        <f t="shared" si="27"/>
        <v>22</v>
      </c>
      <c r="W50" s="57">
        <f t="shared" si="28"/>
        <v>9597.0109746937887</v>
      </c>
      <c r="X50" s="57">
        <f t="shared" si="29"/>
        <v>25866.616497232637</v>
      </c>
      <c r="Y50" s="57">
        <f t="shared" si="30"/>
        <v>2527.1731783739874</v>
      </c>
      <c r="Z50" s="57">
        <f t="shared" si="31"/>
        <v>7926.344681557297</v>
      </c>
      <c r="AA50" s="57">
        <f t="shared" si="6"/>
        <v>-930.16351389462113</v>
      </c>
      <c r="AB50" s="57">
        <f t="shared" si="7"/>
        <v>-3997.708530613344</v>
      </c>
      <c r="AC50" s="57">
        <f t="shared" si="8"/>
        <v>427.46367193202838</v>
      </c>
      <c r="AD50" s="57">
        <f t="shared" si="9"/>
        <v>-754.69283969982246</v>
      </c>
      <c r="AE50" s="57">
        <f t="shared" si="10"/>
        <v>-131.68124693380341</v>
      </c>
      <c r="AF50" s="57">
        <f t="shared" si="11"/>
        <v>-70.592798940490525</v>
      </c>
      <c r="AG50" s="57">
        <f t="shared" si="12"/>
        <v>-86.542253727249914</v>
      </c>
      <c r="AH50" s="57">
        <f t="shared" si="13"/>
        <v>-242.2885822316041</v>
      </c>
      <c r="AJ50" s="57">
        <f t="shared" si="14"/>
        <v>21108.168613526366</v>
      </c>
      <c r="AK50" s="57">
        <f t="shared" si="15"/>
        <v>33581.729820043511</v>
      </c>
      <c r="AL50" s="57">
        <f t="shared" si="16"/>
        <v>43395.311651458593</v>
      </c>
      <c r="AN50" s="41">
        <v>45</v>
      </c>
      <c r="AO50" s="57">
        <f t="shared" si="17"/>
        <v>10303.300858899107</v>
      </c>
      <c r="AP50" s="57">
        <f t="shared" si="18"/>
        <v>20303.300858899107</v>
      </c>
      <c r="AR50" s="41">
        <v>45</v>
      </c>
      <c r="AS50" s="57">
        <f t="shared" si="19"/>
        <v>17474.873734152916</v>
      </c>
      <c r="AT50" s="57">
        <f t="shared" si="20"/>
        <v>-2525.1262658470837</v>
      </c>
      <c r="AV50" s="57">
        <f t="shared" si="21"/>
        <v>-1168.7177841391178</v>
      </c>
      <c r="AW50" s="57">
        <f t="shared" si="22"/>
        <v>-2762.6664420963816</v>
      </c>
      <c r="AX50" s="57">
        <f t="shared" si="23"/>
        <v>29.314098973521599</v>
      </c>
      <c r="AY50" s="57">
        <f t="shared" si="24"/>
        <v>-167.46786764504517</v>
      </c>
      <c r="BA50" s="57">
        <f t="shared" si="25"/>
        <v>11798.977243786161</v>
      </c>
      <c r="BB50" s="57">
        <f t="shared" si="26"/>
        <v>31335.92673585406</v>
      </c>
    </row>
    <row r="51" spans="2:54" ht="15.75" thickBot="1" x14ac:dyDescent="0.3">
      <c r="B51" s="6" t="s">
        <v>11</v>
      </c>
      <c r="C51" s="7"/>
      <c r="D51" s="43" t="s">
        <v>65</v>
      </c>
      <c r="E51" s="23">
        <f>'Conditions initiales et traject'!H69</f>
        <v>15000</v>
      </c>
      <c r="F51" s="24"/>
      <c r="G51" s="25">
        <f>'Conditions initiales et traject'!J69</f>
        <v>-5000</v>
      </c>
      <c r="I51" s="41">
        <v>46</v>
      </c>
      <c r="J51" s="57">
        <f t="shared" si="0"/>
        <v>23473.291852294988</v>
      </c>
      <c r="K51" s="57">
        <f t="shared" si="1"/>
        <v>11096.699001693256</v>
      </c>
      <c r="M51" s="41">
        <v>46</v>
      </c>
      <c r="N51" s="57">
        <f t="shared" si="2"/>
        <v>-17568.69570339351</v>
      </c>
      <c r="O51" s="57">
        <f t="shared" si="3"/>
        <v>12517.689301185279</v>
      </c>
      <c r="Q51" s="41">
        <v>46</v>
      </c>
      <c r="R51" s="57">
        <f t="shared" si="4"/>
        <v>-1526.7081477050133</v>
      </c>
      <c r="S51" s="41">
        <f t="shared" si="5"/>
        <v>-11403.300998306744</v>
      </c>
      <c r="U51" s="41">
        <v>45</v>
      </c>
      <c r="V51" s="41">
        <f t="shared" si="27"/>
        <v>22.5</v>
      </c>
      <c r="W51" s="57">
        <f t="shared" si="28"/>
        <v>10744.327124643956</v>
      </c>
      <c r="X51" s="57">
        <f t="shared" si="29"/>
        <v>29330.075271684618</v>
      </c>
      <c r="Y51" s="57">
        <f t="shared" si="30"/>
        <v>2062.0914214266768</v>
      </c>
      <c r="Z51" s="57">
        <f t="shared" si="31"/>
        <v>5927.4904162506245</v>
      </c>
      <c r="AA51" s="57">
        <f t="shared" si="6"/>
        <v>-899.25114083383937</v>
      </c>
      <c r="AB51" s="57">
        <f t="shared" si="7"/>
        <v>-3627.2272269921123</v>
      </c>
      <c r="AC51" s="57">
        <f t="shared" si="8"/>
        <v>284.38291898412052</v>
      </c>
      <c r="AD51" s="57">
        <f t="shared" si="9"/>
        <v>-670.73465225140933</v>
      </c>
      <c r="AE51" s="57">
        <f t="shared" si="10"/>
        <v>-109.14218893526554</v>
      </c>
      <c r="AF51" s="57">
        <f t="shared" si="11"/>
        <v>-68.621658847234869</v>
      </c>
      <c r="AG51" s="57">
        <f t="shared" si="12"/>
        <v>-74.105113753317127</v>
      </c>
      <c r="AH51" s="57">
        <f t="shared" si="13"/>
        <v>-208.65199539453729</v>
      </c>
      <c r="AJ51" s="57">
        <f t="shared" si="14"/>
        <v>23711.17177077122</v>
      </c>
      <c r="AK51" s="57">
        <f t="shared" si="15"/>
        <v>36316.187304783401</v>
      </c>
      <c r="AL51" s="57">
        <f t="shared" si="16"/>
        <v>47042.95282187358</v>
      </c>
      <c r="AN51" s="41">
        <v>46</v>
      </c>
      <c r="AO51" s="57">
        <f t="shared" si="17"/>
        <v>10209.93777844248</v>
      </c>
      <c r="AP51" s="57">
        <f t="shared" si="18"/>
        <v>20395.048502539881</v>
      </c>
      <c r="AR51" s="41">
        <v>46</v>
      </c>
      <c r="AS51" s="57">
        <f t="shared" si="19"/>
        <v>17431.30429660649</v>
      </c>
      <c r="AT51" s="57">
        <f t="shared" si="20"/>
        <v>-2482.310698814721</v>
      </c>
      <c r="AV51" s="57">
        <f t="shared" si="21"/>
        <v>-1017.7711360987045</v>
      </c>
      <c r="AW51" s="57">
        <f t="shared" si="22"/>
        <v>-2538.9809238181911</v>
      </c>
      <c r="AX51" s="57">
        <f t="shared" si="23"/>
        <v>17.384378969327262</v>
      </c>
      <c r="AY51" s="57">
        <f t="shared" si="24"/>
        <v>-140.23799668073997</v>
      </c>
      <c r="BA51" s="57">
        <f t="shared" si="25"/>
        <v>15438.53462628715</v>
      </c>
      <c r="BB51" s="57">
        <f t="shared" si="26"/>
        <v>34592.843476383561</v>
      </c>
    </row>
    <row r="52" spans="2:54" ht="15.75" thickBot="1" x14ac:dyDescent="0.3">
      <c r="B52" s="18" t="s">
        <v>12</v>
      </c>
      <c r="C52" s="20"/>
      <c r="D52" s="44" t="s">
        <v>61</v>
      </c>
      <c r="E52" s="26"/>
      <c r="F52" s="27">
        <f>'Conditions initiales et traject'!I70</f>
        <v>3500</v>
      </c>
      <c r="G52" s="28"/>
      <c r="I52" s="41">
        <v>47</v>
      </c>
      <c r="J52" s="57">
        <f t="shared" si="0"/>
        <v>23409.991800312491</v>
      </c>
      <c r="K52" s="57">
        <f t="shared" si="1"/>
        <v>11156.768508095853</v>
      </c>
      <c r="M52" s="41">
        <v>47</v>
      </c>
      <c r="N52" s="57">
        <f t="shared" si="2"/>
        <v>-17613.005739781256</v>
      </c>
      <c r="O52" s="57">
        <f t="shared" si="3"/>
        <v>12559.737955667097</v>
      </c>
      <c r="Q52" s="41">
        <v>47</v>
      </c>
      <c r="R52" s="57">
        <f t="shared" si="4"/>
        <v>-1590.0081996875078</v>
      </c>
      <c r="S52" s="41">
        <f t="shared" si="5"/>
        <v>-11343.231491904147</v>
      </c>
      <c r="U52" s="41">
        <v>46</v>
      </c>
      <c r="V52" s="41">
        <f t="shared" si="27"/>
        <v>23</v>
      </c>
      <c r="W52" s="57">
        <f t="shared" si="28"/>
        <v>11662.966442753066</v>
      </c>
      <c r="X52" s="57">
        <f t="shared" si="29"/>
        <v>31840.417076435919</v>
      </c>
      <c r="Y52" s="57">
        <f t="shared" si="30"/>
        <v>1612.465851009757</v>
      </c>
      <c r="Z52" s="57">
        <f t="shared" si="31"/>
        <v>4113.8768027545684</v>
      </c>
      <c r="AA52" s="57">
        <f t="shared" si="6"/>
        <v>-848.71578389858519</v>
      </c>
      <c r="AB52" s="57">
        <f t="shared" si="7"/>
        <v>-3272.0858624894677</v>
      </c>
      <c r="AC52" s="57">
        <f t="shared" si="8"/>
        <v>207.54399631201511</v>
      </c>
      <c r="AD52" s="57">
        <f t="shared" si="9"/>
        <v>-605.93584003911667</v>
      </c>
      <c r="AE52" s="57">
        <f t="shared" si="10"/>
        <v>-95.153777899586089</v>
      </c>
      <c r="AF52" s="57">
        <f t="shared" si="11"/>
        <v>-65.634980837405493</v>
      </c>
      <c r="AG52" s="57">
        <f t="shared" si="12"/>
        <v>-66.899946927104907</v>
      </c>
      <c r="AH52" s="57">
        <f t="shared" si="13"/>
        <v>-188.05903662008947</v>
      </c>
      <c r="AJ52" s="57">
        <f t="shared" si="14"/>
        <v>25728.622815640847</v>
      </c>
      <c r="AK52" s="57">
        <f t="shared" si="15"/>
        <v>38464.883491667832</v>
      </c>
      <c r="AL52" s="57">
        <f t="shared" si="16"/>
        <v>49715.984578068892</v>
      </c>
      <c r="AN52" s="41">
        <v>47</v>
      </c>
      <c r="AO52" s="57">
        <f t="shared" si="17"/>
        <v>10114.987700468739</v>
      </c>
      <c r="AP52" s="57">
        <f t="shared" si="18"/>
        <v>20485.152762143778</v>
      </c>
      <c r="AR52" s="41">
        <v>47</v>
      </c>
      <c r="AS52" s="57">
        <f t="shared" si="19"/>
        <v>17386.994260218744</v>
      </c>
      <c r="AT52" s="57">
        <f t="shared" si="20"/>
        <v>-2440.2620443329033</v>
      </c>
      <c r="AV52" s="57">
        <f t="shared" si="21"/>
        <v>-905.43752737245143</v>
      </c>
      <c r="AW52" s="57">
        <f t="shared" si="22"/>
        <v>-2288.4620129211785</v>
      </c>
      <c r="AX52" s="57">
        <f t="shared" si="23"/>
        <v>11.231471988542104</v>
      </c>
      <c r="AY52" s="57">
        <f t="shared" si="24"/>
        <v>-123.99399207167752</v>
      </c>
      <c r="BA52" s="57">
        <f t="shared" si="25"/>
        <v>18110.625862337503</v>
      </c>
      <c r="BB52" s="57">
        <f t="shared" si="26"/>
        <v>36991.243873759413</v>
      </c>
    </row>
    <row r="53" spans="2:54" ht="15.75" thickBot="1" x14ac:dyDescent="0.3">
      <c r="B53" s="8" t="s">
        <v>13</v>
      </c>
      <c r="C53" s="9"/>
      <c r="D53" s="45" t="s">
        <v>62</v>
      </c>
      <c r="E53" s="32"/>
      <c r="F53" s="33">
        <f>'Conditions initiales et traject'!I71</f>
        <v>1</v>
      </c>
      <c r="G53" s="34"/>
      <c r="I53" s="41">
        <v>48</v>
      </c>
      <c r="J53" s="57">
        <f t="shared" si="0"/>
        <v>23345.653031794292</v>
      </c>
      <c r="K53" s="57">
        <f t="shared" si="1"/>
        <v>11215.724127386971</v>
      </c>
      <c r="M53" s="41">
        <v>48</v>
      </c>
      <c r="N53" s="57">
        <f t="shared" si="2"/>
        <v>-17658.042877743996</v>
      </c>
      <c r="O53" s="57">
        <f t="shared" si="3"/>
        <v>12601.00688917088</v>
      </c>
      <c r="Q53" s="41">
        <v>48</v>
      </c>
      <c r="R53" s="57">
        <f t="shared" si="4"/>
        <v>-1654.3469682057089</v>
      </c>
      <c r="S53" s="41">
        <f t="shared" si="5"/>
        <v>-11284.275872613029</v>
      </c>
      <c r="U53" s="41">
        <v>47</v>
      </c>
      <c r="V53" s="41">
        <f t="shared" si="27"/>
        <v>23.5</v>
      </c>
      <c r="W53" s="57">
        <f t="shared" si="28"/>
        <v>12363.109895270622</v>
      </c>
      <c r="X53" s="57">
        <f t="shared" si="29"/>
        <v>33488.344745002018</v>
      </c>
      <c r="Y53" s="57">
        <f t="shared" si="30"/>
        <v>1188.1079590604645</v>
      </c>
      <c r="Z53" s="57">
        <f t="shared" si="31"/>
        <v>2477.8338715098344</v>
      </c>
      <c r="AA53" s="57">
        <f t="shared" si="6"/>
        <v>-816.59763866249796</v>
      </c>
      <c r="AB53" s="57">
        <f t="shared" si="7"/>
        <v>-3029.8340903798694</v>
      </c>
      <c r="AC53" s="57">
        <f t="shared" si="8"/>
        <v>166.10696361655616</v>
      </c>
      <c r="AD53" s="57">
        <f t="shared" si="9"/>
        <v>-565.26216507151639</v>
      </c>
      <c r="AE53" s="57">
        <f t="shared" si="10"/>
        <v>-86.871683177202272</v>
      </c>
      <c r="AF53" s="57">
        <f t="shared" si="11"/>
        <v>-63.049319105853392</v>
      </c>
      <c r="AG53" s="57">
        <f t="shared" si="12"/>
        <v>-62.952379416061142</v>
      </c>
      <c r="AH53" s="57">
        <f t="shared" si="13"/>
        <v>-175.80126452321608</v>
      </c>
      <c r="AJ53" s="57">
        <f t="shared" si="14"/>
        <v>27087.195370816586</v>
      </c>
      <c r="AK53" s="57">
        <f t="shared" si="15"/>
        <v>39988.413583854854</v>
      </c>
      <c r="AL53" s="57">
        <f t="shared" si="16"/>
        <v>51503.370388212548</v>
      </c>
      <c r="AN53" s="41">
        <v>48</v>
      </c>
      <c r="AO53" s="57">
        <f t="shared" si="17"/>
        <v>10018.479547691437</v>
      </c>
      <c r="AP53" s="57">
        <f t="shared" si="18"/>
        <v>20573.586191080456</v>
      </c>
      <c r="AR53" s="41">
        <v>48</v>
      </c>
      <c r="AS53" s="57">
        <f t="shared" si="19"/>
        <v>17341.957122256004</v>
      </c>
      <c r="AT53" s="57">
        <f t="shared" si="20"/>
        <v>-2398.9931108291207</v>
      </c>
      <c r="AV53" s="57">
        <f t="shared" si="21"/>
        <v>-840.73731519615751</v>
      </c>
      <c r="AW53" s="57">
        <f t="shared" si="22"/>
        <v>-2111.0429620665996</v>
      </c>
      <c r="AX53" s="57">
        <f t="shared" si="23"/>
        <v>7.85677551036677</v>
      </c>
      <c r="AY53" s="57">
        <f t="shared" si="24"/>
        <v>-114.6783796126839</v>
      </c>
      <c r="BA53" s="57">
        <f t="shared" si="25"/>
        <v>19900.610009240318</v>
      </c>
      <c r="BB53" s="57">
        <f t="shared" si="26"/>
        <v>38578.567503661201</v>
      </c>
    </row>
    <row r="54" spans="2:54" ht="15.75" thickBot="1" x14ac:dyDescent="0.3">
      <c r="B54" s="21" t="s">
        <v>14</v>
      </c>
      <c r="C54" s="22"/>
      <c r="D54" s="51" t="s">
        <v>66</v>
      </c>
      <c r="E54" s="81">
        <f>'Conditions initiales et traject'!H72</f>
        <v>179594380030.21649</v>
      </c>
      <c r="F54" s="82"/>
      <c r="G54" s="83"/>
      <c r="I54" s="41">
        <v>49</v>
      </c>
      <c r="J54" s="57">
        <f t="shared" si="0"/>
        <v>23280.295144952535</v>
      </c>
      <c r="K54" s="57">
        <f t="shared" si="1"/>
        <v>11273.54790111386</v>
      </c>
      <c r="M54" s="41">
        <v>49</v>
      </c>
      <c r="N54" s="57">
        <f t="shared" si="2"/>
        <v>-17703.793398533224</v>
      </c>
      <c r="O54" s="57">
        <f t="shared" si="3"/>
        <v>12641.483530779702</v>
      </c>
      <c r="Q54" s="41">
        <v>49</v>
      </c>
      <c r="R54" s="57">
        <f t="shared" si="4"/>
        <v>-1719.7048550474638</v>
      </c>
      <c r="S54" s="41">
        <f t="shared" si="5"/>
        <v>-11226.45209888614</v>
      </c>
      <c r="U54" s="41">
        <v>48</v>
      </c>
      <c r="V54" s="41">
        <f t="shared" si="27"/>
        <v>24</v>
      </c>
      <c r="W54" s="57">
        <f t="shared" si="28"/>
        <v>12855.089169968041</v>
      </c>
      <c r="X54" s="57">
        <f t="shared" si="29"/>
        <v>34348.53241945945</v>
      </c>
      <c r="Y54" s="57">
        <f t="shared" si="30"/>
        <v>779.80913972921553</v>
      </c>
      <c r="Z54" s="57">
        <f t="shared" si="31"/>
        <v>962.91682631989966</v>
      </c>
      <c r="AA54" s="57">
        <f t="shared" si="6"/>
        <v>-809.30287458943519</v>
      </c>
      <c r="AB54" s="57">
        <f t="shared" si="7"/>
        <v>-2898.5987798201736</v>
      </c>
      <c r="AC54" s="57">
        <f t="shared" si="8"/>
        <v>145.31161091200093</v>
      </c>
      <c r="AD54" s="57">
        <f t="shared" si="9"/>
        <v>-546.03949430636681</v>
      </c>
      <c r="AE54" s="57">
        <f t="shared" si="10"/>
        <v>-82.624252567928977</v>
      </c>
      <c r="AF54" s="57">
        <f t="shared" si="11"/>
        <v>-61.231892626325234</v>
      </c>
      <c r="AG54" s="57">
        <f t="shared" si="12"/>
        <v>-61.314191727482481</v>
      </c>
      <c r="AH54" s="57">
        <f t="shared" si="13"/>
        <v>-169.46235044997186</v>
      </c>
      <c r="AJ54" s="57">
        <f t="shared" si="14"/>
        <v>27782.970392812087</v>
      </c>
      <c r="AK54" s="57">
        <f t="shared" si="15"/>
        <v>40893.861585181941</v>
      </c>
      <c r="AL54" s="57">
        <f t="shared" si="16"/>
        <v>52479.346996908702</v>
      </c>
      <c r="AN54" s="41">
        <v>49</v>
      </c>
      <c r="AO54" s="57">
        <f t="shared" si="17"/>
        <v>9920.4427174288048</v>
      </c>
      <c r="AP54" s="57">
        <f t="shared" si="18"/>
        <v>20660.321851670789</v>
      </c>
      <c r="AR54" s="41">
        <v>49</v>
      </c>
      <c r="AS54" s="57">
        <f t="shared" si="19"/>
        <v>17296.206601466776</v>
      </c>
      <c r="AT54" s="57">
        <f t="shared" si="20"/>
        <v>-2358.5164692202979</v>
      </c>
      <c r="AV54" s="57">
        <f t="shared" si="21"/>
        <v>-816.68426046323725</v>
      </c>
      <c r="AW54" s="57">
        <f t="shared" si="22"/>
        <v>-2011.6438589200002</v>
      </c>
      <c r="AX54" s="57">
        <f t="shared" si="23"/>
        <v>6.0082192572124899</v>
      </c>
      <c r="AY54" s="57">
        <f t="shared" si="24"/>
        <v>-110.22118351750954</v>
      </c>
      <c r="BA54" s="57">
        <f t="shared" si="25"/>
        <v>20882.244435285749</v>
      </c>
      <c r="BB54" s="57">
        <f t="shared" si="26"/>
        <v>39406.94920993047</v>
      </c>
    </row>
    <row r="55" spans="2:54" ht="15.75" thickBot="1" x14ac:dyDescent="0.3">
      <c r="B55" s="10" t="s">
        <v>15</v>
      </c>
      <c r="C55" s="11"/>
      <c r="D55" s="52" t="s">
        <v>67</v>
      </c>
      <c r="E55" s="84">
        <f>'Conditions initiales et traject'!H73</f>
        <v>179594380030.21649</v>
      </c>
      <c r="F55" s="85"/>
      <c r="G55" s="86"/>
      <c r="I55" s="41">
        <v>50</v>
      </c>
      <c r="J55" s="57">
        <f t="shared" si="0"/>
        <v>23213.938048432698</v>
      </c>
      <c r="K55" s="57">
        <f t="shared" si="1"/>
        <v>11330.222215594891</v>
      </c>
      <c r="M55" s="41">
        <v>50</v>
      </c>
      <c r="N55" s="57">
        <f t="shared" si="2"/>
        <v>-17750.243366097111</v>
      </c>
      <c r="O55" s="57">
        <f t="shared" si="3"/>
        <v>12681.155550916423</v>
      </c>
      <c r="Q55" s="41">
        <v>50</v>
      </c>
      <c r="R55" s="57">
        <f t="shared" si="4"/>
        <v>-1786.0619515673034</v>
      </c>
      <c r="S55" s="41">
        <f t="shared" si="5"/>
        <v>-11169.777784405109</v>
      </c>
      <c r="U55" s="41">
        <v>49</v>
      </c>
      <c r="V55" s="41">
        <f t="shared" si="27"/>
        <v>24.5</v>
      </c>
      <c r="W55" s="57">
        <f t="shared" si="28"/>
        <v>13143.830880508969</v>
      </c>
      <c r="X55" s="57">
        <f t="shared" si="29"/>
        <v>34467.665985141874</v>
      </c>
      <c r="Y55" s="57">
        <f t="shared" si="30"/>
        <v>375.15770243449793</v>
      </c>
      <c r="Z55" s="57">
        <f t="shared" si="31"/>
        <v>-486.38256359018715</v>
      </c>
      <c r="AA55" s="57">
        <f t="shared" si="6"/>
        <v>-828.38054156795818</v>
      </c>
      <c r="AB55" s="57">
        <f t="shared" si="7"/>
        <v>-2866.3823700348062</v>
      </c>
      <c r="AC55" s="57">
        <f t="shared" si="8"/>
        <v>138.87296034079122</v>
      </c>
      <c r="AD55" s="57">
        <f t="shared" si="9"/>
        <v>-546.23501018836123</v>
      </c>
      <c r="AE55" s="57">
        <f t="shared" si="10"/>
        <v>-81.575896617984327</v>
      </c>
      <c r="AF55" s="57">
        <f t="shared" si="11"/>
        <v>-60.221517484905</v>
      </c>
      <c r="AG55" s="57">
        <f t="shared" si="12"/>
        <v>-61.586849228398734</v>
      </c>
      <c r="AH55" s="57">
        <f t="shared" si="13"/>
        <v>-167.91149051000519</v>
      </c>
      <c r="AJ55" s="57">
        <f t="shared" si="14"/>
        <v>27825.564930136468</v>
      </c>
      <c r="AK55" s="57">
        <f t="shared" si="15"/>
        <v>41196.847017657172</v>
      </c>
      <c r="AL55" s="57">
        <f t="shared" si="16"/>
        <v>52690.118400304178</v>
      </c>
      <c r="AN55" s="41">
        <v>50</v>
      </c>
      <c r="AO55" s="57">
        <f t="shared" si="17"/>
        <v>9820.9070726490463</v>
      </c>
      <c r="AP55" s="57">
        <f t="shared" si="18"/>
        <v>20745.333323392333</v>
      </c>
      <c r="AR55" s="41">
        <v>50</v>
      </c>
      <c r="AS55" s="57">
        <f t="shared" si="19"/>
        <v>17249.756633902889</v>
      </c>
      <c r="AT55" s="57">
        <f t="shared" si="20"/>
        <v>-2318.8444490835768</v>
      </c>
      <c r="AV55" s="57">
        <f t="shared" si="21"/>
        <v>-829.25033200019561</v>
      </c>
      <c r="AW55" s="57">
        <f t="shared" si="22"/>
        <v>-1982.3064499147458</v>
      </c>
      <c r="AX55" s="57">
        <f t="shared" si="23"/>
        <v>5.1595759378291888</v>
      </c>
      <c r="AY55" s="57">
        <f t="shared" si="24"/>
        <v>-109.70790193678874</v>
      </c>
      <c r="BA55" s="57">
        <f t="shared" si="25"/>
        <v>21102.416930754196</v>
      </c>
      <c r="BB55" s="57">
        <f t="shared" si="26"/>
        <v>39511.289805761553</v>
      </c>
    </row>
    <row r="56" spans="2:54" ht="15.75" thickBot="1" x14ac:dyDescent="0.3">
      <c r="B56" s="21" t="s">
        <v>16</v>
      </c>
      <c r="C56" s="22"/>
      <c r="D56" s="51" t="s">
        <v>68</v>
      </c>
      <c r="E56" s="38"/>
      <c r="F56" s="37">
        <f>'Conditions initiales et traject'!I74</f>
        <v>7000</v>
      </c>
      <c r="G56" s="35"/>
      <c r="I56" s="41">
        <v>51</v>
      </c>
      <c r="J56" s="57">
        <f t="shared" si="0"/>
        <v>23146.601955249189</v>
      </c>
      <c r="K56" s="57">
        <f t="shared" si="1"/>
        <v>11385.729807284853</v>
      </c>
      <c r="M56" s="41">
        <v>51</v>
      </c>
      <c r="N56" s="57">
        <f t="shared" si="2"/>
        <v>-17797.37863132557</v>
      </c>
      <c r="O56" s="57">
        <f t="shared" si="3"/>
        <v>12720.010865099397</v>
      </c>
      <c r="Q56" s="41">
        <v>51</v>
      </c>
      <c r="R56" s="57">
        <f t="shared" si="4"/>
        <v>-1853.3980447508125</v>
      </c>
      <c r="S56" s="41">
        <f t="shared" si="5"/>
        <v>-11114.270192715147</v>
      </c>
      <c r="U56" s="41">
        <v>50</v>
      </c>
      <c r="V56" s="41">
        <f t="shared" si="27"/>
        <v>25</v>
      </c>
      <c r="W56" s="57">
        <f t="shared" si="28"/>
        <v>13227.862164030224</v>
      </c>
      <c r="X56" s="57">
        <f t="shared" si="29"/>
        <v>33866.176907092427</v>
      </c>
      <c r="Y56" s="57">
        <f t="shared" si="30"/>
        <v>-39.032568349481153</v>
      </c>
      <c r="Z56" s="57">
        <f t="shared" si="31"/>
        <v>-1919.5737486075902</v>
      </c>
      <c r="AA56" s="57">
        <f t="shared" si="6"/>
        <v>-876.821525898299</v>
      </c>
      <c r="AB56" s="57">
        <f t="shared" si="7"/>
        <v>-2927.9714002558221</v>
      </c>
      <c r="AC56" s="57">
        <f t="shared" si="8"/>
        <v>145.3789918283959</v>
      </c>
      <c r="AD56" s="57">
        <f t="shared" si="9"/>
        <v>-566.00859432645154</v>
      </c>
      <c r="AE56" s="57">
        <f t="shared" si="10"/>
        <v>-83.461512265581646</v>
      </c>
      <c r="AF56" s="57">
        <f t="shared" si="11"/>
        <v>-59.946896578261139</v>
      </c>
      <c r="AG56" s="57">
        <f t="shared" si="12"/>
        <v>-63.72709920053908</v>
      </c>
      <c r="AH56" s="57">
        <f t="shared" si="13"/>
        <v>-170.8428380292753</v>
      </c>
      <c r="AJ56" s="57">
        <f t="shared" si="14"/>
        <v>27221.997273629051</v>
      </c>
      <c r="AK56" s="57">
        <f t="shared" si="15"/>
        <v>40910.698162612956</v>
      </c>
      <c r="AL56" s="57">
        <f t="shared" si="16"/>
        <v>52155.135936800485</v>
      </c>
      <c r="AN56" s="41">
        <v>51</v>
      </c>
      <c r="AO56" s="57">
        <f t="shared" si="17"/>
        <v>9719.9029328737815</v>
      </c>
      <c r="AP56" s="57">
        <f t="shared" si="18"/>
        <v>20828.594710927282</v>
      </c>
      <c r="AR56" s="41">
        <v>51</v>
      </c>
      <c r="AS56" s="57">
        <f t="shared" si="19"/>
        <v>17202.62136867443</v>
      </c>
      <c r="AT56" s="57">
        <f t="shared" si="20"/>
        <v>-2279.989134900602</v>
      </c>
      <c r="AV56" s="57">
        <f t="shared" si="21"/>
        <v>-880.16381794805989</v>
      </c>
      <c r="AW56" s="57">
        <f t="shared" si="22"/>
        <v>-2018.1823620263785</v>
      </c>
      <c r="AX56" s="57">
        <f t="shared" si="23"/>
        <v>5.1519116874857485</v>
      </c>
      <c r="AY56" s="57">
        <f t="shared" si="24"/>
        <v>-112.9907092954553</v>
      </c>
      <c r="BA56" s="57">
        <f t="shared" si="25"/>
        <v>20582.282353519196</v>
      </c>
      <c r="BB56" s="57">
        <f t="shared" si="26"/>
        <v>38906.557029414471</v>
      </c>
    </row>
    <row r="57" spans="2:54" ht="15.75" thickBot="1" x14ac:dyDescent="0.3">
      <c r="B57" s="12" t="s">
        <v>17</v>
      </c>
      <c r="C57" s="13"/>
      <c r="D57" s="46"/>
      <c r="E57" s="29"/>
      <c r="F57" s="30" t="s">
        <v>48</v>
      </c>
      <c r="G57" s="31"/>
      <c r="I57" s="41">
        <v>52</v>
      </c>
      <c r="J57" s="57">
        <f t="shared" si="0"/>
        <v>23078.307376628291</v>
      </c>
      <c r="K57" s="57">
        <f t="shared" si="1"/>
        <v>11440.053768033609</v>
      </c>
      <c r="M57" s="41">
        <v>52</v>
      </c>
      <c r="N57" s="57">
        <f t="shared" si="2"/>
        <v>-17845.184836360197</v>
      </c>
      <c r="O57" s="57">
        <f t="shared" si="3"/>
        <v>12758.037637623527</v>
      </c>
      <c r="Q57" s="41">
        <v>52</v>
      </c>
      <c r="R57" s="57">
        <f t="shared" si="4"/>
        <v>-1921.6926233717086</v>
      </c>
      <c r="S57" s="41">
        <f t="shared" si="5"/>
        <v>-11059.946231966391</v>
      </c>
      <c r="U57" s="41">
        <v>51</v>
      </c>
      <c r="V57" s="41">
        <f t="shared" si="27"/>
        <v>25.5</v>
      </c>
      <c r="W57" s="57">
        <f t="shared" si="28"/>
        <v>13098.743189118197</v>
      </c>
      <c r="X57" s="57">
        <f t="shared" si="29"/>
        <v>32540.39360775665</v>
      </c>
      <c r="Y57" s="57">
        <f t="shared" si="30"/>
        <v>-477.44333129863065</v>
      </c>
      <c r="Z57" s="57">
        <f t="shared" si="31"/>
        <v>-3383.5594487355011</v>
      </c>
      <c r="AA57" s="57">
        <f t="shared" si="6"/>
        <v>-960.83560063144932</v>
      </c>
      <c r="AB57" s="57">
        <f t="shared" si="7"/>
        <v>-3085.9100664986258</v>
      </c>
      <c r="AC57" s="57">
        <f t="shared" si="8"/>
        <v>167.5983165943131</v>
      </c>
      <c r="AD57" s="57">
        <f t="shared" si="9"/>
        <v>-608.11065730834309</v>
      </c>
      <c r="AE57" s="57">
        <f t="shared" si="10"/>
        <v>-88.481839470124498</v>
      </c>
      <c r="AF57" s="57">
        <f t="shared" si="11"/>
        <v>-60.256532322068466</v>
      </c>
      <c r="AG57" s="57">
        <f t="shared" si="12"/>
        <v>-68.012245941927731</v>
      </c>
      <c r="AH57" s="57">
        <f t="shared" si="13"/>
        <v>-178.6493630215617</v>
      </c>
      <c r="AJ57" s="57">
        <f t="shared" si="14"/>
        <v>25973.999645821255</v>
      </c>
      <c r="AK57" s="57">
        <f t="shared" si="15"/>
        <v>40044.926578679042</v>
      </c>
      <c r="AL57" s="57">
        <f t="shared" si="16"/>
        <v>50868.983962785038</v>
      </c>
      <c r="AN57" s="41">
        <v>52</v>
      </c>
      <c r="AO57" s="57">
        <f t="shared" si="17"/>
        <v>9617.4610649424376</v>
      </c>
      <c r="AP57" s="57">
        <f t="shared" si="18"/>
        <v>20910.080652050416</v>
      </c>
      <c r="AR57" s="41">
        <v>52</v>
      </c>
      <c r="AS57" s="57">
        <f t="shared" si="19"/>
        <v>17154.815163639803</v>
      </c>
      <c r="AT57" s="57">
        <f t="shared" si="20"/>
        <v>-2241.9623623764728</v>
      </c>
      <c r="AV57" s="57">
        <f t="shared" si="21"/>
        <v>-978.04867307113659</v>
      </c>
      <c r="AW57" s="57">
        <f t="shared" si="22"/>
        <v>-2118.2741929960789</v>
      </c>
      <c r="AX57" s="57">
        <f t="shared" si="23"/>
        <v>6.1088412574264215</v>
      </c>
      <c r="AY57" s="57">
        <f t="shared" si="24"/>
        <v>-120.6193208505738</v>
      </c>
      <c r="BA57" s="57">
        <f t="shared" si="25"/>
        <v>19319.809759889427</v>
      </c>
      <c r="BB57" s="57">
        <f t="shared" si="26"/>
        <v>37588.507947060367</v>
      </c>
    </row>
    <row r="58" spans="2:54" x14ac:dyDescent="0.25">
      <c r="I58" s="41">
        <v>53</v>
      </c>
      <c r="J58" s="57">
        <f t="shared" si="0"/>
        <v>23009.075115760243</v>
      </c>
      <c r="K58" s="57">
        <f t="shared" si="1"/>
        <v>11493.177550236464</v>
      </c>
      <c r="M58" s="41">
        <v>53</v>
      </c>
      <c r="N58" s="57">
        <f t="shared" si="2"/>
        <v>-17893.64741896783</v>
      </c>
      <c r="O58" s="57">
        <f t="shared" si="3"/>
        <v>12795.224285165525</v>
      </c>
      <c r="Q58" s="41">
        <v>53</v>
      </c>
      <c r="R58" s="57">
        <f t="shared" si="4"/>
        <v>-1990.9248842397583</v>
      </c>
      <c r="S58" s="41">
        <f t="shared" si="5"/>
        <v>-11006.822449763536</v>
      </c>
      <c r="U58" s="41">
        <v>52</v>
      </c>
      <c r="V58" s="41">
        <f t="shared" si="27"/>
        <v>26</v>
      </c>
      <c r="W58" s="57">
        <f t="shared" si="28"/>
        <v>12739.917073389952</v>
      </c>
      <c r="X58" s="57">
        <f t="shared" si="29"/>
        <v>30462.875125076571</v>
      </c>
      <c r="Y58" s="57">
        <f t="shared" si="30"/>
        <v>-957.86113161435537</v>
      </c>
      <c r="Z58" s="57">
        <f t="shared" si="31"/>
        <v>-4926.5144819848138</v>
      </c>
      <c r="AA58" s="57">
        <f t="shared" si="6"/>
        <v>-1089.8068433332578</v>
      </c>
      <c r="AB58" s="57">
        <f t="shared" si="7"/>
        <v>-3343.5169685811411</v>
      </c>
      <c r="AC58" s="57">
        <f t="shared" si="8"/>
        <v>214.37517844648755</v>
      </c>
      <c r="AD58" s="57">
        <f t="shared" si="9"/>
        <v>-678.0460364357358</v>
      </c>
      <c r="AE58" s="57">
        <f t="shared" si="10"/>
        <v>-97.329650935933813</v>
      </c>
      <c r="AF58" s="57">
        <f t="shared" si="11"/>
        <v>-60.832301089976056</v>
      </c>
      <c r="AG58" s="57">
        <f t="shared" si="12"/>
        <v>-75.137786713764143</v>
      </c>
      <c r="AH58" s="57">
        <f t="shared" si="13"/>
        <v>-192.55895055262124</v>
      </c>
      <c r="AJ58" s="57">
        <f t="shared" si="14"/>
        <v>24083.239776058268</v>
      </c>
      <c r="AK58" s="57">
        <f t="shared" si="15"/>
        <v>38608.696278907533</v>
      </c>
      <c r="AL58" s="57">
        <f t="shared" si="16"/>
        <v>48801.410557575677</v>
      </c>
      <c r="AN58" s="41">
        <v>53</v>
      </c>
      <c r="AO58" s="57">
        <f t="shared" si="17"/>
        <v>9513.6126736403639</v>
      </c>
      <c r="AP58" s="57">
        <f t="shared" si="18"/>
        <v>20989.766325354696</v>
      </c>
      <c r="AR58" s="41">
        <v>53</v>
      </c>
      <c r="AS58" s="57">
        <f t="shared" si="19"/>
        <v>17106.35258103217</v>
      </c>
      <c r="AT58" s="57">
        <f t="shared" si="20"/>
        <v>-2204.7757148344749</v>
      </c>
      <c r="AV58" s="57">
        <f t="shared" si="21"/>
        <v>-1140.2584353011614</v>
      </c>
      <c r="AW58" s="57">
        <f t="shared" si="22"/>
        <v>-2278.0184371736023</v>
      </c>
      <c r="AX58" s="57">
        <f t="shared" si="23"/>
        <v>8.5438511711139515</v>
      </c>
      <c r="AY58" s="57">
        <f t="shared" si="24"/>
        <v>-134.06124332920581</v>
      </c>
      <c r="BA58" s="57">
        <f t="shared" si="25"/>
        <v>17291.813769430464</v>
      </c>
      <c r="BB58" s="57">
        <f t="shared" si="26"/>
        <v>35534.820767409663</v>
      </c>
    </row>
    <row r="59" spans="2:54" x14ac:dyDescent="0.25">
      <c r="I59" s="41">
        <v>54</v>
      </c>
      <c r="J59" s="57">
        <f t="shared" si="0"/>
        <v>22938.926261462366</v>
      </c>
      <c r="K59" s="57">
        <f t="shared" si="1"/>
        <v>11545.084971874738</v>
      </c>
      <c r="M59" s="41">
        <v>54</v>
      </c>
      <c r="N59" s="57">
        <f t="shared" si="2"/>
        <v>-17942.751616976344</v>
      </c>
      <c r="O59" s="57">
        <f t="shared" si="3"/>
        <v>12831.559480312317</v>
      </c>
      <c r="Q59" s="41">
        <v>54</v>
      </c>
      <c r="R59" s="57">
        <f t="shared" si="4"/>
        <v>-2061.0737385376342</v>
      </c>
      <c r="S59" s="41">
        <f t="shared" si="5"/>
        <v>-10954.915028125262</v>
      </c>
      <c r="U59" s="41">
        <v>53</v>
      </c>
      <c r="V59" s="41">
        <f t="shared" si="27"/>
        <v>26.5</v>
      </c>
      <c r="W59" s="57">
        <f t="shared" si="28"/>
        <v>12124.760652166118</v>
      </c>
      <c r="X59" s="57">
        <f t="shared" si="29"/>
        <v>27581.678263011523</v>
      </c>
      <c r="Y59" s="57">
        <f t="shared" si="30"/>
        <v>-1502.7645532809843</v>
      </c>
      <c r="Z59" s="57">
        <f t="shared" si="31"/>
        <v>-6598.2729662753845</v>
      </c>
      <c r="AA59" s="57">
        <f t="shared" si="6"/>
        <v>-1269.4813624398457</v>
      </c>
      <c r="AB59" s="57">
        <f t="shared" si="7"/>
        <v>-3673.3089662864622</v>
      </c>
      <c r="AC59" s="57">
        <f t="shared" si="8"/>
        <v>306.79745041806723</v>
      </c>
      <c r="AD59" s="57">
        <f t="shared" si="9"/>
        <v>-782.32640547013557</v>
      </c>
      <c r="AE59" s="57">
        <f t="shared" si="10"/>
        <v>-111.31565354349308</v>
      </c>
      <c r="AF59" s="57">
        <f t="shared" si="11"/>
        <v>-60.922352929860324</v>
      </c>
      <c r="AG59" s="57">
        <f t="shared" si="12"/>
        <v>-86.512727372763621</v>
      </c>
      <c r="AH59" s="57">
        <f t="shared" si="13"/>
        <v>-215.11875099852435</v>
      </c>
      <c r="AJ59" s="57">
        <f t="shared" si="14"/>
        <v>21570.655915960935</v>
      </c>
      <c r="AK59" s="57">
        <f t="shared" si="15"/>
        <v>36621.245985124704</v>
      </c>
      <c r="AL59" s="57">
        <f t="shared" si="16"/>
        <v>45896.151811329502</v>
      </c>
      <c r="AN59" s="41">
        <v>54</v>
      </c>
      <c r="AO59" s="57">
        <f t="shared" si="17"/>
        <v>9408.3893921935487</v>
      </c>
      <c r="AP59" s="57">
        <f t="shared" si="18"/>
        <v>21067.627457812105</v>
      </c>
      <c r="AR59" s="41">
        <v>54</v>
      </c>
      <c r="AS59" s="57">
        <f t="shared" si="19"/>
        <v>17057.248383023656</v>
      </c>
      <c r="AT59" s="57">
        <f t="shared" si="20"/>
        <v>-2168.4405196876837</v>
      </c>
      <c r="AV59" s="57">
        <f t="shared" si="21"/>
        <v>-1392.2485222883354</v>
      </c>
      <c r="AW59" s="57">
        <f t="shared" si="22"/>
        <v>-2458.5840598391865</v>
      </c>
      <c r="AX59" s="57">
        <f t="shared" si="23"/>
        <v>13.798090346679196</v>
      </c>
      <c r="AY59" s="57">
        <f t="shared" si="24"/>
        <v>-156.35739704875536</v>
      </c>
      <c r="BA59" s="57">
        <f t="shared" si="25"/>
        <v>14458.936415400382</v>
      </c>
      <c r="BB59" s="57">
        <f t="shared" si="26"/>
        <v>32708.298025756856</v>
      </c>
    </row>
    <row r="60" spans="2:54" x14ac:dyDescent="0.25">
      <c r="I60" s="41">
        <v>55</v>
      </c>
      <c r="J60" s="57">
        <f t="shared" si="0"/>
        <v>22867.882181755231</v>
      </c>
      <c r="K60" s="57">
        <f t="shared" si="1"/>
        <v>11595.760221444958</v>
      </c>
      <c r="M60" s="41">
        <v>55</v>
      </c>
      <c r="N60" s="57">
        <f t="shared" si="2"/>
        <v>-17992.482472771339</v>
      </c>
      <c r="O60" s="57">
        <f t="shared" si="3"/>
        <v>12867.032155011471</v>
      </c>
      <c r="Q60" s="41">
        <v>55</v>
      </c>
      <c r="R60" s="57">
        <f t="shared" si="4"/>
        <v>-2132.1178182447693</v>
      </c>
      <c r="S60" s="41">
        <f t="shared" si="5"/>
        <v>-10904.239778555042</v>
      </c>
      <c r="U60" s="41">
        <v>54</v>
      </c>
      <c r="V60" s="41">
        <f t="shared" si="27"/>
        <v>27</v>
      </c>
      <c r="W60" s="57">
        <f t="shared" si="28"/>
        <v>11214.693205220645</v>
      </c>
      <c r="X60" s="57">
        <f t="shared" si="29"/>
        <v>23823.378159088024</v>
      </c>
      <c r="Y60" s="57">
        <f t="shared" si="30"/>
        <v>-2137.5052345009071</v>
      </c>
      <c r="Z60" s="57">
        <f t="shared" si="31"/>
        <v>-8434.9274494186157</v>
      </c>
      <c r="AA60" s="57">
        <f t="shared" si="6"/>
        <v>-1460.1444889966115</v>
      </c>
      <c r="AB60" s="57">
        <f t="shared" si="7"/>
        <v>-3889.2917765892357</v>
      </c>
      <c r="AC60" s="57">
        <f t="shared" si="8"/>
        <v>492.28646372044295</v>
      </c>
      <c r="AD60" s="57">
        <f t="shared" si="9"/>
        <v>-914.68383490991994</v>
      </c>
      <c r="AE60" s="57">
        <f t="shared" si="10"/>
        <v>-132.46043796507524</v>
      </c>
      <c r="AF60" s="57">
        <f t="shared" si="11"/>
        <v>-58.659898179086142</v>
      </c>
      <c r="AG60" s="57">
        <f t="shared" si="12"/>
        <v>-104.97488127511522</v>
      </c>
      <c r="AH60" s="57">
        <f t="shared" si="13"/>
        <v>-251.34484269100972</v>
      </c>
      <c r="AJ60" s="57">
        <f t="shared" si="14"/>
        <v>18537.375488536349</v>
      </c>
      <c r="AK60" s="57">
        <f t="shared" si="15"/>
        <v>34138.583093403271</v>
      </c>
      <c r="AL60" s="57">
        <f t="shared" si="16"/>
        <v>42073.399760691806</v>
      </c>
      <c r="AN60" s="41">
        <v>55</v>
      </c>
      <c r="AO60" s="57">
        <f t="shared" si="17"/>
        <v>9301.8232726328461</v>
      </c>
      <c r="AP60" s="57">
        <f t="shared" si="18"/>
        <v>21143.640332167437</v>
      </c>
      <c r="AR60" s="41">
        <v>55</v>
      </c>
      <c r="AS60" s="57">
        <f t="shared" si="19"/>
        <v>17007.517527228661</v>
      </c>
      <c r="AT60" s="57">
        <f t="shared" si="20"/>
        <v>-2132.9678449885287</v>
      </c>
      <c r="AV60" s="57">
        <f t="shared" si="21"/>
        <v>-1740.4231100523721</v>
      </c>
      <c r="AW60" s="57">
        <f t="shared" si="22"/>
        <v>-2470.984608525489</v>
      </c>
      <c r="AX60" s="57">
        <f t="shared" si="23"/>
        <v>25.427476575508017</v>
      </c>
      <c r="AY60" s="57">
        <f t="shared" si="24"/>
        <v>-193.61859228373089</v>
      </c>
      <c r="BA60" s="57">
        <f t="shared" si="25"/>
        <v>10792.331248311795</v>
      </c>
      <c r="BB60" s="57">
        <f t="shared" si="26"/>
        <v>29070.87332765212</v>
      </c>
    </row>
    <row r="61" spans="2:54" x14ac:dyDescent="0.25">
      <c r="I61" s="41">
        <v>56</v>
      </c>
      <c r="J61" s="57">
        <f t="shared" si="0"/>
        <v>22795.964517353736</v>
      </c>
      <c r="K61" s="57">
        <f t="shared" si="1"/>
        <v>11645.187862775208</v>
      </c>
      <c r="M61" s="41">
        <v>56</v>
      </c>
      <c r="N61" s="57">
        <f t="shared" si="2"/>
        <v>-18042.824837852386</v>
      </c>
      <c r="O61" s="57">
        <f t="shared" si="3"/>
        <v>12901.631503942646</v>
      </c>
      <c r="Q61" s="41">
        <v>56</v>
      </c>
      <c r="R61" s="57">
        <f t="shared" si="4"/>
        <v>-2204.0354826462662</v>
      </c>
      <c r="S61" s="41">
        <f t="shared" si="5"/>
        <v>-10854.812137224792</v>
      </c>
      <c r="U61" s="41">
        <v>55</v>
      </c>
      <c r="V61" s="41">
        <f t="shared" si="27"/>
        <v>27.5</v>
      </c>
      <c r="W61" s="57">
        <f t="shared" si="28"/>
        <v>9963.4225268456157</v>
      </c>
      <c r="X61" s="57">
        <f t="shared" si="29"/>
        <v>19119.752962305061</v>
      </c>
      <c r="Y61" s="57">
        <f t="shared" si="30"/>
        <v>-2867.5774789992129</v>
      </c>
      <c r="Z61" s="57">
        <f t="shared" si="31"/>
        <v>-10379.573337713233</v>
      </c>
      <c r="AA61" s="57">
        <f t="shared" si="6"/>
        <v>-1406.1257426102352</v>
      </c>
      <c r="AB61" s="57">
        <f t="shared" si="7"/>
        <v>-3279.8255524055462</v>
      </c>
      <c r="AC61" s="57">
        <f t="shared" si="8"/>
        <v>854.19540606898272</v>
      </c>
      <c r="AD61" s="57">
        <f t="shared" si="9"/>
        <v>-988.93667952108672</v>
      </c>
      <c r="AE61" s="57">
        <f t="shared" si="10"/>
        <v>-162.79577668931213</v>
      </c>
      <c r="AF61" s="57">
        <f t="shared" si="11"/>
        <v>-49.548988116525564</v>
      </c>
      <c r="AG61" s="57">
        <f t="shared" si="12"/>
        <v>-136.48917744276432</v>
      </c>
      <c r="AH61" s="57">
        <f t="shared" si="13"/>
        <v>-311.22405372302609</v>
      </c>
      <c r="AJ61" s="57">
        <f t="shared" si="14"/>
        <v>15354.202886494217</v>
      </c>
      <c r="AK61" s="57">
        <f t="shared" si="15"/>
        <v>31320.545710695256</v>
      </c>
      <c r="AL61" s="57">
        <f t="shared" si="16"/>
        <v>37256.698135041923</v>
      </c>
      <c r="AN61" s="41">
        <v>56</v>
      </c>
      <c r="AO61" s="57">
        <f t="shared" si="17"/>
        <v>9193.9467760305997</v>
      </c>
      <c r="AP61" s="57">
        <f t="shared" si="18"/>
        <v>21217.781794162813</v>
      </c>
      <c r="AR61" s="41">
        <v>56</v>
      </c>
      <c r="AS61" s="57">
        <f t="shared" si="19"/>
        <v>16957.175162147614</v>
      </c>
      <c r="AT61" s="57">
        <f t="shared" si="20"/>
        <v>-2098.3684960573542</v>
      </c>
      <c r="AV61" s="57">
        <f t="shared" si="21"/>
        <v>-2014.8562101833622</v>
      </c>
      <c r="AW61" s="57">
        <f t="shared" si="22"/>
        <v>-1672.3762274168048</v>
      </c>
      <c r="AX61" s="57">
        <f t="shared" si="23"/>
        <v>53.820015636220923</v>
      </c>
      <c r="AY61" s="57">
        <f t="shared" si="24"/>
        <v>-257.73960362810311</v>
      </c>
      <c r="BA61" s="57">
        <f t="shared" si="25"/>
        <v>6450.4207343722819</v>
      </c>
      <c r="BB61" s="57">
        <f t="shared" si="26"/>
        <v>24639.999910830156</v>
      </c>
    </row>
    <row r="62" spans="2:54" x14ac:dyDescent="0.25">
      <c r="I62" s="41">
        <v>57</v>
      </c>
      <c r="J62" s="57">
        <f t="shared" si="0"/>
        <v>22723.195175075136</v>
      </c>
      <c r="K62" s="57">
        <f t="shared" si="1"/>
        <v>11693.352839727118</v>
      </c>
      <c r="M62" s="41">
        <v>57</v>
      </c>
      <c r="N62" s="57">
        <f t="shared" si="2"/>
        <v>-18093.763377447405</v>
      </c>
      <c r="O62" s="57">
        <f t="shared" si="3"/>
        <v>12935.346987808984</v>
      </c>
      <c r="Q62" s="41">
        <v>57</v>
      </c>
      <c r="R62" s="57">
        <f t="shared" si="4"/>
        <v>-2276.8048249248641</v>
      </c>
      <c r="S62" s="41">
        <f t="shared" si="5"/>
        <v>-10806.647160272882</v>
      </c>
      <c r="U62" s="41">
        <v>56</v>
      </c>
      <c r="V62" s="41">
        <f t="shared" si="27"/>
        <v>28</v>
      </c>
      <c r="W62" s="57">
        <f t="shared" si="28"/>
        <v>8353.868069519729</v>
      </c>
      <c r="X62" s="57">
        <f t="shared" si="29"/>
        <v>13519.988099397751</v>
      </c>
      <c r="Y62" s="57">
        <f t="shared" si="30"/>
        <v>-3570.6403503043302</v>
      </c>
      <c r="Z62" s="57">
        <f t="shared" si="31"/>
        <v>-12019.486113916006</v>
      </c>
      <c r="AA62" s="57">
        <f t="shared" si="6"/>
        <v>-512.28672792162683</v>
      </c>
      <c r="AB62" s="57">
        <f t="shared" si="7"/>
        <v>-796.75940841479087</v>
      </c>
      <c r="AC62" s="57">
        <f t="shared" si="8"/>
        <v>1360.29173001394</v>
      </c>
      <c r="AD62" s="57">
        <f t="shared" si="9"/>
        <v>-703.14676798061976</v>
      </c>
      <c r="AE62" s="57">
        <f t="shared" si="10"/>
        <v>-200.04642602279179</v>
      </c>
      <c r="AF62" s="57">
        <f t="shared" si="11"/>
        <v>-24.834743436090452</v>
      </c>
      <c r="AG62" s="57">
        <f t="shared" si="12"/>
        <v>-193.83914292990801</v>
      </c>
      <c r="AH62" s="57">
        <f t="shared" si="13"/>
        <v>-413.98417453118213</v>
      </c>
      <c r="AJ62" s="57">
        <f t="shared" si="14"/>
        <v>13110.020810778396</v>
      </c>
      <c r="AK62" s="57">
        <f t="shared" si="15"/>
        <v>28571.52692320857</v>
      </c>
      <c r="AL62" s="57">
        <f t="shared" si="16"/>
        <v>31491.514946218889</v>
      </c>
      <c r="AN62" s="41">
        <v>57</v>
      </c>
      <c r="AO62" s="57">
        <f t="shared" si="17"/>
        <v>9084.7927626127039</v>
      </c>
      <c r="AP62" s="57">
        <f t="shared" si="18"/>
        <v>21290.029259590679</v>
      </c>
      <c r="AR62" s="41">
        <v>57</v>
      </c>
      <c r="AS62" s="57">
        <f t="shared" si="19"/>
        <v>16906.236622552595</v>
      </c>
      <c r="AT62" s="57">
        <f t="shared" si="20"/>
        <v>-2064.6530121910164</v>
      </c>
      <c r="AV62" s="57">
        <f t="shared" si="21"/>
        <v>-1609.7291258913162</v>
      </c>
      <c r="AW62" s="57">
        <f t="shared" si="22"/>
        <v>710.34942749145284</v>
      </c>
      <c r="AX62" s="57">
        <f t="shared" si="23"/>
        <v>131.03623690844927</v>
      </c>
      <c r="AY62" s="57">
        <f t="shared" si="24"/>
        <v>-365.14314995835139</v>
      </c>
      <c r="BA62" s="57">
        <f t="shared" si="25"/>
        <v>3665.9059253707364</v>
      </c>
      <c r="BB62" s="57">
        <f t="shared" si="26"/>
        <v>19676.407925207885</v>
      </c>
    </row>
    <row r="63" spans="2:54" x14ac:dyDescent="0.25">
      <c r="I63" s="41">
        <v>58</v>
      </c>
      <c r="J63" s="57">
        <f t="shared" si="0"/>
        <v>22649.596321166024</v>
      </c>
      <c r="K63" s="57">
        <f t="shared" si="1"/>
        <v>11740.240480782129</v>
      </c>
      <c r="M63" s="41">
        <v>58</v>
      </c>
      <c r="N63" s="57">
        <f t="shared" si="2"/>
        <v>-18145.282575183785</v>
      </c>
      <c r="O63" s="57">
        <f t="shared" si="3"/>
        <v>12968.168336547491</v>
      </c>
      <c r="Q63" s="41">
        <v>58</v>
      </c>
      <c r="R63" s="57">
        <f t="shared" si="4"/>
        <v>-2350.4036788339754</v>
      </c>
      <c r="S63" s="41">
        <f t="shared" si="5"/>
        <v>-10759.759519217871</v>
      </c>
      <c r="U63" s="41">
        <v>57</v>
      </c>
      <c r="V63" s="41">
        <f t="shared" si="27"/>
        <v>28.5</v>
      </c>
      <c r="W63" s="57">
        <f t="shared" si="28"/>
        <v>6504.5120533773606</v>
      </c>
      <c r="X63" s="57">
        <f t="shared" si="29"/>
        <v>7410.6501163878993</v>
      </c>
      <c r="Y63" s="57">
        <f t="shared" si="30"/>
        <v>-3826.7837142651438</v>
      </c>
      <c r="Z63" s="57">
        <f t="shared" si="31"/>
        <v>-12417.8658181234</v>
      </c>
      <c r="AA63" s="57">
        <f t="shared" si="6"/>
        <v>741.73541521363438</v>
      </c>
      <c r="AB63" s="57">
        <f t="shared" si="7"/>
        <v>1744.0514739768228</v>
      </c>
      <c r="AC63" s="57">
        <f t="shared" si="8"/>
        <v>1491.0734766413013</v>
      </c>
      <c r="AD63" s="57">
        <f t="shared" si="9"/>
        <v>9.8719840380674704</v>
      </c>
      <c r="AE63" s="57">
        <f t="shared" si="10"/>
        <v>-228.00382536417214</v>
      </c>
      <c r="AF63" s="57">
        <f t="shared" si="11"/>
        <v>22.274761273886686</v>
      </c>
      <c r="AG63" s="57">
        <f t="shared" si="12"/>
        <v>-302.55085797727372</v>
      </c>
      <c r="AH63" s="57">
        <f t="shared" si="13"/>
        <v>-589.36540629301601</v>
      </c>
      <c r="AJ63" s="57">
        <f t="shared" si="14"/>
        <v>13495.783723783457</v>
      </c>
      <c r="AK63" s="57">
        <f t="shared" si="15"/>
        <v>26630.694546094506</v>
      </c>
      <c r="AL63" s="57">
        <f t="shared" si="16"/>
        <v>25191.090413585949</v>
      </c>
      <c r="AN63" s="41">
        <v>58</v>
      </c>
      <c r="AO63" s="57">
        <f t="shared" si="17"/>
        <v>8974.3944817490374</v>
      </c>
      <c r="AP63" s="57">
        <f t="shared" si="18"/>
        <v>21360.360721173194</v>
      </c>
      <c r="AR63" s="41">
        <v>58</v>
      </c>
      <c r="AS63" s="57">
        <f t="shared" si="19"/>
        <v>16854.717424816215</v>
      </c>
      <c r="AT63" s="57">
        <f t="shared" si="20"/>
        <v>-2031.831663452509</v>
      </c>
      <c r="AV63" s="57">
        <f t="shared" si="21"/>
        <v>-552.98936187148763</v>
      </c>
      <c r="AW63" s="57">
        <f t="shared" si="22"/>
        <v>2789.4955974177619</v>
      </c>
      <c r="AX63" s="57">
        <f t="shared" si="23"/>
        <v>334.20598378526654</v>
      </c>
      <c r="AY63" s="57">
        <f t="shared" si="24"/>
        <v>-488.22546245987724</v>
      </c>
      <c r="BA63" s="57">
        <f t="shared" si="25"/>
        <v>7737.0400137675888</v>
      </c>
      <c r="BB63" s="57">
        <f t="shared" si="26"/>
        <v>15039.865417037798</v>
      </c>
    </row>
    <row r="64" spans="2:54" x14ac:dyDescent="0.25">
      <c r="I64" s="41">
        <v>59</v>
      </c>
      <c r="J64" s="57">
        <f t="shared" si="0"/>
        <v>22575.190374550271</v>
      </c>
      <c r="K64" s="57">
        <f t="shared" si="1"/>
        <v>11785.83650351056</v>
      </c>
      <c r="M64" s="41">
        <v>59</v>
      </c>
      <c r="N64" s="57">
        <f t="shared" si="2"/>
        <v>-18197.366737814809</v>
      </c>
      <c r="O64" s="57">
        <f t="shared" si="3"/>
        <v>13000.085552457393</v>
      </c>
      <c r="Q64" s="41">
        <v>59</v>
      </c>
      <c r="R64" s="57">
        <f t="shared" si="4"/>
        <v>-2424.8096254497282</v>
      </c>
      <c r="S64" s="41">
        <f t="shared" si="5"/>
        <v>-10714.16349648944</v>
      </c>
      <c r="U64" s="41">
        <v>58</v>
      </c>
      <c r="V64" s="41">
        <f t="shared" si="27"/>
        <v>29</v>
      </c>
      <c r="W64" s="57">
        <f t="shared" si="28"/>
        <v>4683.8371231464926</v>
      </c>
      <c r="X64" s="57">
        <f t="shared" si="29"/>
        <v>1419.7236415733018</v>
      </c>
      <c r="Y64" s="57">
        <f t="shared" si="30"/>
        <v>-3455.9160066583268</v>
      </c>
      <c r="Z64" s="57">
        <f t="shared" si="31"/>
        <v>-11545.840081134989</v>
      </c>
      <c r="AA64" s="57">
        <f t="shared" si="6"/>
        <v>1126.8700769476736</v>
      </c>
      <c r="AB64" s="57">
        <f t="shared" si="7"/>
        <v>2138.0715715700853</v>
      </c>
      <c r="AC64" s="57">
        <f t="shared" si="8"/>
        <v>1119.7333787351845</v>
      </c>
      <c r="AD64" s="57">
        <f t="shared" si="9"/>
        <v>444.5165832464337</v>
      </c>
      <c r="AE64" s="57">
        <f t="shared" si="10"/>
        <v>-223.88049614735289</v>
      </c>
      <c r="AF64" s="57">
        <f t="shared" si="11"/>
        <v>77.822443837334134</v>
      </c>
      <c r="AG64" s="57">
        <f t="shared" si="12"/>
        <v>-508.31685555011506</v>
      </c>
      <c r="AH64" s="57">
        <f t="shared" si="13"/>
        <v>-861.89205625285138</v>
      </c>
      <c r="AJ64" s="57">
        <f t="shared" si="14"/>
        <v>16478.91397711476</v>
      </c>
      <c r="AK64" s="57">
        <f t="shared" si="15"/>
        <v>26132.60334350562</v>
      </c>
      <c r="AL64" s="57">
        <f t="shared" si="16"/>
        <v>19062.634285252167</v>
      </c>
      <c r="AN64" s="41">
        <v>59</v>
      </c>
      <c r="AO64" s="57">
        <f t="shared" si="17"/>
        <v>8862.7855618254071</v>
      </c>
      <c r="AP64" s="57">
        <f t="shared" si="18"/>
        <v>21428.754755265843</v>
      </c>
      <c r="AR64" s="41">
        <v>59</v>
      </c>
      <c r="AS64" s="57">
        <f t="shared" si="19"/>
        <v>16802.633262185191</v>
      </c>
      <c r="AT64" s="57">
        <f t="shared" si="20"/>
        <v>-1999.9144475426074</v>
      </c>
      <c r="AV64" s="57">
        <f t="shared" si="21"/>
        <v>67.416228243676201</v>
      </c>
      <c r="AW64" s="57">
        <f t="shared" si="22"/>
        <v>2895.7574643277967</v>
      </c>
      <c r="AX64" s="57">
        <f t="shared" si="23"/>
        <v>671.91782166628104</v>
      </c>
      <c r="AY64" s="57">
        <f t="shared" si="24"/>
        <v>-418.1328635886282</v>
      </c>
      <c r="BA64" s="57">
        <f t="shared" si="25"/>
        <v>13583.956159232235</v>
      </c>
      <c r="BB64" s="57">
        <f t="shared" si="26"/>
        <v>12150.558346674676</v>
      </c>
    </row>
    <row r="65" spans="9:54" x14ac:dyDescent="0.25">
      <c r="I65" s="41">
        <v>60</v>
      </c>
      <c r="J65" s="57">
        <f t="shared" si="0"/>
        <v>22500</v>
      </c>
      <c r="K65" s="57">
        <f t="shared" si="1"/>
        <v>11830.127018922194</v>
      </c>
      <c r="M65" s="41">
        <v>60</v>
      </c>
      <c r="N65" s="57">
        <f t="shared" si="2"/>
        <v>-18250</v>
      </c>
      <c r="O65" s="57">
        <f t="shared" si="3"/>
        <v>13031.088913245534</v>
      </c>
      <c r="Q65" s="41">
        <v>60</v>
      </c>
      <c r="R65" s="57">
        <f t="shared" si="4"/>
        <v>-2499.9999999999995</v>
      </c>
      <c r="S65" s="41">
        <f t="shared" si="5"/>
        <v>-10669.872981077806</v>
      </c>
      <c r="U65" s="41">
        <v>59</v>
      </c>
      <c r="V65" s="41">
        <f t="shared" si="27"/>
        <v>29.5</v>
      </c>
      <c r="W65" s="57">
        <f t="shared" si="28"/>
        <v>3096.7378794357887</v>
      </c>
      <c r="X65" s="57">
        <f t="shared" si="29"/>
        <v>-4085.9374525479316</v>
      </c>
      <c r="Y65" s="57">
        <f t="shared" si="30"/>
        <v>-2892.4809681844899</v>
      </c>
      <c r="Z65" s="57">
        <f t="shared" si="31"/>
        <v>-10476.804295349946</v>
      </c>
      <c r="AA65" s="57">
        <f t="shared" si="6"/>
        <v>713.25623587458176</v>
      </c>
      <c r="AB65" s="57">
        <f t="shared" si="7"/>
        <v>1712.1345546196103</v>
      </c>
      <c r="AC65" s="57">
        <f t="shared" si="8"/>
        <v>746.48569770101915</v>
      </c>
      <c r="AD65" s="57">
        <f t="shared" si="9"/>
        <v>511.66079902788186</v>
      </c>
      <c r="AE65" s="57">
        <f t="shared" si="10"/>
        <v>-190.09593613685962</v>
      </c>
      <c r="AF65" s="57">
        <f t="shared" si="11"/>
        <v>115.93323180029793</v>
      </c>
      <c r="AG65" s="57">
        <f t="shared" si="12"/>
        <v>-882.64723859076071</v>
      </c>
      <c r="AH65" s="57">
        <f t="shared" si="13"/>
        <v>-1189.7714008727046</v>
      </c>
      <c r="AJ65" s="57">
        <f t="shared" si="14"/>
        <v>20492.784509940411</v>
      </c>
      <c r="AK65" s="57">
        <f t="shared" si="15"/>
        <v>27053.150178647524</v>
      </c>
      <c r="AL65" s="57">
        <f t="shared" si="16"/>
        <v>13589.478488079896</v>
      </c>
      <c r="AN65" s="41">
        <v>60</v>
      </c>
      <c r="AO65" s="57">
        <f t="shared" si="17"/>
        <v>8750</v>
      </c>
      <c r="AP65" s="57">
        <f t="shared" si="18"/>
        <v>21495.190528383289</v>
      </c>
      <c r="AR65" s="41">
        <v>60</v>
      </c>
      <c r="AS65" s="57">
        <f t="shared" si="19"/>
        <v>16750</v>
      </c>
      <c r="AT65" s="57">
        <f t="shared" si="20"/>
        <v>-1968.911086754465</v>
      </c>
      <c r="AV65" s="57">
        <f t="shared" si="21"/>
        <v>232.97207388790579</v>
      </c>
      <c r="AW65" s="57">
        <f t="shared" si="22"/>
        <v>2336.2470057969781</v>
      </c>
      <c r="AX65" s="57">
        <f t="shared" si="23"/>
        <v>806.54163901327718</v>
      </c>
      <c r="AY65" s="57">
        <f t="shared" si="24"/>
        <v>-61.935081132843123</v>
      </c>
      <c r="BA65" s="57">
        <f t="shared" si="25"/>
        <v>19180.599968252987</v>
      </c>
      <c r="BB65" s="57">
        <f t="shared" si="26"/>
        <v>11938.306389581119</v>
      </c>
    </row>
    <row r="66" spans="9:54" x14ac:dyDescent="0.25">
      <c r="I66" s="41">
        <v>61</v>
      </c>
      <c r="J66" s="57">
        <f t="shared" si="0"/>
        <v>22424.048101231685</v>
      </c>
      <c r="K66" s="57">
        <f t="shared" si="1"/>
        <v>11873.09853569698</v>
      </c>
      <c r="M66" s="41">
        <v>61</v>
      </c>
      <c r="N66" s="57">
        <f t="shared" si="2"/>
        <v>-18303.166329137821</v>
      </c>
      <c r="O66" s="57">
        <f t="shared" si="3"/>
        <v>13061.168974987886</v>
      </c>
      <c r="Q66" s="41">
        <v>61</v>
      </c>
      <c r="R66" s="57">
        <f t="shared" si="4"/>
        <v>-2575.9518987683145</v>
      </c>
      <c r="S66" s="41">
        <f t="shared" si="5"/>
        <v>-10626.90146430302</v>
      </c>
      <c r="U66" s="41">
        <v>60</v>
      </c>
      <c r="V66" s="41">
        <f t="shared" si="27"/>
        <v>30</v>
      </c>
      <c r="W66" s="57">
        <f t="shared" si="28"/>
        <v>1739.6544248278665</v>
      </c>
      <c r="X66" s="57">
        <f t="shared" si="29"/>
        <v>-9110.3227808954543</v>
      </c>
      <c r="Y66" s="57">
        <f t="shared" si="30"/>
        <v>-2535.8528502471991</v>
      </c>
      <c r="Z66" s="57">
        <f t="shared" si="31"/>
        <v>-9620.7370180401413</v>
      </c>
      <c r="AA66" s="57">
        <f t="shared" si="6"/>
        <v>-221.26772821756651</v>
      </c>
      <c r="AB66" s="57">
        <f t="shared" si="7"/>
        <v>1335.6404425544936</v>
      </c>
      <c r="AC66" s="57">
        <f t="shared" si="8"/>
        <v>506.08462518493769</v>
      </c>
      <c r="AD66" s="57">
        <f t="shared" si="9"/>
        <v>460.35432046805971</v>
      </c>
      <c r="AE66" s="57">
        <f t="shared" si="10"/>
        <v>-147.84081757131852</v>
      </c>
      <c r="AF66" s="57">
        <f t="shared" si="11"/>
        <v>129.96001172643975</v>
      </c>
      <c r="AG66" s="57">
        <f t="shared" si="12"/>
        <v>-1459.9064538935654</v>
      </c>
      <c r="AH66" s="57">
        <f t="shared" si="13"/>
        <v>-1275.7891193716864</v>
      </c>
      <c r="AJ66" s="57">
        <f t="shared" si="14"/>
        <v>24684.874790248443</v>
      </c>
      <c r="AK66" s="57">
        <f t="shared" si="15"/>
        <v>28945.068859841213</v>
      </c>
      <c r="AL66" s="57">
        <f t="shared" si="16"/>
        <v>8950.4882275404889</v>
      </c>
      <c r="AN66" s="41">
        <v>61</v>
      </c>
      <c r="AO66" s="57">
        <f t="shared" si="17"/>
        <v>8636.0721518475293</v>
      </c>
      <c r="AP66" s="57">
        <f t="shared" si="18"/>
        <v>21559.647803545467</v>
      </c>
      <c r="AR66" s="41">
        <v>61</v>
      </c>
      <c r="AS66" s="57">
        <f t="shared" si="19"/>
        <v>16696.833670862179</v>
      </c>
      <c r="AT66" s="57">
        <f t="shared" si="20"/>
        <v>-1938.8310250121149</v>
      </c>
      <c r="AV66" s="57">
        <f t="shared" si="21"/>
        <v>246.74750620500058</v>
      </c>
      <c r="AW66" s="57">
        <f t="shared" si="22"/>
        <v>1824.7028981489102</v>
      </c>
      <c r="AX66" s="57">
        <f t="shared" si="23"/>
        <v>633.64741185737921</v>
      </c>
      <c r="AY66" s="57">
        <f t="shared" si="24"/>
        <v>196.41233158277032</v>
      </c>
      <c r="BA66" s="57">
        <f t="shared" si="25"/>
        <v>24329.766087418739</v>
      </c>
      <c r="BB66" s="57">
        <f t="shared" si="26"/>
        <v>13882.777752889922</v>
      </c>
    </row>
    <row r="67" spans="9:54" x14ac:dyDescent="0.25">
      <c r="I67" s="41">
        <v>62</v>
      </c>
      <c r="J67" s="57">
        <f t="shared" si="0"/>
        <v>22347.357813929455</v>
      </c>
      <c r="K67" s="57">
        <f t="shared" si="1"/>
        <v>11914.737964294634</v>
      </c>
      <c r="M67" s="41">
        <v>62</v>
      </c>
      <c r="N67" s="57">
        <f t="shared" si="2"/>
        <v>-18356.849530249383</v>
      </c>
      <c r="O67" s="57">
        <f t="shared" si="3"/>
        <v>13090.316575006244</v>
      </c>
      <c r="Q67" s="41">
        <v>62</v>
      </c>
      <c r="R67" s="57">
        <f t="shared" si="4"/>
        <v>-2652.6421860705459</v>
      </c>
      <c r="S67" s="41">
        <f t="shared" si="5"/>
        <v>-10585.262035705366</v>
      </c>
      <c r="U67" s="41">
        <v>61</v>
      </c>
      <c r="V67" s="41">
        <f t="shared" si="27"/>
        <v>30.5</v>
      </c>
      <c r="W67" s="57">
        <f t="shared" si="28"/>
        <v>444.06953367707115</v>
      </c>
      <c r="X67" s="57">
        <f t="shared" si="29"/>
        <v>-13753.736234596214</v>
      </c>
      <c r="Y67" s="57">
        <f t="shared" si="30"/>
        <v>-2646.4867143559823</v>
      </c>
      <c r="Z67" s="57">
        <f t="shared" si="31"/>
        <v>-8952.9167967628946</v>
      </c>
      <c r="AA67" s="57">
        <f t="shared" si="6"/>
        <v>-998.41564000489052</v>
      </c>
      <c r="AB67" s="57">
        <f t="shared" si="7"/>
        <v>1784.4918548358746</v>
      </c>
      <c r="AC67" s="57">
        <f t="shared" si="8"/>
        <v>358.63129990920822</v>
      </c>
      <c r="AD67" s="57">
        <f t="shared" si="9"/>
        <v>389.766933711842</v>
      </c>
      <c r="AE67" s="57">
        <f t="shared" si="10"/>
        <v>-110.87809554621157</v>
      </c>
      <c r="AF67" s="57">
        <f t="shared" si="11"/>
        <v>128.82802181143617</v>
      </c>
      <c r="AG67" s="57">
        <f t="shared" si="12"/>
        <v>-1896.9937154559216</v>
      </c>
      <c r="AH67" s="57">
        <f t="shared" si="13"/>
        <v>-434.26236864660359</v>
      </c>
      <c r="AJ67" s="57">
        <f t="shared" si="14"/>
        <v>28881.754107627283</v>
      </c>
      <c r="AK67" s="57">
        <f t="shared" si="15"/>
        <v>31340.069626607277</v>
      </c>
      <c r="AL67" s="57">
        <f t="shared" si="16"/>
        <v>5584.8962801890339</v>
      </c>
      <c r="AN67" s="41">
        <v>62</v>
      </c>
      <c r="AO67" s="57">
        <f t="shared" si="17"/>
        <v>8521.0367208941825</v>
      </c>
      <c r="AP67" s="57">
        <f t="shared" si="18"/>
        <v>21622.106946441952</v>
      </c>
      <c r="AR67" s="41">
        <v>62</v>
      </c>
      <c r="AS67" s="57">
        <f t="shared" si="19"/>
        <v>16643.150469750617</v>
      </c>
      <c r="AT67" s="57">
        <f t="shared" si="20"/>
        <v>-1909.683424993756</v>
      </c>
      <c r="AV67" s="57">
        <f t="shared" si="21"/>
        <v>229.20969069270726</v>
      </c>
      <c r="AW67" s="57">
        <f t="shared" si="22"/>
        <v>1446.6057015814727</v>
      </c>
      <c r="AX67" s="57">
        <f t="shared" si="23"/>
        <v>421.61518039532717</v>
      </c>
      <c r="AY67" s="57">
        <f t="shared" si="24"/>
        <v>253.55356637772735</v>
      </c>
      <c r="BA67" s="57">
        <f t="shared" si="25"/>
        <v>29112.434626164482</v>
      </c>
      <c r="BB67" s="57">
        <f t="shared" si="26"/>
        <v>16985.376351594648</v>
      </c>
    </row>
    <row r="68" spans="9:54" x14ac:dyDescent="0.25">
      <c r="I68" s="41">
        <v>63</v>
      </c>
      <c r="J68" s="57">
        <f t="shared" si="0"/>
        <v>22269.952498697734</v>
      </c>
      <c r="K68" s="57">
        <f t="shared" si="1"/>
        <v>11955.032620941838</v>
      </c>
      <c r="M68" s="41">
        <v>63</v>
      </c>
      <c r="N68" s="57">
        <f t="shared" si="2"/>
        <v>-18411.033250911587</v>
      </c>
      <c r="O68" s="57">
        <f t="shared" si="3"/>
        <v>13118.522834659287</v>
      </c>
      <c r="Q68" s="41">
        <v>63</v>
      </c>
      <c r="R68" s="57">
        <f t="shared" si="4"/>
        <v>-2730.047501302266</v>
      </c>
      <c r="S68" s="41">
        <f t="shared" si="5"/>
        <v>-10544.967379058162</v>
      </c>
      <c r="U68" s="41">
        <v>62</v>
      </c>
      <c r="V68" s="41">
        <f t="shared" si="27"/>
        <v>31</v>
      </c>
      <c r="W68" s="57">
        <f t="shared" si="28"/>
        <v>-1003.9757785015313</v>
      </c>
      <c r="X68" s="57">
        <f t="shared" si="29"/>
        <v>-18007.133151123177</v>
      </c>
      <c r="Y68" s="57">
        <f t="shared" si="30"/>
        <v>-3145.6945343584275</v>
      </c>
      <c r="Z68" s="57">
        <f t="shared" si="31"/>
        <v>-8060.6708693449573</v>
      </c>
      <c r="AA68" s="57">
        <f t="shared" si="6"/>
        <v>-820.2790750313568</v>
      </c>
      <c r="AB68" s="57">
        <f t="shared" si="7"/>
        <v>2974.3699401043805</v>
      </c>
      <c r="AC68" s="57">
        <f t="shared" si="8"/>
        <v>267.30404599635125</v>
      </c>
      <c r="AD68" s="57">
        <f t="shared" si="9"/>
        <v>324.61282401789686</v>
      </c>
      <c r="AE68" s="57">
        <f t="shared" si="10"/>
        <v>-82.663431780394802</v>
      </c>
      <c r="AF68" s="57">
        <f t="shared" si="11"/>
        <v>121.8763312578929</v>
      </c>
      <c r="AG68" s="57">
        <f t="shared" si="12"/>
        <v>-1496.9389234639484</v>
      </c>
      <c r="AH68" s="57">
        <f t="shared" si="13"/>
        <v>1126.4933374870943</v>
      </c>
      <c r="AJ68" s="57">
        <f t="shared" si="14"/>
        <v>33042.107077076755</v>
      </c>
      <c r="AK68" s="57">
        <f t="shared" si="15"/>
        <v>33841.519522156501</v>
      </c>
      <c r="AL68" s="57">
        <f t="shared" si="16"/>
        <v>5001.1058144560839</v>
      </c>
      <c r="AN68" s="41">
        <v>63</v>
      </c>
      <c r="AO68" s="57">
        <f t="shared" si="17"/>
        <v>8404.928748046601</v>
      </c>
      <c r="AP68" s="57">
        <f t="shared" si="18"/>
        <v>21682.548931412759</v>
      </c>
      <c r="AR68" s="41">
        <v>63</v>
      </c>
      <c r="AS68" s="57">
        <f t="shared" si="19"/>
        <v>16588.966749088413</v>
      </c>
      <c r="AT68" s="57">
        <f t="shared" si="20"/>
        <v>-1881.4771653407129</v>
      </c>
      <c r="AV68" s="57">
        <f t="shared" si="21"/>
        <v>213.77676144091967</v>
      </c>
      <c r="AW68" s="57">
        <f t="shared" si="22"/>
        <v>1175.2475842361578</v>
      </c>
      <c r="AX68" s="57">
        <f t="shared" si="23"/>
        <v>278.2424727757155</v>
      </c>
      <c r="AY68" s="57">
        <f t="shared" si="24"/>
        <v>226.13986310533895</v>
      </c>
      <c r="BA68" s="57">
        <f t="shared" si="25"/>
        <v>33548.749067659854</v>
      </c>
      <c r="BB68" s="57">
        <f t="shared" si="26"/>
        <v>20623.112120383557</v>
      </c>
    </row>
    <row r="69" spans="9:54" x14ac:dyDescent="0.25">
      <c r="I69" s="41">
        <v>64</v>
      </c>
      <c r="J69" s="57">
        <f t="shared" si="0"/>
        <v>22191.855733945387</v>
      </c>
      <c r="K69" s="57">
        <f t="shared" si="1"/>
        <v>11993.970231495834</v>
      </c>
      <c r="M69" s="41">
        <v>64</v>
      </c>
      <c r="N69" s="57">
        <f t="shared" si="2"/>
        <v>-18465.700986238229</v>
      </c>
      <c r="O69" s="57">
        <f t="shared" si="3"/>
        <v>13145.779162047085</v>
      </c>
      <c r="Q69" s="41">
        <v>64</v>
      </c>
      <c r="R69" s="57">
        <f t="shared" si="4"/>
        <v>-2808.1442660546127</v>
      </c>
      <c r="S69" s="41">
        <f t="shared" si="5"/>
        <v>-10506.029768504166</v>
      </c>
      <c r="U69" s="41">
        <v>63</v>
      </c>
      <c r="V69" s="41">
        <f t="shared" si="27"/>
        <v>31.5</v>
      </c>
      <c r="W69" s="57">
        <f t="shared" si="28"/>
        <v>-2679.3579300596648</v>
      </c>
      <c r="X69" s="57">
        <f t="shared" si="29"/>
        <v>-21665.672343282607</v>
      </c>
      <c r="Y69" s="57">
        <f t="shared" si="30"/>
        <v>-3555.834071874106</v>
      </c>
      <c r="Z69" s="57">
        <f t="shared" si="31"/>
        <v>-6573.4858992927675</v>
      </c>
      <c r="AA69" s="57">
        <f t="shared" si="6"/>
        <v>-110.48754236432805</v>
      </c>
      <c r="AB69" s="57">
        <f t="shared" si="7"/>
        <v>3461.3026809264416</v>
      </c>
      <c r="AC69" s="57">
        <f t="shared" si="8"/>
        <v>211.77637588167528</v>
      </c>
      <c r="AD69" s="57">
        <f t="shared" si="9"/>
        <v>272.34458788739391</v>
      </c>
      <c r="AE69" s="57">
        <f t="shared" si="10"/>
        <v>-62.593161343037757</v>
      </c>
      <c r="AF69" s="57">
        <f t="shared" si="11"/>
        <v>114.43308683450465</v>
      </c>
      <c r="AG69" s="57">
        <f t="shared" si="12"/>
        <v>-662.62378359259299</v>
      </c>
      <c r="AH69" s="57">
        <f t="shared" si="13"/>
        <v>1903.2805987215363</v>
      </c>
      <c r="AJ69" s="57">
        <f t="shared" si="14"/>
        <v>36945.767272523655</v>
      </c>
      <c r="AK69" s="57">
        <f t="shared" si="15"/>
        <v>36093.204993005536</v>
      </c>
      <c r="AL69" s="57">
        <f t="shared" si="16"/>
        <v>7058.0852506029996</v>
      </c>
      <c r="AN69" s="41">
        <v>64</v>
      </c>
      <c r="AO69" s="57">
        <f t="shared" si="17"/>
        <v>8287.783600918081</v>
      </c>
      <c r="AP69" s="57">
        <f t="shared" si="18"/>
        <v>21740.955347243755</v>
      </c>
      <c r="AR69" s="41">
        <v>64</v>
      </c>
      <c r="AS69" s="57">
        <f t="shared" si="19"/>
        <v>16534.299013761771</v>
      </c>
      <c r="AT69" s="57">
        <f t="shared" si="20"/>
        <v>-1854.2208379529152</v>
      </c>
      <c r="AV69" s="57">
        <f t="shared" si="21"/>
        <v>206.52757501871935</v>
      </c>
      <c r="AW69" s="57">
        <f t="shared" si="22"/>
        <v>986.08144905550046</v>
      </c>
      <c r="AX69" s="57">
        <f t="shared" si="23"/>
        <v>196.42545167090802</v>
      </c>
      <c r="AY69" s="57">
        <f t="shared" si="24"/>
        <v>185.1629584275066</v>
      </c>
      <c r="BA69" s="57">
        <f t="shared" si="25"/>
        <v>37461.234184192726</v>
      </c>
      <c r="BB69" s="57">
        <f t="shared" si="26"/>
        <v>24296.179359578706</v>
      </c>
    </row>
    <row r="70" spans="9:54" x14ac:dyDescent="0.25">
      <c r="I70" s="41">
        <v>65</v>
      </c>
      <c r="J70" s="57">
        <f t="shared" si="0"/>
        <v>22113.091308703497</v>
      </c>
      <c r="K70" s="57">
        <f t="shared" si="1"/>
        <v>12031.538935183249</v>
      </c>
      <c r="M70" s="41">
        <v>65</v>
      </c>
      <c r="N70" s="57">
        <f t="shared" si="2"/>
        <v>-18520.83608390755</v>
      </c>
      <c r="O70" s="57">
        <f t="shared" si="3"/>
        <v>13172.077254628275</v>
      </c>
      <c r="Q70" s="41">
        <v>65</v>
      </c>
      <c r="R70" s="57">
        <f t="shared" si="4"/>
        <v>-2886.9086912965026</v>
      </c>
      <c r="S70" s="41">
        <f t="shared" si="5"/>
        <v>-10468.461064816751</v>
      </c>
      <c r="U70" s="41">
        <v>64</v>
      </c>
      <c r="V70" s="41">
        <f t="shared" si="27"/>
        <v>32</v>
      </c>
      <c r="W70" s="57">
        <f t="shared" si="28"/>
        <v>-4471.085908792259</v>
      </c>
      <c r="X70" s="57">
        <f t="shared" si="29"/>
        <v>-24519.752457813185</v>
      </c>
      <c r="Y70" s="57">
        <f t="shared" si="30"/>
        <v>-3611.07784305627</v>
      </c>
      <c r="Z70" s="57">
        <f t="shared" si="31"/>
        <v>-4842.8345588295469</v>
      </c>
      <c r="AA70" s="57">
        <f t="shared" si="6"/>
        <v>382.91933909446692</v>
      </c>
      <c r="AB70" s="57">
        <f t="shared" si="7"/>
        <v>3244.0421619465574</v>
      </c>
      <c r="AC70" s="57">
        <f t="shared" si="8"/>
        <v>178.98173670141301</v>
      </c>
      <c r="AD70" s="57">
        <f t="shared" si="9"/>
        <v>234.1927499665905</v>
      </c>
      <c r="AE70" s="57">
        <f t="shared" si="10"/>
        <v>-48.895266466269604</v>
      </c>
      <c r="AF70" s="57">
        <f t="shared" si="11"/>
        <v>108.69095449050617</v>
      </c>
      <c r="AG70" s="57">
        <f t="shared" si="12"/>
        <v>-104.99202545191469</v>
      </c>
      <c r="AH70" s="57">
        <f t="shared" si="13"/>
        <v>1889.7172697069959</v>
      </c>
      <c r="AJ70" s="57">
        <f t="shared" si="14"/>
        <v>40300.10661294985</v>
      </c>
      <c r="AK70" s="57">
        <f t="shared" si="15"/>
        <v>37851.822711737543</v>
      </c>
      <c r="AL70" s="57">
        <f t="shared" si="16"/>
        <v>9534.4342765535021</v>
      </c>
      <c r="AN70" s="41">
        <v>65</v>
      </c>
      <c r="AO70" s="57">
        <f t="shared" si="17"/>
        <v>8169.6369630552454</v>
      </c>
      <c r="AP70" s="57">
        <f t="shared" si="18"/>
        <v>21797.308402774874</v>
      </c>
      <c r="AR70" s="41">
        <v>65</v>
      </c>
      <c r="AS70" s="57">
        <f t="shared" si="19"/>
        <v>16479.16391609245</v>
      </c>
      <c r="AT70" s="57">
        <f t="shared" si="20"/>
        <v>-1827.9227453717253</v>
      </c>
      <c r="AV70" s="57">
        <f t="shared" si="21"/>
        <v>205.89464496925177</v>
      </c>
      <c r="AW70" s="57">
        <f t="shared" si="22"/>
        <v>859.13119994196825</v>
      </c>
      <c r="AX70" s="57">
        <f t="shared" si="23"/>
        <v>151.93024934198644</v>
      </c>
      <c r="AY70" s="57">
        <f t="shared" si="24"/>
        <v>152.3099878404964</v>
      </c>
      <c r="BA70" s="57">
        <f t="shared" si="25"/>
        <v>40638.802918129302</v>
      </c>
      <c r="BB70" s="57">
        <f t="shared" si="26"/>
        <v>27570.707689173891</v>
      </c>
    </row>
    <row r="71" spans="9:54" x14ac:dyDescent="0.25">
      <c r="I71" s="41">
        <v>66</v>
      </c>
      <c r="J71" s="57">
        <f t="shared" ref="J71:J134" si="32">$F$8*COS(I71*PI()/180)+$E$7</f>
        <v>22033.683215379002</v>
      </c>
      <c r="K71" s="57">
        <f t="shared" ref="K71:K134" si="33">$F$8*SIN(I71*PI()/180)+$G$7</f>
        <v>12067.727288213006</v>
      </c>
      <c r="M71" s="41">
        <v>66</v>
      </c>
      <c r="N71" s="57">
        <f t="shared" ref="N71:N134" si="34">$F$19*COS(M71*PI()/180)+$E$18</f>
        <v>-18576.421749234698</v>
      </c>
      <c r="O71" s="57">
        <f t="shared" ref="O71:O134" si="35">$F$19*SIN(M71*PI()/180)+$G$18</f>
        <v>13197.409101749103</v>
      </c>
      <c r="Q71" s="41">
        <v>66</v>
      </c>
      <c r="R71" s="57">
        <f t="shared" ref="R71:R134" si="36">$F$30*COS(Q71*PI()/180)+$E$29</f>
        <v>-2966.316784620999</v>
      </c>
      <c r="S71" s="41">
        <f t="shared" ref="S71:S134" si="37">$F$30*SIN(Q71*PI()/180)+$G$29</f>
        <v>-10432.272711786994</v>
      </c>
      <c r="U71" s="41">
        <v>65</v>
      </c>
      <c r="V71" s="41">
        <f t="shared" si="27"/>
        <v>32.5</v>
      </c>
      <c r="W71" s="57">
        <f t="shared" si="28"/>
        <v>-6228.7599129335858</v>
      </c>
      <c r="X71" s="57">
        <f t="shared" si="29"/>
        <v>-26535.664466984639</v>
      </c>
      <c r="Y71" s="57">
        <f t="shared" si="30"/>
        <v>-3419.6181735090368</v>
      </c>
      <c r="Z71" s="57">
        <f t="shared" si="31"/>
        <v>-3220.813477856268</v>
      </c>
      <c r="AA71" s="57">
        <f t="shared" ref="AA71:AA134" si="38">AC71+AE71+AG71+AV71+AX71</f>
        <v>636.60381198047605</v>
      </c>
      <c r="AB71" s="57">
        <f t="shared" ref="AB71:AB134" si="39">AD71+AF71+AH71+AW71+AY71</f>
        <v>2898.9406970663545</v>
      </c>
      <c r="AC71" s="57">
        <f t="shared" ref="AC71:AC134" si="40">(($E$7-W71)/(AJ71^2+$F$12^2)^(3/2))*$E$11</f>
        <v>159.93254088829983</v>
      </c>
      <c r="AD71" s="57">
        <f t="shared" ref="AD71:AD134" si="41">(($G$7-X71)/(AJ71^2+$F$12^2)^(3/2))*$E$11</f>
        <v>207.53593830192065</v>
      </c>
      <c r="AE71" s="57">
        <f t="shared" ref="AE71:AE134" si="42">(($E$18-W71)/(AK71^2+$F$23^2)^(3/2))*$E$22</f>
        <v>-39.624601994055887</v>
      </c>
      <c r="AF71" s="57">
        <f t="shared" ref="AF71:AF134" si="43">(($G$18-X71)/(AK71^2+$F$23^2)^(3/2))*$E$22</f>
        <v>105.12569339723359</v>
      </c>
      <c r="AG71" s="57">
        <f t="shared" ref="AG71:AG134" si="44">(($E$29-W71)/(AL71^2+$F$34^2)^(3/2))*$E$33</f>
        <v>179.07100887750946</v>
      </c>
      <c r="AH71" s="57">
        <f t="shared" ref="AH71:AH134" si="45">(($G$29-X71)/(AL71^2+$F$34^2)^(3/2))*$E$33</f>
        <v>1681.1283086568496</v>
      </c>
      <c r="AJ71" s="57">
        <f t="shared" ref="AJ71:AJ134" si="46">SQRT(($E$7-W71)^2+($G$7-X71)^2)</f>
        <v>42969.457784331804</v>
      </c>
      <c r="AK71" s="57">
        <f t="shared" ref="AK71:AK134" si="47">SQRT(($E$18-W71)^2+($G$18-X71)^2)</f>
        <v>39044.86946552273</v>
      </c>
      <c r="AL71" s="57">
        <f t="shared" ref="AL71:AL134" si="48">SQRT(($E$29-W71)^2+($G$29-X71)^2)</f>
        <v>11600.922619278372</v>
      </c>
      <c r="AN71" s="41">
        <v>66</v>
      </c>
      <c r="AO71" s="57">
        <f t="shared" ref="AO71:AO134" si="49">$F$41*COS(AN71*PI()/180)+$E$40</f>
        <v>8050.5248230685011</v>
      </c>
      <c r="AP71" s="57">
        <f t="shared" ref="AP71:AP134" si="50">$F$41*SIN(AN71*PI()/180)+$G$40</f>
        <v>21851.590932319508</v>
      </c>
      <c r="AR71" s="41">
        <v>66</v>
      </c>
      <c r="AS71" s="57">
        <f t="shared" ref="AS71:AS134" si="51">$F$52*COS(AR71*PI()/180)+$E$51</f>
        <v>16423.578250765302</v>
      </c>
      <c r="AT71" s="57">
        <f t="shared" ref="AT71:AT134" si="52">$F$52*SIN(AR71*PI()/180)+$G$51</f>
        <v>-1802.5908982508968</v>
      </c>
      <c r="AV71" s="57">
        <f t="shared" ref="AV71:AV134" si="53">(($E$40-W71)/(BA71^2+$F$45^2)^(3/2))*$E$44</f>
        <v>209.73463113366884</v>
      </c>
      <c r="AW71" s="57">
        <f t="shared" ref="AW71:AW134" si="54">(($G$40-X71)/(BA71^2+$F$45^2)^(3/2))*$E$44</f>
        <v>775.81739510172974</v>
      </c>
      <c r="AX71" s="57">
        <f t="shared" ref="AX71:AX134" si="55">(($E$51-W71)/(BB71^2+$F$56^2)^(3/2))*$E$55</f>
        <v>127.49023307505384</v>
      </c>
      <c r="AY71" s="57">
        <f t="shared" ref="AY71:AY134" si="56">(($G$51-X71)/(BB71^2+$F$56^2)^(3/2))*$E$55</f>
        <v>129.33336160862049</v>
      </c>
      <c r="BA71" s="57">
        <f t="shared" ref="BA71:BA134" si="57">SQRT(($E$40-W71)^2+($G$40-X71)^2)</f>
        <v>43026.694875347268</v>
      </c>
      <c r="BB71" s="57">
        <f t="shared" ref="BB71:BB134" si="58">SQRT(($E$51-W71)^2+($G$51-X71)^2)</f>
        <v>30239.793178451484</v>
      </c>
    </row>
    <row r="72" spans="9:54" x14ac:dyDescent="0.25">
      <c r="I72" s="41">
        <v>67</v>
      </c>
      <c r="J72" s="57">
        <f t="shared" si="32"/>
        <v>21953.655642446371</v>
      </c>
      <c r="K72" s="57">
        <f t="shared" si="33"/>
        <v>12102.524267262201</v>
      </c>
      <c r="M72" s="41">
        <v>67</v>
      </c>
      <c r="N72" s="57">
        <f t="shared" si="34"/>
        <v>-18632.44105028754</v>
      </c>
      <c r="O72" s="57">
        <f t="shared" si="35"/>
        <v>13221.766987083542</v>
      </c>
      <c r="Q72" s="41">
        <v>67</v>
      </c>
      <c r="R72" s="57">
        <f t="shared" si="36"/>
        <v>-3046.3443575536303</v>
      </c>
      <c r="S72" s="41">
        <f t="shared" si="37"/>
        <v>-10397.475732737799</v>
      </c>
      <c r="U72" s="41">
        <v>66</v>
      </c>
      <c r="V72" s="41">
        <f t="shared" ref="V72:V135" si="59">V71+0.5</f>
        <v>33</v>
      </c>
      <c r="W72" s="57">
        <f t="shared" ref="W72:W135" si="60">W71+Y71*$F$3+((1/2)*AA71)*$F$3^2</f>
        <v>-7858.9935231905456</v>
      </c>
      <c r="X72" s="57">
        <f t="shared" ref="X72:X135" si="61">X71+Z71*$F$3+((1/2)*AB71)*$F$3^2</f>
        <v>-27783.70361877948</v>
      </c>
      <c r="Y72" s="57">
        <f t="shared" ref="Y72:Y135" si="62">Y71+AA71*$F$3</f>
        <v>-3101.3162675187987</v>
      </c>
      <c r="Z72" s="57">
        <f t="shared" ref="Z72:Z135" si="63">Z71+AB71*$F$3</f>
        <v>-1771.3431293230908</v>
      </c>
      <c r="AA72" s="57">
        <f t="shared" si="38"/>
        <v>781.56245922533776</v>
      </c>
      <c r="AB72" s="57">
        <f t="shared" si="39"/>
        <v>2624.264275404706</v>
      </c>
      <c r="AC72" s="57">
        <f t="shared" si="40"/>
        <v>149.32537437129008</v>
      </c>
      <c r="AD72" s="57">
        <f t="shared" si="41"/>
        <v>189.12213205742847</v>
      </c>
      <c r="AE72" s="57">
        <f t="shared" si="42"/>
        <v>-33.316813894117651</v>
      </c>
      <c r="AF72" s="57">
        <f t="shared" si="43"/>
        <v>103.68437115175522</v>
      </c>
      <c r="AG72" s="57">
        <f t="shared" si="44"/>
        <v>334.4448614813291</v>
      </c>
      <c r="AH72" s="57">
        <f t="shared" si="45"/>
        <v>1495.4367511927098</v>
      </c>
      <c r="AJ72" s="57">
        <f t="shared" si="46"/>
        <v>44956.237177760384</v>
      </c>
      <c r="AK72" s="57">
        <f t="shared" si="47"/>
        <v>39686.424598616824</v>
      </c>
      <c r="AL72" s="57">
        <f t="shared" si="48"/>
        <v>13099.500836995319</v>
      </c>
      <c r="AN72" s="41">
        <v>67</v>
      </c>
      <c r="AO72" s="57">
        <f t="shared" si="49"/>
        <v>7930.4834636695541</v>
      </c>
      <c r="AP72" s="57">
        <f t="shared" si="50"/>
        <v>21903.786400893303</v>
      </c>
      <c r="AR72" s="41">
        <v>67</v>
      </c>
      <c r="AS72" s="57">
        <f t="shared" si="51"/>
        <v>16367.558949712458</v>
      </c>
      <c r="AT72" s="57">
        <f t="shared" si="52"/>
        <v>-1778.2330129164593</v>
      </c>
      <c r="AV72" s="57">
        <f t="shared" si="53"/>
        <v>217.12783118153283</v>
      </c>
      <c r="AW72" s="57">
        <f t="shared" si="54"/>
        <v>722.41523101367784</v>
      </c>
      <c r="AX72" s="57">
        <f t="shared" si="55"/>
        <v>113.98120608530343</v>
      </c>
      <c r="AY72" s="57">
        <f t="shared" si="56"/>
        <v>113.60578998913478</v>
      </c>
      <c r="BA72" s="57">
        <f t="shared" si="57"/>
        <v>44674.366361136235</v>
      </c>
      <c r="BB72" s="57">
        <f t="shared" si="58"/>
        <v>32274.304570070173</v>
      </c>
    </row>
    <row r="73" spans="9:54" x14ac:dyDescent="0.25">
      <c r="I73" s="41">
        <v>68</v>
      </c>
      <c r="J73" s="57">
        <f t="shared" si="32"/>
        <v>21873.032967079558</v>
      </c>
      <c r="K73" s="57">
        <f t="shared" si="33"/>
        <v>12135.919272833937</v>
      </c>
      <c r="M73" s="41">
        <v>68</v>
      </c>
      <c r="N73" s="57">
        <f t="shared" si="34"/>
        <v>-18688.876923044307</v>
      </c>
      <c r="O73" s="57">
        <f t="shared" si="35"/>
        <v>13245.143490983755</v>
      </c>
      <c r="Q73" s="41">
        <v>68</v>
      </c>
      <c r="R73" s="57">
        <f t="shared" si="36"/>
        <v>-3126.96703292044</v>
      </c>
      <c r="S73" s="41">
        <f t="shared" si="37"/>
        <v>-10364.080727166063</v>
      </c>
      <c r="U73" s="41">
        <v>67</v>
      </c>
      <c r="V73" s="41">
        <f t="shared" si="59"/>
        <v>33.5</v>
      </c>
      <c r="W73" s="57">
        <f t="shared" si="60"/>
        <v>-9311.9563495467773</v>
      </c>
      <c r="X73" s="57">
        <f t="shared" si="61"/>
        <v>-28341.342149015436</v>
      </c>
      <c r="Y73" s="57">
        <f t="shared" si="62"/>
        <v>-2710.5350379061297</v>
      </c>
      <c r="Z73" s="57">
        <f t="shared" si="63"/>
        <v>-459.21099162073779</v>
      </c>
      <c r="AA73" s="57">
        <f t="shared" si="38"/>
        <v>892.452715155943</v>
      </c>
      <c r="AB73" s="57">
        <f t="shared" si="39"/>
        <v>2441.93043050804</v>
      </c>
      <c r="AC73" s="57">
        <f t="shared" si="40"/>
        <v>144.40072135949976</v>
      </c>
      <c r="AD73" s="57">
        <f t="shared" si="41"/>
        <v>176.56670878914213</v>
      </c>
      <c r="AE73" s="57">
        <f t="shared" si="42"/>
        <v>-29.080032787035591</v>
      </c>
      <c r="AF73" s="57">
        <f t="shared" si="43"/>
        <v>104.31913671544919</v>
      </c>
      <c r="AG73" s="57">
        <f t="shared" si="44"/>
        <v>442.02880452416474</v>
      </c>
      <c r="AH73" s="57">
        <f t="shared" si="45"/>
        <v>1367.6524164018949</v>
      </c>
      <c r="AJ73" s="57">
        <f t="shared" si="46"/>
        <v>46301.107892582069</v>
      </c>
      <c r="AK73" s="57">
        <f t="shared" si="47"/>
        <v>39803.175688151583</v>
      </c>
      <c r="AL73" s="57">
        <f t="shared" si="48"/>
        <v>14020.855105787685</v>
      </c>
      <c r="AN73" s="41">
        <v>68</v>
      </c>
      <c r="AO73" s="57">
        <f t="shared" si="49"/>
        <v>7809.549450619339</v>
      </c>
      <c r="AP73" s="57">
        <f t="shared" si="50"/>
        <v>21953.878909250907</v>
      </c>
      <c r="AR73" s="41">
        <v>68</v>
      </c>
      <c r="AS73" s="57">
        <f t="shared" si="51"/>
        <v>16311.123076955691</v>
      </c>
      <c r="AT73" s="57">
        <f t="shared" si="52"/>
        <v>-1754.8565090162442</v>
      </c>
      <c r="AV73" s="57">
        <f t="shared" si="53"/>
        <v>228.05095050590901</v>
      </c>
      <c r="AW73" s="57">
        <f t="shared" si="54"/>
        <v>690.61377996711042</v>
      </c>
      <c r="AX73" s="57">
        <f t="shared" si="55"/>
        <v>107.05227155340518</v>
      </c>
      <c r="AY73" s="57">
        <f t="shared" si="56"/>
        <v>102.7783886344434</v>
      </c>
      <c r="BA73" s="57">
        <f t="shared" si="57"/>
        <v>45643.225497650295</v>
      </c>
      <c r="BB73" s="57">
        <f t="shared" si="58"/>
        <v>33702.959437706246</v>
      </c>
    </row>
    <row r="74" spans="9:54" x14ac:dyDescent="0.25">
      <c r="I74" s="41">
        <v>69</v>
      </c>
      <c r="J74" s="57">
        <f t="shared" si="32"/>
        <v>21791.839747726503</v>
      </c>
      <c r="K74" s="57">
        <f t="shared" si="33"/>
        <v>12167.902132486008</v>
      </c>
      <c r="M74" s="41">
        <v>69</v>
      </c>
      <c r="N74" s="57">
        <f t="shared" si="34"/>
        <v>-18745.712176591449</v>
      </c>
      <c r="O74" s="57">
        <f t="shared" si="35"/>
        <v>13267.531492740207</v>
      </c>
      <c r="Q74" s="41">
        <v>69</v>
      </c>
      <c r="R74" s="57">
        <f t="shared" si="36"/>
        <v>-3208.1602522734984</v>
      </c>
      <c r="S74" s="41">
        <f t="shared" si="37"/>
        <v>-10332.097867513992</v>
      </c>
      <c r="U74" s="41">
        <v>68</v>
      </c>
      <c r="V74" s="41">
        <f t="shared" si="59"/>
        <v>34</v>
      </c>
      <c r="W74" s="57">
        <f t="shared" si="60"/>
        <v>-10555.66727910535</v>
      </c>
      <c r="X74" s="57">
        <f t="shared" si="61"/>
        <v>-28265.706341012301</v>
      </c>
      <c r="Y74" s="57">
        <f t="shared" si="62"/>
        <v>-2264.3086803281581</v>
      </c>
      <c r="Z74" s="57">
        <f t="shared" si="63"/>
        <v>761.75422363328221</v>
      </c>
      <c r="AA74" s="57">
        <f t="shared" si="38"/>
        <v>1006.2990306839199</v>
      </c>
      <c r="AB74" s="57">
        <f t="shared" si="39"/>
        <v>2338.9886282373736</v>
      </c>
      <c r="AC74" s="57">
        <f t="shared" si="40"/>
        <v>143.8379696975887</v>
      </c>
      <c r="AD74" s="57">
        <f t="shared" si="41"/>
        <v>168.3637453536904</v>
      </c>
      <c r="AE74" s="57">
        <f t="shared" si="42"/>
        <v>-26.441332999260069</v>
      </c>
      <c r="AF74" s="57">
        <f t="shared" si="43"/>
        <v>107.13263855858285</v>
      </c>
      <c r="AG74" s="57">
        <f t="shared" si="44"/>
        <v>541.19969181343458</v>
      </c>
      <c r="AH74" s="57">
        <f t="shared" si="45"/>
        <v>1292.2653252553146</v>
      </c>
      <c r="AJ74" s="57">
        <f t="shared" si="46"/>
        <v>47040.775428801309</v>
      </c>
      <c r="AK74" s="57">
        <f t="shared" si="47"/>
        <v>39413.953142504623</v>
      </c>
      <c r="AL74" s="57">
        <f t="shared" si="48"/>
        <v>14382.086206183572</v>
      </c>
      <c r="AN74" s="41">
        <v>69</v>
      </c>
      <c r="AO74" s="57">
        <f t="shared" si="49"/>
        <v>7687.7596215897529</v>
      </c>
      <c r="AP74" s="57">
        <f t="shared" si="50"/>
        <v>22001.853198729012</v>
      </c>
      <c r="AR74" s="41">
        <v>69</v>
      </c>
      <c r="AS74" s="57">
        <f t="shared" si="51"/>
        <v>16254.287823408551</v>
      </c>
      <c r="AT74" s="57">
        <f t="shared" si="52"/>
        <v>-1732.468507259794</v>
      </c>
      <c r="AV74" s="57">
        <f t="shared" si="53"/>
        <v>243.02084575952975</v>
      </c>
      <c r="AW74" s="57">
        <f t="shared" si="54"/>
        <v>675.92526625325036</v>
      </c>
      <c r="AX74" s="57">
        <f t="shared" si="55"/>
        <v>104.68185641262694</v>
      </c>
      <c r="AY74" s="57">
        <f t="shared" si="56"/>
        <v>95.30165281653548</v>
      </c>
      <c r="BA74" s="57">
        <f t="shared" si="57"/>
        <v>45977.169657178121</v>
      </c>
      <c r="BB74" s="57">
        <f t="shared" si="58"/>
        <v>34559.878784893852</v>
      </c>
    </row>
    <row r="75" spans="9:54" x14ac:dyDescent="0.25">
      <c r="I75" s="41">
        <v>70</v>
      </c>
      <c r="J75" s="57">
        <f t="shared" si="32"/>
        <v>21710.100716628345</v>
      </c>
      <c r="K75" s="57">
        <f t="shared" si="33"/>
        <v>12198.463103929542</v>
      </c>
      <c r="M75" s="41">
        <v>70</v>
      </c>
      <c r="N75" s="57">
        <f t="shared" si="34"/>
        <v>-18802.929498360158</v>
      </c>
      <c r="O75" s="57">
        <f t="shared" si="35"/>
        <v>13288.92417275068</v>
      </c>
      <c r="Q75" s="41">
        <v>70</v>
      </c>
      <c r="R75" s="57">
        <f t="shared" si="36"/>
        <v>-3289.8992833716557</v>
      </c>
      <c r="S75" s="41">
        <f t="shared" si="37"/>
        <v>-10301.536896070458</v>
      </c>
      <c r="U75" s="41">
        <v>69</v>
      </c>
      <c r="V75" s="41">
        <f t="shared" si="59"/>
        <v>34.5</v>
      </c>
      <c r="W75" s="57">
        <f t="shared" si="60"/>
        <v>-11562.034240433939</v>
      </c>
      <c r="X75" s="57">
        <f t="shared" si="61"/>
        <v>-27592.45565066599</v>
      </c>
      <c r="Y75" s="57">
        <f t="shared" si="62"/>
        <v>-1761.159164986198</v>
      </c>
      <c r="Z75" s="57">
        <f t="shared" si="63"/>
        <v>1931.248537751969</v>
      </c>
      <c r="AA75" s="57">
        <f t="shared" si="38"/>
        <v>1146.8648017026287</v>
      </c>
      <c r="AB75" s="57">
        <f t="shared" si="39"/>
        <v>2301.302722622258</v>
      </c>
      <c r="AC75" s="57">
        <f t="shared" si="40"/>
        <v>147.15980571362903</v>
      </c>
      <c r="AD75" s="57">
        <f t="shared" si="41"/>
        <v>163.62059923724195</v>
      </c>
      <c r="AE75" s="57">
        <f t="shared" si="42"/>
        <v>-25.237754792807159</v>
      </c>
      <c r="AF75" s="57">
        <f t="shared" si="43"/>
        <v>112.43814028225891</v>
      </c>
      <c r="AG75" s="57">
        <f t="shared" si="44"/>
        <v>655.88063853010476</v>
      </c>
      <c r="AH75" s="57">
        <f t="shared" si="45"/>
        <v>1258.6261439980949</v>
      </c>
      <c r="AJ75" s="57">
        <f t="shared" si="46"/>
        <v>47197.907252210702</v>
      </c>
      <c r="AK75" s="57">
        <f t="shared" si="47"/>
        <v>38527.807983415027</v>
      </c>
      <c r="AL75" s="57">
        <f t="shared" si="48"/>
        <v>14199.65607634978</v>
      </c>
      <c r="AN75" s="41">
        <v>70</v>
      </c>
      <c r="AO75" s="57">
        <f t="shared" si="49"/>
        <v>7565.1510749425161</v>
      </c>
      <c r="AP75" s="57">
        <f t="shared" si="50"/>
        <v>22047.694655894313</v>
      </c>
      <c r="AR75" s="41">
        <v>70</v>
      </c>
      <c r="AS75" s="57">
        <f t="shared" si="51"/>
        <v>16197.070501639841</v>
      </c>
      <c r="AT75" s="57">
        <f t="shared" si="52"/>
        <v>-1711.0758272493208</v>
      </c>
      <c r="AV75" s="57">
        <f t="shared" si="53"/>
        <v>263.02973042073916</v>
      </c>
      <c r="AW75" s="57">
        <f t="shared" si="54"/>
        <v>676.43152798230381</v>
      </c>
      <c r="AX75" s="57">
        <f t="shared" si="55"/>
        <v>106.03238183096273</v>
      </c>
      <c r="AY75" s="57">
        <f t="shared" si="56"/>
        <v>90.186311122358248</v>
      </c>
      <c r="BA75" s="57">
        <f t="shared" si="57"/>
        <v>45699.215053819637</v>
      </c>
      <c r="BB75" s="57">
        <f t="shared" si="58"/>
        <v>34870.62826100635</v>
      </c>
    </row>
    <row r="76" spans="9:54" x14ac:dyDescent="0.25">
      <c r="I76" s="41">
        <v>71</v>
      </c>
      <c r="J76" s="57">
        <f t="shared" si="32"/>
        <v>21627.840772285785</v>
      </c>
      <c r="K76" s="57">
        <f t="shared" si="33"/>
        <v>12227.592877996583</v>
      </c>
      <c r="M76" s="41">
        <v>71</v>
      </c>
      <c r="N76" s="57">
        <f t="shared" si="34"/>
        <v>-18860.51145939995</v>
      </c>
      <c r="O76" s="57">
        <f t="shared" si="35"/>
        <v>13309.315014597609</v>
      </c>
      <c r="Q76" s="41">
        <v>71</v>
      </c>
      <c r="R76" s="57">
        <f t="shared" si="36"/>
        <v>-3372.1592277142163</v>
      </c>
      <c r="S76" s="41">
        <f t="shared" si="37"/>
        <v>-10272.407122003417</v>
      </c>
      <c r="U76" s="41">
        <v>70</v>
      </c>
      <c r="V76" s="41">
        <f t="shared" si="59"/>
        <v>35</v>
      </c>
      <c r="W76" s="57">
        <f t="shared" si="60"/>
        <v>-12299.25572271421</v>
      </c>
      <c r="X76" s="57">
        <f t="shared" si="61"/>
        <v>-26339.168541462222</v>
      </c>
      <c r="Y76" s="57">
        <f t="shared" si="62"/>
        <v>-1187.7267641348835</v>
      </c>
      <c r="Z76" s="57">
        <f t="shared" si="63"/>
        <v>3081.899899063098</v>
      </c>
      <c r="AA76" s="57">
        <f t="shared" si="38"/>
        <v>1337.2272157805473</v>
      </c>
      <c r="AB76" s="57">
        <f t="shared" si="39"/>
        <v>2316.373123886794</v>
      </c>
      <c r="AC76" s="57">
        <f t="shared" si="40"/>
        <v>154.49442084659614</v>
      </c>
      <c r="AD76" s="57">
        <f t="shared" si="41"/>
        <v>161.86016144226616</v>
      </c>
      <c r="AE76" s="57">
        <f t="shared" si="42"/>
        <v>-25.606580096166223</v>
      </c>
      <c r="AF76" s="57">
        <f t="shared" si="43"/>
        <v>120.83531102697629</v>
      </c>
      <c r="AG76" s="57">
        <f t="shared" si="44"/>
        <v>807.67484770289775</v>
      </c>
      <c r="AH76" s="57">
        <f t="shared" si="45"/>
        <v>1254.697954519324</v>
      </c>
      <c r="AJ76" s="57">
        <f t="shared" si="46"/>
        <v>46779.602903602899</v>
      </c>
      <c r="AK76" s="57">
        <f t="shared" si="47"/>
        <v>37146.15232711118</v>
      </c>
      <c r="AL76" s="57">
        <f t="shared" si="48"/>
        <v>13485.394963339511</v>
      </c>
      <c r="AN76" s="41">
        <v>71</v>
      </c>
      <c r="AO76" s="57">
        <f t="shared" si="49"/>
        <v>7441.7611584286751</v>
      </c>
      <c r="AP76" s="57">
        <f t="shared" si="50"/>
        <v>22091.389316994875</v>
      </c>
      <c r="AR76" s="41">
        <v>71</v>
      </c>
      <c r="AS76" s="57">
        <f t="shared" si="51"/>
        <v>16139.488540600049</v>
      </c>
      <c r="AT76" s="57">
        <f t="shared" si="52"/>
        <v>-1690.6849854023912</v>
      </c>
      <c r="AV76" s="57">
        <f t="shared" si="53"/>
        <v>289.67497907456544</v>
      </c>
      <c r="AW76" s="57">
        <f t="shared" si="54"/>
        <v>692.22184897149828</v>
      </c>
      <c r="AX76" s="57">
        <f t="shared" si="55"/>
        <v>110.9895482526542</v>
      </c>
      <c r="AY76" s="57">
        <f t="shared" si="56"/>
        <v>86.757847926729582</v>
      </c>
      <c r="BA76" s="57">
        <f t="shared" si="57"/>
        <v>44812.845304212497</v>
      </c>
      <c r="BB76" s="57">
        <f t="shared" si="58"/>
        <v>34649.812078207229</v>
      </c>
    </row>
    <row r="77" spans="9:54" x14ac:dyDescent="0.25">
      <c r="I77" s="41">
        <v>72</v>
      </c>
      <c r="J77" s="57">
        <f t="shared" si="32"/>
        <v>21545.084971874738</v>
      </c>
      <c r="K77" s="57">
        <f t="shared" si="33"/>
        <v>12255.282581475767</v>
      </c>
      <c r="M77" s="41">
        <v>72</v>
      </c>
      <c r="N77" s="57">
        <f t="shared" si="34"/>
        <v>-18918.440519687683</v>
      </c>
      <c r="O77" s="57">
        <f t="shared" si="35"/>
        <v>13328.697807033037</v>
      </c>
      <c r="Q77" s="41">
        <v>72</v>
      </c>
      <c r="R77" s="57">
        <f t="shared" si="36"/>
        <v>-3454.9150281252628</v>
      </c>
      <c r="S77" s="41">
        <f t="shared" si="37"/>
        <v>-10244.717418524233</v>
      </c>
      <c r="U77" s="41">
        <v>71</v>
      </c>
      <c r="V77" s="41">
        <f t="shared" si="59"/>
        <v>35.5</v>
      </c>
      <c r="W77" s="57">
        <f t="shared" si="60"/>
        <v>-12725.965702809084</v>
      </c>
      <c r="X77" s="57">
        <f t="shared" si="61"/>
        <v>-24508.671951444823</v>
      </c>
      <c r="Y77" s="57">
        <f t="shared" si="62"/>
        <v>-519.11315624460985</v>
      </c>
      <c r="Z77" s="57">
        <f t="shared" si="63"/>
        <v>4240.0864610064946</v>
      </c>
      <c r="AA77" s="57">
        <f t="shared" si="38"/>
        <v>1606.7078411660407</v>
      </c>
      <c r="AB77" s="57">
        <f t="shared" si="39"/>
        <v>2364.8653972656857</v>
      </c>
      <c r="AC77" s="57">
        <f t="shared" si="40"/>
        <v>166.56275744690424</v>
      </c>
      <c r="AD77" s="57">
        <f t="shared" si="41"/>
        <v>162.9120042128626</v>
      </c>
      <c r="AE77" s="57">
        <f t="shared" si="42"/>
        <v>-28.105493828394277</v>
      </c>
      <c r="AF77" s="57">
        <f t="shared" si="43"/>
        <v>133.33498673933448</v>
      </c>
      <c r="AG77" s="57">
        <f t="shared" si="44"/>
        <v>1022.7437298884364</v>
      </c>
      <c r="AH77" s="57">
        <f t="shared" si="45"/>
        <v>1258.733858263226</v>
      </c>
      <c r="AJ77" s="57">
        <f t="shared" si="46"/>
        <v>45777.111215941171</v>
      </c>
      <c r="AK77" s="57">
        <f t="shared" si="47"/>
        <v>35266.981935078365</v>
      </c>
      <c r="AL77" s="57">
        <f t="shared" si="48"/>
        <v>12251.750418661644</v>
      </c>
      <c r="AN77" s="41">
        <v>72</v>
      </c>
      <c r="AO77" s="57">
        <f t="shared" si="49"/>
        <v>7317.6274578121065</v>
      </c>
      <c r="AP77" s="57">
        <f t="shared" si="50"/>
        <v>22132.923872213651</v>
      </c>
      <c r="AR77" s="41">
        <v>72</v>
      </c>
      <c r="AS77" s="57">
        <f t="shared" si="51"/>
        <v>16081.559480312317</v>
      </c>
      <c r="AT77" s="57">
        <f t="shared" si="52"/>
        <v>-1671.3021929669626</v>
      </c>
      <c r="AV77" s="57">
        <f t="shared" si="53"/>
        <v>325.46806135916984</v>
      </c>
      <c r="AW77" s="57">
        <f t="shared" si="54"/>
        <v>725.42230321896557</v>
      </c>
      <c r="AX77" s="57">
        <f t="shared" si="55"/>
        <v>120.0387862999243</v>
      </c>
      <c r="AY77" s="57">
        <f t="shared" si="56"/>
        <v>84.462244831297298</v>
      </c>
      <c r="BA77" s="57">
        <f t="shared" si="57"/>
        <v>43302.944697376486</v>
      </c>
      <c r="BB77" s="57">
        <f t="shared" si="58"/>
        <v>33901.584851779946</v>
      </c>
    </row>
    <row r="78" spans="9:54" x14ac:dyDescent="0.25">
      <c r="I78" s="41">
        <v>73</v>
      </c>
      <c r="J78" s="57">
        <f t="shared" si="32"/>
        <v>21461.858523613682</v>
      </c>
      <c r="K78" s="57">
        <f t="shared" si="33"/>
        <v>12281.523779815177</v>
      </c>
      <c r="M78" s="41">
        <v>73</v>
      </c>
      <c r="N78" s="57">
        <f t="shared" si="34"/>
        <v>-18976.699033470421</v>
      </c>
      <c r="O78" s="57">
        <f t="shared" si="35"/>
        <v>13347.066645870624</v>
      </c>
      <c r="Q78" s="41">
        <v>73</v>
      </c>
      <c r="R78" s="57">
        <f t="shared" si="36"/>
        <v>-3538.1414763863158</v>
      </c>
      <c r="S78" s="41">
        <f t="shared" si="37"/>
        <v>-10218.476220184823</v>
      </c>
      <c r="U78" s="41">
        <v>72</v>
      </c>
      <c r="V78" s="41">
        <f t="shared" si="59"/>
        <v>36</v>
      </c>
      <c r="W78" s="57">
        <f t="shared" si="60"/>
        <v>-12784.683800785633</v>
      </c>
      <c r="X78" s="57">
        <f t="shared" si="61"/>
        <v>-22093.020546283366</v>
      </c>
      <c r="Y78" s="57">
        <f t="shared" si="62"/>
        <v>284.24076433841049</v>
      </c>
      <c r="Z78" s="57">
        <f t="shared" si="63"/>
        <v>5422.5191596393379</v>
      </c>
      <c r="AA78" s="57">
        <f t="shared" si="38"/>
        <v>1990.2631120079775</v>
      </c>
      <c r="AB78" s="57">
        <f t="shared" si="39"/>
        <v>2394.3905540797282</v>
      </c>
      <c r="AC78" s="57">
        <f t="shared" si="40"/>
        <v>184.86461772102706</v>
      </c>
      <c r="AD78" s="57">
        <f t="shared" si="41"/>
        <v>166.86762830294785</v>
      </c>
      <c r="AE78" s="57">
        <f t="shared" si="42"/>
        <v>-34.067565235412495</v>
      </c>
      <c r="AF78" s="57">
        <f t="shared" si="43"/>
        <v>151.52919717932647</v>
      </c>
      <c r="AG78" s="57">
        <f t="shared" si="44"/>
        <v>1330.7207100444643</v>
      </c>
      <c r="AH78" s="57">
        <f t="shared" si="45"/>
        <v>1212.4871837129215</v>
      </c>
      <c r="AJ78" s="57">
        <f t="shared" si="46"/>
        <v>44165.397733635837</v>
      </c>
      <c r="AK78" s="57">
        <f t="shared" si="47"/>
        <v>32894.11430087169</v>
      </c>
      <c r="AL78" s="57">
        <f t="shared" si="48"/>
        <v>10531.488135501659</v>
      </c>
      <c r="AN78" s="41">
        <v>73</v>
      </c>
      <c r="AO78" s="57">
        <f t="shared" si="49"/>
        <v>7192.7877854205253</v>
      </c>
      <c r="AP78" s="57">
        <f t="shared" si="50"/>
        <v>22172.285669722765</v>
      </c>
      <c r="AR78" s="41">
        <v>73</v>
      </c>
      <c r="AS78" s="57">
        <f t="shared" si="51"/>
        <v>16023.300966529579</v>
      </c>
      <c r="AT78" s="57">
        <f t="shared" si="52"/>
        <v>-1652.9333541293759</v>
      </c>
      <c r="AV78" s="57">
        <f t="shared" si="53"/>
        <v>374.38788180522323</v>
      </c>
      <c r="AW78" s="57">
        <f t="shared" si="54"/>
        <v>780.85039619693384</v>
      </c>
      <c r="AX78" s="57">
        <f t="shared" si="55"/>
        <v>134.35746767267523</v>
      </c>
      <c r="AY78" s="57">
        <f t="shared" si="56"/>
        <v>82.656148687598289</v>
      </c>
      <c r="BA78" s="57">
        <f t="shared" si="57"/>
        <v>41136.202439468419</v>
      </c>
      <c r="BB78" s="57">
        <f t="shared" si="58"/>
        <v>32621.465407079813</v>
      </c>
    </row>
    <row r="79" spans="9:54" x14ac:dyDescent="0.25">
      <c r="I79" s="41">
        <v>74</v>
      </c>
      <c r="J79" s="57">
        <f t="shared" si="32"/>
        <v>21378.186779084997</v>
      </c>
      <c r="K79" s="57">
        <f t="shared" si="33"/>
        <v>12306.308479691594</v>
      </c>
      <c r="M79" s="41">
        <v>74</v>
      </c>
      <c r="N79" s="57">
        <f t="shared" si="34"/>
        <v>-19035.269254640501</v>
      </c>
      <c r="O79" s="57">
        <f t="shared" si="35"/>
        <v>13364.415935784116</v>
      </c>
      <c r="Q79" s="41">
        <v>74</v>
      </c>
      <c r="R79" s="57">
        <f t="shared" si="36"/>
        <v>-3621.8132209150044</v>
      </c>
      <c r="S79" s="41">
        <f t="shared" si="37"/>
        <v>-10193.691520308406</v>
      </c>
      <c r="U79" s="41">
        <v>73</v>
      </c>
      <c r="V79" s="41">
        <f t="shared" si="59"/>
        <v>36.5</v>
      </c>
      <c r="W79" s="57">
        <f t="shared" si="60"/>
        <v>-12393.780529615431</v>
      </c>
      <c r="X79" s="57">
        <f t="shared" si="61"/>
        <v>-19082.462147203732</v>
      </c>
      <c r="Y79" s="57">
        <f t="shared" si="62"/>
        <v>1279.3723203423992</v>
      </c>
      <c r="Z79" s="57">
        <f t="shared" si="63"/>
        <v>6619.7144366792018</v>
      </c>
      <c r="AA79" s="57">
        <f t="shared" si="38"/>
        <v>2490.7565644434344</v>
      </c>
      <c r="AB79" s="57">
        <f t="shared" si="39"/>
        <v>2252.6489547369397</v>
      </c>
      <c r="AC79" s="57">
        <f t="shared" si="40"/>
        <v>212.12839536722302</v>
      </c>
      <c r="AD79" s="57">
        <f t="shared" si="41"/>
        <v>174.0733853228713</v>
      </c>
      <c r="AE79" s="57">
        <f t="shared" si="42"/>
        <v>-46.458535709859341</v>
      </c>
      <c r="AF79" s="57">
        <f t="shared" si="43"/>
        <v>177.63471215328795</v>
      </c>
      <c r="AG79" s="57">
        <f t="shared" si="44"/>
        <v>1726.227345205127</v>
      </c>
      <c r="AH79" s="57">
        <f t="shared" si="45"/>
        <v>953.1332132513902</v>
      </c>
      <c r="AJ79" s="57">
        <f t="shared" si="46"/>
        <v>41904.466478030852</v>
      </c>
      <c r="AK79" s="57">
        <f t="shared" si="47"/>
        <v>30060.674962069552</v>
      </c>
      <c r="AL79" s="57">
        <f t="shared" si="48"/>
        <v>8445.9746449697304</v>
      </c>
      <c r="AN79" s="41">
        <v>74</v>
      </c>
      <c r="AO79" s="57">
        <f t="shared" si="49"/>
        <v>7067.2801686274943</v>
      </c>
      <c r="AP79" s="57">
        <f t="shared" si="50"/>
        <v>22209.462719537391</v>
      </c>
      <c r="AR79" s="41">
        <v>74</v>
      </c>
      <c r="AS79" s="57">
        <f t="shared" si="51"/>
        <v>15964.730745359497</v>
      </c>
      <c r="AT79" s="57">
        <f t="shared" si="52"/>
        <v>-1635.5840642158837</v>
      </c>
      <c r="AV79" s="57">
        <f t="shared" si="53"/>
        <v>442.75251876419571</v>
      </c>
      <c r="AW79" s="57">
        <f t="shared" si="54"/>
        <v>867.55699462038922</v>
      </c>
      <c r="AX79" s="57">
        <f t="shared" si="55"/>
        <v>156.10684081674805</v>
      </c>
      <c r="AY79" s="57">
        <f t="shared" si="56"/>
        <v>80.250649389001097</v>
      </c>
      <c r="BA79" s="57">
        <f t="shared" si="57"/>
        <v>38264.315322869741</v>
      </c>
      <c r="BB79" s="57">
        <f t="shared" si="58"/>
        <v>30801.541387277415</v>
      </c>
    </row>
    <row r="80" spans="9:54" x14ac:dyDescent="0.25">
      <c r="I80" s="41">
        <v>75</v>
      </c>
      <c r="J80" s="57">
        <f t="shared" si="32"/>
        <v>21294.095225512603</v>
      </c>
      <c r="K80" s="57">
        <f t="shared" si="33"/>
        <v>12329.629131445341</v>
      </c>
      <c r="M80" s="41">
        <v>75</v>
      </c>
      <c r="N80" s="57">
        <f t="shared" si="34"/>
        <v>-19094.133342141176</v>
      </c>
      <c r="O80" s="57">
        <f t="shared" si="35"/>
        <v>13380.740392011739</v>
      </c>
      <c r="Q80" s="41">
        <v>75</v>
      </c>
      <c r="R80" s="57">
        <f t="shared" si="36"/>
        <v>-3705.904774487396</v>
      </c>
      <c r="S80" s="41">
        <f t="shared" si="37"/>
        <v>-10170.370868554659</v>
      </c>
      <c r="U80" s="41">
        <v>74</v>
      </c>
      <c r="V80" s="41">
        <f t="shared" si="59"/>
        <v>37</v>
      </c>
      <c r="W80" s="57">
        <f t="shared" si="60"/>
        <v>-11442.749798888803</v>
      </c>
      <c r="X80" s="57">
        <f t="shared" si="61"/>
        <v>-15491.023809522014</v>
      </c>
      <c r="Y80" s="57">
        <f t="shared" si="62"/>
        <v>2524.7506025641164</v>
      </c>
      <c r="Z80" s="57">
        <f t="shared" si="63"/>
        <v>7746.0389140476718</v>
      </c>
      <c r="AA80" s="57">
        <f t="shared" si="38"/>
        <v>2909.3568323654222</v>
      </c>
      <c r="AB80" s="57">
        <f t="shared" si="39"/>
        <v>1627.3843514083521</v>
      </c>
      <c r="AC80" s="57">
        <f t="shared" si="40"/>
        <v>253.13953151499194</v>
      </c>
      <c r="AD80" s="57">
        <f t="shared" si="41"/>
        <v>185.09631102296612</v>
      </c>
      <c r="AE80" s="57">
        <f t="shared" si="42"/>
        <v>-71.64487617031287</v>
      </c>
      <c r="AF80" s="57">
        <f t="shared" si="43"/>
        <v>213.42150823760511</v>
      </c>
      <c r="AG80" s="57">
        <f t="shared" si="44"/>
        <v>1998.8706563942717</v>
      </c>
      <c r="AH80" s="57">
        <f t="shared" si="45"/>
        <v>152.34071088927965</v>
      </c>
      <c r="AJ80" s="57">
        <f t="shared" si="46"/>
        <v>38951.684055064034</v>
      </c>
      <c r="AK80" s="57">
        <f t="shared" si="47"/>
        <v>26889.009387889986</v>
      </c>
      <c r="AL80" s="57">
        <f t="shared" si="48"/>
        <v>6461.4340012569364</v>
      </c>
      <c r="AN80" s="41">
        <v>75</v>
      </c>
      <c r="AO80" s="57">
        <f t="shared" si="49"/>
        <v>6941.1428382689055</v>
      </c>
      <c r="AP80" s="57">
        <f t="shared" si="50"/>
        <v>22244.443697168012</v>
      </c>
      <c r="AR80" s="41">
        <v>75</v>
      </c>
      <c r="AS80" s="57">
        <f t="shared" si="51"/>
        <v>15905.866657858822</v>
      </c>
      <c r="AT80" s="57">
        <f t="shared" si="52"/>
        <v>-1619.259607988261</v>
      </c>
      <c r="AV80" s="57">
        <f t="shared" si="53"/>
        <v>540.12481033433539</v>
      </c>
      <c r="AW80" s="57">
        <f t="shared" si="54"/>
        <v>1001.5939337063166</v>
      </c>
      <c r="AX80" s="57">
        <f t="shared" si="55"/>
        <v>188.86671029213568</v>
      </c>
      <c r="AY80" s="57">
        <f t="shared" si="56"/>
        <v>74.931887552184762</v>
      </c>
      <c r="BA80" s="57">
        <f t="shared" si="57"/>
        <v>34641.976760884994</v>
      </c>
      <c r="BB80" s="57">
        <f t="shared" si="58"/>
        <v>28447.857520358044</v>
      </c>
    </row>
    <row r="81" spans="9:54" x14ac:dyDescent="0.25">
      <c r="I81" s="41">
        <v>76</v>
      </c>
      <c r="J81" s="57">
        <f t="shared" si="32"/>
        <v>21209.60947799834</v>
      </c>
      <c r="K81" s="57">
        <f t="shared" si="33"/>
        <v>12351.478631379981</v>
      </c>
      <c r="M81" s="41">
        <v>76</v>
      </c>
      <c r="N81" s="57">
        <f t="shared" si="34"/>
        <v>-19153.273365401161</v>
      </c>
      <c r="O81" s="57">
        <f t="shared" si="35"/>
        <v>13396.035041965988</v>
      </c>
      <c r="Q81" s="41">
        <v>76</v>
      </c>
      <c r="R81" s="57">
        <f t="shared" si="36"/>
        <v>-3790.3905220016604</v>
      </c>
      <c r="S81" s="41">
        <f t="shared" si="37"/>
        <v>-10148.521368620019</v>
      </c>
      <c r="U81" s="41">
        <v>75</v>
      </c>
      <c r="V81" s="41">
        <f t="shared" si="59"/>
        <v>37.5</v>
      </c>
      <c r="W81" s="57">
        <f t="shared" si="60"/>
        <v>-9816.7048935610674</v>
      </c>
      <c r="X81" s="57">
        <f t="shared" si="61"/>
        <v>-11414.581308572133</v>
      </c>
      <c r="Y81" s="57">
        <f t="shared" si="62"/>
        <v>3979.4290187468278</v>
      </c>
      <c r="Z81" s="57">
        <f t="shared" si="63"/>
        <v>8559.7310897518473</v>
      </c>
      <c r="AA81" s="57">
        <f t="shared" si="38"/>
        <v>2699.8453947993962</v>
      </c>
      <c r="AB81" s="57">
        <f t="shared" si="39"/>
        <v>542.4258925733991</v>
      </c>
      <c r="AC81" s="57">
        <f t="shared" si="40"/>
        <v>315.86748677519654</v>
      </c>
      <c r="AD81" s="57">
        <f t="shared" si="41"/>
        <v>200.37429631045461</v>
      </c>
      <c r="AE81" s="57">
        <f t="shared" si="42"/>
        <v>-121.00874336193255</v>
      </c>
      <c r="AF81" s="57">
        <f t="shared" si="43"/>
        <v>254.47083156155637</v>
      </c>
      <c r="AG81" s="57">
        <f t="shared" si="44"/>
        <v>1589.1786445258226</v>
      </c>
      <c r="AH81" s="57">
        <f t="shared" si="45"/>
        <v>-1182.9395701027386</v>
      </c>
      <c r="AJ81" s="57">
        <f t="shared" si="46"/>
        <v>35310.01666366493</v>
      </c>
      <c r="AK81" s="57">
        <f t="shared" si="47"/>
        <v>23712.523945085857</v>
      </c>
      <c r="AL81" s="57">
        <f t="shared" si="48"/>
        <v>6004.6542968347021</v>
      </c>
      <c r="AN81" s="41">
        <v>76</v>
      </c>
      <c r="AO81" s="57">
        <f t="shared" si="49"/>
        <v>6814.4142169975094</v>
      </c>
      <c r="AP81" s="57">
        <f t="shared" si="50"/>
        <v>22277.217947069974</v>
      </c>
      <c r="AR81" s="41">
        <v>76</v>
      </c>
      <c r="AS81" s="57">
        <f t="shared" si="51"/>
        <v>15846.726634598837</v>
      </c>
      <c r="AT81" s="57">
        <f t="shared" si="52"/>
        <v>-1603.9649580340124</v>
      </c>
      <c r="AV81" s="57">
        <f t="shared" si="53"/>
        <v>678.22502705146962</v>
      </c>
      <c r="AW81" s="57">
        <f t="shared" si="54"/>
        <v>1209.1102746026181</v>
      </c>
      <c r="AX81" s="57">
        <f t="shared" si="55"/>
        <v>237.58297980884029</v>
      </c>
      <c r="AY81" s="57">
        <f t="shared" si="56"/>
        <v>61.410060201508571</v>
      </c>
      <c r="BA81" s="57">
        <f t="shared" si="57"/>
        <v>30286.380596070649</v>
      </c>
      <c r="BB81" s="57">
        <f t="shared" si="58"/>
        <v>25632.317396957704</v>
      </c>
    </row>
    <row r="82" spans="9:54" x14ac:dyDescent="0.25">
      <c r="I82" s="41">
        <v>77</v>
      </c>
      <c r="J82" s="57">
        <f t="shared" si="32"/>
        <v>21124.755271719325</v>
      </c>
      <c r="K82" s="57">
        <f t="shared" si="33"/>
        <v>12371.850323926177</v>
      </c>
      <c r="M82" s="41">
        <v>77</v>
      </c>
      <c r="N82" s="57">
        <f t="shared" si="34"/>
        <v>-19212.671309796471</v>
      </c>
      <c r="O82" s="57">
        <f t="shared" si="35"/>
        <v>13410.295226748323</v>
      </c>
      <c r="Q82" s="41">
        <v>77</v>
      </c>
      <c r="R82" s="57">
        <f t="shared" si="36"/>
        <v>-3875.2447282806752</v>
      </c>
      <c r="S82" s="41">
        <f t="shared" si="37"/>
        <v>-10128.149676073823</v>
      </c>
      <c r="U82" s="41">
        <v>76</v>
      </c>
      <c r="V82" s="41">
        <f t="shared" si="59"/>
        <v>38</v>
      </c>
      <c r="W82" s="57">
        <f t="shared" si="60"/>
        <v>-7489.5097098377282</v>
      </c>
      <c r="X82" s="57">
        <f t="shared" si="61"/>
        <v>-7066.9125271245348</v>
      </c>
      <c r="Y82" s="57">
        <f t="shared" si="62"/>
        <v>5329.3517161465261</v>
      </c>
      <c r="Z82" s="57">
        <f t="shared" si="63"/>
        <v>8830.944036038547</v>
      </c>
      <c r="AA82" s="57">
        <f t="shared" si="38"/>
        <v>1970.884332043523</v>
      </c>
      <c r="AB82" s="57">
        <f t="shared" si="39"/>
        <v>160.06442220150458</v>
      </c>
      <c r="AC82" s="57">
        <f t="shared" si="40"/>
        <v>412.46699807257767</v>
      </c>
      <c r="AD82" s="57">
        <f t="shared" si="41"/>
        <v>218.56958325810572</v>
      </c>
      <c r="AE82" s="57">
        <f t="shared" si="42"/>
        <v>-202.91088817908323</v>
      </c>
      <c r="AF82" s="57">
        <f t="shared" si="43"/>
        <v>276.81268271929912</v>
      </c>
      <c r="AG82" s="57">
        <f t="shared" si="44"/>
        <v>592.61898375877558</v>
      </c>
      <c r="AH82" s="57">
        <f t="shared" si="45"/>
        <v>-1888.4434222798725</v>
      </c>
      <c r="AJ82" s="57">
        <f t="shared" si="46"/>
        <v>31110.578340174914</v>
      </c>
      <c r="AK82" s="57">
        <f t="shared" si="47"/>
        <v>21161.093320260294</v>
      </c>
      <c r="AL82" s="57">
        <f t="shared" si="48"/>
        <v>8314.5375967440286</v>
      </c>
      <c r="AN82" s="41">
        <v>77</v>
      </c>
      <c r="AO82" s="57">
        <f t="shared" si="49"/>
        <v>6687.1329075789872</v>
      </c>
      <c r="AP82" s="57">
        <f t="shared" si="50"/>
        <v>22307.775485889266</v>
      </c>
      <c r="AR82" s="41">
        <v>77</v>
      </c>
      <c r="AS82" s="57">
        <f t="shared" si="51"/>
        <v>15787.328690203527</v>
      </c>
      <c r="AT82" s="57">
        <f t="shared" si="52"/>
        <v>-1589.7047732516767</v>
      </c>
      <c r="AV82" s="57">
        <f t="shared" si="53"/>
        <v>863.14920487618519</v>
      </c>
      <c r="AW82" s="57">
        <f t="shared" si="54"/>
        <v>1525.0428915441664</v>
      </c>
      <c r="AX82" s="57">
        <f t="shared" si="55"/>
        <v>305.56003351506797</v>
      </c>
      <c r="AY82" s="57">
        <f t="shared" si="56"/>
        <v>28.082686959805834</v>
      </c>
      <c r="BA82" s="57">
        <f t="shared" si="57"/>
        <v>25356.192168223854</v>
      </c>
      <c r="BB82" s="57">
        <f t="shared" si="58"/>
        <v>22584.290433477643</v>
      </c>
    </row>
    <row r="83" spans="9:54" x14ac:dyDescent="0.25">
      <c r="I83" s="41">
        <v>78</v>
      </c>
      <c r="J83" s="57">
        <f t="shared" si="32"/>
        <v>21039.558454088798</v>
      </c>
      <c r="K83" s="57">
        <f t="shared" si="33"/>
        <v>12390.738003669028</v>
      </c>
      <c r="M83" s="41">
        <v>78</v>
      </c>
      <c r="N83" s="57">
        <f t="shared" si="34"/>
        <v>-19272.309082137843</v>
      </c>
      <c r="O83" s="57">
        <f t="shared" si="35"/>
        <v>13423.516602568319</v>
      </c>
      <c r="Q83" s="41">
        <v>78</v>
      </c>
      <c r="R83" s="57">
        <f t="shared" si="36"/>
        <v>-3960.4415459112024</v>
      </c>
      <c r="S83" s="41">
        <f t="shared" si="37"/>
        <v>-10109.261996330972</v>
      </c>
      <c r="U83" s="41">
        <v>77</v>
      </c>
      <c r="V83" s="41">
        <f t="shared" si="59"/>
        <v>38.5</v>
      </c>
      <c r="W83" s="57">
        <f t="shared" si="60"/>
        <v>-4578.4733102590244</v>
      </c>
      <c r="X83" s="57">
        <f t="shared" si="61"/>
        <v>-2631.4324563300734</v>
      </c>
      <c r="Y83" s="57">
        <f t="shared" si="62"/>
        <v>6314.7938821682874</v>
      </c>
      <c r="Z83" s="57">
        <f t="shared" si="63"/>
        <v>8910.9762471392987</v>
      </c>
      <c r="AA83" s="57">
        <f t="shared" si="38"/>
        <v>1673.3740697217561</v>
      </c>
      <c r="AB83" s="57">
        <f t="shared" si="39"/>
        <v>799.46977920692268</v>
      </c>
      <c r="AC83" s="57">
        <f t="shared" si="40"/>
        <v>561.62607869537806</v>
      </c>
      <c r="AD83" s="57">
        <f t="shared" si="41"/>
        <v>231.50651426509512</v>
      </c>
      <c r="AE83" s="57">
        <f t="shared" si="42"/>
        <v>-293.67570781862804</v>
      </c>
      <c r="AF83" s="57">
        <f t="shared" si="43"/>
        <v>240.54329652353195</v>
      </c>
      <c r="AG83" s="57">
        <f t="shared" si="44"/>
        <v>-54.794032455582823</v>
      </c>
      <c r="AH83" s="57">
        <f t="shared" si="45"/>
        <v>-1607.7835826561147</v>
      </c>
      <c r="AJ83" s="57">
        <f t="shared" si="46"/>
        <v>26584.718803859741</v>
      </c>
      <c r="AK83" s="57">
        <f t="shared" si="47"/>
        <v>19934.306392278162</v>
      </c>
      <c r="AL83" s="57">
        <f t="shared" si="48"/>
        <v>12375.748374643414</v>
      </c>
      <c r="AN83" s="41">
        <v>78</v>
      </c>
      <c r="AO83" s="57">
        <f t="shared" si="49"/>
        <v>6559.3376811331964</v>
      </c>
      <c r="AP83" s="57">
        <f t="shared" si="50"/>
        <v>22336.107005503542</v>
      </c>
      <c r="AR83" s="41">
        <v>78</v>
      </c>
      <c r="AS83" s="57">
        <f t="shared" si="51"/>
        <v>15727.690917862157</v>
      </c>
      <c r="AT83" s="57">
        <f t="shared" si="52"/>
        <v>-1576.4833974316803</v>
      </c>
      <c r="AV83" s="57">
        <f t="shared" si="53"/>
        <v>1076.5375335754645</v>
      </c>
      <c r="AW83" s="57">
        <f t="shared" si="54"/>
        <v>1981.6204728169446</v>
      </c>
      <c r="AX83" s="57">
        <f t="shared" si="55"/>
        <v>383.68019772512429</v>
      </c>
      <c r="AY83" s="57">
        <f t="shared" si="56"/>
        <v>-46.416921742534285</v>
      </c>
      <c r="BA83" s="57">
        <f t="shared" si="57"/>
        <v>20065.257571670343</v>
      </c>
      <c r="BB83" s="57">
        <f t="shared" si="58"/>
        <v>19721.225351621833</v>
      </c>
    </row>
    <row r="84" spans="9:54" x14ac:dyDescent="0.25">
      <c r="I84" s="41">
        <v>79</v>
      </c>
      <c r="J84" s="57">
        <f t="shared" si="32"/>
        <v>20954.044976882724</v>
      </c>
      <c r="K84" s="57">
        <f t="shared" si="33"/>
        <v>12408.13591723832</v>
      </c>
      <c r="M84" s="41">
        <v>79</v>
      </c>
      <c r="N84" s="57">
        <f t="shared" si="34"/>
        <v>-19332.168516182093</v>
      </c>
      <c r="O84" s="57">
        <f t="shared" si="35"/>
        <v>13435.695142066823</v>
      </c>
      <c r="Q84" s="41">
        <v>79</v>
      </c>
      <c r="R84" s="57">
        <f t="shared" si="36"/>
        <v>-4045.9550231172752</v>
      </c>
      <c r="S84" s="41">
        <f t="shared" si="37"/>
        <v>-10091.86408276168</v>
      </c>
      <c r="U84" s="41">
        <v>78</v>
      </c>
      <c r="V84" s="41">
        <f t="shared" si="59"/>
        <v>39</v>
      </c>
      <c r="W84" s="57">
        <f t="shared" si="60"/>
        <v>-1211.9046104596612</v>
      </c>
      <c r="X84" s="57">
        <f t="shared" si="61"/>
        <v>1923.9893896404412</v>
      </c>
      <c r="Y84" s="57">
        <f t="shared" si="62"/>
        <v>7151.4809170291655</v>
      </c>
      <c r="Z84" s="57">
        <f t="shared" si="63"/>
        <v>9310.7111367427606</v>
      </c>
      <c r="AA84" s="57">
        <f t="shared" si="38"/>
        <v>1850.0726912216846</v>
      </c>
      <c r="AB84" s="57">
        <f t="shared" si="39"/>
        <v>1616.0652529032984</v>
      </c>
      <c r="AC84" s="57">
        <f t="shared" si="40"/>
        <v>792.99936262276276</v>
      </c>
      <c r="AD84" s="57">
        <f t="shared" si="41"/>
        <v>208.45713485871997</v>
      </c>
      <c r="AE84" s="57">
        <f t="shared" si="42"/>
        <v>-334.11891597274052</v>
      </c>
      <c r="AF84" s="57">
        <f t="shared" si="43"/>
        <v>143.62008785733033</v>
      </c>
      <c r="AG84" s="57">
        <f t="shared" si="44"/>
        <v>-247.21508103709871</v>
      </c>
      <c r="AH84" s="57">
        <f t="shared" si="45"/>
        <v>-1104.4773106779251</v>
      </c>
      <c r="AJ84" s="57">
        <f t="shared" si="46"/>
        <v>21932.550958109779</v>
      </c>
      <c r="AK84" s="57">
        <f t="shared" si="47"/>
        <v>20450.292803407661</v>
      </c>
      <c r="AL84" s="57">
        <f t="shared" si="48"/>
        <v>17342.753055409601</v>
      </c>
      <c r="AN84" s="41">
        <v>79</v>
      </c>
      <c r="AO84" s="57">
        <f t="shared" si="49"/>
        <v>6431.0674653240867</v>
      </c>
      <c r="AP84" s="57">
        <f t="shared" si="50"/>
        <v>22362.203875857478</v>
      </c>
      <c r="AR84" s="41">
        <v>79</v>
      </c>
      <c r="AS84" s="57">
        <f t="shared" si="51"/>
        <v>15667.831483817907</v>
      </c>
      <c r="AT84" s="57">
        <f t="shared" si="52"/>
        <v>-1564.3048579331762</v>
      </c>
      <c r="AV84" s="57">
        <f t="shared" si="53"/>
        <v>1211.7355398219468</v>
      </c>
      <c r="AW84" s="57">
        <f t="shared" si="54"/>
        <v>2550.6938321271309</v>
      </c>
      <c r="AX84" s="57">
        <f t="shared" si="55"/>
        <v>426.67178578681433</v>
      </c>
      <c r="AY84" s="57">
        <f t="shared" si="56"/>
        <v>-182.22849126195774</v>
      </c>
      <c r="BA84" s="57">
        <f t="shared" si="57"/>
        <v>14476.526253617811</v>
      </c>
      <c r="BB84" s="57">
        <f t="shared" si="58"/>
        <v>17628.598360802727</v>
      </c>
    </row>
    <row r="85" spans="9:54" x14ac:dyDescent="0.25">
      <c r="I85" s="41">
        <v>80</v>
      </c>
      <c r="J85" s="57">
        <f t="shared" si="32"/>
        <v>20868.240888334651</v>
      </c>
      <c r="K85" s="57">
        <f t="shared" si="33"/>
        <v>12424.038765061039</v>
      </c>
      <c r="M85" s="41">
        <v>80</v>
      </c>
      <c r="N85" s="57">
        <f t="shared" si="34"/>
        <v>-19392.231378165743</v>
      </c>
      <c r="O85" s="57">
        <f t="shared" si="35"/>
        <v>13446.827135542728</v>
      </c>
      <c r="Q85" s="41">
        <v>80</v>
      </c>
      <c r="R85" s="57">
        <f t="shared" si="36"/>
        <v>-4131.7591116653475</v>
      </c>
      <c r="S85" s="41">
        <f t="shared" si="37"/>
        <v>-10075.961234938961</v>
      </c>
      <c r="U85" s="41">
        <v>79</v>
      </c>
      <c r="V85" s="41">
        <f t="shared" si="59"/>
        <v>39.5</v>
      </c>
      <c r="W85" s="57">
        <f t="shared" si="60"/>
        <v>2595.094934457632</v>
      </c>
      <c r="X85" s="57">
        <f t="shared" si="61"/>
        <v>6781.3531146247333</v>
      </c>
      <c r="Y85" s="57">
        <f t="shared" si="62"/>
        <v>8076.5172626400081</v>
      </c>
      <c r="Z85" s="57">
        <f t="shared" si="63"/>
        <v>10118.74376319441</v>
      </c>
      <c r="AA85" s="57">
        <f t="shared" si="38"/>
        <v>1753.5731489697196</v>
      </c>
      <c r="AB85" s="57">
        <f t="shared" si="39"/>
        <v>1854.8634881271321</v>
      </c>
      <c r="AC85" s="57">
        <f t="shared" si="40"/>
        <v>1124.5797654558178</v>
      </c>
      <c r="AD85" s="57">
        <f t="shared" si="41"/>
        <v>46.433792241755455</v>
      </c>
      <c r="AE85" s="57">
        <f t="shared" si="42"/>
        <v>-298.27112355582864</v>
      </c>
      <c r="AF85" s="57">
        <f t="shared" si="43"/>
        <v>42.488399611293488</v>
      </c>
      <c r="AG85" s="57">
        <f t="shared" si="44"/>
        <v>-250.2303256260503</v>
      </c>
      <c r="AH85" s="57">
        <f t="shared" si="45"/>
        <v>-717.61513575310482</v>
      </c>
      <c r="AJ85" s="57">
        <f t="shared" si="46"/>
        <v>17419.735178423405</v>
      </c>
      <c r="AK85" s="57">
        <f t="shared" si="47"/>
        <v>22823.190023962226</v>
      </c>
      <c r="AL85" s="57">
        <f t="shared" si="48"/>
        <v>23067.570538905838</v>
      </c>
      <c r="AN85" s="41">
        <v>80</v>
      </c>
      <c r="AO85" s="57">
        <f t="shared" si="49"/>
        <v>6302.3613325019778</v>
      </c>
      <c r="AP85" s="57">
        <f t="shared" si="50"/>
        <v>22386.058147591561</v>
      </c>
      <c r="AR85" s="41">
        <v>80</v>
      </c>
      <c r="AS85" s="57">
        <f t="shared" si="51"/>
        <v>15607.768621834257</v>
      </c>
      <c r="AT85" s="57">
        <f t="shared" si="52"/>
        <v>-1553.1728644572718</v>
      </c>
      <c r="AV85" s="57">
        <f t="shared" si="53"/>
        <v>824.75611632493337</v>
      </c>
      <c r="AW85" s="57">
        <f t="shared" si="54"/>
        <v>2818.5641852350691</v>
      </c>
      <c r="AX85" s="57">
        <f t="shared" si="55"/>
        <v>352.73871637084716</v>
      </c>
      <c r="AY85" s="57">
        <f t="shared" si="56"/>
        <v>-335.00775320788102</v>
      </c>
      <c r="BA85" s="57">
        <f t="shared" si="57"/>
        <v>8563.2777019526766</v>
      </c>
      <c r="BB85" s="57">
        <f t="shared" si="58"/>
        <v>17107.949932607255</v>
      </c>
    </row>
    <row r="86" spans="9:54" x14ac:dyDescent="0.25">
      <c r="I86" s="41">
        <v>81</v>
      </c>
      <c r="J86" s="57">
        <f t="shared" si="32"/>
        <v>20782.172325201154</v>
      </c>
      <c r="K86" s="57">
        <f t="shared" si="33"/>
        <v>12438.441702975688</v>
      </c>
      <c r="M86" s="41">
        <v>81</v>
      </c>
      <c r="N86" s="57">
        <f t="shared" si="34"/>
        <v>-19452.47937235919</v>
      </c>
      <c r="O86" s="57">
        <f t="shared" si="35"/>
        <v>13456.909192082981</v>
      </c>
      <c r="Q86" s="41">
        <v>81</v>
      </c>
      <c r="R86" s="57">
        <f t="shared" si="36"/>
        <v>-4217.8276747988457</v>
      </c>
      <c r="S86" s="41">
        <f t="shared" si="37"/>
        <v>-10061.558297024312</v>
      </c>
      <c r="U86" s="41">
        <v>80</v>
      </c>
      <c r="V86" s="41">
        <f t="shared" si="59"/>
        <v>40</v>
      </c>
      <c r="W86" s="57">
        <f t="shared" si="60"/>
        <v>6852.5502093988507</v>
      </c>
      <c r="X86" s="57">
        <f t="shared" si="61"/>
        <v>12072.58293223783</v>
      </c>
      <c r="Y86" s="57">
        <f t="shared" si="62"/>
        <v>8953.3038371248676</v>
      </c>
      <c r="Z86" s="57">
        <f t="shared" si="63"/>
        <v>11046.175507257976</v>
      </c>
      <c r="AA86" s="57">
        <f t="shared" si="38"/>
        <v>220.13006792767246</v>
      </c>
      <c r="AB86" s="57">
        <f t="shared" si="39"/>
        <v>84.685837876516359</v>
      </c>
      <c r="AC86" s="57">
        <f t="shared" si="40"/>
        <v>1367.2325621349573</v>
      </c>
      <c r="AD86" s="57">
        <f t="shared" si="41"/>
        <v>-475.5130749757555</v>
      </c>
      <c r="AE86" s="57">
        <f t="shared" si="42"/>
        <v>-223.80411881897615</v>
      </c>
      <c r="AF86" s="57">
        <f t="shared" si="43"/>
        <v>-17.274061242286816</v>
      </c>
      <c r="AG86" s="57">
        <f t="shared" si="44"/>
        <v>-204.34699924823428</v>
      </c>
      <c r="AH86" s="57">
        <f t="shared" si="45"/>
        <v>-466.7519636166428</v>
      </c>
      <c r="AJ86" s="57">
        <f t="shared" si="46"/>
        <v>13919.912020863168</v>
      </c>
      <c r="AK86" s="57">
        <f t="shared" si="47"/>
        <v>26932.416392876632</v>
      </c>
      <c r="AL86" s="57">
        <f t="shared" si="48"/>
        <v>29553.471760340035</v>
      </c>
      <c r="AN86" s="41">
        <v>81</v>
      </c>
      <c r="AO86" s="57">
        <f t="shared" si="49"/>
        <v>6173.2584878017315</v>
      </c>
      <c r="AP86" s="57">
        <f t="shared" si="50"/>
        <v>22407.662554463532</v>
      </c>
      <c r="AR86" s="41">
        <v>81</v>
      </c>
      <c r="AS86" s="57">
        <f t="shared" si="51"/>
        <v>15547.520627640808</v>
      </c>
      <c r="AT86" s="57">
        <f t="shared" si="52"/>
        <v>-1543.0908079170176</v>
      </c>
      <c r="AV86" s="57">
        <f t="shared" si="53"/>
        <v>-897.2534966490266</v>
      </c>
      <c r="AW86" s="57">
        <f t="shared" si="54"/>
        <v>1417.8483189678223</v>
      </c>
      <c r="AX86" s="57">
        <f t="shared" si="55"/>
        <v>178.30212050895213</v>
      </c>
      <c r="AY86" s="57">
        <f t="shared" si="56"/>
        <v>-373.6233812566208</v>
      </c>
      <c r="BA86" s="57">
        <f t="shared" si="57"/>
        <v>3464.3488518001454</v>
      </c>
      <c r="BB86" s="57">
        <f t="shared" si="58"/>
        <v>18917.030054120682</v>
      </c>
    </row>
    <row r="87" spans="9:54" x14ac:dyDescent="0.25">
      <c r="I87" s="41">
        <v>82</v>
      </c>
      <c r="J87" s="57">
        <f t="shared" si="32"/>
        <v>20695.865504800327</v>
      </c>
      <c r="K87" s="57">
        <f t="shared" si="33"/>
        <v>12451.340343707852</v>
      </c>
      <c r="M87" s="41">
        <v>82</v>
      </c>
      <c r="N87" s="57">
        <f t="shared" si="34"/>
        <v>-19512.89414663977</v>
      </c>
      <c r="O87" s="57">
        <f t="shared" si="35"/>
        <v>13465.938240595497</v>
      </c>
      <c r="Q87" s="41">
        <v>82</v>
      </c>
      <c r="R87" s="57">
        <f t="shared" si="36"/>
        <v>-4304.1344951996716</v>
      </c>
      <c r="S87" s="41">
        <f t="shared" si="37"/>
        <v>-10048.659656292148</v>
      </c>
      <c r="U87" s="41">
        <v>81</v>
      </c>
      <c r="V87" s="41">
        <f t="shared" si="59"/>
        <v>40.5</v>
      </c>
      <c r="W87" s="57">
        <f t="shared" si="60"/>
        <v>11356.718386452245</v>
      </c>
      <c r="X87" s="57">
        <f t="shared" si="61"/>
        <v>17606.256415601383</v>
      </c>
      <c r="Y87" s="57">
        <f t="shared" si="62"/>
        <v>9063.3688710887036</v>
      </c>
      <c r="Z87" s="57">
        <f t="shared" si="63"/>
        <v>11088.518426196235</v>
      </c>
      <c r="AA87" s="57">
        <f t="shared" si="38"/>
        <v>-1785.9096513204493</v>
      </c>
      <c r="AB87" s="57">
        <f t="shared" si="39"/>
        <v>-2823.5233262992083</v>
      </c>
      <c r="AC87" s="57">
        <f t="shared" si="40"/>
        <v>982.48875214680095</v>
      </c>
      <c r="AD87" s="57">
        <f t="shared" si="41"/>
        <v>-1148.7862710705074</v>
      </c>
      <c r="AE87" s="57">
        <f t="shared" si="42"/>
        <v>-156.46762162829697</v>
      </c>
      <c r="AF87" s="57">
        <f t="shared" si="43"/>
        <v>-37.954636584621809</v>
      </c>
      <c r="AG87" s="57">
        <f t="shared" si="44"/>
        <v>-158.25858980418963</v>
      </c>
      <c r="AH87" s="57">
        <f t="shared" si="45"/>
        <v>-315.48016155862496</v>
      </c>
      <c r="AJ87" s="57">
        <f t="shared" si="46"/>
        <v>13298.223031254092</v>
      </c>
      <c r="AK87" s="57">
        <f t="shared" si="47"/>
        <v>32266.064597765086</v>
      </c>
      <c r="AL87" s="57">
        <f t="shared" si="48"/>
        <v>36478.900666188551</v>
      </c>
      <c r="AN87" s="41">
        <v>82</v>
      </c>
      <c r="AO87" s="57">
        <f t="shared" si="49"/>
        <v>6043.798257200493</v>
      </c>
      <c r="AP87" s="57">
        <f t="shared" si="50"/>
        <v>22427.010515561778</v>
      </c>
      <c r="AR87" s="41">
        <v>82</v>
      </c>
      <c r="AS87" s="57">
        <f t="shared" si="51"/>
        <v>15487.10585336023</v>
      </c>
      <c r="AT87" s="57">
        <f t="shared" si="52"/>
        <v>-1534.0617594045043</v>
      </c>
      <c r="AV87" s="57">
        <f t="shared" si="53"/>
        <v>-2501.3365794868573</v>
      </c>
      <c r="AW87" s="57">
        <f t="shared" si="54"/>
        <v>-1025.5487362410022</v>
      </c>
      <c r="AX87" s="57">
        <f t="shared" si="55"/>
        <v>47.66438745209377</v>
      </c>
      <c r="AY87" s="57">
        <f t="shared" si="56"/>
        <v>-295.75352084445205</v>
      </c>
      <c r="BA87" s="57">
        <f t="shared" si="57"/>
        <v>6870.2577206771075</v>
      </c>
      <c r="BB87" s="57">
        <f t="shared" si="58"/>
        <v>22897.95471310776</v>
      </c>
    </row>
    <row r="88" spans="9:54" x14ac:dyDescent="0.25">
      <c r="I88" s="41">
        <v>83</v>
      </c>
      <c r="J88" s="57">
        <f t="shared" si="32"/>
        <v>20609.346717025739</v>
      </c>
      <c r="K88" s="57">
        <f t="shared" si="33"/>
        <v>12462.73075820661</v>
      </c>
      <c r="M88" s="41">
        <v>83</v>
      </c>
      <c r="N88" s="57">
        <f t="shared" si="34"/>
        <v>-19573.457298081983</v>
      </c>
      <c r="O88" s="57">
        <f t="shared" si="35"/>
        <v>13473.911530744626</v>
      </c>
      <c r="Q88" s="41">
        <v>83</v>
      </c>
      <c r="R88" s="57">
        <f t="shared" si="36"/>
        <v>-4390.6532829742628</v>
      </c>
      <c r="S88" s="41">
        <f t="shared" si="37"/>
        <v>-10037.26924179339</v>
      </c>
      <c r="U88" s="41">
        <v>82</v>
      </c>
      <c r="V88" s="41">
        <f t="shared" si="59"/>
        <v>41</v>
      </c>
      <c r="W88" s="57">
        <f t="shared" si="60"/>
        <v>15665.164115581541</v>
      </c>
      <c r="X88" s="57">
        <f t="shared" si="61"/>
        <v>22797.575212912099</v>
      </c>
      <c r="Y88" s="57">
        <f t="shared" si="62"/>
        <v>8170.4140454284789</v>
      </c>
      <c r="Z88" s="57">
        <f t="shared" si="63"/>
        <v>9676.756763046631</v>
      </c>
      <c r="AA88" s="57">
        <f t="shared" si="38"/>
        <v>-2259.4874029884236</v>
      </c>
      <c r="AB88" s="57">
        <f t="shared" si="39"/>
        <v>-3414.8236912115694</v>
      </c>
      <c r="AC88" s="57">
        <f t="shared" si="40"/>
        <v>342.50444582067149</v>
      </c>
      <c r="AD88" s="57">
        <f t="shared" si="41"/>
        <v>-1208.6933993353255</v>
      </c>
      <c r="AE88" s="57">
        <f t="shared" si="42"/>
        <v>-111.9548696001624</v>
      </c>
      <c r="AF88" s="57">
        <f t="shared" si="43"/>
        <v>-40.172277338095817</v>
      </c>
      <c r="AG88" s="57">
        <f t="shared" si="44"/>
        <v>-125.10717820763951</v>
      </c>
      <c r="AH88" s="57">
        <f t="shared" si="45"/>
        <v>-228.82702269046939</v>
      </c>
      <c r="AJ88" s="57">
        <f t="shared" si="46"/>
        <v>15899.893381389218</v>
      </c>
      <c r="AK88" s="57">
        <f t="shared" si="47"/>
        <v>37891.712322373445</v>
      </c>
      <c r="AL88" s="57">
        <f t="shared" si="48"/>
        <v>43077.9026868726</v>
      </c>
      <c r="AN88" s="41">
        <v>83</v>
      </c>
      <c r="AO88" s="57">
        <f t="shared" si="49"/>
        <v>5914.0200755386059</v>
      </c>
      <c r="AP88" s="57">
        <f t="shared" si="50"/>
        <v>22444.096137309916</v>
      </c>
      <c r="AR88" s="41">
        <v>83</v>
      </c>
      <c r="AS88" s="57">
        <f t="shared" si="51"/>
        <v>15426.542701918017</v>
      </c>
      <c r="AT88" s="57">
        <f t="shared" si="52"/>
        <v>-1526.0884692553732</v>
      </c>
      <c r="AV88" s="57">
        <f t="shared" si="53"/>
        <v>-2359.8622650374409</v>
      </c>
      <c r="AW88" s="57">
        <f t="shared" si="54"/>
        <v>-1725.3558692883919</v>
      </c>
      <c r="AX88" s="57">
        <f t="shared" si="55"/>
        <v>-5.067535963852273</v>
      </c>
      <c r="AY88" s="57">
        <f t="shared" si="56"/>
        <v>-211.77512255928687</v>
      </c>
      <c r="BA88" s="57">
        <f t="shared" si="57"/>
        <v>13211.657913120116</v>
      </c>
      <c r="BB88" s="57">
        <f t="shared" si="58"/>
        <v>27805.532381491321</v>
      </c>
    </row>
    <row r="89" spans="9:54" x14ac:dyDescent="0.25">
      <c r="I89" s="41">
        <v>84</v>
      </c>
      <c r="J89" s="57">
        <f t="shared" si="32"/>
        <v>20522.642316338268</v>
      </c>
      <c r="K89" s="57">
        <f t="shared" si="33"/>
        <v>12472.609476841368</v>
      </c>
      <c r="M89" s="41">
        <v>84</v>
      </c>
      <c r="N89" s="57">
        <f t="shared" si="34"/>
        <v>-19634.150378563212</v>
      </c>
      <c r="O89" s="57">
        <f t="shared" si="35"/>
        <v>13480.826633788956</v>
      </c>
      <c r="Q89" s="41">
        <v>84</v>
      </c>
      <c r="R89" s="57">
        <f t="shared" si="36"/>
        <v>-4477.3576836617331</v>
      </c>
      <c r="S89" s="41">
        <f t="shared" si="37"/>
        <v>-10027.390523158632</v>
      </c>
      <c r="U89" s="41">
        <v>83</v>
      </c>
      <c r="V89" s="41">
        <f t="shared" si="59"/>
        <v>41.5</v>
      </c>
      <c r="W89" s="57">
        <f t="shared" si="60"/>
        <v>19467.935212922228</v>
      </c>
      <c r="X89" s="57">
        <f t="shared" si="61"/>
        <v>27209.100633033966</v>
      </c>
      <c r="Y89" s="57">
        <f t="shared" si="62"/>
        <v>7040.6703439342673</v>
      </c>
      <c r="Z89" s="57">
        <f t="shared" si="63"/>
        <v>7969.3449174408461</v>
      </c>
      <c r="AA89" s="57">
        <f t="shared" si="38"/>
        <v>-1999.5905551334777</v>
      </c>
      <c r="AB89" s="57">
        <f t="shared" si="39"/>
        <v>-2859.634883649755</v>
      </c>
      <c r="AC89" s="57">
        <f t="shared" si="40"/>
        <v>25.784417345945158</v>
      </c>
      <c r="AD89" s="57">
        <f t="shared" si="41"/>
        <v>-955.12367775072823</v>
      </c>
      <c r="AE89" s="57">
        <f t="shared" si="42"/>
        <v>-85.393164729555679</v>
      </c>
      <c r="AF89" s="57">
        <f t="shared" si="43"/>
        <v>-37.233758423800886</v>
      </c>
      <c r="AG89" s="57">
        <f t="shared" si="44"/>
        <v>-103.71528574765416</v>
      </c>
      <c r="AH89" s="57">
        <f t="shared" si="45"/>
        <v>-178.91697420363454</v>
      </c>
      <c r="AJ89" s="57">
        <f t="shared" si="46"/>
        <v>19716.281107265335</v>
      </c>
      <c r="AK89" s="57">
        <f t="shared" si="47"/>
        <v>43056.602914876086</v>
      </c>
      <c r="AL89" s="57">
        <f t="shared" si="48"/>
        <v>48788.195599277373</v>
      </c>
      <c r="AN89" s="41">
        <v>84</v>
      </c>
      <c r="AO89" s="57">
        <f t="shared" si="49"/>
        <v>5783.9634745074009</v>
      </c>
      <c r="AP89" s="57">
        <f t="shared" si="50"/>
        <v>22458.914215262048</v>
      </c>
      <c r="AR89" s="41">
        <v>84</v>
      </c>
      <c r="AS89" s="57">
        <f t="shared" si="51"/>
        <v>15365.849621436788</v>
      </c>
      <c r="AT89" s="57">
        <f t="shared" si="52"/>
        <v>-1519.1733662110437</v>
      </c>
      <c r="AV89" s="57">
        <f t="shared" si="53"/>
        <v>-1814.4624269850131</v>
      </c>
      <c r="AW89" s="57">
        <f t="shared" si="54"/>
        <v>-1531.1759445904117</v>
      </c>
      <c r="AX89" s="57">
        <f t="shared" si="55"/>
        <v>-21.804095017199952</v>
      </c>
      <c r="AY89" s="57">
        <f t="shared" si="56"/>
        <v>-157.18452868117996</v>
      </c>
      <c r="BA89" s="57">
        <f t="shared" si="57"/>
        <v>18931.013908210658</v>
      </c>
      <c r="BB89" s="57">
        <f t="shared" si="58"/>
        <v>32517.512338058386</v>
      </c>
    </row>
    <row r="90" spans="9:54" x14ac:dyDescent="0.25">
      <c r="I90" s="41">
        <v>85</v>
      </c>
      <c r="J90" s="57">
        <f t="shared" si="32"/>
        <v>20435.778713738291</v>
      </c>
      <c r="K90" s="57">
        <f t="shared" si="33"/>
        <v>12480.973490458728</v>
      </c>
      <c r="M90" s="41">
        <v>85</v>
      </c>
      <c r="N90" s="57">
        <f t="shared" si="34"/>
        <v>-19694.954900383196</v>
      </c>
      <c r="O90" s="57">
        <f t="shared" si="35"/>
        <v>13486.681443321109</v>
      </c>
      <c r="Q90" s="41">
        <v>85</v>
      </c>
      <c r="R90" s="57">
        <f t="shared" si="36"/>
        <v>-4564.2212862617089</v>
      </c>
      <c r="S90" s="41">
        <f t="shared" si="37"/>
        <v>-10019.026509541272</v>
      </c>
      <c r="U90" s="41">
        <v>84</v>
      </c>
      <c r="V90" s="41">
        <f t="shared" si="59"/>
        <v>42</v>
      </c>
      <c r="W90" s="57">
        <f t="shared" si="60"/>
        <v>22738.321565497678</v>
      </c>
      <c r="X90" s="57">
        <f t="shared" si="61"/>
        <v>30836.318731298168</v>
      </c>
      <c r="Y90" s="57">
        <f t="shared" si="62"/>
        <v>6040.8750663675282</v>
      </c>
      <c r="Z90" s="57">
        <f t="shared" si="63"/>
        <v>6539.5274756159688</v>
      </c>
      <c r="AA90" s="57">
        <f t="shared" si="38"/>
        <v>-1682.2287851380133</v>
      </c>
      <c r="AB90" s="57">
        <f t="shared" si="39"/>
        <v>-2298.8237716510243</v>
      </c>
      <c r="AC90" s="57">
        <f t="shared" si="40"/>
        <v>-86.105238500588612</v>
      </c>
      <c r="AD90" s="57">
        <f t="shared" si="41"/>
        <v>-733.79960754133947</v>
      </c>
      <c r="AE90" s="57">
        <f t="shared" si="42"/>
        <v>-69.146824999469445</v>
      </c>
      <c r="AF90" s="57">
        <f t="shared" si="43"/>
        <v>-33.7113211790086</v>
      </c>
      <c r="AG90" s="57">
        <f t="shared" si="44"/>
        <v>-89.713998420976637</v>
      </c>
      <c r="AH90" s="57">
        <f t="shared" si="45"/>
        <v>-148.24831475737079</v>
      </c>
      <c r="AJ90" s="57">
        <f t="shared" si="46"/>
        <v>23496.429024956269</v>
      </c>
      <c r="AK90" s="57">
        <f t="shared" si="47"/>
        <v>47546.990530507093</v>
      </c>
      <c r="AL90" s="57">
        <f t="shared" si="48"/>
        <v>53575.951677110774</v>
      </c>
      <c r="AN90" s="41">
        <v>85</v>
      </c>
      <c r="AO90" s="57">
        <f t="shared" si="49"/>
        <v>5653.6680706074358</v>
      </c>
      <c r="AP90" s="57">
        <f t="shared" si="50"/>
        <v>22471.460235688093</v>
      </c>
      <c r="AR90" s="41">
        <v>85</v>
      </c>
      <c r="AS90" s="57">
        <f t="shared" si="51"/>
        <v>15305.045099616804</v>
      </c>
      <c r="AT90" s="57">
        <f t="shared" si="52"/>
        <v>-1513.3185566788907</v>
      </c>
      <c r="AV90" s="57">
        <f t="shared" si="53"/>
        <v>-1410.5354192458055</v>
      </c>
      <c r="AW90" s="57">
        <f t="shared" si="54"/>
        <v>-1259.2898600062754</v>
      </c>
      <c r="AX90" s="57">
        <f t="shared" si="55"/>
        <v>-26.727303971173047</v>
      </c>
      <c r="AY90" s="57">
        <f t="shared" si="56"/>
        <v>-123.7746681670302</v>
      </c>
      <c r="BA90" s="57">
        <f t="shared" si="57"/>
        <v>23778.920137808302</v>
      </c>
      <c r="BB90" s="57">
        <f t="shared" si="58"/>
        <v>36662.287992734964</v>
      </c>
    </row>
    <row r="91" spans="9:54" x14ac:dyDescent="0.25">
      <c r="I91" s="41">
        <v>86</v>
      </c>
      <c r="J91" s="57">
        <f t="shared" si="32"/>
        <v>20348.782368720626</v>
      </c>
      <c r="K91" s="57">
        <f t="shared" si="33"/>
        <v>12487.820251299121</v>
      </c>
      <c r="M91" s="41">
        <v>86</v>
      </c>
      <c r="N91" s="57">
        <f t="shared" si="34"/>
        <v>-19755.852341895559</v>
      </c>
      <c r="O91" s="57">
        <f t="shared" si="35"/>
        <v>13491.474175909385</v>
      </c>
      <c r="Q91" s="41">
        <v>86</v>
      </c>
      <c r="R91" s="57">
        <f t="shared" si="36"/>
        <v>-4651.2176312793727</v>
      </c>
      <c r="S91" s="41">
        <f t="shared" si="37"/>
        <v>-10012.179748700879</v>
      </c>
      <c r="U91" s="41">
        <v>85</v>
      </c>
      <c r="V91" s="41">
        <f t="shared" si="59"/>
        <v>42.5</v>
      </c>
      <c r="W91" s="57">
        <f t="shared" si="60"/>
        <v>25548.48050053919</v>
      </c>
      <c r="X91" s="57">
        <f t="shared" si="61"/>
        <v>33818.729497649772</v>
      </c>
      <c r="Y91" s="57">
        <f t="shared" si="62"/>
        <v>5199.7606737985216</v>
      </c>
      <c r="Z91" s="57">
        <f t="shared" si="63"/>
        <v>5390.1155897904564</v>
      </c>
      <c r="AA91" s="57">
        <f t="shared" si="38"/>
        <v>-1435.3825625021057</v>
      </c>
      <c r="AB91" s="57">
        <f t="shared" si="39"/>
        <v>-1893.6854501406733</v>
      </c>
      <c r="AC91" s="57">
        <f t="shared" si="40"/>
        <v>-122.94418949304566</v>
      </c>
      <c r="AD91" s="57">
        <f t="shared" si="41"/>
        <v>-583.17495506397142</v>
      </c>
      <c r="AE91" s="57">
        <f t="shared" si="42"/>
        <v>-58.599926245944367</v>
      </c>
      <c r="AF91" s="57">
        <f t="shared" si="43"/>
        <v>-30.643739955668845</v>
      </c>
      <c r="AG91" s="57">
        <f t="shared" si="44"/>
        <v>-80.097745201056796</v>
      </c>
      <c r="AH91" s="57">
        <f t="shared" si="45"/>
        <v>-128.00211638261516</v>
      </c>
      <c r="AJ91" s="57">
        <f t="shared" si="46"/>
        <v>26897.233282167217</v>
      </c>
      <c r="AK91" s="57">
        <f t="shared" si="47"/>
        <v>51400.349714668388</v>
      </c>
      <c r="AL91" s="57">
        <f t="shared" si="48"/>
        <v>57588.87054506733</v>
      </c>
      <c r="AN91" s="41">
        <v>86</v>
      </c>
      <c r="AO91" s="57">
        <f t="shared" si="49"/>
        <v>5523.173553080941</v>
      </c>
      <c r="AP91" s="57">
        <f t="shared" si="50"/>
        <v>22481.730376948683</v>
      </c>
      <c r="AR91" s="41">
        <v>86</v>
      </c>
      <c r="AS91" s="57">
        <f t="shared" si="51"/>
        <v>15244.147658104439</v>
      </c>
      <c r="AT91" s="57">
        <f t="shared" si="52"/>
        <v>-1508.5258240906155</v>
      </c>
      <c r="AV91" s="57">
        <f t="shared" si="53"/>
        <v>-1145.9105813227775</v>
      </c>
      <c r="AW91" s="57">
        <f t="shared" si="54"/>
        <v>-1049.4489486870866</v>
      </c>
      <c r="AX91" s="57">
        <f t="shared" si="55"/>
        <v>-27.830120239281413</v>
      </c>
      <c r="AY91" s="57">
        <f t="shared" si="56"/>
        <v>-102.41569005133127</v>
      </c>
      <c r="BA91" s="57">
        <f t="shared" si="57"/>
        <v>27863.679419393859</v>
      </c>
      <c r="BB91" s="57">
        <f t="shared" si="58"/>
        <v>40226.411730130247</v>
      </c>
    </row>
    <row r="92" spans="9:54" x14ac:dyDescent="0.25">
      <c r="I92" s="41">
        <v>87</v>
      </c>
      <c r="J92" s="57">
        <f t="shared" si="32"/>
        <v>20261.67978121472</v>
      </c>
      <c r="K92" s="57">
        <f t="shared" si="33"/>
        <v>12493.14767377287</v>
      </c>
      <c r="M92" s="41">
        <v>87</v>
      </c>
      <c r="N92" s="57">
        <f t="shared" si="34"/>
        <v>-19816.824153149697</v>
      </c>
      <c r="O92" s="57">
        <f t="shared" si="35"/>
        <v>13495.203371641008</v>
      </c>
      <c r="Q92" s="41">
        <v>87</v>
      </c>
      <c r="R92" s="57">
        <f t="shared" si="36"/>
        <v>-4738.3202187852803</v>
      </c>
      <c r="S92" s="41">
        <f t="shared" si="37"/>
        <v>-10006.85232622713</v>
      </c>
      <c r="U92" s="41">
        <v>86</v>
      </c>
      <c r="V92" s="41">
        <f t="shared" si="59"/>
        <v>43</v>
      </c>
      <c r="W92" s="57">
        <f t="shared" si="60"/>
        <v>27968.938017125685</v>
      </c>
      <c r="X92" s="57">
        <f t="shared" si="61"/>
        <v>36277.076611277414</v>
      </c>
      <c r="Y92" s="57">
        <f t="shared" si="62"/>
        <v>4482.0693925474689</v>
      </c>
      <c r="Z92" s="57">
        <f t="shared" si="63"/>
        <v>4443.2728647201202</v>
      </c>
      <c r="AA92" s="57">
        <f t="shared" si="38"/>
        <v>-1255.9067797400544</v>
      </c>
      <c r="AB92" s="57">
        <f t="shared" si="39"/>
        <v>-1611.1730259474089</v>
      </c>
      <c r="AC92" s="57">
        <f t="shared" si="40"/>
        <v>-133.62214958640877</v>
      </c>
      <c r="AD92" s="57">
        <f t="shared" si="41"/>
        <v>-482.53039832258594</v>
      </c>
      <c r="AE92" s="57">
        <f t="shared" si="42"/>
        <v>-51.38478299575862</v>
      </c>
      <c r="AF92" s="57">
        <f t="shared" si="43"/>
        <v>-28.148254584067629</v>
      </c>
      <c r="AG92" s="57">
        <f t="shared" si="44"/>
        <v>-73.222005302229817</v>
      </c>
      <c r="AH92" s="57">
        <f t="shared" si="45"/>
        <v>-113.883267139617</v>
      </c>
      <c r="AJ92" s="57">
        <f t="shared" si="46"/>
        <v>29860.075542639217</v>
      </c>
      <c r="AK92" s="57">
        <f t="shared" si="47"/>
        <v>54694.641142673092</v>
      </c>
      <c r="AL92" s="57">
        <f t="shared" si="48"/>
        <v>60961.376787076326</v>
      </c>
      <c r="AN92" s="41">
        <v>87</v>
      </c>
      <c r="AO92" s="57">
        <f t="shared" si="49"/>
        <v>5392.5196718220795</v>
      </c>
      <c r="AP92" s="57">
        <f t="shared" si="50"/>
        <v>22489.721510659303</v>
      </c>
      <c r="AR92" s="41">
        <v>87</v>
      </c>
      <c r="AS92" s="57">
        <f t="shared" si="51"/>
        <v>15183.175846850303</v>
      </c>
      <c r="AT92" s="57">
        <f t="shared" si="52"/>
        <v>-1504.7966283589917</v>
      </c>
      <c r="AV92" s="57">
        <f t="shared" si="53"/>
        <v>-970.0141993977835</v>
      </c>
      <c r="AW92" s="57">
        <f t="shared" si="54"/>
        <v>-898.56424442545131</v>
      </c>
      <c r="AX92" s="57">
        <f t="shared" si="55"/>
        <v>-27.663642457873621</v>
      </c>
      <c r="AY92" s="57">
        <f t="shared" si="56"/>
        <v>-88.04686147568701</v>
      </c>
      <c r="BA92" s="57">
        <f t="shared" si="57"/>
        <v>31309.520960192443</v>
      </c>
      <c r="BB92" s="57">
        <f t="shared" si="58"/>
        <v>43266.504444723898</v>
      </c>
    </row>
    <row r="93" spans="9:54" x14ac:dyDescent="0.25">
      <c r="I93" s="41">
        <v>88</v>
      </c>
      <c r="J93" s="57">
        <f t="shared" si="32"/>
        <v>20174.497483512507</v>
      </c>
      <c r="K93" s="57">
        <f t="shared" si="33"/>
        <v>12496.954135095479</v>
      </c>
      <c r="M93" s="41">
        <v>88</v>
      </c>
      <c r="N93" s="57">
        <f t="shared" si="34"/>
        <v>-19877.851761541246</v>
      </c>
      <c r="O93" s="57">
        <f t="shared" si="35"/>
        <v>13497.867894566836</v>
      </c>
      <c r="Q93" s="41">
        <v>88</v>
      </c>
      <c r="R93" s="57">
        <f t="shared" si="36"/>
        <v>-4825.5025164874942</v>
      </c>
      <c r="S93" s="41">
        <f t="shared" si="37"/>
        <v>-10003.045864904521</v>
      </c>
      <c r="U93" s="41">
        <v>87</v>
      </c>
      <c r="V93" s="41">
        <f t="shared" si="59"/>
        <v>43.5</v>
      </c>
      <c r="W93" s="57">
        <f t="shared" si="60"/>
        <v>30052.984365931912</v>
      </c>
      <c r="X93" s="57">
        <f t="shared" si="61"/>
        <v>38297.316415394045</v>
      </c>
      <c r="Y93" s="57">
        <f t="shared" si="62"/>
        <v>3854.1160026774414</v>
      </c>
      <c r="Z93" s="57">
        <f t="shared" si="63"/>
        <v>3637.6863517464158</v>
      </c>
      <c r="AA93" s="57">
        <f t="shared" si="38"/>
        <v>-1125.928685555132</v>
      </c>
      <c r="AB93" s="57">
        <f t="shared" si="39"/>
        <v>-1411.3456663271468</v>
      </c>
      <c r="AC93" s="57">
        <f t="shared" si="40"/>
        <v>-135.05450903112688</v>
      </c>
      <c r="AD93" s="57">
        <f t="shared" si="41"/>
        <v>-413.73947243493382</v>
      </c>
      <c r="AE93" s="57">
        <f t="shared" si="42"/>
        <v>-46.256875053270846</v>
      </c>
      <c r="AF93" s="57">
        <f t="shared" si="43"/>
        <v>-26.151196504092443</v>
      </c>
      <c r="AG93" s="57">
        <f t="shared" si="44"/>
        <v>-68.175205802469279</v>
      </c>
      <c r="AH93" s="57">
        <f t="shared" si="45"/>
        <v>-103.65894890451256</v>
      </c>
      <c r="AJ93" s="57">
        <f t="shared" si="46"/>
        <v>32396.561438701654</v>
      </c>
      <c r="AK93" s="57">
        <f t="shared" si="47"/>
        <v>57498.168320818309</v>
      </c>
      <c r="AL93" s="57">
        <f t="shared" si="48"/>
        <v>63791.187871373731</v>
      </c>
      <c r="AN93" s="41">
        <v>88</v>
      </c>
      <c r="AO93" s="57">
        <f t="shared" si="49"/>
        <v>5261.7462252687583</v>
      </c>
      <c r="AP93" s="57">
        <f t="shared" si="50"/>
        <v>22495.431202643216</v>
      </c>
      <c r="AR93" s="41">
        <v>88</v>
      </c>
      <c r="AS93" s="57">
        <f t="shared" si="51"/>
        <v>15122.148238458754</v>
      </c>
      <c r="AT93" s="57">
        <f t="shared" si="52"/>
        <v>-1502.1321054331647</v>
      </c>
      <c r="AV93" s="57">
        <f t="shared" si="53"/>
        <v>-849.32882344850395</v>
      </c>
      <c r="AW93" s="57">
        <f t="shared" si="54"/>
        <v>-789.80939163086043</v>
      </c>
      <c r="AX93" s="57">
        <f t="shared" si="55"/>
        <v>-27.113272219760969</v>
      </c>
      <c r="AY93" s="57">
        <f t="shared" si="56"/>
        <v>-77.986656852747444</v>
      </c>
      <c r="BA93" s="57">
        <f t="shared" si="57"/>
        <v>34211.357438701809</v>
      </c>
      <c r="BB93" s="57">
        <f t="shared" si="58"/>
        <v>45839.392961684614</v>
      </c>
    </row>
    <row r="94" spans="9:54" x14ac:dyDescent="0.25">
      <c r="I94" s="41">
        <v>89</v>
      </c>
      <c r="J94" s="57">
        <f t="shared" si="32"/>
        <v>20087.262032186416</v>
      </c>
      <c r="K94" s="57">
        <f t="shared" si="33"/>
        <v>12499.238475781956</v>
      </c>
      <c r="M94" s="41">
        <v>89</v>
      </c>
      <c r="N94" s="57">
        <f t="shared" si="34"/>
        <v>-19938.916577469507</v>
      </c>
      <c r="O94" s="57">
        <f t="shared" si="35"/>
        <v>13499.46693304737</v>
      </c>
      <c r="Q94" s="41">
        <v>89</v>
      </c>
      <c r="R94" s="57">
        <f t="shared" si="36"/>
        <v>-4912.7379678135831</v>
      </c>
      <c r="S94" s="41">
        <f t="shared" si="37"/>
        <v>-10000.761524218044</v>
      </c>
      <c r="U94" s="41">
        <v>88</v>
      </c>
      <c r="V94" s="41">
        <f t="shared" si="59"/>
        <v>44</v>
      </c>
      <c r="W94" s="57">
        <f t="shared" si="60"/>
        <v>31839.301281576241</v>
      </c>
      <c r="X94" s="57">
        <f t="shared" si="61"/>
        <v>39939.741382976361</v>
      </c>
      <c r="Y94" s="57">
        <f t="shared" si="62"/>
        <v>3291.1516598998755</v>
      </c>
      <c r="Z94" s="57">
        <f t="shared" si="63"/>
        <v>2932.0135185828422</v>
      </c>
      <c r="AA94" s="57">
        <f t="shared" si="38"/>
        <v>-1031.2243930753887</v>
      </c>
      <c r="AB94" s="57">
        <f t="shared" si="39"/>
        <v>-1267.1837677807926</v>
      </c>
      <c r="AC94" s="57">
        <f t="shared" si="40"/>
        <v>-133.40616678890225</v>
      </c>
      <c r="AD94" s="57">
        <f t="shared" si="41"/>
        <v>-365.53352656551618</v>
      </c>
      <c r="AE94" s="57">
        <f t="shared" si="42"/>
        <v>-42.521380189415552</v>
      </c>
      <c r="AF94" s="57">
        <f t="shared" si="43"/>
        <v>-24.558184517251007</v>
      </c>
      <c r="AG94" s="57">
        <f t="shared" si="44"/>
        <v>-64.423795959837705</v>
      </c>
      <c r="AH94" s="57">
        <f t="shared" si="45"/>
        <v>-96.077465256194444</v>
      </c>
      <c r="AJ94" s="57">
        <f t="shared" si="46"/>
        <v>34532.678376145712</v>
      </c>
      <c r="AK94" s="57">
        <f t="shared" si="47"/>
        <v>59864.023181219112</v>
      </c>
      <c r="AL94" s="57">
        <f t="shared" si="48"/>
        <v>66147.632626898077</v>
      </c>
      <c r="AN94" s="41">
        <v>89</v>
      </c>
      <c r="AO94" s="57">
        <f t="shared" si="49"/>
        <v>5130.893048279625</v>
      </c>
      <c r="AP94" s="57">
        <f t="shared" si="50"/>
        <v>22498.857713672936</v>
      </c>
      <c r="AR94" s="41">
        <v>89</v>
      </c>
      <c r="AS94" s="57">
        <f t="shared" si="51"/>
        <v>15061.083422530492</v>
      </c>
      <c r="AT94" s="57">
        <f t="shared" si="52"/>
        <v>-1500.5330669526306</v>
      </c>
      <c r="AV94" s="57">
        <f t="shared" si="53"/>
        <v>-764.36233841594412</v>
      </c>
      <c r="AW94" s="57">
        <f t="shared" si="54"/>
        <v>-710.26435610179021</v>
      </c>
      <c r="AX94" s="57">
        <f t="shared" si="55"/>
        <v>-26.510711721289002</v>
      </c>
      <c r="AY94" s="57">
        <f t="shared" si="56"/>
        <v>-70.750235340040689</v>
      </c>
      <c r="BA94" s="57">
        <f t="shared" si="57"/>
        <v>36637.941993689601</v>
      </c>
      <c r="BB94" s="57">
        <f t="shared" si="58"/>
        <v>47991.066077140786</v>
      </c>
    </row>
    <row r="95" spans="9:54" x14ac:dyDescent="0.25">
      <c r="I95" s="41">
        <v>90</v>
      </c>
      <c r="J95" s="57">
        <f t="shared" si="32"/>
        <v>20000</v>
      </c>
      <c r="K95" s="57">
        <f t="shared" si="33"/>
        <v>12500</v>
      </c>
      <c r="M95" s="41">
        <v>90</v>
      </c>
      <c r="N95" s="57">
        <f t="shared" si="34"/>
        <v>-20000</v>
      </c>
      <c r="O95" s="57">
        <f t="shared" si="35"/>
        <v>13500</v>
      </c>
      <c r="Q95" s="41">
        <v>90</v>
      </c>
      <c r="R95" s="57">
        <f t="shared" si="36"/>
        <v>-5000</v>
      </c>
      <c r="S95" s="41">
        <f t="shared" si="37"/>
        <v>-10000</v>
      </c>
      <c r="U95" s="41">
        <v>89</v>
      </c>
      <c r="V95" s="41">
        <f t="shared" si="59"/>
        <v>44.5</v>
      </c>
      <c r="W95" s="57">
        <f t="shared" si="60"/>
        <v>33355.974062391753</v>
      </c>
      <c r="X95" s="57">
        <f t="shared" si="61"/>
        <v>41247.350171295184</v>
      </c>
      <c r="Y95" s="57">
        <f t="shared" si="62"/>
        <v>2775.5394633621813</v>
      </c>
      <c r="Z95" s="57">
        <f t="shared" si="63"/>
        <v>2298.4216346924459</v>
      </c>
      <c r="AA95" s="57">
        <f t="shared" si="38"/>
        <v>-962.16216902166673</v>
      </c>
      <c r="AB95" s="57">
        <f t="shared" si="39"/>
        <v>-1161.7019366772381</v>
      </c>
      <c r="AC95" s="57">
        <f t="shared" si="40"/>
        <v>-131.06818346725328</v>
      </c>
      <c r="AD95" s="57">
        <f t="shared" si="41"/>
        <v>-331.17793304495706</v>
      </c>
      <c r="AE95" s="57">
        <f t="shared" si="42"/>
        <v>-39.767616152540882</v>
      </c>
      <c r="AF95" s="57">
        <f t="shared" si="43"/>
        <v>-23.289475063149034</v>
      </c>
      <c r="AG95" s="57">
        <f t="shared" si="44"/>
        <v>-61.6395146212176</v>
      </c>
      <c r="AH95" s="57">
        <f t="shared" si="45"/>
        <v>-90.39163906119559</v>
      </c>
      <c r="AJ95" s="57">
        <f t="shared" si="46"/>
        <v>36294.154994148827</v>
      </c>
      <c r="AK95" s="57">
        <f t="shared" si="47"/>
        <v>61832.490333757079</v>
      </c>
      <c r="AL95" s="57">
        <f t="shared" si="48"/>
        <v>68080.431458438688</v>
      </c>
      <c r="AN95" s="41">
        <v>90</v>
      </c>
      <c r="AO95" s="57">
        <f t="shared" si="49"/>
        <v>5000.0000000000009</v>
      </c>
      <c r="AP95" s="57">
        <f t="shared" si="50"/>
        <v>22500</v>
      </c>
      <c r="AR95" s="41">
        <v>90</v>
      </c>
      <c r="AS95" s="57">
        <f t="shared" si="51"/>
        <v>15000</v>
      </c>
      <c r="AT95" s="57">
        <f t="shared" si="52"/>
        <v>-1500</v>
      </c>
      <c r="AV95" s="57">
        <f t="shared" si="53"/>
        <v>-703.70080672013364</v>
      </c>
      <c r="AW95" s="57">
        <f t="shared" si="54"/>
        <v>-651.37178674116535</v>
      </c>
      <c r="AX95" s="57">
        <f t="shared" si="55"/>
        <v>-25.986048060521327</v>
      </c>
      <c r="AY95" s="57">
        <f t="shared" si="56"/>
        <v>-65.471102766771125</v>
      </c>
      <c r="BA95" s="57">
        <f t="shared" si="57"/>
        <v>38639.159618729071</v>
      </c>
      <c r="BB95" s="57">
        <f t="shared" si="58"/>
        <v>49757.001332934</v>
      </c>
    </row>
    <row r="96" spans="9:54" x14ac:dyDescent="0.25">
      <c r="I96" s="41">
        <v>91</v>
      </c>
      <c r="J96" s="57">
        <f t="shared" si="32"/>
        <v>19912.737967813584</v>
      </c>
      <c r="K96" s="57">
        <f t="shared" si="33"/>
        <v>12499.238475781956</v>
      </c>
      <c r="M96" s="41">
        <v>91</v>
      </c>
      <c r="N96" s="57">
        <f t="shared" si="34"/>
        <v>-20061.083422530493</v>
      </c>
      <c r="O96" s="57">
        <f t="shared" si="35"/>
        <v>13499.46693304737</v>
      </c>
      <c r="Q96" s="41">
        <v>91</v>
      </c>
      <c r="R96" s="57">
        <f t="shared" si="36"/>
        <v>-5087.2620321864169</v>
      </c>
      <c r="S96" s="41">
        <f t="shared" si="37"/>
        <v>-10000.761524218044</v>
      </c>
      <c r="U96" s="41">
        <v>90</v>
      </c>
      <c r="V96" s="41">
        <f t="shared" si="59"/>
        <v>45</v>
      </c>
      <c r="W96" s="57">
        <f t="shared" si="60"/>
        <v>34623.473522945133</v>
      </c>
      <c r="X96" s="57">
        <f t="shared" si="61"/>
        <v>42251.348246556758</v>
      </c>
      <c r="Y96" s="57">
        <f t="shared" si="62"/>
        <v>2294.4583788513478</v>
      </c>
      <c r="Z96" s="57">
        <f t="shared" si="63"/>
        <v>1717.5706663538267</v>
      </c>
      <c r="AA96" s="57">
        <f t="shared" si="38"/>
        <v>-912.4232730533364</v>
      </c>
      <c r="AB96" s="57">
        <f t="shared" si="39"/>
        <v>-1084.2064519353012</v>
      </c>
      <c r="AC96" s="57">
        <f t="shared" si="40"/>
        <v>-129.01502646052637</v>
      </c>
      <c r="AD96" s="57">
        <f t="shared" si="41"/>
        <v>-306.59241845199659</v>
      </c>
      <c r="AE96" s="57">
        <f t="shared" si="42"/>
        <v>-37.741634281369315</v>
      </c>
      <c r="AF96" s="57">
        <f t="shared" si="43"/>
        <v>-22.283800573233812</v>
      </c>
      <c r="AG96" s="57">
        <f t="shared" si="44"/>
        <v>-59.613046818308455</v>
      </c>
      <c r="AH96" s="57">
        <f t="shared" si="45"/>
        <v>-86.133975645949221</v>
      </c>
      <c r="AJ96" s="57">
        <f t="shared" si="46"/>
        <v>37702.81399086467</v>
      </c>
      <c r="AK96" s="57">
        <f t="shared" si="47"/>
        <v>63434.007625504535</v>
      </c>
      <c r="AL96" s="57">
        <f t="shared" si="48"/>
        <v>69625.688722425228</v>
      </c>
      <c r="AN96" s="41">
        <v>91</v>
      </c>
      <c r="AO96" s="57">
        <f t="shared" si="49"/>
        <v>4869.1069517203741</v>
      </c>
      <c r="AP96" s="57">
        <f t="shared" si="50"/>
        <v>22498.857713672936</v>
      </c>
      <c r="AR96" s="41">
        <v>91</v>
      </c>
      <c r="AS96" s="57">
        <f t="shared" si="51"/>
        <v>14938.916577469508</v>
      </c>
      <c r="AT96" s="57">
        <f t="shared" si="52"/>
        <v>-1500.5330669526306</v>
      </c>
      <c r="AV96" s="57">
        <f t="shared" si="53"/>
        <v>-660.46239605474091</v>
      </c>
      <c r="AW96" s="57">
        <f t="shared" si="54"/>
        <v>-607.57529817366424</v>
      </c>
      <c r="AX96" s="57">
        <f t="shared" si="55"/>
        <v>-25.591169438391404</v>
      </c>
      <c r="AY96" s="57">
        <f t="shared" si="56"/>
        <v>-61.62095909045722</v>
      </c>
      <c r="BA96" s="57">
        <f t="shared" si="57"/>
        <v>40251.536179626033</v>
      </c>
      <c r="BB96" s="57">
        <f t="shared" si="58"/>
        <v>51164.153703771073</v>
      </c>
    </row>
    <row r="97" spans="9:54" x14ac:dyDescent="0.25">
      <c r="I97" s="41">
        <v>92</v>
      </c>
      <c r="J97" s="57">
        <f t="shared" si="32"/>
        <v>19825.502516487497</v>
      </c>
      <c r="K97" s="57">
        <f t="shared" si="33"/>
        <v>12496.954135095479</v>
      </c>
      <c r="M97" s="41">
        <v>92</v>
      </c>
      <c r="N97" s="57">
        <f t="shared" si="34"/>
        <v>-20122.148238458754</v>
      </c>
      <c r="O97" s="57">
        <f t="shared" si="35"/>
        <v>13497.867894566836</v>
      </c>
      <c r="Q97" s="41">
        <v>92</v>
      </c>
      <c r="R97" s="57">
        <f t="shared" si="36"/>
        <v>-5174.497483512504</v>
      </c>
      <c r="S97" s="41">
        <f t="shared" si="37"/>
        <v>-10003.045864904521</v>
      </c>
      <c r="U97" s="41">
        <v>91</v>
      </c>
      <c r="V97" s="41">
        <f t="shared" si="59"/>
        <v>45.5</v>
      </c>
      <c r="W97" s="57">
        <f t="shared" si="60"/>
        <v>35656.649803239139</v>
      </c>
      <c r="X97" s="57">
        <f t="shared" si="61"/>
        <v>42974.607773241762</v>
      </c>
      <c r="Y97" s="57">
        <f t="shared" si="62"/>
        <v>1838.2467423246796</v>
      </c>
      <c r="Z97" s="57">
        <f t="shared" si="63"/>
        <v>1175.4674403861761</v>
      </c>
      <c r="AA97" s="57">
        <f t="shared" si="38"/>
        <v>-877.89228269817659</v>
      </c>
      <c r="AB97" s="57">
        <f t="shared" si="39"/>
        <v>-1027.8635384430861</v>
      </c>
      <c r="AC97" s="57">
        <f t="shared" si="40"/>
        <v>-127.66214317379706</v>
      </c>
      <c r="AD97" s="57">
        <f t="shared" si="41"/>
        <v>-289.25501390756961</v>
      </c>
      <c r="AE97" s="57">
        <f t="shared" si="42"/>
        <v>-36.28151867101068</v>
      </c>
      <c r="AF97" s="57">
        <f t="shared" si="43"/>
        <v>-21.495523927933188</v>
      </c>
      <c r="AG97" s="57">
        <f t="shared" si="44"/>
        <v>-58.208551494386938</v>
      </c>
      <c r="AH97" s="57">
        <f t="shared" si="45"/>
        <v>-83.002853365128246</v>
      </c>
      <c r="AJ97" s="57">
        <f t="shared" si="46"/>
        <v>38776.003916425077</v>
      </c>
      <c r="AK97" s="57">
        <f t="shared" si="47"/>
        <v>64691.478767450782</v>
      </c>
      <c r="AL97" s="57">
        <f t="shared" si="48"/>
        <v>70809.733227039134</v>
      </c>
      <c r="AN97" s="41">
        <v>92</v>
      </c>
      <c r="AO97" s="57">
        <f t="shared" si="49"/>
        <v>4738.2537747312444</v>
      </c>
      <c r="AP97" s="57">
        <f t="shared" si="50"/>
        <v>22495.431202643216</v>
      </c>
      <c r="AR97" s="41">
        <v>92</v>
      </c>
      <c r="AS97" s="57">
        <f t="shared" si="51"/>
        <v>14877.851761541247</v>
      </c>
      <c r="AT97" s="57">
        <f t="shared" si="52"/>
        <v>-1502.1321054331647</v>
      </c>
      <c r="AV97" s="57">
        <f t="shared" si="53"/>
        <v>-630.39299843256015</v>
      </c>
      <c r="AW97" s="57">
        <f t="shared" si="54"/>
        <v>-575.24214117765041</v>
      </c>
      <c r="AX97" s="57">
        <f t="shared" si="55"/>
        <v>-25.347070926421839</v>
      </c>
      <c r="AY97" s="57">
        <f t="shared" si="56"/>
        <v>-58.868006064804653</v>
      </c>
      <c r="BA97" s="57">
        <f t="shared" si="57"/>
        <v>41501.913898339204</v>
      </c>
      <c r="BB97" s="57">
        <f t="shared" si="58"/>
        <v>52232.749995477439</v>
      </c>
    </row>
    <row r="98" spans="9:54" x14ac:dyDescent="0.25">
      <c r="I98" s="41">
        <v>93</v>
      </c>
      <c r="J98" s="57">
        <f t="shared" si="32"/>
        <v>19738.32021878528</v>
      </c>
      <c r="K98" s="57">
        <f t="shared" si="33"/>
        <v>12493.14767377287</v>
      </c>
      <c r="M98" s="41">
        <v>93</v>
      </c>
      <c r="N98" s="57">
        <f t="shared" si="34"/>
        <v>-20183.175846850303</v>
      </c>
      <c r="O98" s="57">
        <f t="shared" si="35"/>
        <v>13495.203371641008</v>
      </c>
      <c r="Q98" s="41">
        <v>93</v>
      </c>
      <c r="R98" s="57">
        <f t="shared" si="36"/>
        <v>-5261.6797812147179</v>
      </c>
      <c r="S98" s="41">
        <f t="shared" si="37"/>
        <v>-10006.85232622713</v>
      </c>
      <c r="U98" s="41">
        <v>92</v>
      </c>
      <c r="V98" s="41">
        <f t="shared" si="59"/>
        <v>46</v>
      </c>
      <c r="W98" s="57">
        <f t="shared" si="60"/>
        <v>36466.036639064208</v>
      </c>
      <c r="X98" s="57">
        <f t="shared" si="61"/>
        <v>43433.858551129459</v>
      </c>
      <c r="Y98" s="57">
        <f t="shared" si="62"/>
        <v>1399.3006009755914</v>
      </c>
      <c r="Z98" s="57">
        <f t="shared" si="63"/>
        <v>661.53567116463307</v>
      </c>
      <c r="AA98" s="57">
        <f t="shared" si="38"/>
        <v>-855.92897849664723</v>
      </c>
      <c r="AB98" s="57">
        <f t="shared" si="39"/>
        <v>-988.26732445884511</v>
      </c>
      <c r="AC98" s="57">
        <f t="shared" si="40"/>
        <v>-127.20235743224994</v>
      </c>
      <c r="AD98" s="57">
        <f t="shared" si="41"/>
        <v>-277.59391160934837</v>
      </c>
      <c r="AE98" s="57">
        <f t="shared" si="42"/>
        <v>-35.282754208900755</v>
      </c>
      <c r="AF98" s="57">
        <f t="shared" si="43"/>
        <v>-20.891117629788816</v>
      </c>
      <c r="AG98" s="57">
        <f t="shared" si="44"/>
        <v>-57.338594293079012</v>
      </c>
      <c r="AH98" s="57">
        <f t="shared" si="45"/>
        <v>-80.801436066979534</v>
      </c>
      <c r="AJ98" s="57">
        <f t="shared" si="46"/>
        <v>39526.858627667149</v>
      </c>
      <c r="AK98" s="57">
        <f t="shared" si="47"/>
        <v>65621.91852834748</v>
      </c>
      <c r="AL98" s="57">
        <f t="shared" si="48"/>
        <v>71651.573742142049</v>
      </c>
      <c r="AN98" s="41">
        <v>93</v>
      </c>
      <c r="AO98" s="57">
        <f t="shared" si="49"/>
        <v>4607.4803281779232</v>
      </c>
      <c r="AP98" s="57">
        <f t="shared" si="50"/>
        <v>22489.721510659303</v>
      </c>
      <c r="AR98" s="41">
        <v>93</v>
      </c>
      <c r="AS98" s="57">
        <f t="shared" si="51"/>
        <v>14816.824153149697</v>
      </c>
      <c r="AT98" s="57">
        <f t="shared" si="52"/>
        <v>-1504.7966283589917</v>
      </c>
      <c r="AV98" s="57">
        <f t="shared" si="53"/>
        <v>-610.8418698137674</v>
      </c>
      <c r="AW98" s="57">
        <f t="shared" si="54"/>
        <v>-551.97899635791669</v>
      </c>
      <c r="AX98" s="57">
        <f t="shared" si="55"/>
        <v>-25.26340274865019</v>
      </c>
      <c r="AY98" s="57">
        <f t="shared" si="56"/>
        <v>-57.001862794811686</v>
      </c>
      <c r="BA98" s="57">
        <f t="shared" si="57"/>
        <v>42409.854678795695</v>
      </c>
      <c r="BB98" s="57">
        <f t="shared" si="58"/>
        <v>52977.630969499412</v>
      </c>
    </row>
    <row r="99" spans="9:54" x14ac:dyDescent="0.25">
      <c r="I99" s="41">
        <v>94</v>
      </c>
      <c r="J99" s="57">
        <f t="shared" si="32"/>
        <v>19651.217631279374</v>
      </c>
      <c r="K99" s="57">
        <f t="shared" si="33"/>
        <v>12487.820251299121</v>
      </c>
      <c r="M99" s="41">
        <v>94</v>
      </c>
      <c r="N99" s="57">
        <f t="shared" si="34"/>
        <v>-20244.147658104437</v>
      </c>
      <c r="O99" s="57">
        <f t="shared" si="35"/>
        <v>13491.474175909385</v>
      </c>
      <c r="Q99" s="41">
        <v>94</v>
      </c>
      <c r="R99" s="57">
        <f t="shared" si="36"/>
        <v>-5348.7823687206264</v>
      </c>
      <c r="S99" s="41">
        <f t="shared" si="37"/>
        <v>-10012.179748700879</v>
      </c>
      <c r="U99" s="41">
        <v>93</v>
      </c>
      <c r="V99" s="41">
        <f t="shared" si="59"/>
        <v>46.5</v>
      </c>
      <c r="W99" s="57">
        <f t="shared" si="60"/>
        <v>37058.695817239925</v>
      </c>
      <c r="X99" s="57">
        <f t="shared" si="61"/>
        <v>43641.092971154416</v>
      </c>
      <c r="Y99" s="57">
        <f t="shared" si="62"/>
        <v>971.33611172726773</v>
      </c>
      <c r="Z99" s="57">
        <f t="shared" si="63"/>
        <v>167.40200893521052</v>
      </c>
      <c r="AA99" s="57">
        <f t="shared" si="38"/>
        <v>-844.92474081320006</v>
      </c>
      <c r="AB99" s="57">
        <f t="shared" si="39"/>
        <v>-962.60946102099888</v>
      </c>
      <c r="AC99" s="57">
        <f t="shared" si="40"/>
        <v>-127.74781207485341</v>
      </c>
      <c r="AD99" s="57">
        <f t="shared" si="41"/>
        <v>-270.65055866655672</v>
      </c>
      <c r="AE99" s="57">
        <f t="shared" si="42"/>
        <v>-34.678947570845722</v>
      </c>
      <c r="AF99" s="57">
        <f t="shared" si="43"/>
        <v>-20.446273484928099</v>
      </c>
      <c r="AG99" s="57">
        <f t="shared" si="44"/>
        <v>-56.949962027506082</v>
      </c>
      <c r="AH99" s="57">
        <f t="shared" si="45"/>
        <v>-79.403508669657498</v>
      </c>
      <c r="AJ99" s="57">
        <f t="shared" si="46"/>
        <v>39964.705730616188</v>
      </c>
      <c r="AK99" s="57">
        <f t="shared" si="47"/>
        <v>66237.586796758886</v>
      </c>
      <c r="AL99" s="57">
        <f t="shared" si="48"/>
        <v>72164.476570530809</v>
      </c>
      <c r="AN99" s="41">
        <v>94</v>
      </c>
      <c r="AO99" s="57">
        <f t="shared" si="49"/>
        <v>4476.8264469190599</v>
      </c>
      <c r="AP99" s="57">
        <f t="shared" si="50"/>
        <v>22481.730376948683</v>
      </c>
      <c r="AR99" s="41">
        <v>94</v>
      </c>
      <c r="AS99" s="57">
        <f t="shared" si="51"/>
        <v>14755.852341895561</v>
      </c>
      <c r="AT99" s="57">
        <f t="shared" si="52"/>
        <v>-1508.5258240906155</v>
      </c>
      <c r="AV99" s="57">
        <f t="shared" si="53"/>
        <v>-600.20086036720249</v>
      </c>
      <c r="AW99" s="57">
        <f t="shared" si="54"/>
        <v>-536.21671764637358</v>
      </c>
      <c r="AX99" s="57">
        <f t="shared" si="55"/>
        <v>-25.347158772792334</v>
      </c>
      <c r="AY99" s="57">
        <f t="shared" si="56"/>
        <v>-55.892402553482938</v>
      </c>
      <c r="BA99" s="57">
        <f t="shared" si="57"/>
        <v>42989.210089098262</v>
      </c>
      <c r="BB99" s="57">
        <f t="shared" si="58"/>
        <v>53409.193839506748</v>
      </c>
    </row>
    <row r="100" spans="9:54" x14ac:dyDescent="0.25">
      <c r="I100" s="41">
        <v>95</v>
      </c>
      <c r="J100" s="57">
        <f t="shared" si="32"/>
        <v>19564.221286261709</v>
      </c>
      <c r="K100" s="57">
        <f t="shared" si="33"/>
        <v>12480.973490458728</v>
      </c>
      <c r="M100" s="41">
        <v>95</v>
      </c>
      <c r="N100" s="57">
        <f t="shared" si="34"/>
        <v>-20305.045099616804</v>
      </c>
      <c r="O100" s="57">
        <f t="shared" si="35"/>
        <v>13486.681443321109</v>
      </c>
      <c r="Q100" s="41">
        <v>95</v>
      </c>
      <c r="R100" s="57">
        <f t="shared" si="36"/>
        <v>-5435.7787137382911</v>
      </c>
      <c r="S100" s="41">
        <f t="shared" si="37"/>
        <v>-10019.026509541272</v>
      </c>
      <c r="U100" s="41">
        <v>94</v>
      </c>
      <c r="V100" s="41">
        <f t="shared" si="59"/>
        <v>47</v>
      </c>
      <c r="W100" s="57">
        <f t="shared" si="60"/>
        <v>37438.74828050191</v>
      </c>
      <c r="X100" s="57">
        <f t="shared" si="61"/>
        <v>43604.467792994394</v>
      </c>
      <c r="Y100" s="57">
        <f t="shared" si="62"/>
        <v>548.8737413206677</v>
      </c>
      <c r="Z100" s="57">
        <f t="shared" si="63"/>
        <v>-313.90272157528892</v>
      </c>
      <c r="AA100" s="57">
        <f t="shared" si="38"/>
        <v>-844.04633718807088</v>
      </c>
      <c r="AB100" s="57">
        <f t="shared" si="39"/>
        <v>-949.20069867379016</v>
      </c>
      <c r="AC100" s="57">
        <f t="shared" si="40"/>
        <v>-129.39529494018879</v>
      </c>
      <c r="AD100" s="57">
        <f t="shared" si="41"/>
        <v>-267.89470113267777</v>
      </c>
      <c r="AE100" s="57">
        <f t="shared" si="42"/>
        <v>-34.430923684464666</v>
      </c>
      <c r="AF100" s="57">
        <f t="shared" si="43"/>
        <v>-20.143768808945403</v>
      </c>
      <c r="AG100" s="57">
        <f t="shared" si="44"/>
        <v>-57.015733639456634</v>
      </c>
      <c r="AH100" s="57">
        <f t="shared" si="45"/>
        <v>-78.734101761965661</v>
      </c>
      <c r="AJ100" s="57">
        <f t="shared" si="46"/>
        <v>40095.41789539146</v>
      </c>
      <c r="AK100" s="57">
        <f t="shared" si="47"/>
        <v>66546.750932568131</v>
      </c>
      <c r="AL100" s="57">
        <f t="shared" si="48"/>
        <v>72356.969262925326</v>
      </c>
      <c r="AN100" s="41">
        <v>95</v>
      </c>
      <c r="AO100" s="57">
        <f t="shared" si="49"/>
        <v>4346.3319293925633</v>
      </c>
      <c r="AP100" s="57">
        <f t="shared" si="50"/>
        <v>22471.460235688093</v>
      </c>
      <c r="AR100" s="41">
        <v>95</v>
      </c>
      <c r="AS100" s="57">
        <f t="shared" si="51"/>
        <v>14694.954900383196</v>
      </c>
      <c r="AT100" s="57">
        <f t="shared" si="52"/>
        <v>-1513.3185566788907</v>
      </c>
      <c r="AV100" s="57">
        <f t="shared" si="53"/>
        <v>-597.59744217449304</v>
      </c>
      <c r="AW100" s="57">
        <f t="shared" si="54"/>
        <v>-526.96104794311225</v>
      </c>
      <c r="AX100" s="57">
        <f t="shared" si="55"/>
        <v>-25.606942749467787</v>
      </c>
      <c r="AY100" s="57">
        <f t="shared" si="56"/>
        <v>-55.467079027089063</v>
      </c>
      <c r="BA100" s="57">
        <f t="shared" si="57"/>
        <v>43249.138346633212</v>
      </c>
      <c r="BB100" s="57">
        <f t="shared" si="58"/>
        <v>53534.023889821292</v>
      </c>
    </row>
    <row r="101" spans="9:54" x14ac:dyDescent="0.25">
      <c r="I101" s="41">
        <v>96</v>
      </c>
      <c r="J101" s="57">
        <f t="shared" si="32"/>
        <v>19477.357683661732</v>
      </c>
      <c r="K101" s="57">
        <f t="shared" si="33"/>
        <v>12472.609476841368</v>
      </c>
      <c r="M101" s="41">
        <v>96</v>
      </c>
      <c r="N101" s="57">
        <f t="shared" si="34"/>
        <v>-20365.849621436788</v>
      </c>
      <c r="O101" s="57">
        <f t="shared" si="35"/>
        <v>13480.826633788956</v>
      </c>
      <c r="Q101" s="41">
        <v>96</v>
      </c>
      <c r="R101" s="57">
        <f t="shared" si="36"/>
        <v>-5522.6423163382669</v>
      </c>
      <c r="S101" s="41">
        <f t="shared" si="37"/>
        <v>-10027.390523158632</v>
      </c>
      <c r="U101" s="41">
        <v>95</v>
      </c>
      <c r="V101" s="41">
        <f t="shared" si="59"/>
        <v>47.5</v>
      </c>
      <c r="W101" s="57">
        <f t="shared" si="60"/>
        <v>37607.679359013739</v>
      </c>
      <c r="X101" s="57">
        <f t="shared" si="61"/>
        <v>43328.866344872527</v>
      </c>
      <c r="Y101" s="57">
        <f t="shared" si="62"/>
        <v>126.85057272663227</v>
      </c>
      <c r="Z101" s="57">
        <f t="shared" si="63"/>
        <v>-788.50307091218406</v>
      </c>
      <c r="AA101" s="57">
        <f t="shared" si="38"/>
        <v>-853.10575845030223</v>
      </c>
      <c r="AB101" s="57">
        <f t="shared" si="39"/>
        <v>-947.20584950835405</v>
      </c>
      <c r="AC101" s="57">
        <f t="shared" si="40"/>
        <v>-132.26087225551919</v>
      </c>
      <c r="AD101" s="57">
        <f t="shared" si="41"/>
        <v>-269.13013453265705</v>
      </c>
      <c r="AE101" s="57">
        <f t="shared" si="42"/>
        <v>-34.520760664782017</v>
      </c>
      <c r="AF101" s="57">
        <f t="shared" si="43"/>
        <v>-19.971952196679325</v>
      </c>
      <c r="AG101" s="57">
        <f t="shared" si="44"/>
        <v>-57.531315931698195</v>
      </c>
      <c r="AH101" s="57">
        <f t="shared" si="45"/>
        <v>-78.758958199744029</v>
      </c>
      <c r="AJ101" s="57">
        <f t="shared" si="46"/>
        <v>39921.648713055147</v>
      </c>
      <c r="AK101" s="57">
        <f t="shared" si="47"/>
        <v>66554.17382077036</v>
      </c>
      <c r="AL101" s="57">
        <f t="shared" si="48"/>
        <v>72233.447857890103</v>
      </c>
      <c r="AN101" s="41">
        <v>96</v>
      </c>
      <c r="AO101" s="57">
        <f t="shared" si="49"/>
        <v>4216.0365254926</v>
      </c>
      <c r="AP101" s="57">
        <f t="shared" si="50"/>
        <v>22458.914215262052</v>
      </c>
      <c r="AR101" s="41">
        <v>96</v>
      </c>
      <c r="AS101" s="57">
        <f t="shared" si="51"/>
        <v>14634.150378563214</v>
      </c>
      <c r="AT101" s="57">
        <f t="shared" si="52"/>
        <v>-1519.1733662110432</v>
      </c>
      <c r="AV101" s="57">
        <f t="shared" si="53"/>
        <v>-602.73733901157254</v>
      </c>
      <c r="AW101" s="57">
        <f t="shared" si="54"/>
        <v>-523.64552932231163</v>
      </c>
      <c r="AX101" s="57">
        <f t="shared" si="55"/>
        <v>-26.055470586730276</v>
      </c>
      <c r="AY101" s="57">
        <f t="shared" si="56"/>
        <v>-55.699275256962011</v>
      </c>
      <c r="BA101" s="57">
        <f t="shared" si="57"/>
        <v>43194.738355104106</v>
      </c>
      <c r="BB101" s="57">
        <f t="shared" si="58"/>
        <v>53355.285475578967</v>
      </c>
    </row>
    <row r="102" spans="9:54" x14ac:dyDescent="0.25">
      <c r="I102" s="41">
        <v>97</v>
      </c>
      <c r="J102" s="57">
        <f t="shared" si="32"/>
        <v>19390.653282974265</v>
      </c>
      <c r="K102" s="57">
        <f t="shared" si="33"/>
        <v>12462.73075820661</v>
      </c>
      <c r="M102" s="41">
        <v>97</v>
      </c>
      <c r="N102" s="57">
        <f t="shared" si="34"/>
        <v>-20426.542701918017</v>
      </c>
      <c r="O102" s="57">
        <f t="shared" si="35"/>
        <v>13473.911530744626</v>
      </c>
      <c r="Q102" s="41">
        <v>97</v>
      </c>
      <c r="R102" s="57">
        <f t="shared" si="36"/>
        <v>-5609.3467170257372</v>
      </c>
      <c r="S102" s="41">
        <f t="shared" si="37"/>
        <v>-10037.26924179339</v>
      </c>
      <c r="U102" s="41">
        <v>96</v>
      </c>
      <c r="V102" s="41">
        <f t="shared" si="59"/>
        <v>48</v>
      </c>
      <c r="W102" s="57">
        <f t="shared" si="60"/>
        <v>37564.466425570768</v>
      </c>
      <c r="X102" s="57">
        <f t="shared" si="61"/>
        <v>42816.214078227895</v>
      </c>
      <c r="Y102" s="57">
        <f t="shared" si="62"/>
        <v>-299.70230649851885</v>
      </c>
      <c r="Z102" s="57">
        <f t="shared" si="63"/>
        <v>-1262.1059956663612</v>
      </c>
      <c r="AA102" s="57">
        <f t="shared" si="38"/>
        <v>-872.52441102784769</v>
      </c>
      <c r="AB102" s="57">
        <f t="shared" si="39"/>
        <v>-956.51988188398241</v>
      </c>
      <c r="AC102" s="57">
        <f t="shared" si="40"/>
        <v>-136.50332342233628</v>
      </c>
      <c r="AD102" s="57">
        <f t="shared" si="41"/>
        <v>-274.46211433753552</v>
      </c>
      <c r="AE102" s="57">
        <f t="shared" si="42"/>
        <v>-34.949069239567592</v>
      </c>
      <c r="AF102" s="57">
        <f t="shared" si="43"/>
        <v>-19.923682250809428</v>
      </c>
      <c r="AG102" s="57">
        <f t="shared" si="44"/>
        <v>-58.513370759791073</v>
      </c>
      <c r="AH102" s="57">
        <f t="shared" si="45"/>
        <v>-79.479947815214203</v>
      </c>
      <c r="AJ102" s="57">
        <f t="shared" si="46"/>
        <v>39442.939262106534</v>
      </c>
      <c r="AK102" s="57">
        <f t="shared" si="47"/>
        <v>66261.38921942965</v>
      </c>
      <c r="AL102" s="57">
        <f t="shared" si="48"/>
        <v>71794.487340136489</v>
      </c>
      <c r="AN102" s="41">
        <v>97</v>
      </c>
      <c r="AO102" s="57">
        <f t="shared" si="49"/>
        <v>4085.9799244613946</v>
      </c>
      <c r="AP102" s="57">
        <f t="shared" si="50"/>
        <v>22444.096137309916</v>
      </c>
      <c r="AR102" s="41">
        <v>97</v>
      </c>
      <c r="AS102" s="57">
        <f t="shared" si="51"/>
        <v>14573.457298081985</v>
      </c>
      <c r="AT102" s="57">
        <f t="shared" si="52"/>
        <v>-1526.0884692553727</v>
      </c>
      <c r="AV102" s="57">
        <f t="shared" si="53"/>
        <v>-615.84713453355903</v>
      </c>
      <c r="AW102" s="57">
        <f t="shared" si="54"/>
        <v>-526.04994381843119</v>
      </c>
      <c r="AX102" s="57">
        <f t="shared" si="55"/>
        <v>-26.711513072593743</v>
      </c>
      <c r="AY102" s="57">
        <f t="shared" si="56"/>
        <v>-56.604193661992049</v>
      </c>
      <c r="BA102" s="57">
        <f t="shared" si="57"/>
        <v>42827.400565851873</v>
      </c>
      <c r="BB102" s="57">
        <f t="shared" si="58"/>
        <v>52872.918151409329</v>
      </c>
    </row>
    <row r="103" spans="9:54" x14ac:dyDescent="0.25">
      <c r="I103" s="41">
        <v>98</v>
      </c>
      <c r="J103" s="57">
        <f t="shared" si="32"/>
        <v>19304.134495199673</v>
      </c>
      <c r="K103" s="57">
        <f t="shared" si="33"/>
        <v>12451.340343707852</v>
      </c>
      <c r="M103" s="41">
        <v>98</v>
      </c>
      <c r="N103" s="57">
        <f t="shared" si="34"/>
        <v>-20487.10585336023</v>
      </c>
      <c r="O103" s="57">
        <f t="shared" si="35"/>
        <v>13465.938240595497</v>
      </c>
      <c r="Q103" s="41">
        <v>98</v>
      </c>
      <c r="R103" s="57">
        <f t="shared" si="36"/>
        <v>-5695.8655048003266</v>
      </c>
      <c r="S103" s="41">
        <f t="shared" si="37"/>
        <v>-10048.659656292148</v>
      </c>
      <c r="U103" s="41">
        <v>97</v>
      </c>
      <c r="V103" s="41">
        <f t="shared" si="59"/>
        <v>48.5</v>
      </c>
      <c r="W103" s="57">
        <f t="shared" si="60"/>
        <v>37305.549720943025</v>
      </c>
      <c r="X103" s="57">
        <f t="shared" si="61"/>
        <v>42065.596095159213</v>
      </c>
      <c r="Y103" s="57">
        <f t="shared" si="62"/>
        <v>-735.9645120124427</v>
      </c>
      <c r="Z103" s="57">
        <f t="shared" si="63"/>
        <v>-1740.3659366083525</v>
      </c>
      <c r="AA103" s="57">
        <f t="shared" si="38"/>
        <v>-903.38218616103632</v>
      </c>
      <c r="AB103" s="57">
        <f t="shared" si="39"/>
        <v>-977.75295142959203</v>
      </c>
      <c r="AC103" s="57">
        <f t="shared" si="40"/>
        <v>-142.34567686859057</v>
      </c>
      <c r="AD103" s="57">
        <f t="shared" si="41"/>
        <v>-284.31706890982434</v>
      </c>
      <c r="AE103" s="57">
        <f t="shared" si="42"/>
        <v>-35.734779211269938</v>
      </c>
      <c r="AF103" s="57">
        <f t="shared" si="43"/>
        <v>-19.99556765999413</v>
      </c>
      <c r="AG103" s="57">
        <f t="shared" si="44"/>
        <v>-60.001303264702415</v>
      </c>
      <c r="AH103" s="57">
        <f t="shared" si="45"/>
        <v>-80.935247499966593</v>
      </c>
      <c r="AJ103" s="57">
        <f t="shared" si="46"/>
        <v>38655.69148984037</v>
      </c>
      <c r="AK103" s="57">
        <f t="shared" si="47"/>
        <v>65666.79893033742</v>
      </c>
      <c r="AL103" s="57">
        <f t="shared" si="48"/>
        <v>71036.90445738069</v>
      </c>
      <c r="AN103" s="41">
        <v>98</v>
      </c>
      <c r="AO103" s="57">
        <f t="shared" si="49"/>
        <v>3956.2017427995097</v>
      </c>
      <c r="AP103" s="57">
        <f t="shared" si="50"/>
        <v>22427.010515561778</v>
      </c>
      <c r="AR103" s="41">
        <v>98</v>
      </c>
      <c r="AS103" s="57">
        <f t="shared" si="51"/>
        <v>14512.894146639772</v>
      </c>
      <c r="AT103" s="57">
        <f t="shared" si="52"/>
        <v>-1534.0617594045038</v>
      </c>
      <c r="AV103" s="57">
        <f t="shared" si="53"/>
        <v>-637.69852138323085</v>
      </c>
      <c r="AW103" s="57">
        <f t="shared" si="54"/>
        <v>-534.2639502911685</v>
      </c>
      <c r="AX103" s="57">
        <f t="shared" si="55"/>
        <v>-27.601905433242617</v>
      </c>
      <c r="AY103" s="57">
        <f t="shared" si="56"/>
        <v>-58.24111706863841</v>
      </c>
      <c r="BA103" s="57">
        <f t="shared" si="57"/>
        <v>42144.928932893214</v>
      </c>
      <c r="BB103" s="57">
        <f t="shared" si="58"/>
        <v>52083.662353430249</v>
      </c>
    </row>
    <row r="104" spans="9:54" x14ac:dyDescent="0.25">
      <c r="I104" s="41">
        <v>99</v>
      </c>
      <c r="J104" s="57">
        <f t="shared" si="32"/>
        <v>19217.827674798846</v>
      </c>
      <c r="K104" s="57">
        <f t="shared" si="33"/>
        <v>12438.441702975688</v>
      </c>
      <c r="M104" s="41">
        <v>99</v>
      </c>
      <c r="N104" s="57">
        <f t="shared" si="34"/>
        <v>-20547.52062764081</v>
      </c>
      <c r="O104" s="57">
        <f t="shared" si="35"/>
        <v>13456.909192082981</v>
      </c>
      <c r="Q104" s="41">
        <v>99</v>
      </c>
      <c r="R104" s="57">
        <f t="shared" si="36"/>
        <v>-5782.1723252011552</v>
      </c>
      <c r="S104" s="41">
        <f t="shared" si="37"/>
        <v>-10061.558297024312</v>
      </c>
      <c r="U104" s="41">
        <v>98</v>
      </c>
      <c r="V104" s="41">
        <f t="shared" si="59"/>
        <v>49</v>
      </c>
      <c r="W104" s="57">
        <f t="shared" si="60"/>
        <v>36824.644691666668</v>
      </c>
      <c r="X104" s="57">
        <f t="shared" si="61"/>
        <v>41073.194007926337</v>
      </c>
      <c r="Y104" s="57">
        <f t="shared" si="62"/>
        <v>-1187.6556050929607</v>
      </c>
      <c r="Z104" s="57">
        <f t="shared" si="63"/>
        <v>-2229.2424123231485</v>
      </c>
      <c r="AA104" s="57">
        <f t="shared" si="38"/>
        <v>-947.56148294008381</v>
      </c>
      <c r="AB104" s="57">
        <f t="shared" si="39"/>
        <v>-1012.3203513121313</v>
      </c>
      <c r="AC104" s="57">
        <f t="shared" si="40"/>
        <v>-150.10001515494187</v>
      </c>
      <c r="AD104" s="57">
        <f t="shared" si="41"/>
        <v>-299.52115017831886</v>
      </c>
      <c r="AE104" s="57">
        <f t="shared" si="42"/>
        <v>-36.917333350124963</v>
      </c>
      <c r="AF104" s="57">
        <f t="shared" si="43"/>
        <v>-20.187358278580668</v>
      </c>
      <c r="AG104" s="57">
        <f t="shared" si="44"/>
        <v>-62.061573256509611</v>
      </c>
      <c r="AH104" s="57">
        <f t="shared" si="45"/>
        <v>-83.20430844790333</v>
      </c>
      <c r="AJ104" s="57">
        <f t="shared" si="46"/>
        <v>37553.002874533056</v>
      </c>
      <c r="AK104" s="57">
        <f t="shared" si="47"/>
        <v>64765.605302416421</v>
      </c>
      <c r="AL104" s="57">
        <f t="shared" si="48"/>
        <v>69953.584538854819</v>
      </c>
      <c r="AN104" s="41">
        <v>99</v>
      </c>
      <c r="AO104" s="57">
        <f t="shared" si="49"/>
        <v>3826.7415121982672</v>
      </c>
      <c r="AP104" s="57">
        <f t="shared" si="50"/>
        <v>22407.662554463532</v>
      </c>
      <c r="AR104" s="41">
        <v>99</v>
      </c>
      <c r="AS104" s="57">
        <f t="shared" si="51"/>
        <v>14452.479372359192</v>
      </c>
      <c r="AT104" s="57">
        <f t="shared" si="52"/>
        <v>-1543.0908079170181</v>
      </c>
      <c r="AV104" s="57">
        <f t="shared" si="53"/>
        <v>-669.71854068576909</v>
      </c>
      <c r="AW104" s="57">
        <f t="shared" si="54"/>
        <v>-548.68488277506958</v>
      </c>
      <c r="AX104" s="57">
        <f t="shared" si="55"/>
        <v>-28.764020492738311</v>
      </c>
      <c r="AY104" s="57">
        <f t="shared" si="56"/>
        <v>-60.722651632258781</v>
      </c>
      <c r="BA104" s="57">
        <f t="shared" si="57"/>
        <v>41141.456652940637</v>
      </c>
      <c r="BB104" s="57">
        <f t="shared" si="58"/>
        <v>50980.921156933931</v>
      </c>
    </row>
    <row r="105" spans="9:54" x14ac:dyDescent="0.25">
      <c r="I105" s="41">
        <v>100</v>
      </c>
      <c r="J105" s="57">
        <f t="shared" si="32"/>
        <v>19131.759111665349</v>
      </c>
      <c r="K105" s="57">
        <f t="shared" si="33"/>
        <v>12424.038765061039</v>
      </c>
      <c r="M105" s="41">
        <v>100</v>
      </c>
      <c r="N105" s="57">
        <f t="shared" si="34"/>
        <v>-20607.768621834257</v>
      </c>
      <c r="O105" s="57">
        <f t="shared" si="35"/>
        <v>13446.827135542728</v>
      </c>
      <c r="Q105" s="41">
        <v>100</v>
      </c>
      <c r="R105" s="57">
        <f t="shared" si="36"/>
        <v>-5868.2408883346516</v>
      </c>
      <c r="S105" s="41">
        <f t="shared" si="37"/>
        <v>-10075.961234938961</v>
      </c>
      <c r="U105" s="41">
        <v>99</v>
      </c>
      <c r="V105" s="41">
        <f t="shared" si="59"/>
        <v>49.5</v>
      </c>
      <c r="W105" s="57">
        <f t="shared" si="60"/>
        <v>36112.371703752673</v>
      </c>
      <c r="X105" s="57">
        <f t="shared" si="61"/>
        <v>39832.032757850749</v>
      </c>
      <c r="Y105" s="57">
        <f t="shared" si="62"/>
        <v>-1661.4363465630026</v>
      </c>
      <c r="Z105" s="57">
        <f t="shared" si="63"/>
        <v>-2735.4025879792143</v>
      </c>
      <c r="AA105" s="57">
        <f t="shared" si="38"/>
        <v>-1008.0186321354328</v>
      </c>
      <c r="AB105" s="57">
        <f t="shared" si="39"/>
        <v>-1062.6598380829855</v>
      </c>
      <c r="AC105" s="57">
        <f t="shared" si="40"/>
        <v>-160.19835226613682</v>
      </c>
      <c r="AD105" s="57">
        <f t="shared" si="41"/>
        <v>-321.46343620015313</v>
      </c>
      <c r="AE105" s="57">
        <f t="shared" si="42"/>
        <v>-38.561773534254122</v>
      </c>
      <c r="AF105" s="57">
        <f t="shared" si="43"/>
        <v>-20.501291539558228</v>
      </c>
      <c r="AG105" s="57">
        <f t="shared" si="44"/>
        <v>-64.795761641023049</v>
      </c>
      <c r="AH105" s="57">
        <f t="shared" si="45"/>
        <v>-86.418836414299193</v>
      </c>
      <c r="AJ105" s="57">
        <f t="shared" si="46"/>
        <v>36124.352785546536</v>
      </c>
      <c r="AK105" s="57">
        <f t="shared" si="47"/>
        <v>63549.57463811685</v>
      </c>
      <c r="AL105" s="57">
        <f t="shared" si="48"/>
        <v>68533.04986257026</v>
      </c>
      <c r="AN105" s="41">
        <v>100</v>
      </c>
      <c r="AO105" s="57">
        <f t="shared" si="49"/>
        <v>3697.6386674980226</v>
      </c>
      <c r="AP105" s="57">
        <f t="shared" si="50"/>
        <v>22386.058147591561</v>
      </c>
      <c r="AR105" s="41">
        <v>100</v>
      </c>
      <c r="AS105" s="57">
        <f t="shared" si="51"/>
        <v>14392.231378165743</v>
      </c>
      <c r="AT105" s="57">
        <f t="shared" si="52"/>
        <v>-1553.1728644572718</v>
      </c>
      <c r="AV105" s="57">
        <f t="shared" si="53"/>
        <v>-714.2137522630486</v>
      </c>
      <c r="AW105" s="57">
        <f t="shared" si="54"/>
        <v>-570.04266538009824</v>
      </c>
      <c r="AX105" s="57">
        <f t="shared" si="55"/>
        <v>-30.248992430970137</v>
      </c>
      <c r="AY105" s="57">
        <f t="shared" si="56"/>
        <v>-64.233608548876816</v>
      </c>
      <c r="BA105" s="57">
        <f t="shared" si="57"/>
        <v>39807.154180114943</v>
      </c>
      <c r="BB105" s="57">
        <f t="shared" si="58"/>
        <v>49554.44884325139</v>
      </c>
    </row>
    <row r="106" spans="9:54" x14ac:dyDescent="0.25">
      <c r="I106" s="41">
        <v>101</v>
      </c>
      <c r="J106" s="57">
        <f t="shared" si="32"/>
        <v>19045.955023117276</v>
      </c>
      <c r="K106" s="57">
        <f t="shared" si="33"/>
        <v>12408.13591723832</v>
      </c>
      <c r="M106" s="41">
        <v>101</v>
      </c>
      <c r="N106" s="57">
        <f t="shared" si="34"/>
        <v>-20667.831483817907</v>
      </c>
      <c r="O106" s="57">
        <f t="shared" si="35"/>
        <v>13435.695142066823</v>
      </c>
      <c r="Q106" s="41">
        <v>101</v>
      </c>
      <c r="R106" s="57">
        <f t="shared" si="36"/>
        <v>-5954.0449768827239</v>
      </c>
      <c r="S106" s="41">
        <f t="shared" si="37"/>
        <v>-10091.86408276168</v>
      </c>
      <c r="U106" s="41">
        <v>100</v>
      </c>
      <c r="V106" s="41">
        <f t="shared" si="59"/>
        <v>50</v>
      </c>
      <c r="W106" s="57">
        <f t="shared" si="60"/>
        <v>35155.651201454246</v>
      </c>
      <c r="X106" s="57">
        <f t="shared" si="61"/>
        <v>38331.49898410077</v>
      </c>
      <c r="Y106" s="57">
        <f t="shared" si="62"/>
        <v>-2165.4456626307192</v>
      </c>
      <c r="Z106" s="57">
        <f t="shared" si="63"/>
        <v>-3266.7325070207071</v>
      </c>
      <c r="AA106" s="57">
        <f t="shared" si="38"/>
        <v>-1089.2463289828793</v>
      </c>
      <c r="AB106" s="57">
        <f t="shared" si="39"/>
        <v>-1132.6326990233501</v>
      </c>
      <c r="AC106" s="57">
        <f t="shared" si="40"/>
        <v>-173.22807490808847</v>
      </c>
      <c r="AD106" s="57">
        <f t="shared" si="41"/>
        <v>-352.40196178663592</v>
      </c>
      <c r="AE106" s="57">
        <f t="shared" si="42"/>
        <v>-40.767962122265885</v>
      </c>
      <c r="AF106" s="57">
        <f t="shared" si="43"/>
        <v>-20.941054131192658</v>
      </c>
      <c r="AG106" s="57">
        <f t="shared" si="44"/>
        <v>-68.354333165856332</v>
      </c>
      <c r="AH106" s="57">
        <f t="shared" si="45"/>
        <v>-90.782715277239276</v>
      </c>
      <c r="AJ106" s="57">
        <f t="shared" si="46"/>
        <v>34355.131973938747</v>
      </c>
      <c r="AK106" s="57">
        <f t="shared" si="47"/>
        <v>62006.610084269108</v>
      </c>
      <c r="AL106" s="57">
        <f t="shared" si="48"/>
        <v>66758.708100921154</v>
      </c>
      <c r="AN106" s="41">
        <v>101</v>
      </c>
      <c r="AO106" s="57">
        <f t="shared" si="49"/>
        <v>3568.9325346759142</v>
      </c>
      <c r="AP106" s="57">
        <f t="shared" si="50"/>
        <v>22362.203875857478</v>
      </c>
      <c r="AR106" s="41">
        <v>101</v>
      </c>
      <c r="AS106" s="57">
        <f t="shared" si="51"/>
        <v>14332.168516182093</v>
      </c>
      <c r="AT106" s="57">
        <f t="shared" si="52"/>
        <v>-1564.3048579331762</v>
      </c>
      <c r="AV106" s="57">
        <f t="shared" si="53"/>
        <v>-774.77015324970193</v>
      </c>
      <c r="AW106" s="57">
        <f t="shared" si="54"/>
        <v>-599.44150841568569</v>
      </c>
      <c r="AX106" s="57">
        <f t="shared" si="55"/>
        <v>-32.125805536966823</v>
      </c>
      <c r="AY106" s="57">
        <f t="shared" si="56"/>
        <v>-69.065459412596852</v>
      </c>
      <c r="BA106" s="57">
        <f t="shared" si="57"/>
        <v>38127.708352704132</v>
      </c>
      <c r="BB106" s="57">
        <f t="shared" si="58"/>
        <v>47789.842849331595</v>
      </c>
    </row>
    <row r="107" spans="9:54" x14ac:dyDescent="0.25">
      <c r="I107" s="41">
        <v>102</v>
      </c>
      <c r="J107" s="57">
        <f t="shared" si="32"/>
        <v>18960.441545911206</v>
      </c>
      <c r="K107" s="57">
        <f t="shared" si="33"/>
        <v>12390.738003669028</v>
      </c>
      <c r="M107" s="41">
        <v>102</v>
      </c>
      <c r="N107" s="57">
        <f t="shared" si="34"/>
        <v>-20727.690917862157</v>
      </c>
      <c r="O107" s="57">
        <f t="shared" si="35"/>
        <v>13423.516602568319</v>
      </c>
      <c r="Q107" s="41">
        <v>102</v>
      </c>
      <c r="R107" s="57">
        <f t="shared" si="36"/>
        <v>-6039.5584540887958</v>
      </c>
      <c r="S107" s="41">
        <f t="shared" si="37"/>
        <v>-10109.261996330972</v>
      </c>
      <c r="U107" s="41">
        <v>101</v>
      </c>
      <c r="V107" s="41">
        <f t="shared" si="59"/>
        <v>50.5</v>
      </c>
      <c r="W107" s="57">
        <f t="shared" si="60"/>
        <v>33936.772579016026</v>
      </c>
      <c r="X107" s="57">
        <f t="shared" si="61"/>
        <v>36556.553643212501</v>
      </c>
      <c r="Y107" s="57">
        <f t="shared" si="62"/>
        <v>-2710.0688271221588</v>
      </c>
      <c r="Z107" s="57">
        <f t="shared" si="63"/>
        <v>-3833.0488565323822</v>
      </c>
      <c r="AA107" s="57">
        <f t="shared" si="38"/>
        <v>-1198.0357103936863</v>
      </c>
      <c r="AB107" s="57">
        <f t="shared" si="39"/>
        <v>-1228.2167658268454</v>
      </c>
      <c r="AC107" s="57">
        <f t="shared" si="40"/>
        <v>-189.95537658156587</v>
      </c>
      <c r="AD107" s="57">
        <f t="shared" si="41"/>
        <v>-396.03491828296654</v>
      </c>
      <c r="AE107" s="57">
        <f t="shared" si="42"/>
        <v>-43.686431115975864</v>
      </c>
      <c r="AF107" s="57">
        <f t="shared" si="43"/>
        <v>-21.509649093525457</v>
      </c>
      <c r="AG107" s="57">
        <f t="shared" si="44"/>
        <v>-72.959837834648539</v>
      </c>
      <c r="AH107" s="57">
        <f t="shared" si="45"/>
        <v>-96.606820339016423</v>
      </c>
      <c r="AJ107" s="57">
        <f t="shared" si="46"/>
        <v>32226.02891359869</v>
      </c>
      <c r="AK107" s="57">
        <f t="shared" si="47"/>
        <v>60120.09628772494</v>
      </c>
      <c r="AL107" s="57">
        <f t="shared" si="48"/>
        <v>64607.665817884663</v>
      </c>
      <c r="AN107" s="41">
        <v>102</v>
      </c>
      <c r="AO107" s="57">
        <f t="shared" si="49"/>
        <v>3440.6623188668063</v>
      </c>
      <c r="AP107" s="57">
        <f t="shared" si="50"/>
        <v>22336.107005503542</v>
      </c>
      <c r="AR107" s="41">
        <v>102</v>
      </c>
      <c r="AS107" s="57">
        <f t="shared" si="51"/>
        <v>14272.309082137843</v>
      </c>
      <c r="AT107" s="57">
        <f t="shared" si="52"/>
        <v>-1576.4833974316803</v>
      </c>
      <c r="AV107" s="57">
        <f t="shared" si="53"/>
        <v>-856.94831582499478</v>
      </c>
      <c r="AW107" s="57">
        <f t="shared" si="54"/>
        <v>-638.38675474603554</v>
      </c>
      <c r="AX107" s="57">
        <f t="shared" si="55"/>
        <v>-34.48574903650114</v>
      </c>
      <c r="AY107" s="57">
        <f t="shared" si="56"/>
        <v>-75.678623365301533</v>
      </c>
      <c r="BA107" s="57">
        <f t="shared" si="57"/>
        <v>36083.539353317217</v>
      </c>
      <c r="BB107" s="57">
        <f t="shared" si="58"/>
        <v>45667.806017046314</v>
      </c>
    </row>
    <row r="108" spans="9:54" x14ac:dyDescent="0.25">
      <c r="I108" s="41">
        <v>103</v>
      </c>
      <c r="J108" s="57">
        <f t="shared" si="32"/>
        <v>18875.244728280675</v>
      </c>
      <c r="K108" s="57">
        <f t="shared" si="33"/>
        <v>12371.850323926177</v>
      </c>
      <c r="M108" s="41">
        <v>103</v>
      </c>
      <c r="N108" s="57">
        <f t="shared" si="34"/>
        <v>-20787.328690203525</v>
      </c>
      <c r="O108" s="57">
        <f t="shared" si="35"/>
        <v>13410.295226748323</v>
      </c>
      <c r="Q108" s="41">
        <v>103</v>
      </c>
      <c r="R108" s="57">
        <f t="shared" si="36"/>
        <v>-6124.7552717193239</v>
      </c>
      <c r="S108" s="41">
        <f t="shared" si="37"/>
        <v>-10128.149676073823</v>
      </c>
      <c r="U108" s="41">
        <v>102</v>
      </c>
      <c r="V108" s="41">
        <f t="shared" si="59"/>
        <v>51</v>
      </c>
      <c r="W108" s="57">
        <f t="shared" si="60"/>
        <v>32431.983701655736</v>
      </c>
      <c r="X108" s="57">
        <f t="shared" si="61"/>
        <v>34486.502119217956</v>
      </c>
      <c r="Y108" s="57">
        <f t="shared" si="62"/>
        <v>-3309.0866823190017</v>
      </c>
      <c r="Z108" s="57">
        <f t="shared" si="63"/>
        <v>-4447.1572394458053</v>
      </c>
      <c r="AA108" s="57">
        <f t="shared" si="38"/>
        <v>-1344.6960927593452</v>
      </c>
      <c r="AB108" s="57">
        <f t="shared" si="39"/>
        <v>-1358.6779367514125</v>
      </c>
      <c r="AC108" s="57">
        <f t="shared" si="40"/>
        <v>-211.26347556182048</v>
      </c>
      <c r="AD108" s="57">
        <f t="shared" si="41"/>
        <v>-458.5963405182959</v>
      </c>
      <c r="AE108" s="57">
        <f t="shared" si="42"/>
        <v>-47.54569061094535</v>
      </c>
      <c r="AF108" s="57">
        <f t="shared" si="43"/>
        <v>-22.204531885140742</v>
      </c>
      <c r="AG108" s="57">
        <f t="shared" si="44"/>
        <v>-78.946834960293515</v>
      </c>
      <c r="AH108" s="57">
        <f t="shared" si="45"/>
        <v>-104.37070999780609</v>
      </c>
      <c r="AJ108" s="57">
        <f t="shared" si="46"/>
        <v>29712.379833813193</v>
      </c>
      <c r="AK108" s="57">
        <f t="shared" si="47"/>
        <v>57867.967831306793</v>
      </c>
      <c r="AL108" s="57">
        <f t="shared" si="48"/>
        <v>62048.910512888004</v>
      </c>
      <c r="AN108" s="41">
        <v>103</v>
      </c>
      <c r="AO108" s="57">
        <f t="shared" si="49"/>
        <v>3312.8670924210137</v>
      </c>
      <c r="AP108" s="57">
        <f t="shared" si="50"/>
        <v>22307.775485889266</v>
      </c>
      <c r="AR108" s="41">
        <v>103</v>
      </c>
      <c r="AS108" s="57">
        <f t="shared" si="51"/>
        <v>14212.671309796473</v>
      </c>
      <c r="AT108" s="57">
        <f t="shared" si="52"/>
        <v>-1589.7047732516767</v>
      </c>
      <c r="AV108" s="57">
        <f t="shared" si="53"/>
        <v>-969.49559532747969</v>
      </c>
      <c r="AW108" s="57">
        <f t="shared" si="54"/>
        <v>-688.68799932179604</v>
      </c>
      <c r="AX108" s="57">
        <f t="shared" si="55"/>
        <v>-37.444496298806172</v>
      </c>
      <c r="AY108" s="57">
        <f t="shared" si="56"/>
        <v>-84.818355028373631</v>
      </c>
      <c r="BA108" s="57">
        <f t="shared" si="57"/>
        <v>33648.736895315873</v>
      </c>
      <c r="BB108" s="57">
        <f t="shared" si="58"/>
        <v>43163.154488357257</v>
      </c>
    </row>
    <row r="109" spans="9:54" x14ac:dyDescent="0.25">
      <c r="I109" s="41">
        <v>104</v>
      </c>
      <c r="J109" s="57">
        <f t="shared" si="32"/>
        <v>18790.39052200166</v>
      </c>
      <c r="K109" s="57">
        <f t="shared" si="33"/>
        <v>12351.478631379981</v>
      </c>
      <c r="M109" s="41">
        <v>104</v>
      </c>
      <c r="N109" s="57">
        <f t="shared" si="34"/>
        <v>-20846.726634598836</v>
      </c>
      <c r="O109" s="57">
        <f t="shared" si="35"/>
        <v>13396.035041965988</v>
      </c>
      <c r="Q109" s="41">
        <v>104</v>
      </c>
      <c r="R109" s="57">
        <f t="shared" si="36"/>
        <v>-6209.6094779983387</v>
      </c>
      <c r="S109" s="41">
        <f t="shared" si="37"/>
        <v>-10148.521368620019</v>
      </c>
      <c r="U109" s="41">
        <v>103</v>
      </c>
      <c r="V109" s="41">
        <f t="shared" si="59"/>
        <v>51.5</v>
      </c>
      <c r="W109" s="57">
        <f t="shared" si="60"/>
        <v>30609.353348901317</v>
      </c>
      <c r="X109" s="57">
        <f t="shared" si="61"/>
        <v>32093.088757401125</v>
      </c>
      <c r="Y109" s="57">
        <f t="shared" si="62"/>
        <v>-3981.4347286986745</v>
      </c>
      <c r="Z109" s="57">
        <f t="shared" si="63"/>
        <v>-5126.4962078215112</v>
      </c>
      <c r="AA109" s="57">
        <f t="shared" si="38"/>
        <v>-1544.8408283317424</v>
      </c>
      <c r="AB109" s="57">
        <f t="shared" si="39"/>
        <v>-1538.478943489836</v>
      </c>
      <c r="AC109" s="57">
        <f t="shared" si="40"/>
        <v>-237.71293075898322</v>
      </c>
      <c r="AD109" s="57">
        <f t="shared" si="41"/>
        <v>-551.03218949183474</v>
      </c>
      <c r="AE109" s="57">
        <f t="shared" si="42"/>
        <v>-52.700525550038698</v>
      </c>
      <c r="AF109" s="57">
        <f t="shared" si="43"/>
        <v>-23.005972443707716</v>
      </c>
      <c r="AG109" s="57">
        <f t="shared" si="44"/>
        <v>-86.833304816768106</v>
      </c>
      <c r="AH109" s="57">
        <f t="shared" si="45"/>
        <v>-114.83636028905018</v>
      </c>
      <c r="AJ109" s="57">
        <f t="shared" si="46"/>
        <v>26783.920420865448</v>
      </c>
      <c r="AK109" s="57">
        <f t="shared" si="47"/>
        <v>55221.474239976182</v>
      </c>
      <c r="AL109" s="57">
        <f t="shared" si="48"/>
        <v>59040.537384405383</v>
      </c>
      <c r="AN109" s="41">
        <v>104</v>
      </c>
      <c r="AO109" s="57">
        <f t="shared" si="49"/>
        <v>3185.5857830024916</v>
      </c>
      <c r="AP109" s="57">
        <f t="shared" si="50"/>
        <v>22277.217947069974</v>
      </c>
      <c r="AR109" s="41">
        <v>104</v>
      </c>
      <c r="AS109" s="57">
        <f t="shared" si="51"/>
        <v>14153.273365401163</v>
      </c>
      <c r="AT109" s="57">
        <f t="shared" si="52"/>
        <v>-1603.9649580340124</v>
      </c>
      <c r="AV109" s="57">
        <f t="shared" si="53"/>
        <v>-1126.4630784395601</v>
      </c>
      <c r="AW109" s="57">
        <f t="shared" si="54"/>
        <v>-751.8633180376172</v>
      </c>
      <c r="AX109" s="57">
        <f t="shared" si="55"/>
        <v>-41.130988766392171</v>
      </c>
      <c r="AY109" s="57">
        <f t="shared" si="56"/>
        <v>-97.741103227626027</v>
      </c>
      <c r="BA109" s="57">
        <f t="shared" si="57"/>
        <v>30789.814260844054</v>
      </c>
      <c r="BB109" s="57">
        <f t="shared" si="58"/>
        <v>40243.622420643187</v>
      </c>
    </row>
    <row r="110" spans="9:54" x14ac:dyDescent="0.25">
      <c r="I110" s="41">
        <v>105</v>
      </c>
      <c r="J110" s="57">
        <f t="shared" si="32"/>
        <v>18705.904774487397</v>
      </c>
      <c r="K110" s="57">
        <f t="shared" si="33"/>
        <v>12329.629131445341</v>
      </c>
      <c r="M110" s="41">
        <v>105</v>
      </c>
      <c r="N110" s="57">
        <f t="shared" si="34"/>
        <v>-20905.866657858824</v>
      </c>
      <c r="O110" s="57">
        <f t="shared" si="35"/>
        <v>13380.740392011739</v>
      </c>
      <c r="Q110" s="41">
        <v>105</v>
      </c>
      <c r="R110" s="57">
        <f t="shared" si="36"/>
        <v>-6294.095225512604</v>
      </c>
      <c r="S110" s="41">
        <f t="shared" si="37"/>
        <v>-10170.370868554659</v>
      </c>
      <c r="U110" s="41">
        <v>104</v>
      </c>
      <c r="V110" s="41">
        <f t="shared" si="59"/>
        <v>52</v>
      </c>
      <c r="W110" s="57">
        <f t="shared" si="60"/>
        <v>28425.530881010513</v>
      </c>
      <c r="X110" s="57">
        <f t="shared" si="61"/>
        <v>29337.53078555414</v>
      </c>
      <c r="Y110" s="57">
        <f t="shared" si="62"/>
        <v>-4753.855142864546</v>
      </c>
      <c r="Z110" s="57">
        <f t="shared" si="63"/>
        <v>-5895.7356795664291</v>
      </c>
      <c r="AA110" s="57">
        <f t="shared" si="38"/>
        <v>-1821.0737531387244</v>
      </c>
      <c r="AB110" s="57">
        <f t="shared" si="39"/>
        <v>-1789.9078547696272</v>
      </c>
      <c r="AC110" s="57">
        <f t="shared" si="40"/>
        <v>-267.52648603332153</v>
      </c>
      <c r="AD110" s="57">
        <f t="shared" si="41"/>
        <v>-693.38276213202926</v>
      </c>
      <c r="AE110" s="57">
        <f t="shared" si="42"/>
        <v>-59.720654886356144</v>
      </c>
      <c r="AF110" s="57">
        <f t="shared" si="43"/>
        <v>-23.847957500683311</v>
      </c>
      <c r="AG110" s="57">
        <f t="shared" si="44"/>
        <v>-97.455205645745266</v>
      </c>
      <c r="AH110" s="57">
        <f t="shared" si="45"/>
        <v>-129.27014370878743</v>
      </c>
      <c r="AJ110" s="57">
        <f t="shared" si="46"/>
        <v>23406.565776227973</v>
      </c>
      <c r="AK110" s="57">
        <f t="shared" si="47"/>
        <v>52143.764133307035</v>
      </c>
      <c r="AL110" s="57">
        <f t="shared" si="48"/>
        <v>55525.514413081743</v>
      </c>
      <c r="AN110" s="41">
        <v>105</v>
      </c>
      <c r="AO110" s="57">
        <f t="shared" si="49"/>
        <v>3058.8571617310936</v>
      </c>
      <c r="AP110" s="57">
        <f t="shared" si="50"/>
        <v>22244.443697168012</v>
      </c>
      <c r="AR110" s="41">
        <v>105</v>
      </c>
      <c r="AS110" s="57">
        <f t="shared" si="51"/>
        <v>14094.133342141176</v>
      </c>
      <c r="AT110" s="57">
        <f t="shared" si="52"/>
        <v>-1619.259607988261</v>
      </c>
      <c r="AV110" s="57">
        <f t="shared" si="53"/>
        <v>-1350.7491881622911</v>
      </c>
      <c r="AW110" s="57">
        <f t="shared" si="54"/>
        <v>-826.72227012529038</v>
      </c>
      <c r="AX110" s="57">
        <f t="shared" si="55"/>
        <v>-45.622218411010323</v>
      </c>
      <c r="AY110" s="57">
        <f t="shared" si="56"/>
        <v>-116.68472130283689</v>
      </c>
      <c r="BA110" s="57">
        <f t="shared" si="57"/>
        <v>27464.891881889685</v>
      </c>
      <c r="BB110" s="57">
        <f t="shared" si="58"/>
        <v>36868.83372017408</v>
      </c>
    </row>
    <row r="111" spans="9:54" x14ac:dyDescent="0.25">
      <c r="I111" s="41">
        <v>106</v>
      </c>
      <c r="J111" s="57">
        <f t="shared" si="32"/>
        <v>18621.813220915006</v>
      </c>
      <c r="K111" s="57">
        <f t="shared" si="33"/>
        <v>12306.308479691594</v>
      </c>
      <c r="M111" s="41">
        <v>106</v>
      </c>
      <c r="N111" s="57">
        <f t="shared" si="34"/>
        <v>-20964.730745359499</v>
      </c>
      <c r="O111" s="57">
        <f t="shared" si="35"/>
        <v>13364.415935784116</v>
      </c>
      <c r="Q111" s="41">
        <v>106</v>
      </c>
      <c r="R111" s="57">
        <f t="shared" si="36"/>
        <v>-6378.1867790849956</v>
      </c>
      <c r="S111" s="41">
        <f t="shared" si="37"/>
        <v>-10193.691520308406</v>
      </c>
      <c r="U111" s="41">
        <v>105</v>
      </c>
      <c r="V111" s="41">
        <f t="shared" si="59"/>
        <v>52.5</v>
      </c>
      <c r="W111" s="57">
        <f t="shared" si="60"/>
        <v>25820.969090435901</v>
      </c>
      <c r="X111" s="57">
        <f t="shared" si="61"/>
        <v>26165.924463924719</v>
      </c>
      <c r="Y111" s="57">
        <f t="shared" si="62"/>
        <v>-5664.392019433908</v>
      </c>
      <c r="Z111" s="57">
        <f t="shared" si="63"/>
        <v>-6790.6896069512422</v>
      </c>
      <c r="AA111" s="57">
        <f t="shared" si="38"/>
        <v>-2198.9063971462565</v>
      </c>
      <c r="AB111" s="57">
        <f t="shared" si="39"/>
        <v>-2143.3433927409901</v>
      </c>
      <c r="AC111" s="57">
        <f t="shared" si="40"/>
        <v>-287.75140910546384</v>
      </c>
      <c r="AD111" s="57">
        <f t="shared" si="41"/>
        <v>-922.72368798101127</v>
      </c>
      <c r="AE111" s="57">
        <f t="shared" si="42"/>
        <v>-69.559897510351192</v>
      </c>
      <c r="AF111" s="57">
        <f t="shared" si="43"/>
        <v>-24.54116687604926</v>
      </c>
      <c r="AG111" s="57">
        <f t="shared" si="44"/>
        <v>-112.23660437266497</v>
      </c>
      <c r="AH111" s="57">
        <f t="shared" si="45"/>
        <v>-149.90844590692211</v>
      </c>
      <c r="AJ111" s="57">
        <f t="shared" si="46"/>
        <v>19552.504116985976</v>
      </c>
      <c r="AK111" s="57">
        <f t="shared" si="47"/>
        <v>48589.076160799785</v>
      </c>
      <c r="AL111" s="57">
        <f t="shared" si="48"/>
        <v>51425.338818943732</v>
      </c>
      <c r="AN111" s="41">
        <v>106</v>
      </c>
      <c r="AO111" s="57">
        <f t="shared" si="49"/>
        <v>2932.7198313725071</v>
      </c>
      <c r="AP111" s="57">
        <f t="shared" si="50"/>
        <v>22209.462719537391</v>
      </c>
      <c r="AR111" s="41">
        <v>106</v>
      </c>
      <c r="AS111" s="57">
        <f t="shared" si="51"/>
        <v>14035.269254640503</v>
      </c>
      <c r="AT111" s="57">
        <f t="shared" si="52"/>
        <v>-1635.5840642158837</v>
      </c>
      <c r="AV111" s="57">
        <f t="shared" si="53"/>
        <v>-1678.696249981655</v>
      </c>
      <c r="AW111" s="57">
        <f t="shared" si="54"/>
        <v>-900.25567223856956</v>
      </c>
      <c r="AX111" s="57">
        <f t="shared" si="55"/>
        <v>-50.662236176121716</v>
      </c>
      <c r="AY111" s="57">
        <f t="shared" si="56"/>
        <v>-145.91441973843763</v>
      </c>
      <c r="BA111" s="57">
        <f t="shared" si="57"/>
        <v>23626.058135011852</v>
      </c>
      <c r="BB111" s="57">
        <f t="shared" si="58"/>
        <v>32991.032414085355</v>
      </c>
    </row>
    <row r="112" spans="9:54" x14ac:dyDescent="0.25">
      <c r="I112" s="41">
        <v>107</v>
      </c>
      <c r="J112" s="57">
        <f t="shared" si="32"/>
        <v>18538.141476386318</v>
      </c>
      <c r="K112" s="57">
        <f t="shared" si="33"/>
        <v>12281.523779815177</v>
      </c>
      <c r="M112" s="41">
        <v>107</v>
      </c>
      <c r="N112" s="57">
        <f t="shared" si="34"/>
        <v>-21023.300966529579</v>
      </c>
      <c r="O112" s="57">
        <f t="shared" si="35"/>
        <v>13347.066645870626</v>
      </c>
      <c r="Q112" s="41">
        <v>107</v>
      </c>
      <c r="R112" s="57">
        <f t="shared" si="36"/>
        <v>-6461.8585236136832</v>
      </c>
      <c r="S112" s="41">
        <f t="shared" si="37"/>
        <v>-10218.476220184823</v>
      </c>
      <c r="U112" s="41">
        <v>106</v>
      </c>
      <c r="V112" s="41">
        <f t="shared" si="59"/>
        <v>53</v>
      </c>
      <c r="W112" s="57">
        <f t="shared" si="60"/>
        <v>22713.909781075665</v>
      </c>
      <c r="X112" s="57">
        <f t="shared" si="61"/>
        <v>22502.661736356473</v>
      </c>
      <c r="Y112" s="57">
        <f t="shared" si="62"/>
        <v>-6763.8452180070362</v>
      </c>
      <c r="Z112" s="57">
        <f t="shared" si="63"/>
        <v>-7862.3613033217371</v>
      </c>
      <c r="AA112" s="57">
        <f t="shared" si="38"/>
        <v>-2662.9653340947948</v>
      </c>
      <c r="AB112" s="57">
        <f t="shared" si="39"/>
        <v>-2609.0476023642368</v>
      </c>
      <c r="AC112" s="57">
        <f t="shared" si="40"/>
        <v>-234.43043641197008</v>
      </c>
      <c r="AD112" s="57">
        <f t="shared" si="41"/>
        <v>-1295.9460048083135</v>
      </c>
      <c r="AE112" s="57">
        <f t="shared" si="42"/>
        <v>-83.884924229116663</v>
      </c>
      <c r="AF112" s="57">
        <f t="shared" si="43"/>
        <v>-24.553707159844247</v>
      </c>
      <c r="AG112" s="57">
        <f t="shared" si="44"/>
        <v>-133.77178475813685</v>
      </c>
      <c r="AH112" s="57">
        <f t="shared" si="45"/>
        <v>-181.02093978377579</v>
      </c>
      <c r="AJ112" s="57">
        <f t="shared" si="46"/>
        <v>15246.152481047564</v>
      </c>
      <c r="AK112" s="57">
        <f t="shared" si="47"/>
        <v>44506.119121752497</v>
      </c>
      <c r="AL112" s="57">
        <f t="shared" si="48"/>
        <v>46631.646257291599</v>
      </c>
      <c r="AN112" s="41">
        <v>107</v>
      </c>
      <c r="AO112" s="57">
        <f t="shared" si="49"/>
        <v>2807.2122145794751</v>
      </c>
      <c r="AP112" s="57">
        <f t="shared" si="50"/>
        <v>22172.285669722765</v>
      </c>
      <c r="AR112" s="41">
        <v>107</v>
      </c>
      <c r="AS112" s="57">
        <f t="shared" si="51"/>
        <v>13976.699033470422</v>
      </c>
      <c r="AT112" s="57">
        <f t="shared" si="52"/>
        <v>-1652.9333541293754</v>
      </c>
      <c r="AV112" s="57">
        <f t="shared" si="53"/>
        <v>-2156.413146515089</v>
      </c>
      <c r="AW112" s="57">
        <f t="shared" si="54"/>
        <v>-913.34090565478618</v>
      </c>
      <c r="AX112" s="57">
        <f t="shared" si="55"/>
        <v>-54.465042180482193</v>
      </c>
      <c r="AY112" s="57">
        <f t="shared" si="56"/>
        <v>-194.18604495751697</v>
      </c>
      <c r="BA112" s="57">
        <f t="shared" si="57"/>
        <v>19237.269371256294</v>
      </c>
      <c r="BB112" s="57">
        <f t="shared" si="58"/>
        <v>28563.977431286094</v>
      </c>
    </row>
    <row r="113" spans="9:54" x14ac:dyDescent="0.25">
      <c r="I113" s="41">
        <v>108</v>
      </c>
      <c r="J113" s="57">
        <f t="shared" si="32"/>
        <v>18454.915028125262</v>
      </c>
      <c r="K113" s="57">
        <f t="shared" si="33"/>
        <v>12255.282581475767</v>
      </c>
      <c r="M113" s="41">
        <v>108</v>
      </c>
      <c r="N113" s="57">
        <f t="shared" si="34"/>
        <v>-21081.559480312317</v>
      </c>
      <c r="O113" s="57">
        <f t="shared" si="35"/>
        <v>13328.697807033037</v>
      </c>
      <c r="Q113" s="41">
        <v>108</v>
      </c>
      <c r="R113" s="57">
        <f t="shared" si="36"/>
        <v>-6545.0849718747368</v>
      </c>
      <c r="S113" s="41">
        <f t="shared" si="37"/>
        <v>-10244.717418524233</v>
      </c>
      <c r="U113" s="41">
        <v>107</v>
      </c>
      <c r="V113" s="41">
        <f t="shared" si="59"/>
        <v>53.5</v>
      </c>
      <c r="W113" s="57">
        <f t="shared" si="60"/>
        <v>18999.116505310296</v>
      </c>
      <c r="X113" s="57">
        <f t="shared" si="61"/>
        <v>18245.350134400072</v>
      </c>
      <c r="Y113" s="57">
        <f t="shared" si="62"/>
        <v>-8095.3278850544339</v>
      </c>
      <c r="Z113" s="57">
        <f t="shared" si="63"/>
        <v>-9166.8851045038555</v>
      </c>
      <c r="AA113" s="57">
        <f t="shared" si="38"/>
        <v>-2916.3683846406943</v>
      </c>
      <c r="AB113" s="57">
        <f t="shared" si="39"/>
        <v>-2940.6166613367805</v>
      </c>
      <c r="AC113" s="57">
        <f t="shared" si="40"/>
        <v>164.55181457336022</v>
      </c>
      <c r="AD113" s="57">
        <f t="shared" si="41"/>
        <v>-1766.6060757549035</v>
      </c>
      <c r="AE113" s="57">
        <f t="shared" si="42"/>
        <v>-105.65978437804884</v>
      </c>
      <c r="AF113" s="57">
        <f t="shared" si="43"/>
        <v>-22.339016762177188</v>
      </c>
      <c r="AG113" s="57">
        <f t="shared" si="44"/>
        <v>-167.15557303213396</v>
      </c>
      <c r="AH113" s="57">
        <f t="shared" si="45"/>
        <v>-231.55625546215182</v>
      </c>
      <c r="AJ113" s="57">
        <f t="shared" si="46"/>
        <v>10791.863475822604</v>
      </c>
      <c r="AK113" s="57">
        <f t="shared" si="47"/>
        <v>39861.220340496569</v>
      </c>
      <c r="AL113" s="57">
        <f t="shared" si="48"/>
        <v>41002.571853413188</v>
      </c>
      <c r="AN113" s="41">
        <v>108</v>
      </c>
      <c r="AO113" s="57">
        <f t="shared" si="49"/>
        <v>2682.3725421878949</v>
      </c>
      <c r="AP113" s="57">
        <f t="shared" si="50"/>
        <v>22132.923872213651</v>
      </c>
      <c r="AR113" s="41">
        <v>108</v>
      </c>
      <c r="AS113" s="57">
        <f t="shared" si="51"/>
        <v>13918.440519687685</v>
      </c>
      <c r="AT113" s="57">
        <f t="shared" si="52"/>
        <v>-1671.3021929669621</v>
      </c>
      <c r="AV113" s="57">
        <f t="shared" si="53"/>
        <v>-2759.8813601215711</v>
      </c>
      <c r="AW113" s="57">
        <f t="shared" si="54"/>
        <v>-639.81047229667763</v>
      </c>
      <c r="AX113" s="57">
        <f t="shared" si="55"/>
        <v>-48.223481682300566</v>
      </c>
      <c r="AY113" s="57">
        <f t="shared" si="56"/>
        <v>-280.30484106087016</v>
      </c>
      <c r="BA113" s="57">
        <f t="shared" si="57"/>
        <v>14370.370921590777</v>
      </c>
      <c r="BB113" s="57">
        <f t="shared" si="58"/>
        <v>23586.844547202549</v>
      </c>
    </row>
    <row r="114" spans="9:54" x14ac:dyDescent="0.25">
      <c r="I114" s="41">
        <v>109</v>
      </c>
      <c r="J114" s="57">
        <f t="shared" si="32"/>
        <v>18372.159227714219</v>
      </c>
      <c r="K114" s="57">
        <f t="shared" si="33"/>
        <v>12227.592877996583</v>
      </c>
      <c r="M114" s="41">
        <v>109</v>
      </c>
      <c r="N114" s="57">
        <f t="shared" si="34"/>
        <v>-21139.488540600047</v>
      </c>
      <c r="O114" s="57">
        <f t="shared" si="35"/>
        <v>13309.315014597609</v>
      </c>
      <c r="Q114" s="41">
        <v>109</v>
      </c>
      <c r="R114" s="57">
        <f t="shared" si="36"/>
        <v>-6627.8407722857819</v>
      </c>
      <c r="S114" s="41">
        <f t="shared" si="37"/>
        <v>-10272.407122003417</v>
      </c>
      <c r="U114" s="41">
        <v>108</v>
      </c>
      <c r="V114" s="41">
        <f t="shared" si="59"/>
        <v>54</v>
      </c>
      <c r="W114" s="57">
        <f t="shared" si="60"/>
        <v>14586.906514702992</v>
      </c>
      <c r="X114" s="57">
        <f t="shared" si="61"/>
        <v>13294.330499481048</v>
      </c>
      <c r="Y114" s="57">
        <f t="shared" si="62"/>
        <v>-9553.5120773747803</v>
      </c>
      <c r="Z114" s="57">
        <f t="shared" si="63"/>
        <v>-10637.193435172245</v>
      </c>
      <c r="AA114" s="57">
        <f t="shared" si="38"/>
        <v>-1951.0760722636699</v>
      </c>
      <c r="AB114" s="57">
        <f t="shared" si="39"/>
        <v>-1704.6242827049443</v>
      </c>
      <c r="AC114" s="57">
        <f t="shared" si="40"/>
        <v>1363.5124852300114</v>
      </c>
      <c r="AD114" s="57">
        <f t="shared" si="41"/>
        <v>-1459.542866024964</v>
      </c>
      <c r="AE114" s="57">
        <f t="shared" si="42"/>
        <v>-139.52905603525596</v>
      </c>
      <c r="AF114" s="57">
        <f t="shared" si="43"/>
        <v>-13.289850731962494</v>
      </c>
      <c r="AG114" s="57">
        <f t="shared" si="44"/>
        <v>-222.84727875068</v>
      </c>
      <c r="AH114" s="57">
        <f t="shared" si="45"/>
        <v>-321.91477256240591</v>
      </c>
      <c r="AJ114" s="57">
        <f t="shared" si="46"/>
        <v>7929.4291735143961</v>
      </c>
      <c r="AK114" s="57">
        <f t="shared" si="47"/>
        <v>34743.441333532508</v>
      </c>
      <c r="AL114" s="57">
        <f t="shared" si="48"/>
        <v>34412.440268449107</v>
      </c>
      <c r="AN114" s="41">
        <v>109</v>
      </c>
      <c r="AO114" s="57">
        <f t="shared" si="49"/>
        <v>2558.2388415713267</v>
      </c>
      <c r="AP114" s="57">
        <f t="shared" si="50"/>
        <v>22091.389316994875</v>
      </c>
      <c r="AR114" s="41">
        <v>109</v>
      </c>
      <c r="AS114" s="57">
        <f t="shared" si="51"/>
        <v>13860.511459399953</v>
      </c>
      <c r="AT114" s="57">
        <f t="shared" si="52"/>
        <v>-1690.6849854023912</v>
      </c>
      <c r="AV114" s="57">
        <f t="shared" si="53"/>
        <v>-2962.0771385164553</v>
      </c>
      <c r="AW114" s="57">
        <f t="shared" si="54"/>
        <v>527.00259730325467</v>
      </c>
      <c r="AX114" s="57">
        <f t="shared" si="55"/>
        <v>9.8649158087100464</v>
      </c>
      <c r="AY114" s="57">
        <f t="shared" si="56"/>
        <v>-436.87939068886652</v>
      </c>
      <c r="BA114" s="57">
        <f t="shared" si="57"/>
        <v>9737.4578287484892</v>
      </c>
      <c r="BB114" s="57">
        <f t="shared" si="58"/>
        <v>18298.993815284961</v>
      </c>
    </row>
    <row r="115" spans="9:54" x14ac:dyDescent="0.25">
      <c r="I115" s="41">
        <v>110</v>
      </c>
      <c r="J115" s="57">
        <f t="shared" si="32"/>
        <v>18289.899283371655</v>
      </c>
      <c r="K115" s="57">
        <f t="shared" si="33"/>
        <v>12198.463103929542</v>
      </c>
      <c r="M115" s="41">
        <v>110</v>
      </c>
      <c r="N115" s="57">
        <f t="shared" si="34"/>
        <v>-21197.070501639842</v>
      </c>
      <c r="O115" s="57">
        <f t="shared" si="35"/>
        <v>13288.92417275068</v>
      </c>
      <c r="Q115" s="41">
        <v>110</v>
      </c>
      <c r="R115" s="57">
        <f t="shared" si="36"/>
        <v>-6710.1007166283434</v>
      </c>
      <c r="S115" s="41">
        <f t="shared" si="37"/>
        <v>-10301.536896070458</v>
      </c>
      <c r="U115" s="41">
        <v>109</v>
      </c>
      <c r="V115" s="41">
        <f t="shared" si="59"/>
        <v>54.5</v>
      </c>
      <c r="W115" s="57">
        <f t="shared" si="60"/>
        <v>9566.2659669826426</v>
      </c>
      <c r="X115" s="57">
        <f t="shared" si="61"/>
        <v>7762.6557465568076</v>
      </c>
      <c r="Y115" s="57">
        <f t="shared" si="62"/>
        <v>-10529.050113506615</v>
      </c>
      <c r="Z115" s="57">
        <f t="shared" si="63"/>
        <v>-11489.505576524716</v>
      </c>
      <c r="AA115" s="57">
        <f t="shared" si="38"/>
        <v>-4.1886824677512209</v>
      </c>
      <c r="AB115" s="57">
        <f t="shared" si="39"/>
        <v>1342.7181430238697</v>
      </c>
      <c r="AC115" s="57">
        <f t="shared" si="40"/>
        <v>1808.9709157983993</v>
      </c>
      <c r="AD115" s="57">
        <f t="shared" si="41"/>
        <v>-45.53850087466477</v>
      </c>
      <c r="AE115" s="57">
        <f t="shared" si="42"/>
        <v>-187.77945597579324</v>
      </c>
      <c r="AF115" s="57">
        <f t="shared" si="43"/>
        <v>14.209683671630911</v>
      </c>
      <c r="AG115" s="57">
        <f t="shared" si="44"/>
        <v>-318.7739657860584</v>
      </c>
      <c r="AH115" s="57">
        <f t="shared" si="45"/>
        <v>-498.14702413097655</v>
      </c>
      <c r="AJ115" s="57">
        <f t="shared" si="46"/>
        <v>10437.039518606029</v>
      </c>
      <c r="AK115" s="57">
        <f t="shared" si="47"/>
        <v>29650.797502576072</v>
      </c>
      <c r="AL115" s="57">
        <f t="shared" si="48"/>
        <v>27024.333495150855</v>
      </c>
      <c r="AN115" s="41">
        <v>110</v>
      </c>
      <c r="AO115" s="57">
        <f t="shared" si="49"/>
        <v>2434.8489250574848</v>
      </c>
      <c r="AP115" s="57">
        <f t="shared" si="50"/>
        <v>22047.694655894313</v>
      </c>
      <c r="AR115" s="41">
        <v>110</v>
      </c>
      <c r="AS115" s="57">
        <f t="shared" si="51"/>
        <v>13802.929498360159</v>
      </c>
      <c r="AT115" s="57">
        <f t="shared" si="52"/>
        <v>-1711.0758272493204</v>
      </c>
      <c r="AV115" s="57">
        <f t="shared" si="53"/>
        <v>-1566.7754169401535</v>
      </c>
      <c r="AW115" s="57">
        <f t="shared" si="54"/>
        <v>2483.2747680969642</v>
      </c>
      <c r="AX115" s="57">
        <f t="shared" si="55"/>
        <v>260.16924043585465</v>
      </c>
      <c r="AY115" s="57">
        <f t="shared" si="56"/>
        <v>-611.08078373908393</v>
      </c>
      <c r="BA115" s="57">
        <f t="shared" si="57"/>
        <v>8557.4491949453677</v>
      </c>
      <c r="BB115" s="57">
        <f t="shared" si="58"/>
        <v>13871.223711219229</v>
      </c>
    </row>
    <row r="116" spans="9:54" x14ac:dyDescent="0.25">
      <c r="I116" s="41">
        <v>111</v>
      </c>
      <c r="J116" s="57">
        <f t="shared" si="32"/>
        <v>18208.160252273497</v>
      </c>
      <c r="K116" s="57">
        <f t="shared" si="33"/>
        <v>12167.902132486008</v>
      </c>
      <c r="M116" s="41">
        <v>111</v>
      </c>
      <c r="N116" s="57">
        <f t="shared" si="34"/>
        <v>-21254.287823408551</v>
      </c>
      <c r="O116" s="57">
        <f t="shared" si="35"/>
        <v>13267.531492740207</v>
      </c>
      <c r="Q116" s="41">
        <v>111</v>
      </c>
      <c r="R116" s="57">
        <f t="shared" si="36"/>
        <v>-6791.8397477265016</v>
      </c>
      <c r="S116" s="41">
        <f t="shared" si="37"/>
        <v>-10332.097867513992</v>
      </c>
      <c r="U116" s="41">
        <v>110</v>
      </c>
      <c r="V116" s="41">
        <f t="shared" si="59"/>
        <v>55</v>
      </c>
      <c r="W116" s="57">
        <f t="shared" si="60"/>
        <v>4301.2173249208663</v>
      </c>
      <c r="X116" s="57">
        <f t="shared" si="61"/>
        <v>2185.7427261724333</v>
      </c>
      <c r="Y116" s="57">
        <f t="shared" si="62"/>
        <v>-10531.14445474049</v>
      </c>
      <c r="Z116" s="57">
        <f t="shared" si="63"/>
        <v>-10818.146505012781</v>
      </c>
      <c r="AA116" s="57">
        <f t="shared" si="38"/>
        <v>1207.1457187613887</v>
      </c>
      <c r="AB116" s="57">
        <f t="shared" si="39"/>
        <v>2143.1454156559125</v>
      </c>
      <c r="AC116" s="57">
        <f t="shared" si="40"/>
        <v>1133.3160587428345</v>
      </c>
      <c r="AD116" s="57">
        <f t="shared" si="41"/>
        <v>383.64332020981612</v>
      </c>
      <c r="AE116" s="57">
        <f t="shared" si="42"/>
        <v>-235.34480636723802</v>
      </c>
      <c r="AF116" s="57">
        <f t="shared" si="43"/>
        <v>75.677067548661114</v>
      </c>
      <c r="AG116" s="57">
        <f t="shared" si="44"/>
        <v>-460.41965965970383</v>
      </c>
      <c r="AH116" s="57">
        <f t="shared" si="45"/>
        <v>-850.71163704379546</v>
      </c>
      <c r="AJ116" s="57">
        <f t="shared" si="46"/>
        <v>16573.86822234912</v>
      </c>
      <c r="AK116" s="57">
        <f t="shared" si="47"/>
        <v>25526.68760757261</v>
      </c>
      <c r="AL116" s="57">
        <f t="shared" si="48"/>
        <v>19541.299771908642</v>
      </c>
      <c r="AN116" s="41">
        <v>111</v>
      </c>
      <c r="AO116" s="57">
        <f t="shared" si="49"/>
        <v>2312.240378410248</v>
      </c>
      <c r="AP116" s="57">
        <f t="shared" si="50"/>
        <v>22001.853198729012</v>
      </c>
      <c r="AR116" s="41">
        <v>111</v>
      </c>
      <c r="AS116" s="57">
        <f t="shared" si="51"/>
        <v>13745.712176591449</v>
      </c>
      <c r="AT116" s="57">
        <f t="shared" si="52"/>
        <v>-1732.468507259794</v>
      </c>
      <c r="AV116" s="57">
        <f t="shared" si="53"/>
        <v>160.52024273831037</v>
      </c>
      <c r="AW116" s="57">
        <f t="shared" si="54"/>
        <v>2943.6157498796333</v>
      </c>
      <c r="AX116" s="57">
        <f t="shared" si="55"/>
        <v>609.07388330718561</v>
      </c>
      <c r="AY116" s="57">
        <f t="shared" si="56"/>
        <v>-409.07908493840256</v>
      </c>
      <c r="BA116" s="57">
        <f t="shared" si="57"/>
        <v>12833.296018826708</v>
      </c>
      <c r="BB116" s="57">
        <f t="shared" si="58"/>
        <v>12887.934250891934</v>
      </c>
    </row>
    <row r="117" spans="9:54" x14ac:dyDescent="0.25">
      <c r="I117" s="41">
        <v>112</v>
      </c>
      <c r="J117" s="57">
        <f t="shared" si="32"/>
        <v>18126.967032920438</v>
      </c>
      <c r="K117" s="57">
        <f t="shared" si="33"/>
        <v>12135.919272833937</v>
      </c>
      <c r="M117" s="41">
        <v>112</v>
      </c>
      <c r="N117" s="57">
        <f t="shared" si="34"/>
        <v>-21311.123076955693</v>
      </c>
      <c r="O117" s="57">
        <f t="shared" si="35"/>
        <v>13245.143490983755</v>
      </c>
      <c r="Q117" s="41">
        <v>112</v>
      </c>
      <c r="R117" s="57">
        <f t="shared" si="36"/>
        <v>-6873.03296707956</v>
      </c>
      <c r="S117" s="41">
        <f t="shared" si="37"/>
        <v>-10364.080727166063</v>
      </c>
      <c r="U117" s="41">
        <v>111</v>
      </c>
      <c r="V117" s="41">
        <f t="shared" si="59"/>
        <v>55.5</v>
      </c>
      <c r="W117" s="57">
        <f t="shared" si="60"/>
        <v>-813.46168760420505</v>
      </c>
      <c r="X117" s="57">
        <f t="shared" si="61"/>
        <v>-2955.4373493769681</v>
      </c>
      <c r="Y117" s="57">
        <f t="shared" si="62"/>
        <v>-9927.5715953597955</v>
      </c>
      <c r="Z117" s="57">
        <f t="shared" si="63"/>
        <v>-9746.5737971848248</v>
      </c>
      <c r="AA117" s="57">
        <f t="shared" si="38"/>
        <v>1181.4723059194016</v>
      </c>
      <c r="AB117" s="57">
        <f t="shared" si="39"/>
        <v>1213.6212662299679</v>
      </c>
      <c r="AC117" s="57">
        <f t="shared" si="40"/>
        <v>669.13948414880645</v>
      </c>
      <c r="AD117" s="57">
        <f t="shared" si="41"/>
        <v>336.13562508340146</v>
      </c>
      <c r="AE117" s="57">
        <f t="shared" si="42"/>
        <v>-243.55259011650261</v>
      </c>
      <c r="AF117" s="57">
        <f t="shared" si="43"/>
        <v>164.45542552583765</v>
      </c>
      <c r="AG117" s="57">
        <f t="shared" si="44"/>
        <v>-515.12793418845513</v>
      </c>
      <c r="AH117" s="57">
        <f t="shared" si="45"/>
        <v>-1482.0097687982877</v>
      </c>
      <c r="AJ117" s="57">
        <f t="shared" si="46"/>
        <v>23291.980542412337</v>
      </c>
      <c r="AK117" s="57">
        <f t="shared" si="47"/>
        <v>23150.952665639128</v>
      </c>
      <c r="AL117" s="57">
        <f t="shared" si="48"/>
        <v>12751.415313052163</v>
      </c>
      <c r="AN117" s="41">
        <v>112</v>
      </c>
      <c r="AO117" s="57">
        <f t="shared" si="49"/>
        <v>2190.4505493806596</v>
      </c>
      <c r="AP117" s="57">
        <f t="shared" si="50"/>
        <v>21953.878909250907</v>
      </c>
      <c r="AR117" s="41">
        <v>112</v>
      </c>
      <c r="AS117" s="57">
        <f t="shared" si="51"/>
        <v>13688.876923044307</v>
      </c>
      <c r="AT117" s="57">
        <f t="shared" si="52"/>
        <v>-1754.8565090162442</v>
      </c>
      <c r="AV117" s="57">
        <f t="shared" si="53"/>
        <v>733.2050635731639</v>
      </c>
      <c r="AW117" s="57">
        <f t="shared" si="54"/>
        <v>2264.5745840735653</v>
      </c>
      <c r="AX117" s="57">
        <f t="shared" si="55"/>
        <v>537.80828250238915</v>
      </c>
      <c r="AY117" s="57">
        <f t="shared" si="56"/>
        <v>-69.53459965454887</v>
      </c>
      <c r="BA117" s="57">
        <f t="shared" si="57"/>
        <v>18873.104333962743</v>
      </c>
      <c r="BB117" s="57">
        <f t="shared" si="58"/>
        <v>15945.087236438963</v>
      </c>
    </row>
    <row r="118" spans="9:54" x14ac:dyDescent="0.25">
      <c r="I118" s="41">
        <v>113</v>
      </c>
      <c r="J118" s="57">
        <f t="shared" si="32"/>
        <v>18046.344357553633</v>
      </c>
      <c r="K118" s="57">
        <f t="shared" si="33"/>
        <v>12102.524267262201</v>
      </c>
      <c r="M118" s="41">
        <v>113</v>
      </c>
      <c r="N118" s="57">
        <f t="shared" si="34"/>
        <v>-21367.558949712457</v>
      </c>
      <c r="O118" s="57">
        <f t="shared" si="35"/>
        <v>13221.766987083542</v>
      </c>
      <c r="Q118" s="41">
        <v>113</v>
      </c>
      <c r="R118" s="57">
        <f t="shared" si="36"/>
        <v>-6953.6556424463679</v>
      </c>
      <c r="S118" s="41">
        <f t="shared" si="37"/>
        <v>-10397.475732737799</v>
      </c>
      <c r="U118" s="41">
        <v>112</v>
      </c>
      <c r="V118" s="41">
        <f t="shared" si="59"/>
        <v>56</v>
      </c>
      <c r="W118" s="57">
        <f t="shared" si="60"/>
        <v>-5629.5634470441773</v>
      </c>
      <c r="X118" s="57">
        <f t="shared" si="61"/>
        <v>-7677.0215896906348</v>
      </c>
      <c r="Y118" s="57">
        <f t="shared" si="62"/>
        <v>-9336.8354424000954</v>
      </c>
      <c r="Z118" s="57">
        <f t="shared" si="63"/>
        <v>-9139.7631640698401</v>
      </c>
      <c r="AA118" s="57">
        <f t="shared" si="38"/>
        <v>1519.8231566059098</v>
      </c>
      <c r="AB118" s="57">
        <f t="shared" si="39"/>
        <v>141.00100948736574</v>
      </c>
      <c r="AC118" s="57">
        <f t="shared" si="40"/>
        <v>432.63456941796511</v>
      </c>
      <c r="AD118" s="57">
        <f t="shared" si="41"/>
        <v>256.19258845629025</v>
      </c>
      <c r="AE118" s="57">
        <f t="shared" si="42"/>
        <v>-190.6582660588158</v>
      </c>
      <c r="AF118" s="57">
        <f t="shared" si="43"/>
        <v>234.52803768034761</v>
      </c>
      <c r="AG118" s="57">
        <f t="shared" si="44"/>
        <v>172.4497043591596</v>
      </c>
      <c r="AH118" s="57">
        <f t="shared" si="45"/>
        <v>-2005.9065814819185</v>
      </c>
      <c r="AJ118" s="57">
        <f t="shared" si="46"/>
        <v>29786.179795670316</v>
      </c>
      <c r="AK118" s="57">
        <f t="shared" si="47"/>
        <v>22781.27606182142</v>
      </c>
      <c r="AL118" s="57">
        <f t="shared" si="48"/>
        <v>7349.9906756206992</v>
      </c>
      <c r="AN118" s="41">
        <v>113</v>
      </c>
      <c r="AO118" s="57">
        <f t="shared" si="49"/>
        <v>2069.5165363304482</v>
      </c>
      <c r="AP118" s="57">
        <f t="shared" si="50"/>
        <v>21903.786400893303</v>
      </c>
      <c r="AR118" s="41">
        <v>113</v>
      </c>
      <c r="AS118" s="57">
        <f t="shared" si="51"/>
        <v>13632.441050287542</v>
      </c>
      <c r="AT118" s="57">
        <f t="shared" si="52"/>
        <v>-1778.2330129164588</v>
      </c>
      <c r="AV118" s="57">
        <f t="shared" si="53"/>
        <v>755.00327339162197</v>
      </c>
      <c r="AW118" s="57">
        <f t="shared" si="54"/>
        <v>1610.7176570595577</v>
      </c>
      <c r="AX118" s="57">
        <f t="shared" si="55"/>
        <v>350.39387549597899</v>
      </c>
      <c r="AY118" s="57">
        <f t="shared" si="56"/>
        <v>45.469307773088502</v>
      </c>
      <c r="BA118" s="57">
        <f t="shared" si="57"/>
        <v>25044.658657167456</v>
      </c>
      <c r="BB118" s="57">
        <f t="shared" si="58"/>
        <v>20802.531879732596</v>
      </c>
    </row>
    <row r="119" spans="9:54" x14ac:dyDescent="0.25">
      <c r="I119" s="41">
        <v>114</v>
      </c>
      <c r="J119" s="57">
        <f t="shared" si="32"/>
        <v>17966.316784620998</v>
      </c>
      <c r="K119" s="57">
        <f t="shared" si="33"/>
        <v>12067.727288213006</v>
      </c>
      <c r="M119" s="41">
        <v>114</v>
      </c>
      <c r="N119" s="57">
        <f t="shared" si="34"/>
        <v>-21423.578250765298</v>
      </c>
      <c r="O119" s="57">
        <f t="shared" si="35"/>
        <v>13197.409101749103</v>
      </c>
      <c r="Q119" s="41">
        <v>114</v>
      </c>
      <c r="R119" s="57">
        <f t="shared" si="36"/>
        <v>-7033.6832153790001</v>
      </c>
      <c r="S119" s="41">
        <f t="shared" si="37"/>
        <v>-10432.272711786994</v>
      </c>
      <c r="U119" s="41">
        <v>113</v>
      </c>
      <c r="V119" s="41">
        <f t="shared" si="59"/>
        <v>56.5</v>
      </c>
      <c r="W119" s="57">
        <f t="shared" si="60"/>
        <v>-10108.003273668486</v>
      </c>
      <c r="X119" s="57">
        <f t="shared" si="61"/>
        <v>-12229.278045539633</v>
      </c>
      <c r="Y119" s="57">
        <f t="shared" si="62"/>
        <v>-8576.9238640971398</v>
      </c>
      <c r="Z119" s="57">
        <f t="shared" si="63"/>
        <v>-9069.2626593261575</v>
      </c>
      <c r="AA119" s="57">
        <f t="shared" si="38"/>
        <v>2795.9357477154663</v>
      </c>
      <c r="AB119" s="57">
        <f t="shared" si="39"/>
        <v>737.29464823852868</v>
      </c>
      <c r="AC119" s="57">
        <f t="shared" si="40"/>
        <v>302.32602141829091</v>
      </c>
      <c r="AD119" s="57">
        <f t="shared" si="41"/>
        <v>198.10925629132467</v>
      </c>
      <c r="AE119" s="57">
        <f t="shared" si="42"/>
        <v>-109.47057120752783</v>
      </c>
      <c r="AF119" s="57">
        <f t="shared" si="43"/>
        <v>246.00207950924352</v>
      </c>
      <c r="AG119" s="57">
        <f t="shared" si="44"/>
        <v>1728.6956063745986</v>
      </c>
      <c r="AH119" s="57">
        <f t="shared" si="45"/>
        <v>-937.69220819652412</v>
      </c>
      <c r="AJ119" s="57">
        <f t="shared" si="46"/>
        <v>35996.336943159156</v>
      </c>
      <c r="AK119" s="57">
        <f t="shared" si="47"/>
        <v>24330.893975759784</v>
      </c>
      <c r="AL119" s="57">
        <f t="shared" si="48"/>
        <v>5811.0754248019057</v>
      </c>
      <c r="AN119" s="41">
        <v>114</v>
      </c>
      <c r="AO119" s="57">
        <f t="shared" si="49"/>
        <v>1949.4751769314998</v>
      </c>
      <c r="AP119" s="57">
        <f t="shared" si="50"/>
        <v>21851.590932319508</v>
      </c>
      <c r="AR119" s="41">
        <v>114</v>
      </c>
      <c r="AS119" s="57">
        <f t="shared" si="51"/>
        <v>13576.4217492347</v>
      </c>
      <c r="AT119" s="57">
        <f t="shared" si="52"/>
        <v>-1802.5908982508968</v>
      </c>
      <c r="AV119" s="57">
        <f t="shared" si="53"/>
        <v>646.54560644592698</v>
      </c>
      <c r="AW119" s="57">
        <f t="shared" si="54"/>
        <v>1165.2744421707685</v>
      </c>
      <c r="AX119" s="57">
        <f t="shared" si="55"/>
        <v>227.83908468417738</v>
      </c>
      <c r="AY119" s="57">
        <f t="shared" si="56"/>
        <v>65.601078463716178</v>
      </c>
      <c r="BA119" s="57">
        <f t="shared" si="57"/>
        <v>31139.771126302203</v>
      </c>
      <c r="BB119" s="57">
        <f t="shared" si="58"/>
        <v>26128.036463735058</v>
      </c>
    </row>
    <row r="120" spans="9:54" x14ac:dyDescent="0.25">
      <c r="I120" s="41">
        <v>115</v>
      </c>
      <c r="J120" s="57">
        <f t="shared" si="32"/>
        <v>17886.908691296503</v>
      </c>
      <c r="K120" s="57">
        <f t="shared" si="33"/>
        <v>12031.538935183249</v>
      </c>
      <c r="M120" s="41">
        <v>115</v>
      </c>
      <c r="N120" s="57">
        <f t="shared" si="34"/>
        <v>-21479.163916092446</v>
      </c>
      <c r="O120" s="57">
        <f t="shared" si="35"/>
        <v>13172.077254628275</v>
      </c>
      <c r="Q120" s="41">
        <v>115</v>
      </c>
      <c r="R120" s="57">
        <f t="shared" si="36"/>
        <v>-7113.0913087034969</v>
      </c>
      <c r="S120" s="41">
        <f t="shared" si="37"/>
        <v>-10468.461064816751</v>
      </c>
      <c r="U120" s="41">
        <v>114</v>
      </c>
      <c r="V120" s="41">
        <f t="shared" si="59"/>
        <v>57</v>
      </c>
      <c r="W120" s="57">
        <f t="shared" si="60"/>
        <v>-14046.973237252623</v>
      </c>
      <c r="X120" s="57">
        <f t="shared" si="61"/>
        <v>-16671.747544172897</v>
      </c>
      <c r="Y120" s="57">
        <f t="shared" si="62"/>
        <v>-7178.9559902394067</v>
      </c>
      <c r="Z120" s="57">
        <f t="shared" si="63"/>
        <v>-8700.6153352068941</v>
      </c>
      <c r="AA120" s="57">
        <f t="shared" si="38"/>
        <v>2754.1127160804526</v>
      </c>
      <c r="AB120" s="57">
        <f t="shared" si="39"/>
        <v>1667.6854272780656</v>
      </c>
      <c r="AC120" s="57">
        <f t="shared" si="40"/>
        <v>225.22837461541303</v>
      </c>
      <c r="AD120" s="57">
        <f t="shared" si="41"/>
        <v>159.90153876678272</v>
      </c>
      <c r="AE120" s="57">
        <f t="shared" si="42"/>
        <v>-47.622015890539778</v>
      </c>
      <c r="AF120" s="57">
        <f t="shared" si="43"/>
        <v>213.36413155832602</v>
      </c>
      <c r="AG120" s="57">
        <f t="shared" si="44"/>
        <v>1888.0111083087734</v>
      </c>
      <c r="AH120" s="57">
        <f t="shared" si="45"/>
        <v>348.87667410021385</v>
      </c>
      <c r="AJ120" s="57">
        <f t="shared" si="46"/>
        <v>41754.877151746296</v>
      </c>
      <c r="AK120" s="57">
        <f t="shared" si="47"/>
        <v>27328.01940679345</v>
      </c>
      <c r="AL120" s="57">
        <f t="shared" si="48"/>
        <v>9200.1339450582636</v>
      </c>
      <c r="AN120" s="41">
        <v>115</v>
      </c>
      <c r="AO120" s="57">
        <f t="shared" si="49"/>
        <v>1830.3630369447551</v>
      </c>
      <c r="AP120" s="57">
        <f t="shared" si="50"/>
        <v>21797.308402774877</v>
      </c>
      <c r="AR120" s="41">
        <v>115</v>
      </c>
      <c r="AS120" s="57">
        <f t="shared" si="51"/>
        <v>13520.836083907552</v>
      </c>
      <c r="AT120" s="57">
        <f t="shared" si="52"/>
        <v>-1827.9227453717249</v>
      </c>
      <c r="AV120" s="57">
        <f t="shared" si="53"/>
        <v>530.44390164235494</v>
      </c>
      <c r="AW120" s="57">
        <f t="shared" si="54"/>
        <v>882.03438572091079</v>
      </c>
      <c r="AX120" s="57">
        <f t="shared" si="55"/>
        <v>158.05134740445101</v>
      </c>
      <c r="AY120" s="57">
        <f t="shared" si="56"/>
        <v>63.508697131832413</v>
      </c>
      <c r="BA120" s="57">
        <f t="shared" si="57"/>
        <v>36957.905541337692</v>
      </c>
      <c r="BB120" s="57">
        <f t="shared" si="58"/>
        <v>31304.25442301056</v>
      </c>
    </row>
    <row r="121" spans="9:54" x14ac:dyDescent="0.25">
      <c r="I121" s="41">
        <v>116</v>
      </c>
      <c r="J121" s="57">
        <f t="shared" si="32"/>
        <v>17808.144266054613</v>
      </c>
      <c r="K121" s="57">
        <f t="shared" si="33"/>
        <v>11993.970231495834</v>
      </c>
      <c r="M121" s="41">
        <v>116</v>
      </c>
      <c r="N121" s="57">
        <f t="shared" si="34"/>
        <v>-21534.299013761771</v>
      </c>
      <c r="O121" s="57">
        <f t="shared" si="35"/>
        <v>13145.779162047085</v>
      </c>
      <c r="Q121" s="41">
        <v>116</v>
      </c>
      <c r="R121" s="57">
        <f t="shared" si="36"/>
        <v>-7191.8557339453873</v>
      </c>
      <c r="S121" s="41">
        <f t="shared" si="37"/>
        <v>-10506.029768504166</v>
      </c>
      <c r="U121" s="41">
        <v>115</v>
      </c>
      <c r="V121" s="41">
        <f t="shared" si="59"/>
        <v>57.5</v>
      </c>
      <c r="W121" s="57">
        <f t="shared" si="60"/>
        <v>-17292.187142862269</v>
      </c>
      <c r="X121" s="57">
        <f t="shared" si="61"/>
        <v>-20813.594533366584</v>
      </c>
      <c r="Y121" s="57">
        <f t="shared" si="62"/>
        <v>-5801.8996321991799</v>
      </c>
      <c r="Z121" s="57">
        <f t="shared" si="63"/>
        <v>-7866.7726215678613</v>
      </c>
      <c r="AA121" s="57">
        <f t="shared" si="38"/>
        <v>2058.0194864916139</v>
      </c>
      <c r="AB121" s="57">
        <f t="shared" si="39"/>
        <v>1704.5204508683019</v>
      </c>
      <c r="AC121" s="57">
        <f t="shared" si="40"/>
        <v>177.90587742430407</v>
      </c>
      <c r="AD121" s="57">
        <f t="shared" si="41"/>
        <v>135.07265903171017</v>
      </c>
      <c r="AE121" s="57">
        <f t="shared" si="42"/>
        <v>-15.24535551020643</v>
      </c>
      <c r="AF121" s="57">
        <f t="shared" si="43"/>
        <v>173.48473768053788</v>
      </c>
      <c r="AG121" s="57">
        <f t="shared" si="44"/>
        <v>1338.4397889078796</v>
      </c>
      <c r="AH121" s="57">
        <f t="shared" si="45"/>
        <v>633.01560166641855</v>
      </c>
      <c r="AJ121" s="57">
        <f t="shared" si="46"/>
        <v>46822.717320742377</v>
      </c>
      <c r="AK121" s="57">
        <f t="shared" si="47"/>
        <v>30932.343243537165</v>
      </c>
      <c r="AL121" s="57">
        <f t="shared" si="48"/>
        <v>13597.637521037921</v>
      </c>
      <c r="AN121" s="41">
        <v>116</v>
      </c>
      <c r="AO121" s="57">
        <f t="shared" si="49"/>
        <v>1712.2163990819186</v>
      </c>
      <c r="AP121" s="57">
        <f t="shared" si="50"/>
        <v>21740.955347243751</v>
      </c>
      <c r="AR121" s="41">
        <v>116</v>
      </c>
      <c r="AS121" s="57">
        <f t="shared" si="51"/>
        <v>13465.700986238229</v>
      </c>
      <c r="AT121" s="57">
        <f t="shared" si="52"/>
        <v>-1854.2208379529156</v>
      </c>
      <c r="AV121" s="57">
        <f t="shared" si="53"/>
        <v>438.93282722396475</v>
      </c>
      <c r="AW121" s="57">
        <f t="shared" si="54"/>
        <v>705.16913395896336</v>
      </c>
      <c r="AX121" s="57">
        <f t="shared" si="55"/>
        <v>117.98634844567199</v>
      </c>
      <c r="AY121" s="57">
        <f t="shared" si="56"/>
        <v>57.778318530671889</v>
      </c>
      <c r="BA121" s="57">
        <f t="shared" si="57"/>
        <v>42184.774042452555</v>
      </c>
      <c r="BB121" s="57">
        <f t="shared" si="58"/>
        <v>35956.294616316634</v>
      </c>
    </row>
    <row r="122" spans="9:54" x14ac:dyDescent="0.25">
      <c r="I122" s="41">
        <v>117</v>
      </c>
      <c r="J122" s="57">
        <f t="shared" si="32"/>
        <v>17730.047501302266</v>
      </c>
      <c r="K122" s="57">
        <f t="shared" si="33"/>
        <v>11955.03262094184</v>
      </c>
      <c r="M122" s="41">
        <v>117</v>
      </c>
      <c r="N122" s="57">
        <f t="shared" si="34"/>
        <v>-21588.966749088413</v>
      </c>
      <c r="O122" s="57">
        <f t="shared" si="35"/>
        <v>13118.522834659288</v>
      </c>
      <c r="Q122" s="41">
        <v>117</v>
      </c>
      <c r="R122" s="57">
        <f t="shared" si="36"/>
        <v>-7269.952498697734</v>
      </c>
      <c r="S122" s="41">
        <f t="shared" si="37"/>
        <v>-10544.96737905816</v>
      </c>
      <c r="U122" s="41">
        <v>116</v>
      </c>
      <c r="V122" s="41">
        <f t="shared" si="59"/>
        <v>58</v>
      </c>
      <c r="W122" s="57">
        <f t="shared" si="60"/>
        <v>-19935.884523150406</v>
      </c>
      <c r="X122" s="57">
        <f t="shared" si="61"/>
        <v>-24533.915787791979</v>
      </c>
      <c r="Y122" s="57">
        <f t="shared" si="62"/>
        <v>-4772.889888953373</v>
      </c>
      <c r="Z122" s="57">
        <f t="shared" si="63"/>
        <v>-7014.5123961337104</v>
      </c>
      <c r="AA122" s="57">
        <f t="shared" si="38"/>
        <v>1541.5594436738029</v>
      </c>
      <c r="AB122" s="57">
        <f t="shared" si="39"/>
        <v>1495.4819830956981</v>
      </c>
      <c r="AC122" s="57">
        <f t="shared" si="40"/>
        <v>147.31872550806352</v>
      </c>
      <c r="AD122" s="57">
        <f t="shared" si="41"/>
        <v>118.16930320284959</v>
      </c>
      <c r="AE122" s="57">
        <f t="shared" si="42"/>
        <v>-0.26319973650951628</v>
      </c>
      <c r="AF122" s="57">
        <f t="shared" si="43"/>
        <v>141.76479662330033</v>
      </c>
      <c r="AG122" s="57">
        <f t="shared" si="44"/>
        <v>928.46708897607277</v>
      </c>
      <c r="AH122" s="57">
        <f t="shared" si="45"/>
        <v>592.66172179584544</v>
      </c>
      <c r="AJ122" s="57">
        <f t="shared" si="46"/>
        <v>51196.15838464594</v>
      </c>
      <c r="AK122" s="57">
        <f t="shared" si="47"/>
        <v>34533.975305960354</v>
      </c>
      <c r="AL122" s="57">
        <f t="shared" si="48"/>
        <v>17719.373486034798</v>
      </c>
      <c r="AN122" s="41">
        <v>117</v>
      </c>
      <c r="AO122" s="57">
        <f t="shared" si="49"/>
        <v>1595.0712519534</v>
      </c>
      <c r="AP122" s="57">
        <f t="shared" si="50"/>
        <v>21682.548931412759</v>
      </c>
      <c r="AR122" s="41">
        <v>117</v>
      </c>
      <c r="AS122" s="57">
        <f t="shared" si="51"/>
        <v>13411.033250911587</v>
      </c>
      <c r="AT122" s="57">
        <f t="shared" si="52"/>
        <v>-1881.4771653407124</v>
      </c>
      <c r="AV122" s="57">
        <f t="shared" si="53"/>
        <v>372.51598715340151</v>
      </c>
      <c r="AW122" s="57">
        <f t="shared" si="54"/>
        <v>590.59527854551368</v>
      </c>
      <c r="AX122" s="57">
        <f t="shared" si="55"/>
        <v>93.520841772774546</v>
      </c>
      <c r="AY122" s="57">
        <f t="shared" si="56"/>
        <v>52.290882928189241</v>
      </c>
      <c r="BA122" s="57">
        <f t="shared" si="57"/>
        <v>46741.082940686341</v>
      </c>
      <c r="BB122" s="57">
        <f t="shared" si="58"/>
        <v>40026.115142734612</v>
      </c>
    </row>
    <row r="123" spans="9:54" x14ac:dyDescent="0.25">
      <c r="I123" s="41">
        <v>118</v>
      </c>
      <c r="J123" s="57">
        <f t="shared" si="32"/>
        <v>17652.642186070549</v>
      </c>
      <c r="K123" s="57">
        <f t="shared" si="33"/>
        <v>11914.737964294636</v>
      </c>
      <c r="M123" s="41">
        <v>118</v>
      </c>
      <c r="N123" s="57">
        <f t="shared" si="34"/>
        <v>-21643.150469750617</v>
      </c>
      <c r="O123" s="57">
        <f t="shared" si="35"/>
        <v>13090.316575006245</v>
      </c>
      <c r="Q123" s="41">
        <v>118</v>
      </c>
      <c r="R123" s="57">
        <f t="shared" si="36"/>
        <v>-7347.3578139294532</v>
      </c>
      <c r="S123" s="41">
        <f t="shared" si="37"/>
        <v>-10585.262035705364</v>
      </c>
      <c r="U123" s="41">
        <v>117</v>
      </c>
      <c r="V123" s="41">
        <f t="shared" si="59"/>
        <v>58.5</v>
      </c>
      <c r="W123" s="57">
        <f t="shared" si="60"/>
        <v>-22129.634537167869</v>
      </c>
      <c r="X123" s="57">
        <f t="shared" si="61"/>
        <v>-27854.236737971871</v>
      </c>
      <c r="Y123" s="57">
        <f t="shared" si="62"/>
        <v>-4002.1101671164715</v>
      </c>
      <c r="Z123" s="57">
        <f t="shared" si="63"/>
        <v>-6266.7714045858611</v>
      </c>
      <c r="AA123" s="57">
        <f t="shared" si="38"/>
        <v>1213.6635602582335</v>
      </c>
      <c r="AB123" s="57">
        <f t="shared" si="39"/>
        <v>1293.7942242836168</v>
      </c>
      <c r="AC123" s="57">
        <f t="shared" si="40"/>
        <v>126.28364369358287</v>
      </c>
      <c r="AD123" s="57">
        <f t="shared" si="41"/>
        <v>105.97437847075972</v>
      </c>
      <c r="AE123" s="57">
        <f t="shared" si="42"/>
        <v>6.6735948829972225</v>
      </c>
      <c r="AF123" s="57">
        <f t="shared" si="43"/>
        <v>118.62309527072692</v>
      </c>
      <c r="AG123" s="57">
        <f t="shared" si="44"/>
        <v>679.25097930769982</v>
      </c>
      <c r="AH123" s="57">
        <f t="shared" si="45"/>
        <v>509.71623904615933</v>
      </c>
      <c r="AJ123" s="57">
        <f t="shared" si="46"/>
        <v>54998.437810176823</v>
      </c>
      <c r="AK123" s="57">
        <f t="shared" si="47"/>
        <v>37914.094770630058</v>
      </c>
      <c r="AL123" s="57">
        <f t="shared" si="48"/>
        <v>21416.250406940053</v>
      </c>
      <c r="AN123" s="41">
        <v>118</v>
      </c>
      <c r="AO123" s="57">
        <f t="shared" si="49"/>
        <v>1478.9632791058211</v>
      </c>
      <c r="AP123" s="57">
        <f t="shared" si="50"/>
        <v>21622.106946441952</v>
      </c>
      <c r="AR123" s="41">
        <v>118</v>
      </c>
      <c r="AS123" s="57">
        <f t="shared" si="51"/>
        <v>13356.849530249383</v>
      </c>
      <c r="AT123" s="57">
        <f t="shared" si="52"/>
        <v>-1909.6834249937551</v>
      </c>
      <c r="AV123" s="57">
        <f t="shared" si="53"/>
        <v>324.01161349890612</v>
      </c>
      <c r="AW123" s="57">
        <f t="shared" si="54"/>
        <v>511.81192181971375</v>
      </c>
      <c r="AX123" s="57">
        <f t="shared" si="55"/>
        <v>77.443728875047427</v>
      </c>
      <c r="AY123" s="57">
        <f t="shared" si="56"/>
        <v>47.668589676257163</v>
      </c>
      <c r="BA123" s="57">
        <f t="shared" si="57"/>
        <v>50719.844996947984</v>
      </c>
      <c r="BB123" s="57">
        <f t="shared" si="58"/>
        <v>43599.608917270263</v>
      </c>
    </row>
    <row r="124" spans="9:54" x14ac:dyDescent="0.25">
      <c r="I124" s="41">
        <v>119</v>
      </c>
      <c r="J124" s="57">
        <f t="shared" si="32"/>
        <v>17575.951898768315</v>
      </c>
      <c r="K124" s="57">
        <f t="shared" si="33"/>
        <v>11873.09853569698</v>
      </c>
      <c r="M124" s="41">
        <v>119</v>
      </c>
      <c r="N124" s="57">
        <f t="shared" si="34"/>
        <v>-21696.833670862179</v>
      </c>
      <c r="O124" s="57">
        <f t="shared" si="35"/>
        <v>13061.168974987886</v>
      </c>
      <c r="Q124" s="41">
        <v>119</v>
      </c>
      <c r="R124" s="57">
        <f t="shared" si="36"/>
        <v>-7424.048101231685</v>
      </c>
      <c r="S124" s="41">
        <f t="shared" si="37"/>
        <v>-10626.90146430302</v>
      </c>
      <c r="U124" s="41">
        <v>118</v>
      </c>
      <c r="V124" s="41">
        <f t="shared" si="59"/>
        <v>59</v>
      </c>
      <c r="W124" s="57">
        <f t="shared" si="60"/>
        <v>-23978.981675693827</v>
      </c>
      <c r="X124" s="57">
        <f t="shared" si="61"/>
        <v>-30825.898162229347</v>
      </c>
      <c r="Y124" s="57">
        <f t="shared" si="62"/>
        <v>-3395.2783869873547</v>
      </c>
      <c r="Z124" s="57">
        <f t="shared" si="63"/>
        <v>-5619.874292444053</v>
      </c>
      <c r="AA124" s="57">
        <f t="shared" si="38"/>
        <v>999.39232755641979</v>
      </c>
      <c r="AB124" s="57">
        <f t="shared" si="39"/>
        <v>1134.673726349336</v>
      </c>
      <c r="AC124" s="57">
        <f t="shared" si="40"/>
        <v>111.06542445810531</v>
      </c>
      <c r="AD124" s="57">
        <f t="shared" si="41"/>
        <v>96.789011135259912</v>
      </c>
      <c r="AE124" s="57">
        <f t="shared" si="42"/>
        <v>9.9174149880772529</v>
      </c>
      <c r="AF124" s="57">
        <f t="shared" si="43"/>
        <v>101.75653152893888</v>
      </c>
      <c r="AG124" s="57">
        <f t="shared" si="44"/>
        <v>524.53924870184585</v>
      </c>
      <c r="AH124" s="57">
        <f t="shared" si="45"/>
        <v>437.39463338431347</v>
      </c>
      <c r="AJ124" s="57">
        <f t="shared" si="46"/>
        <v>58335.454906708219</v>
      </c>
      <c r="AK124" s="57">
        <f t="shared" si="47"/>
        <v>41019.340023069963</v>
      </c>
      <c r="AL124" s="57">
        <f t="shared" si="48"/>
        <v>24711.551915806023</v>
      </c>
      <c r="AN124" s="41">
        <v>119</v>
      </c>
      <c r="AO124" s="57">
        <f t="shared" si="49"/>
        <v>1363.9278481524725</v>
      </c>
      <c r="AP124" s="57">
        <f t="shared" si="50"/>
        <v>21559.647803545471</v>
      </c>
      <c r="AR124" s="41">
        <v>119</v>
      </c>
      <c r="AS124" s="57">
        <f t="shared" si="51"/>
        <v>13303.166329137821</v>
      </c>
      <c r="AT124" s="57">
        <f t="shared" si="52"/>
        <v>-1938.8310250121144</v>
      </c>
      <c r="AV124" s="57">
        <f t="shared" si="53"/>
        <v>287.63205475262276</v>
      </c>
      <c r="AW124" s="57">
        <f t="shared" si="54"/>
        <v>454.84680575722405</v>
      </c>
      <c r="AX124" s="57">
        <f t="shared" si="55"/>
        <v>66.238184655768706</v>
      </c>
      <c r="AY124" s="57">
        <f t="shared" si="56"/>
        <v>43.886744543599619</v>
      </c>
      <c r="BA124" s="57">
        <f t="shared" si="57"/>
        <v>54219.870170770548</v>
      </c>
      <c r="BB124" s="57">
        <f t="shared" si="58"/>
        <v>46758.293685290912</v>
      </c>
    </row>
    <row r="125" spans="9:54" x14ac:dyDescent="0.25">
      <c r="I125" s="41">
        <v>120</v>
      </c>
      <c r="J125" s="57">
        <f t="shared" si="32"/>
        <v>17500</v>
      </c>
      <c r="K125" s="57">
        <f t="shared" si="33"/>
        <v>11830.127018922194</v>
      </c>
      <c r="M125" s="41">
        <v>120</v>
      </c>
      <c r="N125" s="57">
        <f t="shared" si="34"/>
        <v>-21750</v>
      </c>
      <c r="O125" s="57">
        <f t="shared" si="35"/>
        <v>13031.088913245536</v>
      </c>
      <c r="Q125" s="41">
        <v>120</v>
      </c>
      <c r="R125" s="57">
        <f t="shared" si="36"/>
        <v>-7499.9999999999991</v>
      </c>
      <c r="S125" s="41">
        <f t="shared" si="37"/>
        <v>-10669.872981077806</v>
      </c>
      <c r="U125" s="41">
        <v>119</v>
      </c>
      <c r="V125" s="41">
        <f t="shared" si="59"/>
        <v>59.5</v>
      </c>
      <c r="W125" s="57">
        <f t="shared" si="60"/>
        <v>-25551.696828242952</v>
      </c>
      <c r="X125" s="57">
        <f t="shared" si="61"/>
        <v>-33494.001092657709</v>
      </c>
      <c r="Y125" s="57">
        <f t="shared" si="62"/>
        <v>-2895.582223209145</v>
      </c>
      <c r="Z125" s="57">
        <f t="shared" si="63"/>
        <v>-5052.537429269385</v>
      </c>
      <c r="AA125" s="57">
        <f t="shared" si="38"/>
        <v>852.13504477405047</v>
      </c>
      <c r="AB125" s="57">
        <f t="shared" si="39"/>
        <v>1012.8112424832136</v>
      </c>
      <c r="AC125" s="57">
        <f t="shared" si="40"/>
        <v>99.629511025334523</v>
      </c>
      <c r="AD125" s="57">
        <f t="shared" si="41"/>
        <v>89.661035004545084</v>
      </c>
      <c r="AE125" s="57">
        <f t="shared" si="42"/>
        <v>11.389560511377672</v>
      </c>
      <c r="AF125" s="57">
        <f t="shared" si="43"/>
        <v>89.229936837803308</v>
      </c>
      <c r="AG125" s="57">
        <f t="shared" si="44"/>
        <v>423.4224974214913</v>
      </c>
      <c r="AH125" s="57">
        <f t="shared" si="45"/>
        <v>381.02820391976371</v>
      </c>
      <c r="AJ125" s="57">
        <f t="shared" si="46"/>
        <v>61281.850571902447</v>
      </c>
      <c r="AK125" s="57">
        <f t="shared" si="47"/>
        <v>43846.886647980296</v>
      </c>
      <c r="AL125" s="57">
        <f t="shared" si="48"/>
        <v>27647.790489209729</v>
      </c>
      <c r="AN125" s="41">
        <v>120</v>
      </c>
      <c r="AO125" s="57">
        <f t="shared" si="49"/>
        <v>1250.0000000000018</v>
      </c>
      <c r="AP125" s="57">
        <f t="shared" si="50"/>
        <v>21495.190528383289</v>
      </c>
      <c r="AR125" s="41">
        <v>120</v>
      </c>
      <c r="AS125" s="57">
        <f t="shared" si="51"/>
        <v>13250</v>
      </c>
      <c r="AT125" s="57">
        <f t="shared" si="52"/>
        <v>-1968.9110867544646</v>
      </c>
      <c r="AV125" s="57">
        <f t="shared" si="53"/>
        <v>259.61708362433382</v>
      </c>
      <c r="AW125" s="57">
        <f t="shared" si="54"/>
        <v>412.08418660768388</v>
      </c>
      <c r="AX125" s="57">
        <f t="shared" si="55"/>
        <v>58.076392191513285</v>
      </c>
      <c r="AY125" s="57">
        <f t="shared" si="56"/>
        <v>40.807880113417653</v>
      </c>
      <c r="BA125" s="57">
        <f t="shared" si="57"/>
        <v>57315.567876970017</v>
      </c>
      <c r="BB125" s="57">
        <f t="shared" si="58"/>
        <v>49561.559841454829</v>
      </c>
    </row>
    <row r="126" spans="9:54" x14ac:dyDescent="0.25">
      <c r="I126" s="41">
        <v>121</v>
      </c>
      <c r="J126" s="57">
        <f t="shared" si="32"/>
        <v>17424.809625449729</v>
      </c>
      <c r="K126" s="57">
        <f t="shared" si="33"/>
        <v>11785.836503510562</v>
      </c>
      <c r="M126" s="41">
        <v>121</v>
      </c>
      <c r="N126" s="57">
        <f t="shared" si="34"/>
        <v>-21802.633262185191</v>
      </c>
      <c r="O126" s="57">
        <f t="shared" si="35"/>
        <v>13000.085552457393</v>
      </c>
      <c r="Q126" s="41">
        <v>121</v>
      </c>
      <c r="R126" s="57">
        <f t="shared" si="36"/>
        <v>-7575.1903745502714</v>
      </c>
      <c r="S126" s="41">
        <f t="shared" si="37"/>
        <v>-10714.163496489438</v>
      </c>
      <c r="U126" s="41">
        <v>120</v>
      </c>
      <c r="V126" s="41">
        <f t="shared" si="59"/>
        <v>60</v>
      </c>
      <c r="W126" s="57">
        <f t="shared" si="60"/>
        <v>-26892.971059250769</v>
      </c>
      <c r="X126" s="57">
        <f t="shared" si="61"/>
        <v>-35893.668401982002</v>
      </c>
      <c r="Y126" s="57">
        <f t="shared" si="62"/>
        <v>-2469.5147008221197</v>
      </c>
      <c r="Z126" s="57">
        <f t="shared" si="63"/>
        <v>-4546.1318080277779</v>
      </c>
      <c r="AA126" s="57">
        <f t="shared" si="38"/>
        <v>746.30327020734558</v>
      </c>
      <c r="AB126" s="57">
        <f t="shared" si="39"/>
        <v>919.01408146859467</v>
      </c>
      <c r="AC126" s="57">
        <f t="shared" si="40"/>
        <v>90.789656841953871</v>
      </c>
      <c r="AD126" s="57">
        <f t="shared" si="41"/>
        <v>84.014643865315136</v>
      </c>
      <c r="AE126" s="57">
        <f t="shared" si="42"/>
        <v>11.974400869401581</v>
      </c>
      <c r="AF126" s="57">
        <f t="shared" si="43"/>
        <v>79.726024973685924</v>
      </c>
      <c r="AG126" s="57">
        <f t="shared" si="44"/>
        <v>354.04666830359218</v>
      </c>
      <c r="AH126" s="57">
        <f t="shared" si="45"/>
        <v>337.88624058113203</v>
      </c>
      <c r="AJ126" s="57">
        <f t="shared" si="46"/>
        <v>63890.227673290545</v>
      </c>
      <c r="AK126" s="57">
        <f t="shared" si="47"/>
        <v>46408.424336695054</v>
      </c>
      <c r="AL126" s="57">
        <f t="shared" si="48"/>
        <v>30262.973434432595</v>
      </c>
      <c r="AN126" s="41">
        <v>121</v>
      </c>
      <c r="AO126" s="57">
        <f t="shared" si="49"/>
        <v>1137.2144381745929</v>
      </c>
      <c r="AP126" s="57">
        <f t="shared" si="50"/>
        <v>21428.754755265843</v>
      </c>
      <c r="AR126" s="41">
        <v>121</v>
      </c>
      <c r="AS126" s="57">
        <f t="shared" si="51"/>
        <v>13197.366737814809</v>
      </c>
      <c r="AT126" s="57">
        <f t="shared" si="52"/>
        <v>-1999.9144475426069</v>
      </c>
      <c r="AV126" s="57">
        <f t="shared" si="53"/>
        <v>237.56011409265534</v>
      </c>
      <c r="AW126" s="57">
        <f t="shared" si="54"/>
        <v>379.08997721495558</v>
      </c>
      <c r="AX126" s="57">
        <f t="shared" si="55"/>
        <v>51.932430099742497</v>
      </c>
      <c r="AY126" s="57">
        <f t="shared" si="56"/>
        <v>38.297194833505969</v>
      </c>
      <c r="BA126" s="57">
        <f t="shared" si="57"/>
        <v>60061.028016485929</v>
      </c>
      <c r="BB126" s="57">
        <f t="shared" si="58"/>
        <v>52052.27921525477</v>
      </c>
    </row>
    <row r="127" spans="9:54" x14ac:dyDescent="0.25">
      <c r="I127" s="41">
        <v>122</v>
      </c>
      <c r="J127" s="57">
        <f t="shared" si="32"/>
        <v>17350.403678833976</v>
      </c>
      <c r="K127" s="57">
        <f t="shared" si="33"/>
        <v>11740.240480782129</v>
      </c>
      <c r="M127" s="41">
        <v>122</v>
      </c>
      <c r="N127" s="57">
        <f t="shared" si="34"/>
        <v>-21854.717424816215</v>
      </c>
      <c r="O127" s="57">
        <f t="shared" si="35"/>
        <v>12968.168336547491</v>
      </c>
      <c r="Q127" s="41">
        <v>122</v>
      </c>
      <c r="R127" s="57">
        <f t="shared" si="36"/>
        <v>-7649.5963211660237</v>
      </c>
      <c r="S127" s="41">
        <f t="shared" si="37"/>
        <v>-10759.759519217871</v>
      </c>
      <c r="U127" s="41">
        <v>121</v>
      </c>
      <c r="V127" s="41">
        <f t="shared" si="59"/>
        <v>60.5</v>
      </c>
      <c r="W127" s="57">
        <f t="shared" si="60"/>
        <v>-28034.44050088591</v>
      </c>
      <c r="X127" s="57">
        <f t="shared" si="61"/>
        <v>-38051.857545812323</v>
      </c>
      <c r="Y127" s="57">
        <f t="shared" si="62"/>
        <v>-2096.3630657184467</v>
      </c>
      <c r="Z127" s="57">
        <f t="shared" si="63"/>
        <v>-4086.6247672934805</v>
      </c>
      <c r="AA127" s="57">
        <f t="shared" si="38"/>
        <v>667.48407667190656</v>
      </c>
      <c r="AB127" s="57">
        <f t="shared" si="39"/>
        <v>845.95035132018575</v>
      </c>
      <c r="AC127" s="57">
        <f t="shared" si="40"/>
        <v>83.811381823316964</v>
      </c>
      <c r="AD127" s="57">
        <f t="shared" si="41"/>
        <v>79.479725083151664</v>
      </c>
      <c r="AE127" s="57">
        <f t="shared" si="42"/>
        <v>12.101626976491698</v>
      </c>
      <c r="AF127" s="57">
        <f t="shared" si="43"/>
        <v>72.376621058158236</v>
      </c>
      <c r="AG127" s="57">
        <f t="shared" si="44"/>
        <v>304.49622075260118</v>
      </c>
      <c r="AH127" s="57">
        <f t="shared" si="45"/>
        <v>304.72645965753861</v>
      </c>
      <c r="AJ127" s="57">
        <f t="shared" si="46"/>
        <v>66198.785488157766</v>
      </c>
      <c r="AK127" s="57">
        <f t="shared" si="47"/>
        <v>48718.920839498453</v>
      </c>
      <c r="AL127" s="57">
        <f t="shared" si="48"/>
        <v>32587.936195796101</v>
      </c>
      <c r="AN127" s="41">
        <v>122</v>
      </c>
      <c r="AO127" s="57">
        <f t="shared" si="49"/>
        <v>1025.605518250964</v>
      </c>
      <c r="AP127" s="57">
        <f t="shared" si="50"/>
        <v>21360.360721173194</v>
      </c>
      <c r="AR127" s="41">
        <v>122</v>
      </c>
      <c r="AS127" s="57">
        <f t="shared" si="51"/>
        <v>13145.282575183783</v>
      </c>
      <c r="AT127" s="57">
        <f t="shared" si="52"/>
        <v>-2031.8316634525086</v>
      </c>
      <c r="AV127" s="57">
        <f t="shared" si="53"/>
        <v>219.88329017767137</v>
      </c>
      <c r="AW127" s="57">
        <f t="shared" si="54"/>
        <v>353.12288660973383</v>
      </c>
      <c r="AX127" s="57">
        <f t="shared" si="55"/>
        <v>47.191556941825326</v>
      </c>
      <c r="AY127" s="57">
        <f t="shared" si="56"/>
        <v>36.244658911603409</v>
      </c>
      <c r="BA127" s="57">
        <f t="shared" si="57"/>
        <v>62496.190670053926</v>
      </c>
      <c r="BB127" s="57">
        <f t="shared" si="58"/>
        <v>54262.218499181923</v>
      </c>
    </row>
    <row r="128" spans="9:54" x14ac:dyDescent="0.25">
      <c r="I128" s="41">
        <v>123</v>
      </c>
      <c r="J128" s="57">
        <f t="shared" si="32"/>
        <v>17276.804824924864</v>
      </c>
      <c r="K128" s="57">
        <f t="shared" si="33"/>
        <v>11693.352839727118</v>
      </c>
      <c r="M128" s="41">
        <v>123</v>
      </c>
      <c r="N128" s="57">
        <f t="shared" si="34"/>
        <v>-21906.236622552595</v>
      </c>
      <c r="O128" s="57">
        <f t="shared" si="35"/>
        <v>12935.346987808984</v>
      </c>
      <c r="Q128" s="41">
        <v>123</v>
      </c>
      <c r="R128" s="57">
        <f t="shared" si="36"/>
        <v>-7723.1951750751359</v>
      </c>
      <c r="S128" s="41">
        <f t="shared" si="37"/>
        <v>-10806.647160272882</v>
      </c>
      <c r="U128" s="41">
        <v>122</v>
      </c>
      <c r="V128" s="41">
        <f t="shared" si="59"/>
        <v>61</v>
      </c>
      <c r="W128" s="57">
        <f t="shared" si="60"/>
        <v>-28999.186524161145</v>
      </c>
      <c r="X128" s="57">
        <f t="shared" si="61"/>
        <v>-39989.426135544039</v>
      </c>
      <c r="Y128" s="57">
        <f t="shared" si="62"/>
        <v>-1762.6210273824934</v>
      </c>
      <c r="Z128" s="57">
        <f t="shared" si="63"/>
        <v>-3663.6495916333879</v>
      </c>
      <c r="AA128" s="57">
        <f t="shared" si="38"/>
        <v>607.14900404644459</v>
      </c>
      <c r="AB128" s="57">
        <f t="shared" si="39"/>
        <v>788.39182144118104</v>
      </c>
      <c r="AC128" s="57">
        <f t="shared" si="40"/>
        <v>78.217152880890907</v>
      </c>
      <c r="AD128" s="57">
        <f t="shared" si="41"/>
        <v>75.807130031394237</v>
      </c>
      <c r="AE128" s="57">
        <f t="shared" si="42"/>
        <v>11.990241683479324</v>
      </c>
      <c r="AF128" s="57">
        <f t="shared" si="43"/>
        <v>66.604386893678964</v>
      </c>
      <c r="AG128" s="57">
        <f t="shared" si="44"/>
        <v>267.95599950145152</v>
      </c>
      <c r="AH128" s="57">
        <f t="shared" si="45"/>
        <v>279.01223445120291</v>
      </c>
      <c r="AJ128" s="57">
        <f t="shared" si="46"/>
        <v>68236.103894586689</v>
      </c>
      <c r="AK128" s="57">
        <f t="shared" si="47"/>
        <v>50792.992464095449</v>
      </c>
      <c r="AL128" s="57">
        <f t="shared" si="48"/>
        <v>34647.256347440984</v>
      </c>
      <c r="AN128" s="41">
        <v>123</v>
      </c>
      <c r="AO128" s="57">
        <f t="shared" si="49"/>
        <v>915.20723738729703</v>
      </c>
      <c r="AP128" s="57">
        <f t="shared" si="50"/>
        <v>21290.029259590679</v>
      </c>
      <c r="AR128" s="41">
        <v>123</v>
      </c>
      <c r="AS128" s="57">
        <f t="shared" si="51"/>
        <v>13093.763377447405</v>
      </c>
      <c r="AT128" s="57">
        <f t="shared" si="52"/>
        <v>-2064.6530121910164</v>
      </c>
      <c r="AV128" s="57">
        <f t="shared" si="53"/>
        <v>205.5201201912767</v>
      </c>
      <c r="AW128" s="57">
        <f t="shared" si="54"/>
        <v>332.4030550141282</v>
      </c>
      <c r="AX128" s="57">
        <f t="shared" si="55"/>
        <v>43.465489789346009</v>
      </c>
      <c r="AY128" s="57">
        <f t="shared" si="56"/>
        <v>34.5650150507768</v>
      </c>
      <c r="BA128" s="57">
        <f t="shared" si="57"/>
        <v>64651.231009325376</v>
      </c>
      <c r="BB128" s="57">
        <f t="shared" si="58"/>
        <v>56215.55261742622</v>
      </c>
    </row>
    <row r="129" spans="9:54" x14ac:dyDescent="0.25">
      <c r="I129" s="41">
        <v>124</v>
      </c>
      <c r="J129" s="57">
        <f t="shared" si="32"/>
        <v>17204.035482646268</v>
      </c>
      <c r="K129" s="57">
        <f t="shared" si="33"/>
        <v>11645.187862775208</v>
      </c>
      <c r="M129" s="41">
        <v>124</v>
      </c>
      <c r="N129" s="57">
        <f t="shared" si="34"/>
        <v>-21957.175162147614</v>
      </c>
      <c r="O129" s="57">
        <f t="shared" si="35"/>
        <v>12901.631503942646</v>
      </c>
      <c r="Q129" s="41">
        <v>124</v>
      </c>
      <c r="R129" s="57">
        <f t="shared" si="36"/>
        <v>-7795.9645173537338</v>
      </c>
      <c r="S129" s="41">
        <f t="shared" si="37"/>
        <v>-10854.812137224792</v>
      </c>
      <c r="U129" s="41">
        <v>123</v>
      </c>
      <c r="V129" s="41">
        <f t="shared" si="59"/>
        <v>61.5</v>
      </c>
      <c r="W129" s="57">
        <f t="shared" si="60"/>
        <v>-29804.603412346583</v>
      </c>
      <c r="X129" s="57">
        <f t="shared" si="61"/>
        <v>-41722.701953680582</v>
      </c>
      <c r="Y129" s="57">
        <f t="shared" si="62"/>
        <v>-1459.0465253592711</v>
      </c>
      <c r="Z129" s="57">
        <f t="shared" si="63"/>
        <v>-3269.4536809127976</v>
      </c>
      <c r="AA129" s="57">
        <f t="shared" si="38"/>
        <v>560.00032319704883</v>
      </c>
      <c r="AB129" s="57">
        <f t="shared" si="39"/>
        <v>742.68043571944099</v>
      </c>
      <c r="AC129" s="57">
        <f t="shared" si="40"/>
        <v>73.68410274991021</v>
      </c>
      <c r="AD129" s="57">
        <f t="shared" si="41"/>
        <v>72.823200665906484</v>
      </c>
      <c r="AE129" s="57">
        <f t="shared" si="42"/>
        <v>11.756121679693978</v>
      </c>
      <c r="AF129" s="57">
        <f t="shared" si="43"/>
        <v>62.017641325941689</v>
      </c>
      <c r="AG129" s="57">
        <f t="shared" si="44"/>
        <v>240.33299116875315</v>
      </c>
      <c r="AH129" s="57">
        <f t="shared" si="45"/>
        <v>258.91753985642805</v>
      </c>
      <c r="AJ129" s="57">
        <f t="shared" si="46"/>
        <v>70024.088060338181</v>
      </c>
      <c r="AK129" s="57">
        <f t="shared" si="47"/>
        <v>52643.785440094172</v>
      </c>
      <c r="AL129" s="57">
        <f t="shared" si="48"/>
        <v>36460.542373215452</v>
      </c>
      <c r="AN129" s="41">
        <v>124</v>
      </c>
      <c r="AO129" s="57">
        <f t="shared" si="49"/>
        <v>806.05322396940028</v>
      </c>
      <c r="AP129" s="57">
        <f t="shared" si="50"/>
        <v>21217.781794162813</v>
      </c>
      <c r="AR129" s="41">
        <v>124</v>
      </c>
      <c r="AS129" s="57">
        <f t="shared" si="51"/>
        <v>13042.824837852386</v>
      </c>
      <c r="AT129" s="57">
        <f t="shared" si="52"/>
        <v>-2098.3684960573542</v>
      </c>
      <c r="AV129" s="57">
        <f t="shared" si="53"/>
        <v>193.72870239962344</v>
      </c>
      <c r="AW129" s="57">
        <f t="shared" si="54"/>
        <v>315.72879357070781</v>
      </c>
      <c r="AX129" s="57">
        <f t="shared" si="55"/>
        <v>40.498405199068017</v>
      </c>
      <c r="AY129" s="57">
        <f t="shared" si="56"/>
        <v>33.193260300456977</v>
      </c>
      <c r="BA129" s="57">
        <f t="shared" si="57"/>
        <v>66549.420250042793</v>
      </c>
      <c r="BB129" s="57">
        <f t="shared" si="58"/>
        <v>57931.073921657233</v>
      </c>
    </row>
    <row r="130" spans="9:54" x14ac:dyDescent="0.25">
      <c r="I130" s="41">
        <v>125</v>
      </c>
      <c r="J130" s="57">
        <f t="shared" si="32"/>
        <v>17132.117818244769</v>
      </c>
      <c r="K130" s="57">
        <f t="shared" si="33"/>
        <v>11595.76022144496</v>
      </c>
      <c r="M130" s="41">
        <v>125</v>
      </c>
      <c r="N130" s="57">
        <f t="shared" si="34"/>
        <v>-22007.517527228661</v>
      </c>
      <c r="O130" s="57">
        <f t="shared" si="35"/>
        <v>12867.032155011471</v>
      </c>
      <c r="Q130" s="41">
        <v>125</v>
      </c>
      <c r="R130" s="57">
        <f t="shared" si="36"/>
        <v>-7867.8821817552289</v>
      </c>
      <c r="S130" s="41">
        <f t="shared" si="37"/>
        <v>-10904.23977855504</v>
      </c>
      <c r="U130" s="41">
        <v>124</v>
      </c>
      <c r="V130" s="41">
        <f t="shared" si="59"/>
        <v>62</v>
      </c>
      <c r="W130" s="57">
        <f t="shared" si="60"/>
        <v>-30464.126634626587</v>
      </c>
      <c r="X130" s="57">
        <f t="shared" si="61"/>
        <v>-43264.593739672055</v>
      </c>
      <c r="Y130" s="57">
        <f t="shared" si="62"/>
        <v>-1179.0463637607468</v>
      </c>
      <c r="Z130" s="57">
        <f t="shared" si="63"/>
        <v>-2898.1134630530769</v>
      </c>
      <c r="AA130" s="57">
        <f t="shared" si="38"/>
        <v>522.60431644708103</v>
      </c>
      <c r="AB130" s="57">
        <f t="shared" si="39"/>
        <v>706.24288760586012</v>
      </c>
      <c r="AC130" s="57">
        <f t="shared" si="40"/>
        <v>69.987024202518072</v>
      </c>
      <c r="AD130" s="57">
        <f t="shared" si="41"/>
        <v>70.40373206918008</v>
      </c>
      <c r="AE130" s="57">
        <f t="shared" si="42"/>
        <v>11.462167684487712</v>
      </c>
      <c r="AF130" s="57">
        <f t="shared" si="43"/>
        <v>58.344831480723215</v>
      </c>
      <c r="AG130" s="57">
        <f t="shared" si="44"/>
        <v>219.05936697315479</v>
      </c>
      <c r="AH130" s="57">
        <f t="shared" si="45"/>
        <v>243.15084908297897</v>
      </c>
      <c r="AJ130" s="57">
        <f t="shared" si="46"/>
        <v>71579.829942167227</v>
      </c>
      <c r="AK130" s="57">
        <f t="shared" si="47"/>
        <v>54282.731070551461</v>
      </c>
      <c r="AL130" s="57">
        <f t="shared" si="48"/>
        <v>38043.51461856551</v>
      </c>
      <c r="AN130" s="41">
        <v>125</v>
      </c>
      <c r="AO130" s="57">
        <f t="shared" si="49"/>
        <v>698.17672736715667</v>
      </c>
      <c r="AP130" s="57">
        <f t="shared" si="50"/>
        <v>21143.640332167441</v>
      </c>
      <c r="AR130" s="41">
        <v>125</v>
      </c>
      <c r="AS130" s="57">
        <f t="shared" si="51"/>
        <v>12992.48247277134</v>
      </c>
      <c r="AT130" s="57">
        <f t="shared" si="52"/>
        <v>-2132.9678449885278</v>
      </c>
      <c r="AV130" s="57">
        <f t="shared" si="53"/>
        <v>183.97979786525457</v>
      </c>
      <c r="AW130" s="57">
        <f t="shared" si="54"/>
        <v>302.26341929592849</v>
      </c>
      <c r="AX130" s="57">
        <f t="shared" si="55"/>
        <v>38.115959721665895</v>
      </c>
      <c r="AY130" s="57">
        <f t="shared" si="56"/>
        <v>32.080055677049472</v>
      </c>
      <c r="BA130" s="57">
        <f t="shared" si="57"/>
        <v>68208.996192627426</v>
      </c>
      <c r="BB130" s="57">
        <f t="shared" si="58"/>
        <v>59423.614369301977</v>
      </c>
    </row>
    <row r="131" spans="9:54" x14ac:dyDescent="0.25">
      <c r="I131" s="41">
        <v>126</v>
      </c>
      <c r="J131" s="57">
        <f t="shared" si="32"/>
        <v>17061.073738537634</v>
      </c>
      <c r="K131" s="57">
        <f t="shared" si="33"/>
        <v>11545.084971874738</v>
      </c>
      <c r="M131" s="41">
        <v>126</v>
      </c>
      <c r="N131" s="57">
        <f t="shared" si="34"/>
        <v>-22057.248383023656</v>
      </c>
      <c r="O131" s="57">
        <f t="shared" si="35"/>
        <v>12831.559480312317</v>
      </c>
      <c r="Q131" s="41">
        <v>126</v>
      </c>
      <c r="R131" s="57">
        <f t="shared" si="36"/>
        <v>-7938.9262614623658</v>
      </c>
      <c r="S131" s="41">
        <f t="shared" si="37"/>
        <v>-10954.915028125262</v>
      </c>
      <c r="U131" s="41">
        <v>125</v>
      </c>
      <c r="V131" s="41">
        <f t="shared" si="59"/>
        <v>62.5</v>
      </c>
      <c r="W131" s="57">
        <f t="shared" si="60"/>
        <v>-30988.324276951076</v>
      </c>
      <c r="X131" s="57">
        <f t="shared" si="61"/>
        <v>-44625.370110247859</v>
      </c>
      <c r="Y131" s="57">
        <f t="shared" si="62"/>
        <v>-917.7442055372062</v>
      </c>
      <c r="Z131" s="57">
        <f t="shared" si="63"/>
        <v>-2544.9920192501468</v>
      </c>
      <c r="AA131" s="57">
        <f t="shared" si="38"/>
        <v>492.65484234640917</v>
      </c>
      <c r="AB131" s="57">
        <f t="shared" si="39"/>
        <v>677.24828360230731</v>
      </c>
      <c r="AC131" s="57">
        <f t="shared" si="40"/>
        <v>66.964947557061819</v>
      </c>
      <c r="AD131" s="57">
        <f t="shared" si="41"/>
        <v>68.458274032807836</v>
      </c>
      <c r="AE131" s="57">
        <f t="shared" si="42"/>
        <v>11.142918270405874</v>
      </c>
      <c r="AF131" s="57">
        <f t="shared" si="43"/>
        <v>55.393890759661438</v>
      </c>
      <c r="AG131" s="57">
        <f t="shared" si="44"/>
        <v>202.46302729498296</v>
      </c>
      <c r="AH131" s="57">
        <f t="shared" si="45"/>
        <v>230.7975709913209</v>
      </c>
      <c r="AJ131" s="57">
        <f t="shared" si="46"/>
        <v>72916.825367687532</v>
      </c>
      <c r="AK131" s="57">
        <f t="shared" si="47"/>
        <v>55719.604540026958</v>
      </c>
      <c r="AL131" s="57">
        <f t="shared" si="48"/>
        <v>39408.825824847052</v>
      </c>
      <c r="AN131" s="41">
        <v>126</v>
      </c>
      <c r="AO131" s="57">
        <f t="shared" si="49"/>
        <v>591.61060780645221</v>
      </c>
      <c r="AP131" s="57">
        <f t="shared" si="50"/>
        <v>21067.627457812105</v>
      </c>
      <c r="AR131" s="41">
        <v>126</v>
      </c>
      <c r="AS131" s="57">
        <f t="shared" si="51"/>
        <v>12942.751616976344</v>
      </c>
      <c r="AT131" s="57">
        <f t="shared" si="52"/>
        <v>-2168.4405196876837</v>
      </c>
      <c r="AV131" s="57">
        <f t="shared" si="53"/>
        <v>175.88782069383032</v>
      </c>
      <c r="AW131" s="57">
        <f t="shared" si="54"/>
        <v>291.41052320325019</v>
      </c>
      <c r="AX131" s="57">
        <f t="shared" si="55"/>
        <v>36.196128530128149</v>
      </c>
      <c r="AY131" s="57">
        <f t="shared" si="56"/>
        <v>31.188024615266965</v>
      </c>
      <c r="BA131" s="57">
        <f t="shared" si="57"/>
        <v>69644.412877466515</v>
      </c>
      <c r="BB131" s="57">
        <f t="shared" si="58"/>
        <v>60704.990949477396</v>
      </c>
    </row>
    <row r="132" spans="9:54" x14ac:dyDescent="0.25">
      <c r="I132" s="41">
        <v>127</v>
      </c>
      <c r="J132" s="57">
        <f t="shared" si="32"/>
        <v>16990.924884239757</v>
      </c>
      <c r="K132" s="57">
        <f t="shared" si="33"/>
        <v>11493.177550236464</v>
      </c>
      <c r="M132" s="41">
        <v>127</v>
      </c>
      <c r="N132" s="57">
        <f t="shared" si="34"/>
        <v>-22106.35258103217</v>
      </c>
      <c r="O132" s="57">
        <f t="shared" si="35"/>
        <v>12795.224285165525</v>
      </c>
      <c r="Q132" s="41">
        <v>127</v>
      </c>
      <c r="R132" s="57">
        <f t="shared" si="36"/>
        <v>-8009.0751157602417</v>
      </c>
      <c r="S132" s="41">
        <f t="shared" si="37"/>
        <v>-11006.822449763536</v>
      </c>
      <c r="U132" s="41">
        <v>126</v>
      </c>
      <c r="V132" s="41">
        <f t="shared" si="59"/>
        <v>63</v>
      </c>
      <c r="W132" s="57">
        <f t="shared" si="60"/>
        <v>-31385.614524426379</v>
      </c>
      <c r="X132" s="57">
        <f t="shared" si="61"/>
        <v>-45813.210084422644</v>
      </c>
      <c r="Y132" s="57">
        <f t="shared" si="62"/>
        <v>-671.41678436400161</v>
      </c>
      <c r="Z132" s="57">
        <f t="shared" si="63"/>
        <v>-2206.3678774489931</v>
      </c>
      <c r="AA132" s="57">
        <f t="shared" si="38"/>
        <v>468.55778380154328</v>
      </c>
      <c r="AB132" s="57">
        <f t="shared" si="39"/>
        <v>654.38038540197601</v>
      </c>
      <c r="AC132" s="57">
        <f t="shared" si="40"/>
        <v>64.500701086722984</v>
      </c>
      <c r="AD132" s="57">
        <f t="shared" si="41"/>
        <v>66.920274466979279</v>
      </c>
      <c r="AE132" s="57">
        <f t="shared" si="42"/>
        <v>10.817176962043895</v>
      </c>
      <c r="AF132" s="57">
        <f t="shared" si="43"/>
        <v>53.02668283803942</v>
      </c>
      <c r="AG132" s="57">
        <f t="shared" si="44"/>
        <v>189.42110742323405</v>
      </c>
      <c r="AH132" s="57">
        <f t="shared" si="45"/>
        <v>221.20661135456302</v>
      </c>
      <c r="AJ132" s="57">
        <f t="shared" si="46"/>
        <v>74045.794948523064</v>
      </c>
      <c r="AK132" s="57">
        <f t="shared" si="47"/>
        <v>56962.677588283419</v>
      </c>
      <c r="AL132" s="57">
        <f t="shared" si="48"/>
        <v>40566.668208498289</v>
      </c>
      <c r="AN132" s="41">
        <v>127</v>
      </c>
      <c r="AO132" s="57">
        <f t="shared" si="49"/>
        <v>486.38732635963697</v>
      </c>
      <c r="AP132" s="57">
        <f t="shared" si="50"/>
        <v>20989.766325354696</v>
      </c>
      <c r="AR132" s="41">
        <v>127</v>
      </c>
      <c r="AS132" s="57">
        <f t="shared" si="51"/>
        <v>12893.64741896783</v>
      </c>
      <c r="AT132" s="57">
        <f t="shared" si="52"/>
        <v>-2204.7757148344754</v>
      </c>
      <c r="AV132" s="57">
        <f t="shared" si="53"/>
        <v>169.16702791833606</v>
      </c>
      <c r="AW132" s="57">
        <f t="shared" si="54"/>
        <v>282.73783863809422</v>
      </c>
      <c r="AX132" s="57">
        <f t="shared" si="55"/>
        <v>34.651770411206307</v>
      </c>
      <c r="AY132" s="57">
        <f t="shared" si="56"/>
        <v>30.488978104300163</v>
      </c>
      <c r="BA132" s="57">
        <f t="shared" si="57"/>
        <v>70867.195973117719</v>
      </c>
      <c r="BB132" s="57">
        <f t="shared" si="58"/>
        <v>61784.653047531909</v>
      </c>
    </row>
    <row r="133" spans="9:54" x14ac:dyDescent="0.25">
      <c r="I133" s="41">
        <v>128</v>
      </c>
      <c r="J133" s="57">
        <f t="shared" si="32"/>
        <v>16921.692623371709</v>
      </c>
      <c r="K133" s="57">
        <f t="shared" si="33"/>
        <v>11440.053768033609</v>
      </c>
      <c r="M133" s="41">
        <v>128</v>
      </c>
      <c r="N133" s="57">
        <f t="shared" si="34"/>
        <v>-22154.815163639803</v>
      </c>
      <c r="O133" s="57">
        <f t="shared" si="35"/>
        <v>12758.037637623527</v>
      </c>
      <c r="Q133" s="41">
        <v>128</v>
      </c>
      <c r="R133" s="57">
        <f t="shared" si="36"/>
        <v>-8078.3073766282914</v>
      </c>
      <c r="S133" s="41">
        <f t="shared" si="37"/>
        <v>-11059.946231966391</v>
      </c>
      <c r="U133" s="41">
        <v>127</v>
      </c>
      <c r="V133" s="41">
        <f t="shared" si="59"/>
        <v>63.5</v>
      </c>
      <c r="W133" s="57">
        <f t="shared" si="60"/>
        <v>-31662.753193633187</v>
      </c>
      <c r="X133" s="57">
        <f t="shared" si="61"/>
        <v>-46834.596474971899</v>
      </c>
      <c r="Y133" s="57">
        <f t="shared" si="62"/>
        <v>-437.13789246322995</v>
      </c>
      <c r="Z133" s="57">
        <f t="shared" si="63"/>
        <v>-1879.177684748005</v>
      </c>
      <c r="AA133" s="57">
        <f t="shared" si="38"/>
        <v>449.18649416771956</v>
      </c>
      <c r="AB133" s="57">
        <f t="shared" si="39"/>
        <v>636.68771978114751</v>
      </c>
      <c r="AC133" s="57">
        <f t="shared" si="40"/>
        <v>62.507971259539524</v>
      </c>
      <c r="AD133" s="57">
        <f t="shared" si="41"/>
        <v>65.740696825169962</v>
      </c>
      <c r="AE133" s="57">
        <f t="shared" si="42"/>
        <v>10.494730714721406</v>
      </c>
      <c r="AF133" s="57">
        <f t="shared" si="43"/>
        <v>51.142622619357155</v>
      </c>
      <c r="AG133" s="57">
        <f t="shared" si="44"/>
        <v>179.16102445367727</v>
      </c>
      <c r="AH133" s="57">
        <f t="shared" si="45"/>
        <v>213.91335231229365</v>
      </c>
      <c r="AJ133" s="57">
        <f t="shared" si="46"/>
        <v>74975.252194602755</v>
      </c>
      <c r="AK133" s="57">
        <f t="shared" si="47"/>
        <v>58018.886308929519</v>
      </c>
      <c r="AL133" s="57">
        <f t="shared" si="48"/>
        <v>41525.220536306486</v>
      </c>
      <c r="AN133" s="41">
        <v>128</v>
      </c>
      <c r="AO133" s="57">
        <f t="shared" si="49"/>
        <v>382.53893505756241</v>
      </c>
      <c r="AP133" s="57">
        <f t="shared" si="50"/>
        <v>20910.080652050416</v>
      </c>
      <c r="AR133" s="41">
        <v>128</v>
      </c>
      <c r="AS133" s="57">
        <f t="shared" si="51"/>
        <v>12845.184836360197</v>
      </c>
      <c r="AT133" s="57">
        <f t="shared" si="52"/>
        <v>-2241.9623623764728</v>
      </c>
      <c r="AV133" s="57">
        <f t="shared" si="53"/>
        <v>163.60294930113932</v>
      </c>
      <c r="AW133" s="57">
        <f t="shared" si="54"/>
        <v>275.92915073023011</v>
      </c>
      <c r="AX133" s="57">
        <f t="shared" si="55"/>
        <v>33.419818438642025</v>
      </c>
      <c r="AY133" s="57">
        <f t="shared" si="56"/>
        <v>29.961897294096573</v>
      </c>
      <c r="BA133" s="57">
        <f t="shared" si="57"/>
        <v>71886.5411113921</v>
      </c>
      <c r="BB133" s="57">
        <f t="shared" si="58"/>
        <v>62670.136411481151</v>
      </c>
    </row>
    <row r="134" spans="9:54" x14ac:dyDescent="0.25">
      <c r="I134" s="41">
        <v>129</v>
      </c>
      <c r="J134" s="57">
        <f t="shared" si="32"/>
        <v>16853.398044750815</v>
      </c>
      <c r="K134" s="57">
        <f t="shared" si="33"/>
        <v>11385.729807284855</v>
      </c>
      <c r="M134" s="41">
        <v>129</v>
      </c>
      <c r="N134" s="57">
        <f t="shared" si="34"/>
        <v>-22202.62136867443</v>
      </c>
      <c r="O134" s="57">
        <f t="shared" si="35"/>
        <v>12720.010865099399</v>
      </c>
      <c r="Q134" s="41">
        <v>129</v>
      </c>
      <c r="R134" s="57">
        <f t="shared" si="36"/>
        <v>-8146.6019552491862</v>
      </c>
      <c r="S134" s="41">
        <f t="shared" si="37"/>
        <v>-11114.270192715145</v>
      </c>
      <c r="U134" s="41">
        <v>128</v>
      </c>
      <c r="V134" s="41">
        <f t="shared" si="59"/>
        <v>64</v>
      </c>
      <c r="W134" s="57">
        <f t="shared" si="60"/>
        <v>-31825.173828093837</v>
      </c>
      <c r="X134" s="57">
        <f t="shared" si="61"/>
        <v>-47694.599352373261</v>
      </c>
      <c r="Y134" s="57">
        <f t="shared" si="62"/>
        <v>-212.54464537937017</v>
      </c>
      <c r="Z134" s="57">
        <f t="shared" si="63"/>
        <v>-1560.8338248574314</v>
      </c>
      <c r="AA134" s="57">
        <f t="shared" si="38"/>
        <v>433.73254533521254</v>
      </c>
      <c r="AB134" s="57">
        <f t="shared" si="39"/>
        <v>623.48465923892877</v>
      </c>
      <c r="AC134" s="57">
        <f t="shared" si="40"/>
        <v>60.92288367497757</v>
      </c>
      <c r="AD134" s="57">
        <f t="shared" si="41"/>
        <v>64.883798884795894</v>
      </c>
      <c r="AE134" s="57">
        <f t="shared" si="42"/>
        <v>10.180024735609976</v>
      </c>
      <c r="AF134" s="57">
        <f t="shared" si="43"/>
        <v>49.667975884033353</v>
      </c>
      <c r="AG134" s="57">
        <f t="shared" si="44"/>
        <v>171.14193835167134</v>
      </c>
      <c r="AH134" s="57">
        <f t="shared" si="45"/>
        <v>208.58828884592026</v>
      </c>
      <c r="AJ134" s="57">
        <f t="shared" si="46"/>
        <v>75711.904215791234</v>
      </c>
      <c r="AK134" s="57">
        <f t="shared" si="47"/>
        <v>58893.98552055638</v>
      </c>
      <c r="AL134" s="57">
        <f t="shared" si="48"/>
        <v>42290.977497802727</v>
      </c>
      <c r="AN134" s="41">
        <v>129</v>
      </c>
      <c r="AO134" s="57">
        <f t="shared" si="49"/>
        <v>280.09706712622028</v>
      </c>
      <c r="AP134" s="57">
        <f t="shared" si="50"/>
        <v>20828.594710927282</v>
      </c>
      <c r="AR134" s="41">
        <v>129</v>
      </c>
      <c r="AS134" s="57">
        <f t="shared" si="51"/>
        <v>12797.37863132557</v>
      </c>
      <c r="AT134" s="57">
        <f t="shared" si="52"/>
        <v>-2279.9891349006016</v>
      </c>
      <c r="AV134" s="57">
        <f t="shared" si="53"/>
        <v>159.03331576010208</v>
      </c>
      <c r="AW134" s="57">
        <f t="shared" si="54"/>
        <v>270.75310117484298</v>
      </c>
      <c r="AX134" s="57">
        <f t="shared" si="55"/>
        <v>32.454382812851577</v>
      </c>
      <c r="AY134" s="57">
        <f t="shared" si="56"/>
        <v>29.591494449336317</v>
      </c>
      <c r="BA134" s="57">
        <f t="shared" si="57"/>
        <v>72709.739481199693</v>
      </c>
      <c r="BB134" s="57">
        <f t="shared" si="58"/>
        <v>63367.386863361156</v>
      </c>
    </row>
    <row r="135" spans="9:54" x14ac:dyDescent="0.25">
      <c r="I135" s="41">
        <v>130</v>
      </c>
      <c r="J135" s="57">
        <f t="shared" ref="J135:J198" si="64">$F$8*COS(I135*PI()/180)+$E$7</f>
        <v>16786.061951567302</v>
      </c>
      <c r="K135" s="57">
        <f t="shared" ref="K135:K198" si="65">$F$8*SIN(I135*PI()/180)+$G$7</f>
        <v>11330.222215594891</v>
      </c>
      <c r="M135" s="41">
        <v>130</v>
      </c>
      <c r="N135" s="57">
        <f t="shared" ref="N135:N198" si="66">$F$19*COS(M135*PI()/180)+$E$18</f>
        <v>-22249.756633902889</v>
      </c>
      <c r="O135" s="57">
        <f t="shared" ref="O135:O198" si="67">$F$19*SIN(M135*PI()/180)+$G$18</f>
        <v>12681.155550916423</v>
      </c>
      <c r="Q135" s="41">
        <v>130</v>
      </c>
      <c r="R135" s="57">
        <f t="shared" ref="R135:R198" si="68">$F$30*COS(Q135*PI()/180)+$E$29</f>
        <v>-8213.9380484326975</v>
      </c>
      <c r="S135" s="41">
        <f t="shared" ref="S135:S198" si="69">$F$30*SIN(Q135*PI()/180)+$G$29</f>
        <v>-11169.777784405109</v>
      </c>
      <c r="U135" s="41">
        <v>129</v>
      </c>
      <c r="V135" s="41">
        <f t="shared" si="59"/>
        <v>64.5</v>
      </c>
      <c r="W135" s="57">
        <f t="shared" si="60"/>
        <v>-31877.229582616619</v>
      </c>
      <c r="X135" s="57">
        <f t="shared" si="61"/>
        <v>-48397.080682397107</v>
      </c>
      <c r="Y135" s="57">
        <f t="shared" si="62"/>
        <v>4.3216272882361011</v>
      </c>
      <c r="Z135" s="57">
        <f t="shared" si="63"/>
        <v>-1249.0914952379671</v>
      </c>
      <c r="AA135" s="57">
        <f t="shared" ref="AA135:AA198" si="70">AC135+AE135+AG135+AV135+AX135</f>
        <v>421.61188285383992</v>
      </c>
      <c r="AB135" s="57">
        <f t="shared" ref="AB135:AB198" si="71">AD135+AF135+AH135+AW135+AY135</f>
        <v>614.28593227922158</v>
      </c>
      <c r="AC135" s="57">
        <f t="shared" ref="AC135:AC198" si="72">(($E$7-W135)/(AJ135^2+$F$12^2)^(3/2))*$E$11</f>
        <v>59.698417338182487</v>
      </c>
      <c r="AD135" s="57">
        <f t="shared" ref="AD135:AD198" si="73">(($G$7-X135)/(AJ135^2+$F$12^2)^(3/2))*$E$11</f>
        <v>64.32431487594269</v>
      </c>
      <c r="AE135" s="57">
        <f t="shared" ref="AE135:AE198" si="74">(($E$18-W135)/(AK135^2+$F$23^2)^(3/2))*$E$22</f>
        <v>9.8742040797426061</v>
      </c>
      <c r="AF135" s="57">
        <f t="shared" ref="AF135:AF198" si="75">(($G$18-X135)/(AK135^2+$F$23^2)^(3/2))*$E$22</f>
        <v>48.548753588389431</v>
      </c>
      <c r="AG135" s="57">
        <f t="shared" ref="AG135:AG198" si="76">(($E$29-W135)/(AL135^2+$F$34^2)^(3/2))*$E$33</f>
        <v>164.98191777897406</v>
      </c>
      <c r="AH135" s="57">
        <f t="shared" ref="AH135:AH198" si="77">(($G$29-X135)/(AL135^2+$F$34^2)^(3/2))*$E$33</f>
        <v>205.0030641091316</v>
      </c>
      <c r="AJ135" s="57">
        <f t="shared" ref="AJ135:AJ198" si="78">SQRT(($E$7-W135)^2+($G$7-X135)^2)</f>
        <v>76260.937431832848</v>
      </c>
      <c r="AK135" s="57">
        <f t="shared" ref="AK135:AK198" si="79">SQRT(($E$18-W135)^2+($G$18-X135)^2)</f>
        <v>59592.680882677036</v>
      </c>
      <c r="AL135" s="57">
        <f t="shared" ref="AL135:AL198" si="80">SQRT(($E$29-W135)^2+($G$29-X135)^2)</f>
        <v>42868.991918905951</v>
      </c>
      <c r="AN135" s="41">
        <v>130</v>
      </c>
      <c r="AO135" s="57">
        <f t="shared" ref="AO135:AO198" si="81">$F$41*COS(AN135*PI()/180)+$E$40</f>
        <v>179.0929273509546</v>
      </c>
      <c r="AP135" s="57">
        <f t="shared" ref="AP135:AP198" si="82">$F$41*SIN(AN135*PI()/180)+$G$40</f>
        <v>20745.333323392333</v>
      </c>
      <c r="AR135" s="41">
        <v>130</v>
      </c>
      <c r="AS135" s="57">
        <f t="shared" ref="AS135:AS198" si="83">$F$52*COS(AR135*PI()/180)+$E$51</f>
        <v>12750.243366097113</v>
      </c>
      <c r="AT135" s="57">
        <f t="shared" ref="AT135:AT198" si="84">$F$52*SIN(AR135*PI()/180)+$G$51</f>
        <v>-2318.8444490835768</v>
      </c>
      <c r="AV135" s="57">
        <f t="shared" ref="AV135:AV198" si="85">(($E$40-W135)/(BA135^2+$F$45^2)^(3/2))*$E$44</f>
        <v>155.33508478159919</v>
      </c>
      <c r="AW135" s="57">
        <f t="shared" ref="AW135:AW198" si="86">(($G$40-X135)/(BA135^2+$F$45^2)^(3/2))*$E$44</f>
        <v>267.04259007970984</v>
      </c>
      <c r="AX135" s="57">
        <f t="shared" ref="AX135:AX198" si="87">(($E$51-W135)/(BB135^2+$F$56^2)^(3/2))*$E$55</f>
        <v>31.722258875341566</v>
      </c>
      <c r="AY135" s="57">
        <f t="shared" ref="AY135:AY198" si="88">(($G$51-X135)/(BB135^2+$F$56^2)^(3/2))*$E$55</f>
        <v>29.367209626048101</v>
      </c>
      <c r="BA135" s="57">
        <f t="shared" ref="BA135:BA198" si="89">SQRT(($E$40-W135)^2+($G$40-X135)^2)</f>
        <v>73342.483600839303</v>
      </c>
      <c r="BB135" s="57">
        <f t="shared" ref="BB135:BB198" si="90">SQRT(($E$51-W135)^2+($G$51-X135)^2)</f>
        <v>63880.992987709818</v>
      </c>
    </row>
    <row r="136" spans="9:54" x14ac:dyDescent="0.25">
      <c r="I136" s="41">
        <v>131</v>
      </c>
      <c r="J136" s="57">
        <f t="shared" si="64"/>
        <v>16719.704855047461</v>
      </c>
      <c r="K136" s="57">
        <f t="shared" si="65"/>
        <v>11273.54790111386</v>
      </c>
      <c r="M136" s="41">
        <v>131</v>
      </c>
      <c r="N136" s="57">
        <f t="shared" si="66"/>
        <v>-22296.206601466776</v>
      </c>
      <c r="O136" s="57">
        <f t="shared" si="67"/>
        <v>12641.4835307797</v>
      </c>
      <c r="Q136" s="41">
        <v>131</v>
      </c>
      <c r="R136" s="57">
        <f t="shared" si="68"/>
        <v>-8280.2951449525372</v>
      </c>
      <c r="S136" s="41">
        <f t="shared" si="69"/>
        <v>-11226.45209888614</v>
      </c>
      <c r="U136" s="41">
        <v>130</v>
      </c>
      <c r="V136" s="41">
        <f t="shared" ref="V136:V199" si="91">V135+0.5</f>
        <v>65</v>
      </c>
      <c r="W136" s="57">
        <f t="shared" ref="W136:W199" si="92">W135+Y135*$F$3+((1/2)*AA135)*$F$3^2</f>
        <v>-31822.367283615771</v>
      </c>
      <c r="X136" s="57">
        <f t="shared" ref="X136:X199" si="93">X135+Z135*$F$3+((1/2)*AB135)*$F$3^2</f>
        <v>-48944.840688481185</v>
      </c>
      <c r="Y136" s="57">
        <f t="shared" ref="Y136:Y199" si="94">Y135+AA135*$F$3</f>
        <v>215.12756871515606</v>
      </c>
      <c r="Z136" s="57">
        <f t="shared" ref="Z136:Z199" si="95">Z135+AB135*$F$3</f>
        <v>-941.9485290983564</v>
      </c>
      <c r="AA136" s="57">
        <f t="shared" si="70"/>
        <v>412.40452035352541</v>
      </c>
      <c r="AB136" s="57">
        <f t="shared" si="71"/>
        <v>608.76352637225955</v>
      </c>
      <c r="AC136" s="57">
        <f t="shared" si="72"/>
        <v>58.800663822196839</v>
      </c>
      <c r="AD136" s="57">
        <f t="shared" si="73"/>
        <v>64.045590269091733</v>
      </c>
      <c r="AE136" s="57">
        <f t="shared" si="74"/>
        <v>9.5762419331692126</v>
      </c>
      <c r="AF136" s="57">
        <f t="shared" si="75"/>
        <v>47.745941367199173</v>
      </c>
      <c r="AG136" s="57">
        <f t="shared" si="76"/>
        <v>160.41214618756192</v>
      </c>
      <c r="AH136" s="57">
        <f t="shared" si="77"/>
        <v>203.00835825778435</v>
      </c>
      <c r="AJ136" s="57">
        <f t="shared" si="78"/>
        <v>76626.22130332404</v>
      </c>
      <c r="AK136" s="57">
        <f t="shared" si="79"/>
        <v>60118.737611323275</v>
      </c>
      <c r="AL136" s="57">
        <f t="shared" si="80"/>
        <v>43263.051164516233</v>
      </c>
      <c r="AN136" s="41">
        <v>131</v>
      </c>
      <c r="AO136" s="57">
        <f t="shared" si="81"/>
        <v>79.557282571193355</v>
      </c>
      <c r="AP136" s="57">
        <f t="shared" si="82"/>
        <v>20660.321851670789</v>
      </c>
      <c r="AR136" s="41">
        <v>131</v>
      </c>
      <c r="AS136" s="57">
        <f t="shared" si="83"/>
        <v>12703.793398533224</v>
      </c>
      <c r="AT136" s="57">
        <f t="shared" si="84"/>
        <v>-2358.5164692202989</v>
      </c>
      <c r="AV136" s="57">
        <f t="shared" si="85"/>
        <v>152.41549455950633</v>
      </c>
      <c r="AW136" s="57">
        <f t="shared" si="86"/>
        <v>264.6810956774172</v>
      </c>
      <c r="AX136" s="57">
        <f t="shared" si="87"/>
        <v>31.199973851091109</v>
      </c>
      <c r="AY136" s="57">
        <f t="shared" si="88"/>
        <v>29.282540800767016</v>
      </c>
      <c r="BA136" s="57">
        <f t="shared" si="89"/>
        <v>73789.087154163499</v>
      </c>
      <c r="BB136" s="57">
        <f t="shared" si="90"/>
        <v>64214.352766167503</v>
      </c>
    </row>
    <row r="137" spans="9:54" x14ac:dyDescent="0.25">
      <c r="I137" s="41">
        <v>132</v>
      </c>
      <c r="J137" s="57">
        <f t="shared" si="64"/>
        <v>16654.346968205708</v>
      </c>
      <c r="K137" s="57">
        <f t="shared" si="65"/>
        <v>11215.724127386971</v>
      </c>
      <c r="M137" s="41">
        <v>132</v>
      </c>
      <c r="N137" s="57">
        <f t="shared" si="66"/>
        <v>-22341.957122256004</v>
      </c>
      <c r="O137" s="57">
        <f t="shared" si="67"/>
        <v>12601.00688917088</v>
      </c>
      <c r="Q137" s="41">
        <v>132</v>
      </c>
      <c r="R137" s="57">
        <f t="shared" si="68"/>
        <v>-8345.6530317942907</v>
      </c>
      <c r="S137" s="41">
        <f t="shared" si="69"/>
        <v>-11284.275872613029</v>
      </c>
      <c r="U137" s="41">
        <v>131</v>
      </c>
      <c r="V137" s="41">
        <f t="shared" si="91"/>
        <v>65.5</v>
      </c>
      <c r="W137" s="57">
        <f t="shared" si="92"/>
        <v>-31663.252934214001</v>
      </c>
      <c r="X137" s="57">
        <f t="shared" si="93"/>
        <v>-49339.719512233831</v>
      </c>
      <c r="Y137" s="57">
        <f t="shared" si="94"/>
        <v>421.32982889191874</v>
      </c>
      <c r="Z137" s="57">
        <f t="shared" si="95"/>
        <v>-637.56676591222663</v>
      </c>
      <c r="AA137" s="57">
        <f t="shared" si="70"/>
        <v>405.81538140684336</v>
      </c>
      <c r="AB137" s="57">
        <f t="shared" si="71"/>
        <v>606.71915303116771</v>
      </c>
      <c r="AC137" s="57">
        <f t="shared" si="72"/>
        <v>58.206338171714265</v>
      </c>
      <c r="AD137" s="57">
        <f t="shared" si="73"/>
        <v>64.038397654272714</v>
      </c>
      <c r="AE137" s="57">
        <f t="shared" si="74"/>
        <v>9.2835316236312551</v>
      </c>
      <c r="AF137" s="57">
        <f t="shared" si="75"/>
        <v>47.232291517336961</v>
      </c>
      <c r="AG137" s="57">
        <f t="shared" si="76"/>
        <v>157.24778851458254</v>
      </c>
      <c r="AH137" s="57">
        <f t="shared" si="77"/>
        <v>202.5201112869768</v>
      </c>
      <c r="AJ137" s="57">
        <f t="shared" si="78"/>
        <v>76810.451228813821</v>
      </c>
      <c r="AK137" s="57">
        <f t="shared" si="79"/>
        <v>60475.067431116076</v>
      </c>
      <c r="AL137" s="57">
        <f t="shared" si="80"/>
        <v>43475.80238722184</v>
      </c>
      <c r="AN137" s="41">
        <v>132</v>
      </c>
      <c r="AO137" s="57">
        <f t="shared" si="81"/>
        <v>-18.479547691436892</v>
      </c>
      <c r="AP137" s="57">
        <f t="shared" si="82"/>
        <v>20573.586191080456</v>
      </c>
      <c r="AR137" s="41">
        <v>132</v>
      </c>
      <c r="AS137" s="57">
        <f t="shared" si="83"/>
        <v>12658.042877743996</v>
      </c>
      <c r="AT137" s="57">
        <f t="shared" si="84"/>
        <v>-2398.9931108291203</v>
      </c>
      <c r="AV137" s="57">
        <f t="shared" si="85"/>
        <v>150.20586119268867</v>
      </c>
      <c r="AW137" s="57">
        <f t="shared" si="86"/>
        <v>263.59371318120333</v>
      </c>
      <c r="AX137" s="57">
        <f t="shared" si="87"/>
        <v>30.871861904226645</v>
      </c>
      <c r="AY137" s="57">
        <f t="shared" si="88"/>
        <v>29.334639391377941</v>
      </c>
      <c r="BA137" s="57">
        <f t="shared" si="89"/>
        <v>74052.640888972179</v>
      </c>
      <c r="BB137" s="57">
        <f t="shared" si="90"/>
        <v>64369.790281047222</v>
      </c>
    </row>
    <row r="138" spans="9:54" x14ac:dyDescent="0.25">
      <c r="I138" s="41">
        <v>133</v>
      </c>
      <c r="J138" s="57">
        <f t="shared" si="64"/>
        <v>16590.008199687509</v>
      </c>
      <c r="K138" s="57">
        <f t="shared" si="65"/>
        <v>11156.768508095853</v>
      </c>
      <c r="M138" s="41">
        <v>133</v>
      </c>
      <c r="N138" s="57">
        <f t="shared" si="66"/>
        <v>-22386.994260218744</v>
      </c>
      <c r="O138" s="57">
        <f t="shared" si="67"/>
        <v>12559.737955667097</v>
      </c>
      <c r="Q138" s="41">
        <v>133</v>
      </c>
      <c r="R138" s="57">
        <f t="shared" si="68"/>
        <v>-8409.9918003124913</v>
      </c>
      <c r="S138" s="41">
        <f t="shared" si="69"/>
        <v>-11343.231491904147</v>
      </c>
      <c r="U138" s="41">
        <v>132</v>
      </c>
      <c r="V138" s="41">
        <f t="shared" si="91"/>
        <v>66</v>
      </c>
      <c r="W138" s="57">
        <f t="shared" si="92"/>
        <v>-31401.861097092187</v>
      </c>
      <c r="X138" s="57">
        <f t="shared" si="93"/>
        <v>-49582.663001061046</v>
      </c>
      <c r="Y138" s="57">
        <f t="shared" si="94"/>
        <v>624.23751959534047</v>
      </c>
      <c r="Z138" s="57">
        <f t="shared" si="95"/>
        <v>-334.20718939664278</v>
      </c>
      <c r="AA138" s="57">
        <f t="shared" si="70"/>
        <v>401.6490975471296</v>
      </c>
      <c r="AB138" s="57">
        <f t="shared" si="71"/>
        <v>608.06815651689408</v>
      </c>
      <c r="AC138" s="57">
        <f t="shared" si="72"/>
        <v>57.901182317173998</v>
      </c>
      <c r="AD138" s="57">
        <f t="shared" si="73"/>
        <v>64.300272539377204</v>
      </c>
      <c r="AE138" s="57">
        <f t="shared" si="74"/>
        <v>8.9921411100332076</v>
      </c>
      <c r="AF138" s="57">
        <f t="shared" si="75"/>
        <v>46.990198254014373</v>
      </c>
      <c r="AG138" s="57">
        <f t="shared" si="76"/>
        <v>155.36960258249186</v>
      </c>
      <c r="AH138" s="57">
        <f t="shared" si="77"/>
        <v>203.51196406040009</v>
      </c>
      <c r="AJ138" s="57">
        <f t="shared" si="78"/>
        <v>76815.244187188931</v>
      </c>
      <c r="AK138" s="57">
        <f t="shared" si="79"/>
        <v>60663.796178407705</v>
      </c>
      <c r="AL138" s="57">
        <f t="shared" si="80"/>
        <v>43508.836454622709</v>
      </c>
      <c r="AN138" s="41">
        <v>133</v>
      </c>
      <c r="AO138" s="57">
        <f t="shared" si="81"/>
        <v>-114.98770046873778</v>
      </c>
      <c r="AP138" s="57">
        <f t="shared" si="82"/>
        <v>20485.152762143778</v>
      </c>
      <c r="AR138" s="41">
        <v>133</v>
      </c>
      <c r="AS138" s="57">
        <f t="shared" si="83"/>
        <v>12613.005739781256</v>
      </c>
      <c r="AT138" s="57">
        <f t="shared" si="84"/>
        <v>-2440.2620443329029</v>
      </c>
      <c r="AV138" s="57">
        <f t="shared" si="85"/>
        <v>148.65730696233189</v>
      </c>
      <c r="AW138" s="57">
        <f t="shared" si="86"/>
        <v>263.74159091993454</v>
      </c>
      <c r="AX138" s="57">
        <f t="shared" si="87"/>
        <v>30.728864575098662</v>
      </c>
      <c r="AY138" s="57">
        <f t="shared" si="88"/>
        <v>29.524130743167909</v>
      </c>
      <c r="BA138" s="57">
        <f t="shared" si="89"/>
        <v>74135.118881948336</v>
      </c>
      <c r="BB138" s="57">
        <f t="shared" si="90"/>
        <v>64348.632880116536</v>
      </c>
    </row>
    <row r="139" spans="9:54" x14ac:dyDescent="0.25">
      <c r="I139" s="41">
        <v>134</v>
      </c>
      <c r="J139" s="57">
        <f t="shared" si="64"/>
        <v>16526.708147705016</v>
      </c>
      <c r="K139" s="57">
        <f t="shared" si="65"/>
        <v>11096.699001693258</v>
      </c>
      <c r="M139" s="41">
        <v>134</v>
      </c>
      <c r="N139" s="57">
        <f t="shared" si="66"/>
        <v>-22431.30429660649</v>
      </c>
      <c r="O139" s="57">
        <f t="shared" si="67"/>
        <v>12517.689301185281</v>
      </c>
      <c r="Q139" s="41">
        <v>134</v>
      </c>
      <c r="R139" s="57">
        <f t="shared" si="68"/>
        <v>-8473.2918522949858</v>
      </c>
      <c r="S139" s="41">
        <f t="shared" si="69"/>
        <v>-11403.300998306742</v>
      </c>
      <c r="U139" s="41">
        <v>133</v>
      </c>
      <c r="V139" s="41">
        <f t="shared" si="91"/>
        <v>66.5</v>
      </c>
      <c r="W139" s="57">
        <f t="shared" si="92"/>
        <v>-31039.536200101124</v>
      </c>
      <c r="X139" s="57">
        <f t="shared" si="93"/>
        <v>-49673.758076194761</v>
      </c>
      <c r="Y139" s="57">
        <f t="shared" si="94"/>
        <v>825.06206836890533</v>
      </c>
      <c r="Z139" s="57">
        <f t="shared" si="95"/>
        <v>-30.173111138195736</v>
      </c>
      <c r="AA139" s="57">
        <f t="shared" si="70"/>
        <v>399.79456271662201</v>
      </c>
      <c r="AB139" s="57">
        <f t="shared" si="71"/>
        <v>612.83256790019243</v>
      </c>
      <c r="AC139" s="57">
        <f t="shared" si="72"/>
        <v>57.879047784075802</v>
      </c>
      <c r="AD139" s="57">
        <f t="shared" si="73"/>
        <v>64.83528107923344</v>
      </c>
      <c r="AE139" s="57">
        <f t="shared" si="74"/>
        <v>8.6968305604176521</v>
      </c>
      <c r="AF139" s="57">
        <f t="shared" si="75"/>
        <v>47.010359265570088</v>
      </c>
      <c r="AG139" s="57">
        <f t="shared" si="76"/>
        <v>154.71289829607429</v>
      </c>
      <c r="AH139" s="57">
        <f t="shared" si="77"/>
        <v>206.01279398993947</v>
      </c>
      <c r="AJ139" s="57">
        <f t="shared" si="78"/>
        <v>76641.195633136362</v>
      </c>
      <c r="AK139" s="57">
        <f t="shared" si="79"/>
        <v>60686.314457623499</v>
      </c>
      <c r="AL139" s="57">
        <f t="shared" si="80"/>
        <v>43362.736821409904</v>
      </c>
      <c r="AN139" s="41">
        <v>134</v>
      </c>
      <c r="AO139" s="57">
        <f t="shared" si="81"/>
        <v>-209.93777844247779</v>
      </c>
      <c r="AP139" s="57">
        <f t="shared" si="82"/>
        <v>20395.048502539885</v>
      </c>
      <c r="AR139" s="41">
        <v>134</v>
      </c>
      <c r="AS139" s="57">
        <f t="shared" si="83"/>
        <v>12568.69570339351</v>
      </c>
      <c r="AT139" s="57">
        <f t="shared" si="84"/>
        <v>-2482.3106988147201</v>
      </c>
      <c r="AV139" s="57">
        <f t="shared" si="85"/>
        <v>147.73790429537132</v>
      </c>
      <c r="AW139" s="57">
        <f t="shared" si="86"/>
        <v>265.11899121099259</v>
      </c>
      <c r="AX139" s="57">
        <f t="shared" si="87"/>
        <v>30.76788178068297</v>
      </c>
      <c r="AY139" s="57">
        <f t="shared" si="88"/>
        <v>29.855142354456916</v>
      </c>
      <c r="BA139" s="57">
        <f t="shared" si="89"/>
        <v>74037.444264483944</v>
      </c>
      <c r="BB139" s="57">
        <f t="shared" si="90"/>
        <v>64151.255281333339</v>
      </c>
    </row>
    <row r="140" spans="9:54" x14ac:dyDescent="0.25">
      <c r="I140" s="41">
        <v>135</v>
      </c>
      <c r="J140" s="57">
        <f t="shared" si="64"/>
        <v>16464.466094067262</v>
      </c>
      <c r="K140" s="57">
        <f t="shared" si="65"/>
        <v>11035.533905932738</v>
      </c>
      <c r="M140" s="41">
        <v>135</v>
      </c>
      <c r="N140" s="57">
        <f t="shared" si="66"/>
        <v>-22474.873734152916</v>
      </c>
      <c r="O140" s="57">
        <f t="shared" si="67"/>
        <v>12474.873734152916</v>
      </c>
      <c r="Q140" s="41">
        <v>135</v>
      </c>
      <c r="R140" s="57">
        <f t="shared" si="68"/>
        <v>-8535.533905932738</v>
      </c>
      <c r="S140" s="41">
        <f t="shared" si="69"/>
        <v>-11464.466094067262</v>
      </c>
      <c r="U140" s="41">
        <v>134</v>
      </c>
      <c r="V140" s="41">
        <f t="shared" si="91"/>
        <v>67</v>
      </c>
      <c r="W140" s="57">
        <f t="shared" si="92"/>
        <v>-30577.030845577094</v>
      </c>
      <c r="X140" s="57">
        <f t="shared" si="93"/>
        <v>-49612.240560776336</v>
      </c>
      <c r="Y140" s="57">
        <f t="shared" si="94"/>
        <v>1024.9593497272162</v>
      </c>
      <c r="Z140" s="57">
        <f t="shared" si="95"/>
        <v>276.24317281190048</v>
      </c>
      <c r="AA140" s="57">
        <f t="shared" si="70"/>
        <v>400.216872409117</v>
      </c>
      <c r="AB140" s="57">
        <f t="shared" si="71"/>
        <v>621.14234338175652</v>
      </c>
      <c r="AC140" s="57">
        <f t="shared" si="72"/>
        <v>58.141542740006685</v>
      </c>
      <c r="AD140" s="57">
        <f t="shared" si="73"/>
        <v>65.654185704978033</v>
      </c>
      <c r="AE140" s="57">
        <f t="shared" si="74"/>
        <v>8.3908746029241339</v>
      </c>
      <c r="AF140" s="57">
        <f t="shared" si="75"/>
        <v>47.291044400611341</v>
      </c>
      <c r="AG140" s="57">
        <f t="shared" si="76"/>
        <v>155.26195681131904</v>
      </c>
      <c r="AH140" s="57">
        <f t="shared" si="77"/>
        <v>210.1089931640573</v>
      </c>
      <c r="AJ140" s="57">
        <f t="shared" si="78"/>
        <v>76287.902520822012</v>
      </c>
      <c r="AK140" s="57">
        <f t="shared" si="79"/>
        <v>60543.313472126356</v>
      </c>
      <c r="AL140" s="57">
        <f t="shared" si="80"/>
        <v>43037.096829510388</v>
      </c>
      <c r="AN140" s="41">
        <v>135</v>
      </c>
      <c r="AO140" s="57">
        <f t="shared" si="81"/>
        <v>-303.30085889910606</v>
      </c>
      <c r="AP140" s="57">
        <f t="shared" si="82"/>
        <v>20303.300858899107</v>
      </c>
      <c r="AR140" s="41">
        <v>135</v>
      </c>
      <c r="AS140" s="57">
        <f t="shared" si="83"/>
        <v>12525.126265847084</v>
      </c>
      <c r="AT140" s="57">
        <f t="shared" si="84"/>
        <v>-2525.1262658470837</v>
      </c>
      <c r="AV140" s="57">
        <f t="shared" si="85"/>
        <v>147.43091358347013</v>
      </c>
      <c r="AW140" s="57">
        <f t="shared" si="86"/>
        <v>267.7525759779486</v>
      </c>
      <c r="AX140" s="57">
        <f t="shared" si="87"/>
        <v>30.991584671396982</v>
      </c>
      <c r="AY140" s="57">
        <f t="shared" si="88"/>
        <v>30.335544134161204</v>
      </c>
      <c r="BA140" s="57">
        <f t="shared" si="89"/>
        <v>73759.519752170119</v>
      </c>
      <c r="BB140" s="57">
        <f t="shared" si="90"/>
        <v>63777.094231011048</v>
      </c>
    </row>
    <row r="141" spans="9:54" x14ac:dyDescent="0.25">
      <c r="I141" s="41">
        <v>136</v>
      </c>
      <c r="J141" s="57">
        <f t="shared" si="64"/>
        <v>16403.300998306746</v>
      </c>
      <c r="K141" s="57">
        <f t="shared" si="65"/>
        <v>10973.291852294986</v>
      </c>
      <c r="M141" s="41">
        <v>136</v>
      </c>
      <c r="N141" s="57">
        <f t="shared" si="66"/>
        <v>-22517.689301185281</v>
      </c>
      <c r="O141" s="57">
        <f t="shared" si="67"/>
        <v>12431.30429660649</v>
      </c>
      <c r="Q141" s="41">
        <v>136</v>
      </c>
      <c r="R141" s="57">
        <f t="shared" si="68"/>
        <v>-8596.6990016932559</v>
      </c>
      <c r="S141" s="41">
        <f t="shared" si="69"/>
        <v>-11526.708147705014</v>
      </c>
      <c r="U141" s="41">
        <v>135</v>
      </c>
      <c r="V141" s="41">
        <f t="shared" si="91"/>
        <v>67.5</v>
      </c>
      <c r="W141" s="57">
        <f t="shared" si="92"/>
        <v>-30014.524061662349</v>
      </c>
      <c r="X141" s="57">
        <f t="shared" si="93"/>
        <v>-49396.476181447666</v>
      </c>
      <c r="Y141" s="57">
        <f t="shared" si="94"/>
        <v>1225.0677859317748</v>
      </c>
      <c r="Z141" s="57">
        <f t="shared" si="95"/>
        <v>586.81434450277879</v>
      </c>
      <c r="AA141" s="57">
        <f t="shared" si="70"/>
        <v>402.95550106688393</v>
      </c>
      <c r="AB141" s="57">
        <f t="shared" si="71"/>
        <v>633.24497130242128</v>
      </c>
      <c r="AC141" s="57">
        <f t="shared" si="72"/>
        <v>58.698202641912928</v>
      </c>
      <c r="AD141" s="57">
        <f t="shared" si="73"/>
        <v>66.775020879772498</v>
      </c>
      <c r="AE141" s="57">
        <f t="shared" si="74"/>
        <v>8.0656894637178791</v>
      </c>
      <c r="AF141" s="57">
        <f t="shared" si="75"/>
        <v>47.83787318986672</v>
      </c>
      <c r="AG141" s="57">
        <f t="shared" si="76"/>
        <v>157.04901428945038</v>
      </c>
      <c r="AH141" s="57">
        <f t="shared" si="77"/>
        <v>215.95184725525121</v>
      </c>
      <c r="AJ141" s="57">
        <f t="shared" si="78"/>
        <v>75753.95447750992</v>
      </c>
      <c r="AK141" s="57">
        <f t="shared" si="79"/>
        <v>60234.807835294821</v>
      </c>
      <c r="AL141" s="57">
        <f t="shared" si="80"/>
        <v>42530.506553912346</v>
      </c>
      <c r="AN141" s="41">
        <v>136</v>
      </c>
      <c r="AO141" s="57">
        <f t="shared" si="81"/>
        <v>-395.04850253988388</v>
      </c>
      <c r="AP141" s="57">
        <f t="shared" si="82"/>
        <v>20209.93777844248</v>
      </c>
      <c r="AR141" s="41">
        <v>136</v>
      </c>
      <c r="AS141" s="57">
        <f t="shared" si="83"/>
        <v>12482.310698814721</v>
      </c>
      <c r="AT141" s="57">
        <f t="shared" si="84"/>
        <v>-2568.69570339351</v>
      </c>
      <c r="AV141" s="57">
        <f t="shared" si="85"/>
        <v>147.73392684818739</v>
      </c>
      <c r="AW141" s="57">
        <f t="shared" si="86"/>
        <v>271.70280209198899</v>
      </c>
      <c r="AX141" s="57">
        <f t="shared" si="87"/>
        <v>31.408667823615346</v>
      </c>
      <c r="AY141" s="57">
        <f t="shared" si="88"/>
        <v>30.977427885541996</v>
      </c>
      <c r="BA141" s="57">
        <f t="shared" si="89"/>
        <v>73300.225373817841</v>
      </c>
      <c r="BB141" s="57">
        <f t="shared" si="90"/>
        <v>63224.635023286835</v>
      </c>
    </row>
    <row r="142" spans="9:54" x14ac:dyDescent="0.25">
      <c r="I142" s="41">
        <v>137</v>
      </c>
      <c r="J142" s="57">
        <f t="shared" si="64"/>
        <v>16343.231491904147</v>
      </c>
      <c r="K142" s="57">
        <f t="shared" si="65"/>
        <v>10909.991800312493</v>
      </c>
      <c r="M142" s="41">
        <v>137</v>
      </c>
      <c r="N142" s="57">
        <f t="shared" si="66"/>
        <v>-22559.737955667097</v>
      </c>
      <c r="O142" s="57">
        <f t="shared" si="67"/>
        <v>12386.994260218746</v>
      </c>
      <c r="Q142" s="41">
        <v>137</v>
      </c>
      <c r="R142" s="57">
        <f t="shared" si="68"/>
        <v>-8656.7685080958527</v>
      </c>
      <c r="S142" s="41">
        <f t="shared" si="69"/>
        <v>-11590.008199687507</v>
      </c>
      <c r="U142" s="41">
        <v>136</v>
      </c>
      <c r="V142" s="41">
        <f t="shared" si="91"/>
        <v>68</v>
      </c>
      <c r="W142" s="57">
        <f t="shared" si="92"/>
        <v>-29351.620731063103</v>
      </c>
      <c r="X142" s="57">
        <f t="shared" si="93"/>
        <v>-49023.913387783476</v>
      </c>
      <c r="Y142" s="57">
        <f t="shared" si="94"/>
        <v>1426.5455364652166</v>
      </c>
      <c r="Z142" s="57">
        <f t="shared" si="95"/>
        <v>903.43683015398938</v>
      </c>
      <c r="AA142" s="57">
        <f t="shared" si="70"/>
        <v>408.12852517101368</v>
      </c>
      <c r="AB142" s="57">
        <f t="shared" si="71"/>
        <v>649.52483352910883</v>
      </c>
      <c r="AC142" s="57">
        <f t="shared" si="72"/>
        <v>59.567209992565509</v>
      </c>
      <c r="AD142" s="57">
        <f t="shared" si="73"/>
        <v>68.224138711060192</v>
      </c>
      <c r="AE142" s="57">
        <f t="shared" si="74"/>
        <v>7.7102286313557578</v>
      </c>
      <c r="AF142" s="57">
        <f t="shared" si="75"/>
        <v>48.664063698123876</v>
      </c>
      <c r="AG142" s="57">
        <f t="shared" si="76"/>
        <v>160.15767665130485</v>
      </c>
      <c r="AH142" s="57">
        <f t="shared" si="77"/>
        <v>223.77118052851407</v>
      </c>
      <c r="AJ142" s="57">
        <f t="shared" si="78"/>
        <v>75036.892615914912</v>
      </c>
      <c r="AK142" s="57">
        <f t="shared" si="79"/>
        <v>59760.146936785677</v>
      </c>
      <c r="AL142" s="57">
        <f t="shared" si="80"/>
        <v>41840.508056773571</v>
      </c>
      <c r="AN142" s="41">
        <v>137</v>
      </c>
      <c r="AO142" s="57">
        <f t="shared" si="81"/>
        <v>-485.15276214377809</v>
      </c>
      <c r="AP142" s="57">
        <f t="shared" si="82"/>
        <v>20114.987700468741</v>
      </c>
      <c r="AR142" s="41">
        <v>137</v>
      </c>
      <c r="AS142" s="57">
        <f t="shared" si="83"/>
        <v>12440.262044332903</v>
      </c>
      <c r="AT142" s="57">
        <f t="shared" si="84"/>
        <v>-2613.0057397812548</v>
      </c>
      <c r="AV142" s="57">
        <f t="shared" si="85"/>
        <v>148.6588300496783</v>
      </c>
      <c r="AW142" s="57">
        <f t="shared" si="86"/>
        <v>277.06756935701867</v>
      </c>
      <c r="AX142" s="57">
        <f t="shared" si="87"/>
        <v>32.034579846109231</v>
      </c>
      <c r="AY142" s="57">
        <f t="shared" si="88"/>
        <v>31.797881234392101</v>
      </c>
      <c r="BA142" s="57">
        <f t="shared" si="89"/>
        <v>72657.383192193229</v>
      </c>
      <c r="BB142" s="57">
        <f t="shared" si="90"/>
        <v>62491.369095636939</v>
      </c>
    </row>
    <row r="143" spans="9:54" x14ac:dyDescent="0.25">
      <c r="I143" s="41">
        <v>138</v>
      </c>
      <c r="J143" s="57">
        <f t="shared" si="64"/>
        <v>16284.275872613031</v>
      </c>
      <c r="K143" s="57">
        <f t="shared" si="65"/>
        <v>10845.653031794292</v>
      </c>
      <c r="M143" s="41">
        <v>138</v>
      </c>
      <c r="N143" s="57">
        <f t="shared" si="66"/>
        <v>-22601.00688917088</v>
      </c>
      <c r="O143" s="57">
        <f t="shared" si="67"/>
        <v>12341.957122256004</v>
      </c>
      <c r="Q143" s="41">
        <v>138</v>
      </c>
      <c r="R143" s="57">
        <f t="shared" si="68"/>
        <v>-8715.7241273869695</v>
      </c>
      <c r="S143" s="41">
        <f t="shared" si="69"/>
        <v>-11654.346968205708</v>
      </c>
      <c r="U143" s="41">
        <v>137</v>
      </c>
      <c r="V143" s="41">
        <f t="shared" si="91"/>
        <v>68.5</v>
      </c>
      <c r="W143" s="57">
        <f t="shared" si="92"/>
        <v>-28587.331897184118</v>
      </c>
      <c r="X143" s="57">
        <f t="shared" si="93"/>
        <v>-48491.004368515343</v>
      </c>
      <c r="Y143" s="57">
        <f t="shared" si="94"/>
        <v>1630.6097990507235</v>
      </c>
      <c r="Z143" s="57">
        <f t="shared" si="95"/>
        <v>1228.1992469185438</v>
      </c>
      <c r="AA143" s="57">
        <f t="shared" si="70"/>
        <v>415.94361636870048</v>
      </c>
      <c r="AB143" s="57">
        <f t="shared" si="71"/>
        <v>670.53523849470673</v>
      </c>
      <c r="AC143" s="57">
        <f t="shared" si="72"/>
        <v>60.776760657402782</v>
      </c>
      <c r="AD143" s="57">
        <f t="shared" si="73"/>
        <v>70.037841935298133</v>
      </c>
      <c r="AE143" s="57">
        <f t="shared" si="74"/>
        <v>7.3100689884780783</v>
      </c>
      <c r="AF143" s="57">
        <f t="shared" si="75"/>
        <v>49.791167065456719</v>
      </c>
      <c r="AG143" s="57">
        <f t="shared" si="76"/>
        <v>164.73136162227431</v>
      </c>
      <c r="AH143" s="57">
        <f t="shared" si="77"/>
        <v>233.89753346293892</v>
      </c>
      <c r="AJ143" s="57">
        <f t="shared" si="78"/>
        <v>74133.132883227256</v>
      </c>
      <c r="AK143" s="57">
        <f t="shared" si="79"/>
        <v>59118.016383756287</v>
      </c>
      <c r="AL143" s="57">
        <f t="shared" si="80"/>
        <v>40963.515469742502</v>
      </c>
      <c r="AN143" s="41">
        <v>138</v>
      </c>
      <c r="AO143" s="57">
        <f t="shared" si="81"/>
        <v>-573.58619108045514</v>
      </c>
      <c r="AP143" s="57">
        <f t="shared" si="82"/>
        <v>20018.479547691437</v>
      </c>
      <c r="AR143" s="41">
        <v>138</v>
      </c>
      <c r="AS143" s="57">
        <f t="shared" si="83"/>
        <v>12398.99311082912</v>
      </c>
      <c r="AT143" s="57">
        <f t="shared" si="84"/>
        <v>-2658.0428777439956</v>
      </c>
      <c r="AV143" s="57">
        <f t="shared" si="85"/>
        <v>150.23258270818363</v>
      </c>
      <c r="AW143" s="57">
        <f t="shared" si="86"/>
        <v>283.98854646201613</v>
      </c>
      <c r="AX143" s="57">
        <f t="shared" si="87"/>
        <v>32.892842392361715</v>
      </c>
      <c r="AY143" s="57">
        <f t="shared" si="88"/>
        <v>32.820149568996847</v>
      </c>
      <c r="BA143" s="57">
        <f t="shared" si="89"/>
        <v>71827.686164141734</v>
      </c>
      <c r="BB143" s="57">
        <f t="shared" si="90"/>
        <v>61573.719742252899</v>
      </c>
    </row>
    <row r="144" spans="9:54" x14ac:dyDescent="0.25">
      <c r="I144" s="41">
        <v>139</v>
      </c>
      <c r="J144" s="57">
        <f t="shared" si="64"/>
        <v>16226.45209888614</v>
      </c>
      <c r="K144" s="57">
        <f t="shared" si="65"/>
        <v>10780.295144952535</v>
      </c>
      <c r="M144" s="41">
        <v>139</v>
      </c>
      <c r="N144" s="57">
        <f t="shared" si="66"/>
        <v>-22641.483530779704</v>
      </c>
      <c r="O144" s="57">
        <f t="shared" si="67"/>
        <v>12296.206601466776</v>
      </c>
      <c r="Q144" s="41">
        <v>139</v>
      </c>
      <c r="R144" s="57">
        <f t="shared" si="68"/>
        <v>-8773.5479011138596</v>
      </c>
      <c r="S144" s="41">
        <f t="shared" si="69"/>
        <v>-11719.704855047465</v>
      </c>
      <c r="U144" s="41">
        <v>138</v>
      </c>
      <c r="V144" s="41">
        <f t="shared" si="91"/>
        <v>69</v>
      </c>
      <c r="W144" s="57">
        <f t="shared" si="92"/>
        <v>-27720.034045612669</v>
      </c>
      <c r="X144" s="57">
        <f t="shared" si="93"/>
        <v>-47793.087840244232</v>
      </c>
      <c r="Y144" s="57">
        <f t="shared" si="94"/>
        <v>1838.5816072350738</v>
      </c>
      <c r="Z144" s="57">
        <f t="shared" si="95"/>
        <v>1563.4668661658973</v>
      </c>
      <c r="AA144" s="57">
        <f t="shared" si="70"/>
        <v>426.71763064380485</v>
      </c>
      <c r="AB144" s="57">
        <f t="shared" si="71"/>
        <v>697.04829733320253</v>
      </c>
      <c r="AC144" s="57">
        <f t="shared" si="72"/>
        <v>62.367267335288219</v>
      </c>
      <c r="AD144" s="57">
        <f t="shared" si="73"/>
        <v>72.264801568035239</v>
      </c>
      <c r="AE144" s="57">
        <f t="shared" si="74"/>
        <v>6.8460517836372183</v>
      </c>
      <c r="AF144" s="57">
        <f t="shared" si="75"/>
        <v>51.250353269550509</v>
      </c>
      <c r="AG144" s="57">
        <f t="shared" si="76"/>
        <v>170.98824797151462</v>
      </c>
      <c r="AH144" s="57">
        <f t="shared" si="77"/>
        <v>246.79684124250338</v>
      </c>
      <c r="AJ144" s="57">
        <f t="shared" si="78"/>
        <v>73037.847806622813</v>
      </c>
      <c r="AK144" s="57">
        <f t="shared" si="79"/>
        <v>58306.431272850205</v>
      </c>
      <c r="AL144" s="57">
        <f t="shared" si="80"/>
        <v>39894.693345503641</v>
      </c>
      <c r="AN144" s="41">
        <v>139</v>
      </c>
      <c r="AO144" s="57">
        <f t="shared" si="81"/>
        <v>-660.32185167079024</v>
      </c>
      <c r="AP144" s="57">
        <f t="shared" si="82"/>
        <v>19920.442717428807</v>
      </c>
      <c r="AR144" s="41">
        <v>139</v>
      </c>
      <c r="AS144" s="57">
        <f t="shared" si="83"/>
        <v>12358.516469220298</v>
      </c>
      <c r="AT144" s="57">
        <f t="shared" si="84"/>
        <v>-2703.7933985332247</v>
      </c>
      <c r="AV144" s="57">
        <f t="shared" si="85"/>
        <v>152.49889863115069</v>
      </c>
      <c r="AW144" s="57">
        <f t="shared" si="86"/>
        <v>292.66096495918362</v>
      </c>
      <c r="AX144" s="57">
        <f t="shared" si="87"/>
        <v>34.017164922214128</v>
      </c>
      <c r="AY144" s="57">
        <f t="shared" si="88"/>
        <v>34.075336293929837</v>
      </c>
      <c r="BA144" s="57">
        <f t="shared" si="89"/>
        <v>70806.585205464333</v>
      </c>
      <c r="BB144" s="57">
        <f t="shared" si="90"/>
        <v>60466.930431113869</v>
      </c>
    </row>
    <row r="145" spans="9:54" x14ac:dyDescent="0.25">
      <c r="I145" s="41">
        <v>140</v>
      </c>
      <c r="J145" s="57">
        <f t="shared" si="64"/>
        <v>16169.777784405111</v>
      </c>
      <c r="K145" s="57">
        <f t="shared" si="65"/>
        <v>10713.938048432698</v>
      </c>
      <c r="M145" s="41">
        <v>140</v>
      </c>
      <c r="N145" s="57">
        <f t="shared" si="66"/>
        <v>-22681.155550916425</v>
      </c>
      <c r="O145" s="57">
        <f t="shared" si="67"/>
        <v>12249.756633902889</v>
      </c>
      <c r="Q145" s="41">
        <v>140</v>
      </c>
      <c r="R145" s="57">
        <f t="shared" si="68"/>
        <v>-8830.2222155948893</v>
      </c>
      <c r="S145" s="41">
        <f t="shared" si="69"/>
        <v>-11786.061951567302</v>
      </c>
      <c r="U145" s="41">
        <v>139</v>
      </c>
      <c r="V145" s="41">
        <f t="shared" si="91"/>
        <v>69.5</v>
      </c>
      <c r="W145" s="57">
        <f t="shared" si="92"/>
        <v>-26747.403538164657</v>
      </c>
      <c r="X145" s="57">
        <f t="shared" si="93"/>
        <v>-46924.223369994637</v>
      </c>
      <c r="Y145" s="57">
        <f t="shared" si="94"/>
        <v>2051.940422556976</v>
      </c>
      <c r="Z145" s="57">
        <f t="shared" si="95"/>
        <v>1911.9910148324984</v>
      </c>
      <c r="AA145" s="57">
        <f t="shared" si="70"/>
        <v>440.9081914847842</v>
      </c>
      <c r="AB145" s="57">
        <f t="shared" si="71"/>
        <v>730.13144978546802</v>
      </c>
      <c r="AC145" s="57">
        <f t="shared" si="72"/>
        <v>64.394727510220363</v>
      </c>
      <c r="AD145" s="57">
        <f t="shared" si="73"/>
        <v>74.969576246196951</v>
      </c>
      <c r="AE145" s="57">
        <f t="shared" si="74"/>
        <v>6.292254010811531</v>
      </c>
      <c r="AF145" s="57">
        <f t="shared" si="75"/>
        <v>53.084371015640819</v>
      </c>
      <c r="AG145" s="57">
        <f t="shared" si="76"/>
        <v>179.24548755361914</v>
      </c>
      <c r="AH145" s="57">
        <f t="shared" si="77"/>
        <v>263.12442185032705</v>
      </c>
      <c r="AJ145" s="57">
        <f t="shared" si="78"/>
        <v>71744.796515058013</v>
      </c>
      <c r="AK145" s="57">
        <f t="shared" si="79"/>
        <v>57322.723773246165</v>
      </c>
      <c r="AL145" s="57">
        <f t="shared" si="80"/>
        <v>38627.782727320613</v>
      </c>
      <c r="AN145" s="41">
        <v>140</v>
      </c>
      <c r="AO145" s="57">
        <f t="shared" si="81"/>
        <v>-745.33332339233402</v>
      </c>
      <c r="AP145" s="57">
        <f t="shared" si="82"/>
        <v>19820.907072649046</v>
      </c>
      <c r="AR145" s="41">
        <v>140</v>
      </c>
      <c r="AS145" s="57">
        <f t="shared" si="83"/>
        <v>12318.844449083577</v>
      </c>
      <c r="AT145" s="57">
        <f t="shared" si="84"/>
        <v>-2750.2433660971119</v>
      </c>
      <c r="AV145" s="57">
        <f t="shared" si="85"/>
        <v>155.52100951771777</v>
      </c>
      <c r="AW145" s="57">
        <f t="shared" si="86"/>
        <v>303.34820044496036</v>
      </c>
      <c r="AX145" s="57">
        <f t="shared" si="87"/>
        <v>35.454712892415365</v>
      </c>
      <c r="AY145" s="57">
        <f t="shared" si="88"/>
        <v>35.604880228342878</v>
      </c>
      <c r="BA145" s="57">
        <f t="shared" si="89"/>
        <v>69588.124499745361</v>
      </c>
      <c r="BB145" s="57">
        <f t="shared" si="90"/>
        <v>59164.906890449573</v>
      </c>
    </row>
    <row r="146" spans="9:54" x14ac:dyDescent="0.25">
      <c r="I146" s="41">
        <v>141</v>
      </c>
      <c r="J146" s="57">
        <f t="shared" si="64"/>
        <v>16114.270192715147</v>
      </c>
      <c r="K146" s="57">
        <f t="shared" si="65"/>
        <v>10646.601955249189</v>
      </c>
      <c r="M146" s="41">
        <v>141</v>
      </c>
      <c r="N146" s="57">
        <f t="shared" si="66"/>
        <v>-22720.010865099397</v>
      </c>
      <c r="O146" s="57">
        <f t="shared" si="67"/>
        <v>12202.621368674432</v>
      </c>
      <c r="Q146" s="41">
        <v>141</v>
      </c>
      <c r="R146" s="57">
        <f t="shared" si="68"/>
        <v>-8885.7298072848535</v>
      </c>
      <c r="S146" s="41">
        <f t="shared" si="69"/>
        <v>-11853.398044750811</v>
      </c>
      <c r="U146" s="41">
        <v>140</v>
      </c>
      <c r="V146" s="41">
        <f t="shared" si="91"/>
        <v>70</v>
      </c>
      <c r="W146" s="57">
        <f t="shared" si="92"/>
        <v>-25666.319802950573</v>
      </c>
      <c r="X146" s="57">
        <f t="shared" si="93"/>
        <v>-45876.961431355201</v>
      </c>
      <c r="Y146" s="57">
        <f t="shared" si="94"/>
        <v>2272.394518299368</v>
      </c>
      <c r="Z146" s="57">
        <f t="shared" si="95"/>
        <v>2277.0567397252325</v>
      </c>
      <c r="AA146" s="57">
        <f t="shared" si="70"/>
        <v>459.16315909887487</v>
      </c>
      <c r="AB146" s="57">
        <f t="shared" si="71"/>
        <v>771.26567172539956</v>
      </c>
      <c r="AC146" s="57">
        <f t="shared" si="72"/>
        <v>66.935801040207181</v>
      </c>
      <c r="AD146" s="57">
        <f t="shared" si="73"/>
        <v>78.237740328467581</v>
      </c>
      <c r="AE146" s="57">
        <f t="shared" si="74"/>
        <v>5.6129201353166307</v>
      </c>
      <c r="AF146" s="57">
        <f t="shared" si="75"/>
        <v>55.350374286154675</v>
      </c>
      <c r="AG146" s="57">
        <f t="shared" si="76"/>
        <v>189.95748073010668</v>
      </c>
      <c r="AH146" s="57">
        <f t="shared" si="77"/>
        <v>283.81007658961613</v>
      </c>
      <c r="AJ146" s="57">
        <f t="shared" si="78"/>
        <v>70246.087264628033</v>
      </c>
      <c r="AK146" s="57">
        <f t="shared" si="79"/>
        <v>56163.529081695589</v>
      </c>
      <c r="AL146" s="57">
        <f t="shared" si="80"/>
        <v>37154.858651745984</v>
      </c>
      <c r="AN146" s="41">
        <v>141</v>
      </c>
      <c r="AO146" s="57">
        <f t="shared" si="81"/>
        <v>-828.59471092728018</v>
      </c>
      <c r="AP146" s="57">
        <f t="shared" si="82"/>
        <v>19719.902932873782</v>
      </c>
      <c r="AR146" s="41">
        <v>141</v>
      </c>
      <c r="AS146" s="57">
        <f t="shared" si="83"/>
        <v>12279.989134900603</v>
      </c>
      <c r="AT146" s="57">
        <f t="shared" si="84"/>
        <v>-2797.3786313255678</v>
      </c>
      <c r="AV146" s="57">
        <f t="shared" si="85"/>
        <v>159.38581990549363</v>
      </c>
      <c r="AW146" s="57">
        <f t="shared" si="86"/>
        <v>316.40328782321285</v>
      </c>
      <c r="AX146" s="57">
        <f t="shared" si="87"/>
        <v>37.27113728775069</v>
      </c>
      <c r="AY146" s="57">
        <f t="shared" si="88"/>
        <v>37.464192697948263</v>
      </c>
      <c r="BA146" s="57">
        <f t="shared" si="89"/>
        <v>68164.709369082964</v>
      </c>
      <c r="BB146" s="57">
        <f t="shared" si="90"/>
        <v>57659.99949858091</v>
      </c>
    </row>
    <row r="147" spans="9:54" x14ac:dyDescent="0.25">
      <c r="I147" s="41">
        <v>142</v>
      </c>
      <c r="J147" s="57">
        <f t="shared" si="64"/>
        <v>16059.946231966391</v>
      </c>
      <c r="K147" s="57">
        <f t="shared" si="65"/>
        <v>10578.307376628292</v>
      </c>
      <c r="M147" s="41">
        <v>142</v>
      </c>
      <c r="N147" s="57">
        <f t="shared" si="66"/>
        <v>-22758.037637623525</v>
      </c>
      <c r="O147" s="57">
        <f t="shared" si="67"/>
        <v>12154.815163639803</v>
      </c>
      <c r="Q147" s="41">
        <v>142</v>
      </c>
      <c r="R147" s="57">
        <f t="shared" si="68"/>
        <v>-8940.0537680336092</v>
      </c>
      <c r="S147" s="41">
        <f t="shared" si="69"/>
        <v>-11921.692623371708</v>
      </c>
      <c r="U147" s="41">
        <v>141</v>
      </c>
      <c r="V147" s="41">
        <f t="shared" si="91"/>
        <v>70.5</v>
      </c>
      <c r="W147" s="57">
        <f t="shared" si="92"/>
        <v>-24472.727148913527</v>
      </c>
      <c r="X147" s="57">
        <f t="shared" si="93"/>
        <v>-44642.024852526913</v>
      </c>
      <c r="Y147" s="57">
        <f t="shared" si="94"/>
        <v>2501.9760978488052</v>
      </c>
      <c r="Z147" s="57">
        <f t="shared" si="95"/>
        <v>2662.6895755879323</v>
      </c>
      <c r="AA147" s="57">
        <f t="shared" si="70"/>
        <v>482.3980823449466</v>
      </c>
      <c r="AB147" s="57">
        <f t="shared" si="71"/>
        <v>822.53155567524755</v>
      </c>
      <c r="AC147" s="57">
        <f t="shared" si="72"/>
        <v>70.095509841832254</v>
      </c>
      <c r="AD147" s="57">
        <f t="shared" si="73"/>
        <v>82.183442539629638</v>
      </c>
      <c r="AE147" s="57">
        <f t="shared" si="74"/>
        <v>4.7577358066515467</v>
      </c>
      <c r="AF147" s="57">
        <f t="shared" si="75"/>
        <v>58.123893886968048</v>
      </c>
      <c r="AG147" s="57">
        <f t="shared" si="76"/>
        <v>203.77648542802686</v>
      </c>
      <c r="AH147" s="57">
        <f t="shared" si="77"/>
        <v>310.19525920667871</v>
      </c>
      <c r="AJ147" s="57">
        <f t="shared" si="78"/>
        <v>68531.84818595837</v>
      </c>
      <c r="AK147" s="57">
        <f t="shared" si="79"/>
        <v>54824.77695470176</v>
      </c>
      <c r="AL147" s="57">
        <f t="shared" si="80"/>
        <v>35465.994134859058</v>
      </c>
      <c r="AN147" s="41">
        <v>142</v>
      </c>
      <c r="AO147" s="57">
        <f t="shared" si="81"/>
        <v>-910.08065205041385</v>
      </c>
      <c r="AP147" s="57">
        <f t="shared" si="82"/>
        <v>19617.461064942436</v>
      </c>
      <c r="AR147" s="41">
        <v>142</v>
      </c>
      <c r="AS147" s="57">
        <f t="shared" si="83"/>
        <v>12241.962362376473</v>
      </c>
      <c r="AT147" s="57">
        <f t="shared" si="84"/>
        <v>-2845.1848363601957</v>
      </c>
      <c r="AV147" s="57">
        <f t="shared" si="85"/>
        <v>164.20993834782232</v>
      </c>
      <c r="AW147" s="57">
        <f t="shared" si="86"/>
        <v>332.30088191325609</v>
      </c>
      <c r="AX147" s="57">
        <f t="shared" si="87"/>
        <v>39.55841292061357</v>
      </c>
      <c r="AY147" s="57">
        <f t="shared" si="88"/>
        <v>39.728078128714962</v>
      </c>
      <c r="BA147" s="57">
        <f t="shared" si="89"/>
        <v>66526.782382013203</v>
      </c>
      <c r="BB147" s="57">
        <f t="shared" si="90"/>
        <v>55942.705717376033</v>
      </c>
    </row>
    <row r="148" spans="9:54" x14ac:dyDescent="0.25">
      <c r="I148" s="41">
        <v>143</v>
      </c>
      <c r="J148" s="57">
        <f t="shared" si="64"/>
        <v>16006.822449763535</v>
      </c>
      <c r="K148" s="57">
        <f t="shared" si="65"/>
        <v>10509.075115760241</v>
      </c>
      <c r="M148" s="41">
        <v>143</v>
      </c>
      <c r="N148" s="57">
        <f t="shared" si="66"/>
        <v>-22795.224285165525</v>
      </c>
      <c r="O148" s="57">
        <f t="shared" si="67"/>
        <v>12106.352581032168</v>
      </c>
      <c r="Q148" s="41">
        <v>143</v>
      </c>
      <c r="R148" s="57">
        <f t="shared" si="68"/>
        <v>-8993.1775502364653</v>
      </c>
      <c r="S148" s="41">
        <f t="shared" si="69"/>
        <v>-11990.924884239759</v>
      </c>
      <c r="U148" s="41">
        <v>142</v>
      </c>
      <c r="V148" s="41">
        <f t="shared" si="91"/>
        <v>71</v>
      </c>
      <c r="W148" s="57">
        <f t="shared" si="92"/>
        <v>-23161.439339696008</v>
      </c>
      <c r="X148" s="57">
        <f t="shared" si="93"/>
        <v>-43207.863620273536</v>
      </c>
      <c r="Y148" s="57">
        <f t="shared" si="94"/>
        <v>2743.1751390212785</v>
      </c>
      <c r="Z148" s="57">
        <f t="shared" si="95"/>
        <v>3073.955353425556</v>
      </c>
      <c r="AA148" s="57">
        <f t="shared" si="70"/>
        <v>511.91906198742817</v>
      </c>
      <c r="AB148" s="57">
        <f t="shared" si="71"/>
        <v>886.9102865049291</v>
      </c>
      <c r="AC148" s="57">
        <f t="shared" si="72"/>
        <v>74.019120997705272</v>
      </c>
      <c r="AD148" s="57">
        <f t="shared" si="73"/>
        <v>86.96075826628352</v>
      </c>
      <c r="AE148" s="57">
        <f t="shared" si="74"/>
        <v>3.6543885874512165</v>
      </c>
      <c r="AF148" s="57">
        <f t="shared" si="75"/>
        <v>61.504330364689281</v>
      </c>
      <c r="AG148" s="57">
        <f t="shared" si="76"/>
        <v>221.64988579334317</v>
      </c>
      <c r="AH148" s="57">
        <f t="shared" si="77"/>
        <v>344.26069613557854</v>
      </c>
      <c r="AJ148" s="57">
        <f t="shared" si="78"/>
        <v>66589.768574507892</v>
      </c>
      <c r="AK148" s="57">
        <f t="shared" si="79"/>
        <v>53301.702127907745</v>
      </c>
      <c r="AL148" s="57">
        <f t="shared" si="80"/>
        <v>33548.792063342742</v>
      </c>
      <c r="AN148" s="41">
        <v>143</v>
      </c>
      <c r="AO148" s="57">
        <f t="shared" si="81"/>
        <v>-989.76632535469707</v>
      </c>
      <c r="AP148" s="57">
        <f t="shared" si="82"/>
        <v>19513.61267364036</v>
      </c>
      <c r="AR148" s="41">
        <v>143</v>
      </c>
      <c r="AS148" s="57">
        <f t="shared" si="83"/>
        <v>12204.775714834475</v>
      </c>
      <c r="AT148" s="57">
        <f t="shared" si="84"/>
        <v>-2893.6474189678315</v>
      </c>
      <c r="AV148" s="57">
        <f t="shared" si="85"/>
        <v>170.14832487317929</v>
      </c>
      <c r="AW148" s="57">
        <f t="shared" si="86"/>
        <v>351.68552182187307</v>
      </c>
      <c r="AX148" s="57">
        <f t="shared" si="87"/>
        <v>42.447341735749248</v>
      </c>
      <c r="AY148" s="57">
        <f t="shared" si="88"/>
        <v>42.498979916504673</v>
      </c>
      <c r="BA148" s="57">
        <f t="shared" si="89"/>
        <v>64662.369682217344</v>
      </c>
      <c r="BB148" s="57">
        <f t="shared" si="90"/>
        <v>54001.261975093876</v>
      </c>
    </row>
    <row r="149" spans="9:54" x14ac:dyDescent="0.25">
      <c r="I149" s="41">
        <v>144</v>
      </c>
      <c r="J149" s="57">
        <f t="shared" si="64"/>
        <v>15954.915028125262</v>
      </c>
      <c r="K149" s="57">
        <f t="shared" si="65"/>
        <v>10438.926261462366</v>
      </c>
      <c r="M149" s="41">
        <v>144</v>
      </c>
      <c r="N149" s="57">
        <f t="shared" si="66"/>
        <v>-22831.559480312317</v>
      </c>
      <c r="O149" s="57">
        <f t="shared" si="67"/>
        <v>12057.248383023656</v>
      </c>
      <c r="Q149" s="41">
        <v>144</v>
      </c>
      <c r="R149" s="57">
        <f t="shared" si="68"/>
        <v>-9045.0849718747377</v>
      </c>
      <c r="S149" s="41">
        <f t="shared" si="69"/>
        <v>-12061.073738537634</v>
      </c>
      <c r="U149" s="41">
        <v>143</v>
      </c>
      <c r="V149" s="41">
        <f t="shared" si="91"/>
        <v>71.5</v>
      </c>
      <c r="W149" s="57">
        <f t="shared" si="92"/>
        <v>-21725.861887436939</v>
      </c>
      <c r="X149" s="57">
        <f t="shared" si="93"/>
        <v>-41560.02215774764</v>
      </c>
      <c r="Y149" s="57">
        <f t="shared" si="94"/>
        <v>2999.1346700149925</v>
      </c>
      <c r="Z149" s="57">
        <f t="shared" si="95"/>
        <v>3517.4104966780205</v>
      </c>
      <c r="AA149" s="57">
        <f t="shared" si="70"/>
        <v>549.62137997246771</v>
      </c>
      <c r="AB149" s="57">
        <f t="shared" si="71"/>
        <v>968.78692770292673</v>
      </c>
      <c r="AC149" s="57">
        <f t="shared" si="72"/>
        <v>78.91097353636782</v>
      </c>
      <c r="AD149" s="57">
        <f t="shared" si="73"/>
        <v>92.781165806170151</v>
      </c>
      <c r="AE149" s="57">
        <f t="shared" si="74"/>
        <v>2.1965708522885241</v>
      </c>
      <c r="AF149" s="57">
        <f t="shared" si="75"/>
        <v>65.622424737157402</v>
      </c>
      <c r="AG149" s="57">
        <f t="shared" si="76"/>
        <v>244.97903212071733</v>
      </c>
      <c r="AH149" s="57">
        <f t="shared" si="77"/>
        <v>389.01723361694565</v>
      </c>
      <c r="AJ149" s="57">
        <f t="shared" si="78"/>
        <v>64404.451122326573</v>
      </c>
      <c r="AK149" s="57">
        <f t="shared" si="79"/>
        <v>51588.898846185264</v>
      </c>
      <c r="AL149" s="57">
        <f t="shared" si="80"/>
        <v>31387.72423890686</v>
      </c>
      <c r="AN149" s="41">
        <v>144</v>
      </c>
      <c r="AO149" s="57">
        <f t="shared" si="81"/>
        <v>-1067.6274578121047</v>
      </c>
      <c r="AP149" s="57">
        <f t="shared" si="82"/>
        <v>19408.389392193549</v>
      </c>
      <c r="AR149" s="41">
        <v>144</v>
      </c>
      <c r="AS149" s="57">
        <f t="shared" si="83"/>
        <v>12168.440519687683</v>
      </c>
      <c r="AT149" s="57">
        <f t="shared" si="84"/>
        <v>-2942.7516169763435</v>
      </c>
      <c r="AV149" s="57">
        <f t="shared" si="85"/>
        <v>177.40666622610661</v>
      </c>
      <c r="AW149" s="57">
        <f t="shared" si="86"/>
        <v>375.44626305943325</v>
      </c>
      <c r="AX149" s="57">
        <f t="shared" si="87"/>
        <v>46.128137236987378</v>
      </c>
      <c r="AY149" s="57">
        <f t="shared" si="88"/>
        <v>45.919840483220241</v>
      </c>
      <c r="BA149" s="57">
        <f t="shared" si="89"/>
        <v>62556.436919882661</v>
      </c>
      <c r="BB149" s="57">
        <f t="shared" si="90"/>
        <v>51821.078255378787</v>
      </c>
    </row>
    <row r="150" spans="9:54" x14ac:dyDescent="0.25">
      <c r="I150" s="41">
        <v>145</v>
      </c>
      <c r="J150" s="57">
        <f t="shared" si="64"/>
        <v>15904.239778555042</v>
      </c>
      <c r="K150" s="57">
        <f t="shared" si="65"/>
        <v>10367.882181755233</v>
      </c>
      <c r="M150" s="41">
        <v>145</v>
      </c>
      <c r="N150" s="57">
        <f t="shared" si="66"/>
        <v>-22867.032155011471</v>
      </c>
      <c r="O150" s="57">
        <f t="shared" si="67"/>
        <v>12007.517527228661</v>
      </c>
      <c r="Q150" s="41">
        <v>145</v>
      </c>
      <c r="R150" s="57">
        <f t="shared" si="68"/>
        <v>-9095.760221444958</v>
      </c>
      <c r="S150" s="41">
        <f t="shared" si="69"/>
        <v>-12132.117818244767</v>
      </c>
      <c r="U150" s="41">
        <v>144</v>
      </c>
      <c r="V150" s="41">
        <f t="shared" si="91"/>
        <v>72</v>
      </c>
      <c r="W150" s="57">
        <f t="shared" si="92"/>
        <v>-20157.591879932883</v>
      </c>
      <c r="X150" s="57">
        <f t="shared" si="93"/>
        <v>-39680.218543445764</v>
      </c>
      <c r="Y150" s="57">
        <f t="shared" si="94"/>
        <v>3273.9453600012262</v>
      </c>
      <c r="Z150" s="57">
        <f t="shared" si="95"/>
        <v>4001.8039605294839</v>
      </c>
      <c r="AA150" s="57">
        <f t="shared" si="70"/>
        <v>598.31635763469967</v>
      </c>
      <c r="AB150" s="57">
        <f t="shared" si="71"/>
        <v>1074.8244407943473</v>
      </c>
      <c r="AC150" s="57">
        <f t="shared" si="72"/>
        <v>85.065333274592561</v>
      </c>
      <c r="AD150" s="57">
        <f t="shared" si="73"/>
        <v>99.941277015962186</v>
      </c>
      <c r="AE150" s="57">
        <f t="shared" si="74"/>
        <v>0.22411101668818137</v>
      </c>
      <c r="AF150" s="57">
        <f t="shared" si="75"/>
        <v>70.650114027477201</v>
      </c>
      <c r="AG150" s="57">
        <f t="shared" si="76"/>
        <v>275.88212808688075</v>
      </c>
      <c r="AH150" s="57">
        <f t="shared" si="77"/>
        <v>449.2027010193695</v>
      </c>
      <c r="AJ150" s="57">
        <f t="shared" si="78"/>
        <v>61956.478332798695</v>
      </c>
      <c r="AK150" s="57">
        <f t="shared" si="79"/>
        <v>49680.468493414519</v>
      </c>
      <c r="AL150" s="57">
        <f t="shared" si="80"/>
        <v>28963.179710640394</v>
      </c>
      <c r="AN150" s="41">
        <v>145</v>
      </c>
      <c r="AO150" s="57">
        <f t="shared" si="81"/>
        <v>-1143.640332167437</v>
      </c>
      <c r="AP150" s="57">
        <f t="shared" si="82"/>
        <v>19301.82327263285</v>
      </c>
      <c r="AR150" s="41">
        <v>145</v>
      </c>
      <c r="AS150" s="57">
        <f t="shared" si="83"/>
        <v>12132.967844988529</v>
      </c>
      <c r="AT150" s="57">
        <f t="shared" si="84"/>
        <v>-2992.4824727713376</v>
      </c>
      <c r="AV150" s="57">
        <f t="shared" si="85"/>
        <v>186.25911239005274</v>
      </c>
      <c r="AW150" s="57">
        <f t="shared" si="86"/>
        <v>404.83560667506475</v>
      </c>
      <c r="AX150" s="57">
        <f t="shared" si="87"/>
        <v>50.8856728664855</v>
      </c>
      <c r="AY150" s="57">
        <f t="shared" si="88"/>
        <v>50.194742056473714</v>
      </c>
      <c r="BA150" s="57">
        <f t="shared" si="89"/>
        <v>60189.955384235458</v>
      </c>
      <c r="BB150" s="57">
        <f t="shared" si="90"/>
        <v>49383.942987747359</v>
      </c>
    </row>
    <row r="151" spans="9:54" x14ac:dyDescent="0.25">
      <c r="I151" s="41">
        <v>146</v>
      </c>
      <c r="J151" s="57">
        <f t="shared" si="64"/>
        <v>15854.812137224792</v>
      </c>
      <c r="K151" s="57">
        <f t="shared" si="65"/>
        <v>10295.964517353736</v>
      </c>
      <c r="M151" s="41">
        <v>146</v>
      </c>
      <c r="N151" s="57">
        <f t="shared" si="66"/>
        <v>-22901.631503942644</v>
      </c>
      <c r="O151" s="57">
        <f t="shared" si="67"/>
        <v>11957.175162147614</v>
      </c>
      <c r="Q151" s="41">
        <v>146</v>
      </c>
      <c r="R151" s="57">
        <f t="shared" si="68"/>
        <v>-9145.1878627752085</v>
      </c>
      <c r="S151" s="41">
        <f t="shared" si="69"/>
        <v>-12204.035482646264</v>
      </c>
      <c r="U151" s="41">
        <v>145</v>
      </c>
      <c r="V151" s="41">
        <f t="shared" si="91"/>
        <v>72.5</v>
      </c>
      <c r="W151" s="57">
        <f t="shared" si="92"/>
        <v>-18445.829655227932</v>
      </c>
      <c r="X151" s="57">
        <f t="shared" si="93"/>
        <v>-37544.963508081724</v>
      </c>
      <c r="Y151" s="57">
        <f t="shared" si="94"/>
        <v>3573.103538818576</v>
      </c>
      <c r="Z151" s="57">
        <f t="shared" si="95"/>
        <v>4539.2161809266572</v>
      </c>
      <c r="AA151" s="57">
        <f t="shared" si="70"/>
        <v>662.27097866288989</v>
      </c>
      <c r="AB151" s="57">
        <f t="shared" si="71"/>
        <v>1215.5423697481986</v>
      </c>
      <c r="AC151" s="57">
        <f t="shared" si="72"/>
        <v>92.919115628329919</v>
      </c>
      <c r="AD151" s="57">
        <f t="shared" si="73"/>
        <v>108.86845752104064</v>
      </c>
      <c r="AE151" s="57">
        <f t="shared" si="74"/>
        <v>-2.5108848912965152</v>
      </c>
      <c r="AF151" s="57">
        <f t="shared" si="75"/>
        <v>76.81264214779145</v>
      </c>
      <c r="AG151" s="57">
        <f t="shared" si="76"/>
        <v>317.62630834861307</v>
      </c>
      <c r="AH151" s="57">
        <f t="shared" si="77"/>
        <v>532.57208476845062</v>
      </c>
      <c r="AJ151" s="57">
        <f t="shared" si="78"/>
        <v>59221.031359840548</v>
      </c>
      <c r="AK151" s="57">
        <f t="shared" si="79"/>
        <v>47570.35842250289</v>
      </c>
      <c r="AL151" s="57">
        <f t="shared" si="80"/>
        <v>26250.061232274173</v>
      </c>
      <c r="AN151" s="41">
        <v>146</v>
      </c>
      <c r="AO151" s="57">
        <f t="shared" si="81"/>
        <v>-1217.7817941628118</v>
      </c>
      <c r="AP151" s="57">
        <f t="shared" si="82"/>
        <v>19193.9467760306</v>
      </c>
      <c r="AR151" s="41">
        <v>146</v>
      </c>
      <c r="AS151" s="57">
        <f t="shared" si="83"/>
        <v>12098.368496057354</v>
      </c>
      <c r="AT151" s="57">
        <f t="shared" si="84"/>
        <v>-3042.8248378523858</v>
      </c>
      <c r="AV151" s="57">
        <f t="shared" si="85"/>
        <v>197.07364769734806</v>
      </c>
      <c r="AW151" s="57">
        <f t="shared" si="86"/>
        <v>441.66607788829975</v>
      </c>
      <c r="AX151" s="57">
        <f t="shared" si="87"/>
        <v>57.162791879895259</v>
      </c>
      <c r="AY151" s="57">
        <f t="shared" si="88"/>
        <v>55.623107422616066</v>
      </c>
      <c r="BA151" s="57">
        <f t="shared" si="89"/>
        <v>57538.50987197709</v>
      </c>
      <c r="BB151" s="57">
        <f t="shared" si="90"/>
        <v>46666.885165702835</v>
      </c>
    </row>
    <row r="152" spans="9:54" x14ac:dyDescent="0.25">
      <c r="I152" s="41">
        <v>147</v>
      </c>
      <c r="J152" s="57">
        <f t="shared" si="64"/>
        <v>15806.647160272878</v>
      </c>
      <c r="K152" s="57">
        <f t="shared" si="65"/>
        <v>10223.195175075136</v>
      </c>
      <c r="M152" s="41">
        <v>147</v>
      </c>
      <c r="N152" s="57">
        <f t="shared" si="66"/>
        <v>-22935.346987808985</v>
      </c>
      <c r="O152" s="57">
        <f t="shared" si="67"/>
        <v>11906.236622552595</v>
      </c>
      <c r="Q152" s="41">
        <v>147</v>
      </c>
      <c r="R152" s="57">
        <f t="shared" si="68"/>
        <v>-9193.352839727122</v>
      </c>
      <c r="S152" s="41">
        <f t="shared" si="69"/>
        <v>-12276.804824924864</v>
      </c>
      <c r="U152" s="41">
        <v>146</v>
      </c>
      <c r="V152" s="41">
        <f t="shared" si="91"/>
        <v>73</v>
      </c>
      <c r="W152" s="57">
        <f t="shared" si="92"/>
        <v>-16576.494013485782</v>
      </c>
      <c r="X152" s="57">
        <f t="shared" si="93"/>
        <v>-35123.412621399875</v>
      </c>
      <c r="Y152" s="57">
        <f t="shared" si="94"/>
        <v>3904.2390281500211</v>
      </c>
      <c r="Z152" s="57">
        <f t="shared" si="95"/>
        <v>5146.9873658007564</v>
      </c>
      <c r="AA152" s="57">
        <f t="shared" si="70"/>
        <v>748.05403043376396</v>
      </c>
      <c r="AB152" s="57">
        <f t="shared" si="71"/>
        <v>1408.2607913879046</v>
      </c>
      <c r="AC152" s="57">
        <f t="shared" si="72"/>
        <v>103.14667287698212</v>
      </c>
      <c r="AD152" s="57">
        <f t="shared" si="73"/>
        <v>120.19914202108011</v>
      </c>
      <c r="AE152" s="57">
        <f t="shared" si="74"/>
        <v>-6.403464960517816</v>
      </c>
      <c r="AF152" s="57">
        <f t="shared" si="75"/>
        <v>84.400667841192785</v>
      </c>
      <c r="AG152" s="57">
        <f t="shared" si="76"/>
        <v>375.28230016703094</v>
      </c>
      <c r="AH152" s="57">
        <f t="shared" si="77"/>
        <v>652.35299797777429</v>
      </c>
      <c r="AJ152" s="57">
        <f t="shared" si="78"/>
        <v>56165.783336589113</v>
      </c>
      <c r="AK152" s="57">
        <f t="shared" si="79"/>
        <v>45253.09668786003</v>
      </c>
      <c r="AL152" s="57">
        <f t="shared" si="80"/>
        <v>23215.661721678061</v>
      </c>
      <c r="AN152" s="41">
        <v>147</v>
      </c>
      <c r="AO152" s="57">
        <f t="shared" si="81"/>
        <v>-1290.0292595906812</v>
      </c>
      <c r="AP152" s="57">
        <f t="shared" si="82"/>
        <v>19084.792762612702</v>
      </c>
      <c r="AR152" s="41">
        <v>147</v>
      </c>
      <c r="AS152" s="57">
        <f t="shared" si="83"/>
        <v>12064.653012191015</v>
      </c>
      <c r="AT152" s="57">
        <f t="shared" si="84"/>
        <v>-3093.7633774474057</v>
      </c>
      <c r="AV152" s="57">
        <f t="shared" si="85"/>
        <v>210.34775666952049</v>
      </c>
      <c r="AW152" s="57">
        <f t="shared" si="86"/>
        <v>488.6497034662986</v>
      </c>
      <c r="AX152" s="57">
        <f t="shared" si="87"/>
        <v>65.680765680748152</v>
      </c>
      <c r="AY152" s="57">
        <f t="shared" si="88"/>
        <v>62.6582800815588</v>
      </c>
      <c r="BA152" s="57">
        <f t="shared" si="89"/>
        <v>54570.1528926674</v>
      </c>
      <c r="BB152" s="57">
        <f t="shared" si="90"/>
        <v>43640.519728147337</v>
      </c>
    </row>
    <row r="153" spans="9:54" x14ac:dyDescent="0.25">
      <c r="I153" s="41">
        <v>148</v>
      </c>
      <c r="J153" s="57">
        <f t="shared" si="64"/>
        <v>15759.759519217871</v>
      </c>
      <c r="K153" s="57">
        <f t="shared" si="65"/>
        <v>10149.596321166024</v>
      </c>
      <c r="M153" s="41">
        <v>148</v>
      </c>
      <c r="N153" s="57">
        <f t="shared" si="66"/>
        <v>-22968.168336547489</v>
      </c>
      <c r="O153" s="57">
        <f t="shared" si="67"/>
        <v>11854.717424816217</v>
      </c>
      <c r="Q153" s="41">
        <v>148</v>
      </c>
      <c r="R153" s="57">
        <f t="shared" si="68"/>
        <v>-9240.2404807821295</v>
      </c>
      <c r="S153" s="41">
        <f t="shared" si="69"/>
        <v>-12350.403678833976</v>
      </c>
      <c r="U153" s="41">
        <v>147</v>
      </c>
      <c r="V153" s="41">
        <f t="shared" si="91"/>
        <v>73.5</v>
      </c>
      <c r="W153" s="57">
        <f t="shared" si="92"/>
        <v>-14530.867745606552</v>
      </c>
      <c r="X153" s="57">
        <f t="shared" si="93"/>
        <v>-32373.886339576009</v>
      </c>
      <c r="Y153" s="57">
        <f t="shared" si="94"/>
        <v>4278.2660433669034</v>
      </c>
      <c r="Z153" s="57">
        <f t="shared" si="95"/>
        <v>5851.1177614947082</v>
      </c>
      <c r="AA153" s="57">
        <f t="shared" si="70"/>
        <v>865.50024742188418</v>
      </c>
      <c r="AB153" s="57">
        <f t="shared" si="71"/>
        <v>1682.5518705196282</v>
      </c>
      <c r="AC153" s="57">
        <f t="shared" si="72"/>
        <v>116.84109415968149</v>
      </c>
      <c r="AD153" s="57">
        <f t="shared" si="73"/>
        <v>134.92011097542152</v>
      </c>
      <c r="AE153" s="57">
        <f t="shared" si="74"/>
        <v>-12.103130566508332</v>
      </c>
      <c r="AF153" s="57">
        <f t="shared" si="75"/>
        <v>93.772952476379743</v>
      </c>
      <c r="AG153" s="57">
        <f t="shared" si="76"/>
        <v>456.32186795945313</v>
      </c>
      <c r="AH153" s="57">
        <f t="shared" si="77"/>
        <v>831.832366139501</v>
      </c>
      <c r="AJ153" s="57">
        <f t="shared" si="78"/>
        <v>52747.584201420992</v>
      </c>
      <c r="AK153" s="57">
        <f t="shared" si="79"/>
        <v>42725.374792216317</v>
      </c>
      <c r="AL153" s="57">
        <f t="shared" si="80"/>
        <v>19816.391359799825</v>
      </c>
      <c r="AN153" s="41">
        <v>148</v>
      </c>
      <c r="AO153" s="57">
        <f t="shared" si="81"/>
        <v>-1360.3607211731951</v>
      </c>
      <c r="AP153" s="57">
        <f t="shared" si="82"/>
        <v>18974.394481749037</v>
      </c>
      <c r="AR153" s="41">
        <v>148</v>
      </c>
      <c r="AS153" s="57">
        <f t="shared" si="83"/>
        <v>12031.831663452509</v>
      </c>
      <c r="AT153" s="57">
        <f t="shared" si="84"/>
        <v>-3145.2825751837827</v>
      </c>
      <c r="AV153" s="57">
        <f t="shared" si="85"/>
        <v>226.75535224207002</v>
      </c>
      <c r="AW153" s="57">
        <f t="shared" si="86"/>
        <v>550.0156175305018</v>
      </c>
      <c r="AX153" s="57">
        <f t="shared" si="87"/>
        <v>77.685063627187887</v>
      </c>
      <c r="AY153" s="57">
        <f t="shared" si="88"/>
        <v>72.010823397824041</v>
      </c>
      <c r="BA153" s="57">
        <f t="shared" si="89"/>
        <v>51241.97402336722</v>
      </c>
      <c r="BB153" s="57">
        <f t="shared" si="90"/>
        <v>40266.633869005382</v>
      </c>
    </row>
    <row r="154" spans="9:54" x14ac:dyDescent="0.25">
      <c r="I154" s="41">
        <v>149</v>
      </c>
      <c r="J154" s="57">
        <f t="shared" si="64"/>
        <v>15714.16349648944</v>
      </c>
      <c r="K154" s="57">
        <f t="shared" si="65"/>
        <v>10075.190374550271</v>
      </c>
      <c r="M154" s="41">
        <v>149</v>
      </c>
      <c r="N154" s="57">
        <f t="shared" si="66"/>
        <v>-23000.085552457393</v>
      </c>
      <c r="O154" s="57">
        <f t="shared" si="67"/>
        <v>11802.633262185191</v>
      </c>
      <c r="Q154" s="41">
        <v>149</v>
      </c>
      <c r="R154" s="57">
        <f t="shared" si="68"/>
        <v>-9285.8365035105599</v>
      </c>
      <c r="S154" s="41">
        <f t="shared" si="69"/>
        <v>-12424.809625449729</v>
      </c>
      <c r="U154" s="41">
        <v>148</v>
      </c>
      <c r="V154" s="41">
        <f t="shared" si="91"/>
        <v>74</v>
      </c>
      <c r="W154" s="57">
        <f t="shared" si="92"/>
        <v>-12283.547192995366</v>
      </c>
      <c r="X154" s="57">
        <f t="shared" si="93"/>
        <v>-29238.008475013703</v>
      </c>
      <c r="Y154" s="57">
        <f t="shared" si="94"/>
        <v>4711.0161670778452</v>
      </c>
      <c r="Z154" s="57">
        <f t="shared" si="95"/>
        <v>6692.3936967545224</v>
      </c>
      <c r="AA154" s="57">
        <f t="shared" si="70"/>
        <v>1026.1726711021684</v>
      </c>
      <c r="AB154" s="57">
        <f t="shared" si="71"/>
        <v>2088.4350222184698</v>
      </c>
      <c r="AC154" s="57">
        <f t="shared" si="72"/>
        <v>135.88818053539543</v>
      </c>
      <c r="AD154" s="57">
        <f t="shared" si="73"/>
        <v>154.6379367273102</v>
      </c>
      <c r="AE154" s="57">
        <f t="shared" si="74"/>
        <v>-20.711398953679293</v>
      </c>
      <c r="AF154" s="57">
        <f t="shared" si="75"/>
        <v>105.31705020422734</v>
      </c>
      <c r="AG154" s="57">
        <f t="shared" si="76"/>
        <v>568.31071547206523</v>
      </c>
      <c r="AH154" s="57">
        <f t="shared" si="77"/>
        <v>1110.9439630066684</v>
      </c>
      <c r="AJ154" s="57">
        <f t="shared" si="78"/>
        <v>48907.143507595465</v>
      </c>
      <c r="AK154" s="57">
        <f t="shared" si="79"/>
        <v>39989.560550323346</v>
      </c>
      <c r="AL154" s="57">
        <f t="shared" si="80"/>
        <v>15992.840430866328</v>
      </c>
      <c r="AN154" s="41">
        <v>149</v>
      </c>
      <c r="AO154" s="57">
        <f t="shared" si="81"/>
        <v>-1428.7547552658416</v>
      </c>
      <c r="AP154" s="57">
        <f t="shared" si="82"/>
        <v>18862.785561825407</v>
      </c>
      <c r="AR154" s="41">
        <v>149</v>
      </c>
      <c r="AS154" s="57">
        <f t="shared" si="83"/>
        <v>11999.914447542607</v>
      </c>
      <c r="AT154" s="57">
        <f t="shared" si="84"/>
        <v>-3197.3667378148098</v>
      </c>
      <c r="AV154" s="57">
        <f t="shared" si="85"/>
        <v>247.19405836689606</v>
      </c>
      <c r="AW154" s="57">
        <f t="shared" si="86"/>
        <v>632.7041970550838</v>
      </c>
      <c r="AX154" s="57">
        <f t="shared" si="87"/>
        <v>95.491115681491024</v>
      </c>
      <c r="AY154" s="57">
        <f t="shared" si="88"/>
        <v>84.831875225180013</v>
      </c>
      <c r="BA154" s="57">
        <f t="shared" si="89"/>
        <v>47494.445963795413</v>
      </c>
      <c r="BB154" s="57">
        <f t="shared" si="90"/>
        <v>36494.835282094937</v>
      </c>
    </row>
    <row r="155" spans="9:54" x14ac:dyDescent="0.25">
      <c r="I155" s="41">
        <v>150</v>
      </c>
      <c r="J155" s="57">
        <f t="shared" si="64"/>
        <v>15669.872981077806</v>
      </c>
      <c r="K155" s="57">
        <f t="shared" si="65"/>
        <v>10000</v>
      </c>
      <c r="M155" s="41">
        <v>150</v>
      </c>
      <c r="N155" s="57">
        <f t="shared" si="66"/>
        <v>-23031.088913245534</v>
      </c>
      <c r="O155" s="57">
        <f t="shared" si="67"/>
        <v>11750</v>
      </c>
      <c r="Q155" s="41">
        <v>150</v>
      </c>
      <c r="R155" s="57">
        <f t="shared" si="68"/>
        <v>-9330.1270189221941</v>
      </c>
      <c r="S155" s="41">
        <f t="shared" si="69"/>
        <v>-12500</v>
      </c>
      <c r="U155" s="41">
        <v>149</v>
      </c>
      <c r="V155" s="41">
        <f t="shared" si="91"/>
        <v>74.5</v>
      </c>
      <c r="W155" s="57">
        <f t="shared" si="92"/>
        <v>-9799.7675255686736</v>
      </c>
      <c r="X155" s="57">
        <f t="shared" si="93"/>
        <v>-25630.757248859132</v>
      </c>
      <c r="Y155" s="57">
        <f t="shared" si="94"/>
        <v>5224.1025026289299</v>
      </c>
      <c r="Z155" s="57">
        <f t="shared" si="95"/>
        <v>7736.611207863757</v>
      </c>
      <c r="AA155" s="57">
        <f t="shared" si="70"/>
        <v>1219.2203247931329</v>
      </c>
      <c r="AB155" s="57">
        <f t="shared" si="71"/>
        <v>2688.0333492698383</v>
      </c>
      <c r="AC155" s="57">
        <f t="shared" si="72"/>
        <v>163.81063768964356</v>
      </c>
      <c r="AD155" s="57">
        <f t="shared" si="73"/>
        <v>182.12123525526823</v>
      </c>
      <c r="AE155" s="57">
        <f t="shared" si="74"/>
        <v>-34.141344394194519</v>
      </c>
      <c r="AF155" s="57">
        <f t="shared" si="75"/>
        <v>119.26021855958363</v>
      </c>
      <c r="AG155" s="57">
        <f t="shared" si="76"/>
        <v>692.96404065346553</v>
      </c>
      <c r="AH155" s="57">
        <f t="shared" si="77"/>
        <v>1534.8102713584522</v>
      </c>
      <c r="AJ155" s="57">
        <f t="shared" si="78"/>
        <v>44560.893398368593</v>
      </c>
      <c r="AK155" s="57">
        <f t="shared" si="79"/>
        <v>37062.050734674289</v>
      </c>
      <c r="AL155" s="57">
        <f t="shared" si="80"/>
        <v>11664.080245937723</v>
      </c>
      <c r="AN155" s="41">
        <v>150</v>
      </c>
      <c r="AO155" s="57">
        <f t="shared" si="81"/>
        <v>-1495.1905283832903</v>
      </c>
      <c r="AP155" s="57">
        <f t="shared" si="82"/>
        <v>18750</v>
      </c>
      <c r="AR155" s="41">
        <v>150</v>
      </c>
      <c r="AS155" s="57">
        <f t="shared" si="83"/>
        <v>11968.911086754464</v>
      </c>
      <c r="AT155" s="57">
        <f t="shared" si="84"/>
        <v>-3250</v>
      </c>
      <c r="AV155" s="57">
        <f t="shared" si="85"/>
        <v>272.76269607113056</v>
      </c>
      <c r="AW155" s="57">
        <f t="shared" si="86"/>
        <v>748.83303886117005</v>
      </c>
      <c r="AX155" s="57">
        <f t="shared" si="87"/>
        <v>123.82429477308786</v>
      </c>
      <c r="AY155" s="57">
        <f t="shared" si="88"/>
        <v>103.00858523536398</v>
      </c>
      <c r="BA155" s="57">
        <f t="shared" si="89"/>
        <v>43242.242696541492</v>
      </c>
      <c r="BB155" s="57">
        <f t="shared" si="90"/>
        <v>32259.209754481031</v>
      </c>
    </row>
    <row r="156" spans="9:54" x14ac:dyDescent="0.25">
      <c r="I156" s="41">
        <v>151</v>
      </c>
      <c r="J156" s="57">
        <f t="shared" si="64"/>
        <v>15626.90146430302</v>
      </c>
      <c r="K156" s="57">
        <f t="shared" si="65"/>
        <v>9924.048101231685</v>
      </c>
      <c r="M156" s="41">
        <v>151</v>
      </c>
      <c r="N156" s="57">
        <f t="shared" si="66"/>
        <v>-23061.168974987886</v>
      </c>
      <c r="O156" s="57">
        <f t="shared" si="67"/>
        <v>11696.833670862179</v>
      </c>
      <c r="Q156" s="41">
        <v>151</v>
      </c>
      <c r="R156" s="57">
        <f t="shared" si="68"/>
        <v>-9373.0985356969795</v>
      </c>
      <c r="S156" s="41">
        <f t="shared" si="69"/>
        <v>-12575.951898768315</v>
      </c>
      <c r="U156" s="41">
        <v>150</v>
      </c>
      <c r="V156" s="41">
        <f t="shared" si="91"/>
        <v>75</v>
      </c>
      <c r="W156" s="57">
        <f t="shared" si="92"/>
        <v>-7035.3137336550672</v>
      </c>
      <c r="X156" s="57">
        <f t="shared" si="93"/>
        <v>-21426.447476268524</v>
      </c>
      <c r="Y156" s="57">
        <f t="shared" si="94"/>
        <v>5833.7126650254959</v>
      </c>
      <c r="Z156" s="57">
        <f t="shared" si="95"/>
        <v>9080.6278824986766</v>
      </c>
      <c r="AA156" s="57">
        <f t="shared" si="70"/>
        <v>1237.5190941703593</v>
      </c>
      <c r="AB156" s="57">
        <f t="shared" si="71"/>
        <v>3326.0979633196166</v>
      </c>
      <c r="AC156" s="57">
        <f t="shared" si="72"/>
        <v>207.86129589049665</v>
      </c>
      <c r="AD156" s="57">
        <f t="shared" si="73"/>
        <v>222.40129769386147</v>
      </c>
      <c r="AE156" s="57">
        <f t="shared" si="74"/>
        <v>-55.684439415731937</v>
      </c>
      <c r="AF156" s="57">
        <f t="shared" si="75"/>
        <v>134.97928716460294</v>
      </c>
      <c r="AG156" s="57">
        <f t="shared" si="76"/>
        <v>607.5701678567948</v>
      </c>
      <c r="AH156" s="57">
        <f t="shared" si="77"/>
        <v>1918.3861963469938</v>
      </c>
      <c r="AJ156" s="57">
        <f t="shared" si="78"/>
        <v>39593.529171753304</v>
      </c>
      <c r="AK156" s="57">
        <f t="shared" si="79"/>
        <v>33995.656942665737</v>
      </c>
      <c r="AL156" s="57">
        <f t="shared" si="80"/>
        <v>6741.0480757552095</v>
      </c>
      <c r="AN156" s="41">
        <v>151</v>
      </c>
      <c r="AO156" s="57">
        <f t="shared" si="81"/>
        <v>-1559.6478035454684</v>
      </c>
      <c r="AP156" s="57">
        <f t="shared" si="82"/>
        <v>18636.072151847529</v>
      </c>
      <c r="AR156" s="41">
        <v>151</v>
      </c>
      <c r="AS156" s="57">
        <f t="shared" si="83"/>
        <v>11938.831025012114</v>
      </c>
      <c r="AT156" s="57">
        <f t="shared" si="84"/>
        <v>-3303.16632913782</v>
      </c>
      <c r="AV156" s="57">
        <f t="shared" si="85"/>
        <v>304.3048290197483</v>
      </c>
      <c r="AW156" s="57">
        <f t="shared" si="86"/>
        <v>921.01827308961663</v>
      </c>
      <c r="AX156" s="57">
        <f t="shared" si="87"/>
        <v>173.46724081905145</v>
      </c>
      <c r="AY156" s="57">
        <f t="shared" si="88"/>
        <v>129.31290902454171</v>
      </c>
      <c r="BA156" s="57">
        <f t="shared" si="89"/>
        <v>38363.196587469822</v>
      </c>
      <c r="BB156" s="57">
        <f t="shared" si="90"/>
        <v>27484.23599140453</v>
      </c>
    </row>
    <row r="157" spans="9:54" x14ac:dyDescent="0.25">
      <c r="I157" s="41">
        <v>152</v>
      </c>
      <c r="J157" s="57">
        <f t="shared" si="64"/>
        <v>15585.262035705367</v>
      </c>
      <c r="K157" s="57">
        <f t="shared" si="65"/>
        <v>9847.357813929455</v>
      </c>
      <c r="M157" s="41">
        <v>152</v>
      </c>
      <c r="N157" s="57">
        <f t="shared" si="66"/>
        <v>-23090.316575006244</v>
      </c>
      <c r="O157" s="57">
        <f t="shared" si="67"/>
        <v>11643.150469750619</v>
      </c>
      <c r="Q157" s="41">
        <v>152</v>
      </c>
      <c r="R157" s="57">
        <f t="shared" si="68"/>
        <v>-9414.7379642946325</v>
      </c>
      <c r="S157" s="41">
        <f t="shared" si="69"/>
        <v>-12652.642186070545</v>
      </c>
      <c r="U157" s="41">
        <v>151</v>
      </c>
      <c r="V157" s="41">
        <f t="shared" si="91"/>
        <v>75.5</v>
      </c>
      <c r="W157" s="57">
        <f t="shared" si="92"/>
        <v>-3963.7675143710244</v>
      </c>
      <c r="X157" s="57">
        <f t="shared" si="93"/>
        <v>-16470.371289604234</v>
      </c>
      <c r="Y157" s="57">
        <f t="shared" si="94"/>
        <v>6452.4722121106752</v>
      </c>
      <c r="Z157" s="57">
        <f t="shared" si="95"/>
        <v>10743.676864158486</v>
      </c>
      <c r="AA157" s="57">
        <f t="shared" si="70"/>
        <v>287.78269953301503</v>
      </c>
      <c r="AB157" s="57">
        <f t="shared" si="71"/>
        <v>2523.5833314550032</v>
      </c>
      <c r="AC157" s="57">
        <f t="shared" si="72"/>
        <v>284.31061443895743</v>
      </c>
      <c r="AD157" s="57">
        <f t="shared" si="73"/>
        <v>284.38896286196916</v>
      </c>
      <c r="AE157" s="57">
        <f t="shared" si="74"/>
        <v>-90.147471110287839</v>
      </c>
      <c r="AF157" s="57">
        <f t="shared" si="75"/>
        <v>148.80284588332324</v>
      </c>
      <c r="AG157" s="57">
        <f t="shared" si="76"/>
        <v>-517.26194275675846</v>
      </c>
      <c r="AH157" s="57">
        <f t="shared" si="77"/>
        <v>733.97342814705837</v>
      </c>
      <c r="AJ157" s="57">
        <f t="shared" si="78"/>
        <v>33894.55492028634</v>
      </c>
      <c r="AK157" s="57">
        <f t="shared" si="79"/>
        <v>30949.011430781535</v>
      </c>
      <c r="AL157" s="57">
        <f t="shared" si="80"/>
        <v>1798.8244754742536</v>
      </c>
      <c r="AN157" s="41">
        <v>152</v>
      </c>
      <c r="AO157" s="57">
        <f t="shared" si="81"/>
        <v>-1622.1069464419506</v>
      </c>
      <c r="AP157" s="57">
        <f t="shared" si="82"/>
        <v>18521.036720894183</v>
      </c>
      <c r="AR157" s="41">
        <v>152</v>
      </c>
      <c r="AS157" s="57">
        <f t="shared" si="83"/>
        <v>11909.683424993756</v>
      </c>
      <c r="AT157" s="57">
        <f t="shared" si="84"/>
        <v>-3356.8495302493811</v>
      </c>
      <c r="AV157" s="57">
        <f t="shared" si="85"/>
        <v>339.61706501494524</v>
      </c>
      <c r="AW157" s="57">
        <f t="shared" si="86"/>
        <v>1192.3418490239528</v>
      </c>
      <c r="AX157" s="57">
        <f t="shared" si="87"/>
        <v>271.26443394615865</v>
      </c>
      <c r="AY157" s="57">
        <f t="shared" si="88"/>
        <v>164.07624553869994</v>
      </c>
      <c r="BA157" s="57">
        <f t="shared" si="89"/>
        <v>32722.062849967755</v>
      </c>
      <c r="BB157" s="57">
        <f t="shared" si="90"/>
        <v>22162.894573148402</v>
      </c>
    </row>
    <row r="158" spans="9:54" x14ac:dyDescent="0.25">
      <c r="I158" s="41">
        <v>153</v>
      </c>
      <c r="J158" s="57">
        <f t="shared" si="64"/>
        <v>15544.967379058162</v>
      </c>
      <c r="K158" s="57">
        <f t="shared" si="65"/>
        <v>9769.952498697734</v>
      </c>
      <c r="M158" s="41">
        <v>153</v>
      </c>
      <c r="N158" s="57">
        <f t="shared" si="66"/>
        <v>-23118.522834659288</v>
      </c>
      <c r="O158" s="57">
        <f t="shared" si="67"/>
        <v>11588.966749088413</v>
      </c>
      <c r="Q158" s="41">
        <v>153</v>
      </c>
      <c r="R158" s="57">
        <f t="shared" si="68"/>
        <v>-9455.0326209418381</v>
      </c>
      <c r="S158" s="41">
        <f t="shared" si="69"/>
        <v>-12730.047501302266</v>
      </c>
      <c r="U158" s="41">
        <v>152</v>
      </c>
      <c r="V158" s="41">
        <f t="shared" si="91"/>
        <v>76</v>
      </c>
      <c r="W158" s="57">
        <f t="shared" si="92"/>
        <v>-701.55857087405991</v>
      </c>
      <c r="X158" s="57">
        <f t="shared" si="93"/>
        <v>-10783.084941093117</v>
      </c>
      <c r="Y158" s="57">
        <f t="shared" si="94"/>
        <v>6596.3635618771823</v>
      </c>
      <c r="Z158" s="57">
        <f t="shared" si="95"/>
        <v>12005.468529885988</v>
      </c>
      <c r="AA158" s="57">
        <f t="shared" si="70"/>
        <v>-294.06218660320269</v>
      </c>
      <c r="AB158" s="57">
        <f t="shared" si="71"/>
        <v>940.05189646859844</v>
      </c>
      <c r="AC158" s="57">
        <f t="shared" si="72"/>
        <v>427.67812807108243</v>
      </c>
      <c r="AD158" s="57">
        <f t="shared" si="73"/>
        <v>377.714340502487</v>
      </c>
      <c r="AE158" s="57">
        <f t="shared" si="74"/>
        <v>-139.03099246991709</v>
      </c>
      <c r="AF158" s="57">
        <f t="shared" si="75"/>
        <v>149.72675055436508</v>
      </c>
      <c r="AG158" s="57">
        <f t="shared" si="76"/>
        <v>-1415.0180401218679</v>
      </c>
      <c r="AH158" s="57">
        <f t="shared" si="77"/>
        <v>-1388.1801067667823</v>
      </c>
      <c r="AJ158" s="57">
        <f t="shared" si="78"/>
        <v>27619.299814197955</v>
      </c>
      <c r="AK158" s="57">
        <f t="shared" si="79"/>
        <v>28361.355067452194</v>
      </c>
      <c r="AL158" s="57">
        <f t="shared" si="80"/>
        <v>6021.5422720148608</v>
      </c>
      <c r="AN158" s="41">
        <v>153</v>
      </c>
      <c r="AO158" s="57">
        <f t="shared" si="81"/>
        <v>-1682.5489314127581</v>
      </c>
      <c r="AP158" s="57">
        <f t="shared" si="82"/>
        <v>18404.928748046601</v>
      </c>
      <c r="AR158" s="41">
        <v>153</v>
      </c>
      <c r="AS158" s="57">
        <f t="shared" si="83"/>
        <v>11881.477165340713</v>
      </c>
      <c r="AT158" s="57">
        <f t="shared" si="84"/>
        <v>-3411.033250911586</v>
      </c>
      <c r="AV158" s="57">
        <f t="shared" si="85"/>
        <v>359.72876438232748</v>
      </c>
      <c r="AW158" s="57">
        <f t="shared" si="86"/>
        <v>1626.7336680893131</v>
      </c>
      <c r="AX158" s="57">
        <f t="shared" si="87"/>
        <v>472.57995353517231</v>
      </c>
      <c r="AY158" s="57">
        <f t="shared" si="88"/>
        <v>174.05724408921549</v>
      </c>
      <c r="BA158" s="57">
        <f t="shared" si="89"/>
        <v>26405.969764746951</v>
      </c>
      <c r="BB158" s="57">
        <f t="shared" si="90"/>
        <v>16732.692938988828</v>
      </c>
    </row>
    <row r="159" spans="9:54" x14ac:dyDescent="0.25">
      <c r="I159" s="41">
        <v>154</v>
      </c>
      <c r="J159" s="57">
        <f t="shared" si="64"/>
        <v>15506.029768504166</v>
      </c>
      <c r="K159" s="57">
        <f t="shared" si="65"/>
        <v>9691.8557339453873</v>
      </c>
      <c r="M159" s="41">
        <v>154</v>
      </c>
      <c r="N159" s="57">
        <f t="shared" si="66"/>
        <v>-23145.779162047085</v>
      </c>
      <c r="O159" s="57">
        <f t="shared" si="67"/>
        <v>11534.299013761771</v>
      </c>
      <c r="Q159" s="41">
        <v>154</v>
      </c>
      <c r="R159" s="57">
        <f t="shared" si="68"/>
        <v>-9493.970231495834</v>
      </c>
      <c r="S159" s="41">
        <f t="shared" si="69"/>
        <v>-12808.144266054613</v>
      </c>
      <c r="U159" s="41">
        <v>153</v>
      </c>
      <c r="V159" s="41">
        <f t="shared" si="91"/>
        <v>76.5</v>
      </c>
      <c r="W159" s="57">
        <f t="shared" si="92"/>
        <v>2559.8654367391309</v>
      </c>
      <c r="X159" s="57">
        <f t="shared" si="93"/>
        <v>-4662.8441890915483</v>
      </c>
      <c r="Y159" s="57">
        <f t="shared" si="94"/>
        <v>6449.3324685755806</v>
      </c>
      <c r="Z159" s="57">
        <f t="shared" si="95"/>
        <v>12475.494478120287</v>
      </c>
      <c r="AA159" s="57">
        <f t="shared" si="70"/>
        <v>641.1088947475813</v>
      </c>
      <c r="AB159" s="57">
        <f t="shared" si="71"/>
        <v>1594.9203493507644</v>
      </c>
      <c r="AC159" s="57">
        <f t="shared" si="72"/>
        <v>703.93086395177932</v>
      </c>
      <c r="AD159" s="57">
        <f t="shared" si="73"/>
        <v>490.9251925254211</v>
      </c>
      <c r="AE159" s="57">
        <f t="shared" si="74"/>
        <v>-188.5406808085306</v>
      </c>
      <c r="AF159" s="57">
        <f t="shared" si="75"/>
        <v>122.54251399472543</v>
      </c>
      <c r="AG159" s="57">
        <f t="shared" si="76"/>
        <v>-922.75451586582733</v>
      </c>
      <c r="AH159" s="57">
        <f t="shared" si="77"/>
        <v>-1261.7496019663085</v>
      </c>
      <c r="AJ159" s="57">
        <f t="shared" si="78"/>
        <v>21262.480390414577</v>
      </c>
      <c r="AK159" s="57">
        <f t="shared" si="79"/>
        <v>26906.254444596198</v>
      </c>
      <c r="AL159" s="57">
        <f t="shared" si="80"/>
        <v>12806.57470522861</v>
      </c>
      <c r="AN159" s="41">
        <v>154</v>
      </c>
      <c r="AO159" s="57">
        <f t="shared" si="81"/>
        <v>-1740.9553472437528</v>
      </c>
      <c r="AP159" s="57">
        <f t="shared" si="82"/>
        <v>18287.783600918079</v>
      </c>
      <c r="AR159" s="41">
        <v>154</v>
      </c>
      <c r="AS159" s="57">
        <f t="shared" si="83"/>
        <v>11854.220837952915</v>
      </c>
      <c r="AT159" s="57">
        <f t="shared" si="84"/>
        <v>-3465.7009862382292</v>
      </c>
      <c r="AV159" s="57">
        <f t="shared" si="85"/>
        <v>280.96003599421499</v>
      </c>
      <c r="AW159" s="57">
        <f t="shared" si="86"/>
        <v>2264.0035899221816</v>
      </c>
      <c r="AX159" s="57">
        <f t="shared" si="87"/>
        <v>767.51319147594495</v>
      </c>
      <c r="AY159" s="57">
        <f t="shared" si="88"/>
        <v>-20.801345125255263</v>
      </c>
      <c r="BA159" s="57">
        <f t="shared" si="89"/>
        <v>19813.674527742493</v>
      </c>
      <c r="BB159" s="57">
        <f t="shared" si="90"/>
        <v>12444.702567472916</v>
      </c>
    </row>
    <row r="160" spans="9:54" x14ac:dyDescent="0.25">
      <c r="I160" s="41">
        <v>155</v>
      </c>
      <c r="J160" s="57">
        <f t="shared" si="64"/>
        <v>15468.461064816751</v>
      </c>
      <c r="K160" s="57">
        <f t="shared" si="65"/>
        <v>9613.0913087034969</v>
      </c>
      <c r="M160" s="41">
        <v>155</v>
      </c>
      <c r="N160" s="57">
        <f t="shared" si="66"/>
        <v>-23172.077254628275</v>
      </c>
      <c r="O160" s="57">
        <f t="shared" si="67"/>
        <v>11479.163916092448</v>
      </c>
      <c r="Q160" s="41">
        <v>155</v>
      </c>
      <c r="R160" s="57">
        <f t="shared" si="68"/>
        <v>-9531.5389351832491</v>
      </c>
      <c r="S160" s="41">
        <f t="shared" si="69"/>
        <v>-12886.908691296503</v>
      </c>
      <c r="U160" s="41">
        <v>154</v>
      </c>
      <c r="V160" s="41">
        <f t="shared" si="91"/>
        <v>77</v>
      </c>
      <c r="W160" s="57">
        <f t="shared" si="92"/>
        <v>5864.6702828703692</v>
      </c>
      <c r="X160" s="57">
        <f t="shared" si="93"/>
        <v>1774.2680936374406</v>
      </c>
      <c r="Y160" s="57">
        <f t="shared" si="94"/>
        <v>6769.8869159493715</v>
      </c>
      <c r="Z160" s="57">
        <f t="shared" si="95"/>
        <v>13272.954652795668</v>
      </c>
      <c r="AA160" s="57">
        <f t="shared" si="70"/>
        <v>997.90056660801065</v>
      </c>
      <c r="AB160" s="57">
        <f t="shared" si="71"/>
        <v>2177.7643403673355</v>
      </c>
      <c r="AC160" s="57">
        <f t="shared" si="72"/>
        <v>1220.2188923289962</v>
      </c>
      <c r="AD160" s="57">
        <f t="shared" si="73"/>
        <v>494.26836051004017</v>
      </c>
      <c r="AE160" s="57">
        <f t="shared" si="74"/>
        <v>-210.94106245153475</v>
      </c>
      <c r="AF160" s="57">
        <f t="shared" si="75"/>
        <v>67.0855111931876</v>
      </c>
      <c r="AG160" s="57">
        <f t="shared" si="76"/>
        <v>-509.70632278522629</v>
      </c>
      <c r="AH160" s="57">
        <f t="shared" si="77"/>
        <v>-786.94983693169661</v>
      </c>
      <c r="AJ160" s="57">
        <f t="shared" si="78"/>
        <v>15250.95249731984</v>
      </c>
      <c r="AK160" s="57">
        <f t="shared" si="79"/>
        <v>27141.183361028103</v>
      </c>
      <c r="AL160" s="57">
        <f t="shared" si="80"/>
        <v>19985.422948557021</v>
      </c>
      <c r="AN160" s="41">
        <v>155</v>
      </c>
      <c r="AO160" s="57">
        <f t="shared" si="81"/>
        <v>-1797.3084027748746</v>
      </c>
      <c r="AP160" s="57">
        <f t="shared" si="82"/>
        <v>18169.636963055247</v>
      </c>
      <c r="AR160" s="41">
        <v>155</v>
      </c>
      <c r="AS160" s="57">
        <f t="shared" si="83"/>
        <v>11827.922745371725</v>
      </c>
      <c r="AT160" s="57">
        <f t="shared" si="84"/>
        <v>-3520.8360839075517</v>
      </c>
      <c r="AV160" s="57">
        <f t="shared" si="85"/>
        <v>-190.52261432987999</v>
      </c>
      <c r="AW160" s="57">
        <f t="shared" si="86"/>
        <v>2914.1755755286772</v>
      </c>
      <c r="AX160" s="57">
        <f t="shared" si="87"/>
        <v>688.85167384565557</v>
      </c>
      <c r="AY160" s="57">
        <f t="shared" si="88"/>
        <v>-510.81526993287321</v>
      </c>
      <c r="BA160" s="57">
        <f t="shared" si="89"/>
        <v>13253.966921531674</v>
      </c>
      <c r="BB160" s="57">
        <f t="shared" si="90"/>
        <v>11372.992449005933</v>
      </c>
    </row>
    <row r="161" spans="9:54" x14ac:dyDescent="0.25">
      <c r="I161" s="41">
        <v>156</v>
      </c>
      <c r="J161" s="57">
        <f t="shared" si="64"/>
        <v>15432.272711786996</v>
      </c>
      <c r="K161" s="57">
        <f t="shared" si="65"/>
        <v>9533.6832153790019</v>
      </c>
      <c r="M161" s="41">
        <v>156</v>
      </c>
      <c r="N161" s="57">
        <f t="shared" si="66"/>
        <v>-23197.409101749101</v>
      </c>
      <c r="O161" s="57">
        <f t="shared" si="67"/>
        <v>11423.578250765302</v>
      </c>
      <c r="Q161" s="41">
        <v>156</v>
      </c>
      <c r="R161" s="57">
        <f t="shared" si="68"/>
        <v>-9567.7272882130037</v>
      </c>
      <c r="S161" s="41">
        <f t="shared" si="69"/>
        <v>-12966.316784620998</v>
      </c>
      <c r="U161" s="41">
        <v>155</v>
      </c>
      <c r="V161" s="41">
        <f t="shared" si="91"/>
        <v>77.5</v>
      </c>
      <c r="W161" s="57">
        <f t="shared" si="92"/>
        <v>9374.3513116710565</v>
      </c>
      <c r="X161" s="57">
        <f t="shared" si="93"/>
        <v>8682.965962581191</v>
      </c>
      <c r="Y161" s="57">
        <f t="shared" si="94"/>
        <v>7268.8371992533766</v>
      </c>
      <c r="Z161" s="57">
        <f t="shared" si="95"/>
        <v>14361.836822979336</v>
      </c>
      <c r="AA161" s="57">
        <f t="shared" si="70"/>
        <v>-96.542987528731175</v>
      </c>
      <c r="AB161" s="57">
        <f t="shared" si="71"/>
        <v>1097.237704346169</v>
      </c>
      <c r="AC161" s="57">
        <f t="shared" si="72"/>
        <v>1773.410236611325</v>
      </c>
      <c r="AD161" s="57">
        <f t="shared" si="73"/>
        <v>-197.43584689643828</v>
      </c>
      <c r="AE161" s="57">
        <f t="shared" si="74"/>
        <v>-191.04518374396983</v>
      </c>
      <c r="AF161" s="57">
        <f t="shared" si="75"/>
        <v>8.5657384228181268</v>
      </c>
      <c r="AG161" s="57">
        <f t="shared" si="76"/>
        <v>-294.5635519933536</v>
      </c>
      <c r="AH161" s="57">
        <f t="shared" si="77"/>
        <v>-485.31849712142684</v>
      </c>
      <c r="AJ161" s="57">
        <f t="shared" si="78"/>
        <v>10691.296390822408</v>
      </c>
      <c r="AK161" s="57">
        <f t="shared" si="79"/>
        <v>29403.861883045069</v>
      </c>
      <c r="AL161" s="57">
        <f t="shared" si="80"/>
        <v>27703.877931006675</v>
      </c>
      <c r="AN161" s="41">
        <v>156</v>
      </c>
      <c r="AO161" s="57">
        <f t="shared" si="81"/>
        <v>-1851.5909323195056</v>
      </c>
      <c r="AP161" s="57">
        <f t="shared" si="82"/>
        <v>18050.524823068503</v>
      </c>
      <c r="AR161" s="41">
        <v>156</v>
      </c>
      <c r="AS161" s="57">
        <f t="shared" si="83"/>
        <v>11802.590898250897</v>
      </c>
      <c r="AT161" s="57">
        <f t="shared" si="84"/>
        <v>-3576.4217492346984</v>
      </c>
      <c r="AV161" s="57">
        <f t="shared" si="85"/>
        <v>-1614.7939154199557</v>
      </c>
      <c r="AW161" s="57">
        <f t="shared" si="86"/>
        <v>2331.9361890089831</v>
      </c>
      <c r="AX161" s="57">
        <f t="shared" si="87"/>
        <v>230.44942701722286</v>
      </c>
      <c r="AY161" s="57">
        <f t="shared" si="88"/>
        <v>-560.50987906776709</v>
      </c>
      <c r="BA161" s="57">
        <f t="shared" si="89"/>
        <v>7683.7405231974144</v>
      </c>
      <c r="BB161" s="57">
        <f t="shared" si="90"/>
        <v>14794.30568487932</v>
      </c>
    </row>
    <row r="162" spans="9:54" x14ac:dyDescent="0.25">
      <c r="I162" s="41">
        <v>157</v>
      </c>
      <c r="J162" s="57">
        <f t="shared" si="64"/>
        <v>15397.475732737799</v>
      </c>
      <c r="K162" s="57">
        <f t="shared" si="65"/>
        <v>9453.6556424463706</v>
      </c>
      <c r="M162" s="41">
        <v>157</v>
      </c>
      <c r="N162" s="57">
        <f t="shared" si="66"/>
        <v>-23221.766987083542</v>
      </c>
      <c r="O162" s="57">
        <f t="shared" si="67"/>
        <v>11367.55894971246</v>
      </c>
      <c r="Q162" s="41">
        <v>157</v>
      </c>
      <c r="R162" s="57">
        <f t="shared" si="68"/>
        <v>-9602.5242672622007</v>
      </c>
      <c r="S162" s="41">
        <f t="shared" si="69"/>
        <v>-13046.344357553629</v>
      </c>
      <c r="U162" s="41">
        <v>156</v>
      </c>
      <c r="V162" s="41">
        <f t="shared" si="91"/>
        <v>78</v>
      </c>
      <c r="W162" s="57">
        <f t="shared" si="92"/>
        <v>12996.702037856652</v>
      </c>
      <c r="X162" s="57">
        <f t="shared" si="93"/>
        <v>16001.03908711413</v>
      </c>
      <c r="Y162" s="57">
        <f t="shared" si="94"/>
        <v>7220.5657054890107</v>
      </c>
      <c r="Z162" s="57">
        <f t="shared" si="95"/>
        <v>14910.45567515242</v>
      </c>
      <c r="AA162" s="57">
        <f t="shared" si="70"/>
        <v>-2045.8737622176786</v>
      </c>
      <c r="AB162" s="57">
        <f t="shared" si="71"/>
        <v>-2395.4275724327458</v>
      </c>
      <c r="AC162" s="57">
        <f t="shared" si="72"/>
        <v>1113.7516046932717</v>
      </c>
      <c r="AD162" s="57">
        <f t="shared" si="73"/>
        <v>-1351.9410392094624</v>
      </c>
      <c r="AE162" s="57">
        <f t="shared" si="74"/>
        <v>-147.35843380625684</v>
      </c>
      <c r="AF162" s="57">
        <f t="shared" si="75"/>
        <v>-26.799760778295909</v>
      </c>
      <c r="AG162" s="57">
        <f t="shared" si="76"/>
        <v>-182.82788077047738</v>
      </c>
      <c r="AH162" s="57">
        <f t="shared" si="77"/>
        <v>-314.9384962898921</v>
      </c>
      <c r="AJ162" s="57">
        <f t="shared" si="78"/>
        <v>11014.256575330148</v>
      </c>
      <c r="AK162" s="57">
        <f t="shared" si="79"/>
        <v>33537.960813087084</v>
      </c>
      <c r="AL162" s="57">
        <f t="shared" si="80"/>
        <v>35846.139383763097</v>
      </c>
      <c r="AN162" s="41">
        <v>157</v>
      </c>
      <c r="AO162" s="57">
        <f t="shared" si="81"/>
        <v>-1903.7864008933011</v>
      </c>
      <c r="AP162" s="57">
        <f t="shared" si="82"/>
        <v>17930.483463669556</v>
      </c>
      <c r="AR162" s="41">
        <v>157</v>
      </c>
      <c r="AS162" s="57">
        <f t="shared" si="83"/>
        <v>11778.233012916458</v>
      </c>
      <c r="AT162" s="57">
        <f t="shared" si="84"/>
        <v>-3632.4410502875407</v>
      </c>
      <c r="AV162" s="57">
        <f t="shared" si="85"/>
        <v>-2862.2012412275935</v>
      </c>
      <c r="AW162" s="57">
        <f t="shared" si="86"/>
        <v>-358.29461996852763</v>
      </c>
      <c r="AX162" s="57">
        <f t="shared" si="87"/>
        <v>32.762188893377328</v>
      </c>
      <c r="AY162" s="57">
        <f t="shared" si="88"/>
        <v>-343.45365618656791</v>
      </c>
      <c r="BA162" s="57">
        <f t="shared" si="89"/>
        <v>8059.1142649915955</v>
      </c>
      <c r="BB162" s="57">
        <f t="shared" si="90"/>
        <v>21096.370433409229</v>
      </c>
    </row>
    <row r="163" spans="9:54" x14ac:dyDescent="0.25">
      <c r="I163" s="41">
        <v>158</v>
      </c>
      <c r="J163" s="57">
        <f t="shared" si="64"/>
        <v>15364.080727166063</v>
      </c>
      <c r="K163" s="57">
        <f t="shared" si="65"/>
        <v>9373.0329670795618</v>
      </c>
      <c r="M163" s="41">
        <v>158</v>
      </c>
      <c r="N163" s="57">
        <f t="shared" si="66"/>
        <v>-23245.143490983755</v>
      </c>
      <c r="O163" s="57">
        <f t="shared" si="67"/>
        <v>11311.123076955693</v>
      </c>
      <c r="Q163" s="41">
        <v>158</v>
      </c>
      <c r="R163" s="57">
        <f t="shared" si="68"/>
        <v>-9635.9192728339367</v>
      </c>
      <c r="S163" s="41">
        <f t="shared" si="69"/>
        <v>-13126.967032920438</v>
      </c>
      <c r="U163" s="41">
        <v>157</v>
      </c>
      <c r="V163" s="41">
        <f t="shared" si="91"/>
        <v>78.5</v>
      </c>
      <c r="W163" s="57">
        <f t="shared" si="92"/>
        <v>16351.250670323947</v>
      </c>
      <c r="X163" s="57">
        <f t="shared" si="93"/>
        <v>23156.838478136244</v>
      </c>
      <c r="Y163" s="57">
        <f t="shared" si="94"/>
        <v>6197.6288243801719</v>
      </c>
      <c r="Z163" s="57">
        <f t="shared" si="95"/>
        <v>13712.741888936047</v>
      </c>
      <c r="AA163" s="57">
        <f t="shared" si="70"/>
        <v>-2287.2010391339618</v>
      </c>
      <c r="AB163" s="57">
        <f t="shared" si="71"/>
        <v>-3347.056481849695</v>
      </c>
      <c r="AC163" s="57">
        <f t="shared" si="72"/>
        <v>281.51389847534699</v>
      </c>
      <c r="AD163" s="57">
        <f t="shared" si="73"/>
        <v>-1207.9803898642372</v>
      </c>
      <c r="AE163" s="57">
        <f t="shared" si="74"/>
        <v>-107.65779250317232</v>
      </c>
      <c r="AF163" s="57">
        <f t="shared" si="75"/>
        <v>-38.965266964893736</v>
      </c>
      <c r="AG163" s="57">
        <f t="shared" si="76"/>
        <v>-123.89055143024184</v>
      </c>
      <c r="AH163" s="57">
        <f t="shared" si="77"/>
        <v>-221.40491125709056</v>
      </c>
      <c r="AJ163" s="57">
        <f t="shared" si="78"/>
        <v>16076.379032644731</v>
      </c>
      <c r="AK163" s="57">
        <f t="shared" si="79"/>
        <v>38658.968222606432</v>
      </c>
      <c r="AL163" s="57">
        <f t="shared" si="80"/>
        <v>43724.36652295362</v>
      </c>
      <c r="AN163" s="41">
        <v>158</v>
      </c>
      <c r="AO163" s="57">
        <f t="shared" si="81"/>
        <v>-1953.8789092509051</v>
      </c>
      <c r="AP163" s="57">
        <f t="shared" si="82"/>
        <v>17809.549450619343</v>
      </c>
      <c r="AR163" s="41">
        <v>158</v>
      </c>
      <c r="AS163" s="57">
        <f t="shared" si="83"/>
        <v>11754.856509016245</v>
      </c>
      <c r="AT163" s="57">
        <f t="shared" si="84"/>
        <v>-3688.8769230443072</v>
      </c>
      <c r="AV163" s="57">
        <f t="shared" si="85"/>
        <v>-2327.2628819090464</v>
      </c>
      <c r="AW163" s="57">
        <f t="shared" si="86"/>
        <v>-1672.3362011132651</v>
      </c>
      <c r="AX163" s="57">
        <f t="shared" si="87"/>
        <v>-9.9037117668479215</v>
      </c>
      <c r="AY163" s="57">
        <f t="shared" si="88"/>
        <v>-206.36971265020827</v>
      </c>
      <c r="BA163" s="57">
        <f t="shared" si="89"/>
        <v>13978.015085802914</v>
      </c>
      <c r="BB163" s="57">
        <f t="shared" si="90"/>
        <v>28189.243187036871</v>
      </c>
    </row>
    <row r="164" spans="9:54" x14ac:dyDescent="0.25">
      <c r="I164" s="41">
        <v>159</v>
      </c>
      <c r="J164" s="57">
        <f t="shared" si="64"/>
        <v>15332.097867513992</v>
      </c>
      <c r="K164" s="57">
        <f t="shared" si="65"/>
        <v>9291.8397477265007</v>
      </c>
      <c r="M164" s="41">
        <v>159</v>
      </c>
      <c r="N164" s="57">
        <f t="shared" si="66"/>
        <v>-23267.531492740207</v>
      </c>
      <c r="O164" s="57">
        <f t="shared" si="67"/>
        <v>11254.287823408551</v>
      </c>
      <c r="Q164" s="41">
        <v>159</v>
      </c>
      <c r="R164" s="57">
        <f t="shared" si="68"/>
        <v>-9667.9021324860078</v>
      </c>
      <c r="S164" s="41">
        <f t="shared" si="69"/>
        <v>-13208.160252273499</v>
      </c>
      <c r="U164" s="41">
        <v>158</v>
      </c>
      <c r="V164" s="41">
        <f t="shared" si="91"/>
        <v>79</v>
      </c>
      <c r="W164" s="57">
        <f t="shared" si="92"/>
        <v>19164.164952622286</v>
      </c>
      <c r="X164" s="57">
        <f t="shared" si="93"/>
        <v>29594.827362373057</v>
      </c>
      <c r="Y164" s="57">
        <f t="shared" si="94"/>
        <v>5054.0283048131914</v>
      </c>
      <c r="Z164" s="57">
        <f t="shared" si="95"/>
        <v>12039.213648011199</v>
      </c>
      <c r="AA164" s="57">
        <f t="shared" si="70"/>
        <v>-1709.1563593008311</v>
      </c>
      <c r="AB164" s="57">
        <f t="shared" si="71"/>
        <v>-2755.3662480204221</v>
      </c>
      <c r="AC164" s="57">
        <f t="shared" si="72"/>
        <v>30.625202897637156</v>
      </c>
      <c r="AD164" s="57">
        <f t="shared" si="73"/>
        <v>-809.55994018656907</v>
      </c>
      <c r="AE164" s="57">
        <f t="shared" si="74"/>
        <v>-80.638962649110994</v>
      </c>
      <c r="AF164" s="57">
        <f t="shared" si="75"/>
        <v>-40.345723027713397</v>
      </c>
      <c r="AG164" s="57">
        <f t="shared" si="76"/>
        <v>-91.573144688312624</v>
      </c>
      <c r="AH164" s="57">
        <f t="shared" si="77"/>
        <v>-168.99771154565596</v>
      </c>
      <c r="AJ164" s="57">
        <f t="shared" si="78"/>
        <v>22110.631298076816</v>
      </c>
      <c r="AK164" s="57">
        <f t="shared" si="79"/>
        <v>43792.568728009232</v>
      </c>
      <c r="AL164" s="57">
        <f t="shared" si="80"/>
        <v>50720.858582415538</v>
      </c>
      <c r="AN164" s="41">
        <v>159</v>
      </c>
      <c r="AO164" s="57">
        <f t="shared" si="81"/>
        <v>-2001.8531987290135</v>
      </c>
      <c r="AP164" s="57">
        <f t="shared" si="82"/>
        <v>17687.75962158975</v>
      </c>
      <c r="AR164" s="41">
        <v>159</v>
      </c>
      <c r="AS164" s="57">
        <f t="shared" si="83"/>
        <v>11732.468507259793</v>
      </c>
      <c r="AT164" s="57">
        <f t="shared" si="84"/>
        <v>-3745.712176591449</v>
      </c>
      <c r="AV164" s="57">
        <f t="shared" si="85"/>
        <v>-1550.9107120731339</v>
      </c>
      <c r="AW164" s="57">
        <f t="shared" si="86"/>
        <v>-1598.0662589623309</v>
      </c>
      <c r="AX164" s="57">
        <f t="shared" si="87"/>
        <v>-16.658742787910782</v>
      </c>
      <c r="AY164" s="57">
        <f t="shared" si="88"/>
        <v>-138.39661429815243</v>
      </c>
      <c r="BA164" s="57">
        <f t="shared" si="89"/>
        <v>20337.958465454856</v>
      </c>
      <c r="BB164" s="57">
        <f t="shared" si="90"/>
        <v>34844.545483978458</v>
      </c>
    </row>
    <row r="165" spans="9:54" x14ac:dyDescent="0.25">
      <c r="I165" s="41">
        <v>160</v>
      </c>
      <c r="J165" s="57">
        <f t="shared" si="64"/>
        <v>15301.536896070458</v>
      </c>
      <c r="K165" s="57">
        <f t="shared" si="65"/>
        <v>9210.1007166283453</v>
      </c>
      <c r="M165" s="41">
        <v>160</v>
      </c>
      <c r="N165" s="57">
        <f t="shared" si="66"/>
        <v>-23288.924172750678</v>
      </c>
      <c r="O165" s="57">
        <f t="shared" si="67"/>
        <v>11197.070501639841</v>
      </c>
      <c r="Q165" s="41">
        <v>160</v>
      </c>
      <c r="R165" s="57">
        <f t="shared" si="68"/>
        <v>-9698.4631039295418</v>
      </c>
      <c r="S165" s="41">
        <f t="shared" si="69"/>
        <v>-13289.899283371655</v>
      </c>
      <c r="U165" s="41">
        <v>159</v>
      </c>
      <c r="V165" s="41">
        <f t="shared" si="91"/>
        <v>79.5</v>
      </c>
      <c r="W165" s="57">
        <f t="shared" si="92"/>
        <v>21477.534560116277</v>
      </c>
      <c r="X165" s="57">
        <f t="shared" si="93"/>
        <v>35270.013405376099</v>
      </c>
      <c r="Y165" s="57">
        <f t="shared" si="94"/>
        <v>4199.4501251627762</v>
      </c>
      <c r="Z165" s="57">
        <f t="shared" si="95"/>
        <v>10661.530524000987</v>
      </c>
      <c r="AA165" s="57">
        <f t="shared" si="70"/>
        <v>-1246.9537985889519</v>
      </c>
      <c r="AB165" s="57">
        <f t="shared" si="71"/>
        <v>-2151.4131193034182</v>
      </c>
      <c r="AC165" s="57">
        <f t="shared" si="72"/>
        <v>-29.974279067396399</v>
      </c>
      <c r="AD165" s="57">
        <f t="shared" si="73"/>
        <v>-563.36153074658102</v>
      </c>
      <c r="AE165" s="57">
        <f t="shared" si="74"/>
        <v>-63.042281564135074</v>
      </c>
      <c r="AF165" s="57">
        <f t="shared" si="75"/>
        <v>-38.408244779405273</v>
      </c>
      <c r="AG165" s="57">
        <f t="shared" si="76"/>
        <v>-72.206275421934478</v>
      </c>
      <c r="AH165" s="57">
        <f t="shared" si="77"/>
        <v>-137.0901971696637</v>
      </c>
      <c r="AJ165" s="57">
        <f t="shared" si="78"/>
        <v>27809.292564017269</v>
      </c>
      <c r="AK165" s="57">
        <f t="shared" si="79"/>
        <v>48569.120340948401</v>
      </c>
      <c r="AL165" s="57">
        <f t="shared" si="80"/>
        <v>56816.670829597584</v>
      </c>
      <c r="AN165" s="41">
        <v>160</v>
      </c>
      <c r="AO165" s="57">
        <f t="shared" si="81"/>
        <v>-2047.6946558943127</v>
      </c>
      <c r="AP165" s="57">
        <f t="shared" si="82"/>
        <v>17565.151074942518</v>
      </c>
      <c r="AR165" s="41">
        <v>160</v>
      </c>
      <c r="AS165" s="57">
        <f t="shared" si="83"/>
        <v>11711.07582724932</v>
      </c>
      <c r="AT165" s="57">
        <f t="shared" si="84"/>
        <v>-3802.929498360159</v>
      </c>
      <c r="AV165" s="57">
        <f t="shared" si="85"/>
        <v>-1065.3172722414758</v>
      </c>
      <c r="AW165" s="57">
        <f t="shared" si="86"/>
        <v>-1310.5113092332081</v>
      </c>
      <c r="AX165" s="57">
        <f t="shared" si="87"/>
        <v>-16.413690294010074</v>
      </c>
      <c r="AY165" s="57">
        <f t="shared" si="88"/>
        <v>-102.04183737456</v>
      </c>
      <c r="BA165" s="57">
        <f t="shared" si="89"/>
        <v>26122.453725367246</v>
      </c>
      <c r="BB165" s="57">
        <f t="shared" si="90"/>
        <v>40787.650504125282</v>
      </c>
    </row>
    <row r="166" spans="9:54" x14ac:dyDescent="0.25">
      <c r="I166" s="41">
        <v>161</v>
      </c>
      <c r="J166" s="57">
        <f t="shared" si="64"/>
        <v>15272.407122003417</v>
      </c>
      <c r="K166" s="57">
        <f t="shared" si="65"/>
        <v>9127.8407722857846</v>
      </c>
      <c r="M166" s="41">
        <v>161</v>
      </c>
      <c r="N166" s="57">
        <f t="shared" si="66"/>
        <v>-23309.315014597611</v>
      </c>
      <c r="O166" s="57">
        <f t="shared" si="67"/>
        <v>11139.48854060005</v>
      </c>
      <c r="Q166" s="41">
        <v>161</v>
      </c>
      <c r="R166" s="57">
        <f t="shared" si="68"/>
        <v>-9727.5928779965834</v>
      </c>
      <c r="S166" s="41">
        <f t="shared" si="69"/>
        <v>-13372.159227714215</v>
      </c>
      <c r="U166" s="41">
        <v>160</v>
      </c>
      <c r="V166" s="41">
        <f t="shared" si="91"/>
        <v>80</v>
      </c>
      <c r="W166" s="57">
        <f t="shared" si="92"/>
        <v>23421.390397874045</v>
      </c>
      <c r="X166" s="57">
        <f t="shared" si="93"/>
        <v>40331.852027463668</v>
      </c>
      <c r="Y166" s="57">
        <f t="shared" si="94"/>
        <v>3575.9732258683002</v>
      </c>
      <c r="Z166" s="57">
        <f t="shared" si="95"/>
        <v>9585.823964349278</v>
      </c>
      <c r="AA166" s="57">
        <f t="shared" si="70"/>
        <v>-946.43616109392599</v>
      </c>
      <c r="AB166" s="57">
        <f t="shared" si="71"/>
        <v>-1719.582211340454</v>
      </c>
      <c r="AC166" s="57">
        <f t="shared" si="72"/>
        <v>-43.659612573030472</v>
      </c>
      <c r="AD166" s="57">
        <f t="shared" si="73"/>
        <v>-418.9600638573192</v>
      </c>
      <c r="AE166" s="57">
        <f t="shared" si="74"/>
        <v>-51.134669984008013</v>
      </c>
      <c r="AF166" s="57">
        <f t="shared" si="75"/>
        <v>-35.719935018572286</v>
      </c>
      <c r="AG166" s="57">
        <f t="shared" si="76"/>
        <v>-59.505677417472427</v>
      </c>
      <c r="AH166" s="57">
        <f t="shared" si="77"/>
        <v>-115.84793324903127</v>
      </c>
      <c r="AJ166" s="57">
        <f t="shared" si="78"/>
        <v>33009.641315953959</v>
      </c>
      <c r="AK166" s="57">
        <f t="shared" si="79"/>
        <v>52966.389262442084</v>
      </c>
      <c r="AL166" s="57">
        <f t="shared" si="80"/>
        <v>62204.415284909657</v>
      </c>
      <c r="AN166" s="41">
        <v>161</v>
      </c>
      <c r="AO166" s="57">
        <f t="shared" si="81"/>
        <v>-2091.3893169948751</v>
      </c>
      <c r="AP166" s="57">
        <f t="shared" si="82"/>
        <v>17441.761158428679</v>
      </c>
      <c r="AR166" s="41">
        <v>161</v>
      </c>
      <c r="AS166" s="57">
        <f t="shared" si="83"/>
        <v>11690.684985402391</v>
      </c>
      <c r="AT166" s="57">
        <f t="shared" si="84"/>
        <v>-3860.5114593999506</v>
      </c>
      <c r="AV166" s="57">
        <f t="shared" si="85"/>
        <v>-777.22479446036152</v>
      </c>
      <c r="AW166" s="57">
        <f t="shared" si="86"/>
        <v>-1068.7870491913541</v>
      </c>
      <c r="AX166" s="57">
        <f t="shared" si="87"/>
        <v>-14.911406659053601</v>
      </c>
      <c r="AY166" s="57">
        <f t="shared" si="88"/>
        <v>-80.267230024177323</v>
      </c>
      <c r="BA166" s="57">
        <f t="shared" si="89"/>
        <v>31321.723313575854</v>
      </c>
      <c r="BB166" s="57">
        <f t="shared" si="90"/>
        <v>46107.446518683588</v>
      </c>
    </row>
    <row r="167" spans="9:54" x14ac:dyDescent="0.25">
      <c r="I167" s="41">
        <v>162</v>
      </c>
      <c r="J167" s="57">
        <f t="shared" si="64"/>
        <v>15244.717418524233</v>
      </c>
      <c r="K167" s="57">
        <f t="shared" si="65"/>
        <v>9045.0849718747377</v>
      </c>
      <c r="M167" s="41">
        <v>162</v>
      </c>
      <c r="N167" s="57">
        <f t="shared" si="66"/>
        <v>-23328.697807033037</v>
      </c>
      <c r="O167" s="57">
        <f t="shared" si="67"/>
        <v>11081.559480312317</v>
      </c>
      <c r="Q167" s="41">
        <v>162</v>
      </c>
      <c r="R167" s="57">
        <f t="shared" si="68"/>
        <v>-9755.2825814757671</v>
      </c>
      <c r="S167" s="41">
        <f t="shared" si="69"/>
        <v>-13454.915028125262</v>
      </c>
      <c r="U167" s="41">
        <v>161</v>
      </c>
      <c r="V167" s="41">
        <f t="shared" si="91"/>
        <v>80.5</v>
      </c>
      <c r="W167" s="57">
        <f t="shared" si="92"/>
        <v>25091.072490671453</v>
      </c>
      <c r="X167" s="57">
        <f t="shared" si="93"/>
        <v>44909.816233220758</v>
      </c>
      <c r="Y167" s="57">
        <f t="shared" si="94"/>
        <v>3102.7551453213373</v>
      </c>
      <c r="Z167" s="57">
        <f t="shared" si="95"/>
        <v>8726.0328586790511</v>
      </c>
      <c r="AA167" s="57">
        <f t="shared" si="70"/>
        <v>-748.57915056326829</v>
      </c>
      <c r="AB167" s="57">
        <f t="shared" si="71"/>
        <v>-1417.6276429944089</v>
      </c>
      <c r="AC167" s="57">
        <f t="shared" si="72"/>
        <v>-44.743152523004291</v>
      </c>
      <c r="AD167" s="57">
        <f t="shared" si="73"/>
        <v>-328.77809472318057</v>
      </c>
      <c r="AE167" s="57">
        <f t="shared" si="74"/>
        <v>-42.700674837303559</v>
      </c>
      <c r="AF167" s="57">
        <f t="shared" si="75"/>
        <v>-33.059154046805489</v>
      </c>
      <c r="AG167" s="57">
        <f t="shared" si="76"/>
        <v>-50.589035637711575</v>
      </c>
      <c r="AH167" s="57">
        <f t="shared" si="77"/>
        <v>-100.72023286676571</v>
      </c>
      <c r="AJ167" s="57">
        <f t="shared" si="78"/>
        <v>37754.646994888179</v>
      </c>
      <c r="AK167" s="57">
        <f t="shared" si="79"/>
        <v>57025.433692311635</v>
      </c>
      <c r="AL167" s="57">
        <f t="shared" si="80"/>
        <v>67042.21598915958</v>
      </c>
      <c r="AN167" s="41">
        <v>162</v>
      </c>
      <c r="AO167" s="57">
        <f t="shared" si="81"/>
        <v>-2132.9238722136515</v>
      </c>
      <c r="AP167" s="57">
        <f t="shared" si="82"/>
        <v>17317.627457812108</v>
      </c>
      <c r="AR167" s="41">
        <v>162</v>
      </c>
      <c r="AS167" s="57">
        <f t="shared" si="83"/>
        <v>11671.302192966963</v>
      </c>
      <c r="AT167" s="57">
        <f t="shared" si="84"/>
        <v>-3918.4405196876837</v>
      </c>
      <c r="AV167" s="57">
        <f t="shared" si="85"/>
        <v>-597.1995427809901</v>
      </c>
      <c r="AW167" s="57">
        <f t="shared" si="86"/>
        <v>-889.0579926699528</v>
      </c>
      <c r="AX167" s="57">
        <f t="shared" si="87"/>
        <v>-13.346744784258842</v>
      </c>
      <c r="AY167" s="57">
        <f t="shared" si="88"/>
        <v>-66.012168687704303</v>
      </c>
      <c r="BA167" s="57">
        <f t="shared" si="89"/>
        <v>36031.212870654956</v>
      </c>
      <c r="BB167" s="57">
        <f t="shared" si="90"/>
        <v>50919.735863865717</v>
      </c>
    </row>
    <row r="168" spans="9:54" x14ac:dyDescent="0.25">
      <c r="I168" s="41">
        <v>163</v>
      </c>
      <c r="J168" s="57">
        <f t="shared" si="64"/>
        <v>15218.476220184823</v>
      </c>
      <c r="K168" s="57">
        <f t="shared" si="65"/>
        <v>8961.858523613686</v>
      </c>
      <c r="M168" s="41">
        <v>163</v>
      </c>
      <c r="N168" s="57">
        <f t="shared" si="66"/>
        <v>-23347.066645870626</v>
      </c>
      <c r="O168" s="57">
        <f t="shared" si="67"/>
        <v>11023.300966529579</v>
      </c>
      <c r="Q168" s="41">
        <v>163</v>
      </c>
      <c r="R168" s="57">
        <f t="shared" si="68"/>
        <v>-9781.5237798151775</v>
      </c>
      <c r="S168" s="41">
        <f t="shared" si="69"/>
        <v>-13538.141476386314</v>
      </c>
      <c r="U168" s="41">
        <v>162</v>
      </c>
      <c r="V168" s="41">
        <f t="shared" si="91"/>
        <v>81</v>
      </c>
      <c r="W168" s="57">
        <f t="shared" si="92"/>
        <v>26548.877669511712</v>
      </c>
      <c r="X168" s="57">
        <f t="shared" si="93"/>
        <v>49095.629207185986</v>
      </c>
      <c r="Y168" s="57">
        <f t="shared" si="94"/>
        <v>2728.4655700397034</v>
      </c>
      <c r="Z168" s="57">
        <f t="shared" si="95"/>
        <v>8017.2190371818469</v>
      </c>
      <c r="AA168" s="57">
        <f t="shared" si="70"/>
        <v>-612.60139190236453</v>
      </c>
      <c r="AB168" s="57">
        <f t="shared" si="71"/>
        <v>-1200.8296735665081</v>
      </c>
      <c r="AC168" s="57">
        <f t="shared" si="72"/>
        <v>-42.298947461496681</v>
      </c>
      <c r="AD168" s="57">
        <f t="shared" si="73"/>
        <v>-268.66455952502815</v>
      </c>
      <c r="AE168" s="57">
        <f t="shared" si="74"/>
        <v>-36.48815248919626</v>
      </c>
      <c r="AF168" s="57">
        <f t="shared" si="75"/>
        <v>-30.64579323052541</v>
      </c>
      <c r="AG168" s="57">
        <f t="shared" si="76"/>
        <v>-44.007734490846936</v>
      </c>
      <c r="AH168" s="57">
        <f t="shared" si="77"/>
        <v>-89.407409725370158</v>
      </c>
      <c r="AJ168" s="57">
        <f t="shared" si="78"/>
        <v>42108.005983089875</v>
      </c>
      <c r="AK168" s="57">
        <f t="shared" si="79"/>
        <v>60788.701543929528</v>
      </c>
      <c r="AL168" s="57">
        <f t="shared" si="80"/>
        <v>71439.354460065559</v>
      </c>
      <c r="AN168" s="41">
        <v>163</v>
      </c>
      <c r="AO168" s="57">
        <f t="shared" si="81"/>
        <v>-2172.2856697227662</v>
      </c>
      <c r="AP168" s="57">
        <f t="shared" si="82"/>
        <v>17192.787785420529</v>
      </c>
      <c r="AR168" s="41">
        <v>163</v>
      </c>
      <c r="AS168" s="57">
        <f t="shared" si="83"/>
        <v>11652.933354129376</v>
      </c>
      <c r="AT168" s="57">
        <f t="shared" si="84"/>
        <v>-3976.6990334704205</v>
      </c>
      <c r="AV168" s="57">
        <f t="shared" si="85"/>
        <v>-477.84021471058986</v>
      </c>
      <c r="AW168" s="57">
        <f t="shared" si="86"/>
        <v>-756.06085063564183</v>
      </c>
      <c r="AX168" s="57">
        <f t="shared" si="87"/>
        <v>-11.966342750234677</v>
      </c>
      <c r="AY168" s="57">
        <f t="shared" si="88"/>
        <v>-56.051060449942604</v>
      </c>
      <c r="BA168" s="57">
        <f t="shared" si="89"/>
        <v>40334.427724333647</v>
      </c>
      <c r="BB168" s="57">
        <f t="shared" si="90"/>
        <v>55314.678655368683</v>
      </c>
    </row>
    <row r="169" spans="9:54" x14ac:dyDescent="0.25">
      <c r="I169" s="41">
        <v>164</v>
      </c>
      <c r="J169" s="57">
        <f t="shared" si="64"/>
        <v>15193.691520308406</v>
      </c>
      <c r="K169" s="57">
        <f t="shared" si="65"/>
        <v>8878.1867790849974</v>
      </c>
      <c r="M169" s="41">
        <v>164</v>
      </c>
      <c r="N169" s="57">
        <f t="shared" si="66"/>
        <v>-23364.415935784116</v>
      </c>
      <c r="O169" s="57">
        <f t="shared" si="67"/>
        <v>10964.730745359499</v>
      </c>
      <c r="Q169" s="41">
        <v>164</v>
      </c>
      <c r="R169" s="57">
        <f t="shared" si="68"/>
        <v>-9806.3084796915937</v>
      </c>
      <c r="S169" s="41">
        <f t="shared" si="69"/>
        <v>-13621.813220915003</v>
      </c>
      <c r="U169" s="41">
        <v>163</v>
      </c>
      <c r="V169" s="41">
        <f t="shared" si="91"/>
        <v>81.5</v>
      </c>
      <c r="W169" s="57">
        <f t="shared" si="92"/>
        <v>27836.535280543769</v>
      </c>
      <c r="X169" s="57">
        <f t="shared" si="93"/>
        <v>52954.135016581095</v>
      </c>
      <c r="Y169" s="57">
        <f t="shared" si="94"/>
        <v>2422.1648740885212</v>
      </c>
      <c r="Z169" s="57">
        <f t="shared" si="95"/>
        <v>7416.8042003985929</v>
      </c>
      <c r="AA169" s="57">
        <f t="shared" si="70"/>
        <v>-515.12170639745807</v>
      </c>
      <c r="AB169" s="57">
        <f t="shared" si="71"/>
        <v>-1040.0549607472201</v>
      </c>
      <c r="AC169" s="57">
        <f t="shared" si="72"/>
        <v>-39.030055236342733</v>
      </c>
      <c r="AD169" s="57">
        <f t="shared" si="73"/>
        <v>-226.38542887976885</v>
      </c>
      <c r="AE169" s="57">
        <f t="shared" si="74"/>
        <v>-31.762551636344384</v>
      </c>
      <c r="AF169" s="57">
        <f t="shared" si="75"/>
        <v>-28.520730513975398</v>
      </c>
      <c r="AG169" s="57">
        <f t="shared" si="76"/>
        <v>-38.963961098552879</v>
      </c>
      <c r="AH169" s="57">
        <f t="shared" si="77"/>
        <v>-80.634642195052834</v>
      </c>
      <c r="AJ169" s="57">
        <f t="shared" si="78"/>
        <v>46124.718701676553</v>
      </c>
      <c r="AK169" s="57">
        <f t="shared" si="79"/>
        <v>64291.459951298253</v>
      </c>
      <c r="AL169" s="57">
        <f t="shared" si="80"/>
        <v>75471.86571883678</v>
      </c>
      <c r="AN169" s="41">
        <v>164</v>
      </c>
      <c r="AO169" s="57">
        <f t="shared" si="81"/>
        <v>-2209.4627195373896</v>
      </c>
      <c r="AP169" s="57">
        <f t="shared" si="82"/>
        <v>17067.280168627498</v>
      </c>
      <c r="AR169" s="41">
        <v>164</v>
      </c>
      <c r="AS169" s="57">
        <f t="shared" si="83"/>
        <v>11635.584064215884</v>
      </c>
      <c r="AT169" s="57">
        <f t="shared" si="84"/>
        <v>-4035.2692546405015</v>
      </c>
      <c r="AV169" s="57">
        <f t="shared" si="85"/>
        <v>-394.56846935390922</v>
      </c>
      <c r="AW169" s="57">
        <f t="shared" si="86"/>
        <v>-655.76957166102227</v>
      </c>
      <c r="AX169" s="57">
        <f t="shared" si="87"/>
        <v>-10.796669072308919</v>
      </c>
      <c r="AY169" s="57">
        <f t="shared" si="88"/>
        <v>-48.74458749740068</v>
      </c>
      <c r="BA169" s="57">
        <f t="shared" si="89"/>
        <v>44294.736803331245</v>
      </c>
      <c r="BB169" s="57">
        <f t="shared" si="90"/>
        <v>59358.726431155483</v>
      </c>
    </row>
    <row r="170" spans="9:54" x14ac:dyDescent="0.25">
      <c r="I170" s="41">
        <v>165</v>
      </c>
      <c r="J170" s="57">
        <f t="shared" si="64"/>
        <v>15170.370868554659</v>
      </c>
      <c r="K170" s="57">
        <f t="shared" si="65"/>
        <v>8794.0952255126049</v>
      </c>
      <c r="M170" s="41">
        <v>165</v>
      </c>
      <c r="N170" s="57">
        <f t="shared" si="66"/>
        <v>-23380.740392011739</v>
      </c>
      <c r="O170" s="57">
        <f t="shared" si="67"/>
        <v>10905.866657858824</v>
      </c>
      <c r="Q170" s="41">
        <v>165</v>
      </c>
      <c r="R170" s="57">
        <f t="shared" si="68"/>
        <v>-9829.629131445341</v>
      </c>
      <c r="S170" s="41">
        <f t="shared" si="69"/>
        <v>-13705.904774487395</v>
      </c>
      <c r="U170" s="41">
        <v>164</v>
      </c>
      <c r="V170" s="41">
        <f t="shared" si="91"/>
        <v>82</v>
      </c>
      <c r="W170" s="57">
        <f t="shared" si="92"/>
        <v>28983.227504288348</v>
      </c>
      <c r="X170" s="57">
        <f t="shared" si="93"/>
        <v>56532.530246686991</v>
      </c>
      <c r="Y170" s="57">
        <f t="shared" si="94"/>
        <v>2164.6040208897921</v>
      </c>
      <c r="Z170" s="57">
        <f t="shared" si="95"/>
        <v>6896.7767200249828</v>
      </c>
      <c r="AA170" s="57">
        <f t="shared" si="70"/>
        <v>-442.66327092549886</v>
      </c>
      <c r="AB170" s="57">
        <f t="shared" si="71"/>
        <v>-917.24732223319711</v>
      </c>
      <c r="AC170" s="57">
        <f t="shared" si="72"/>
        <v>-35.790566847636391</v>
      </c>
      <c r="AD170" s="57">
        <f t="shared" si="73"/>
        <v>-195.35317909571606</v>
      </c>
      <c r="AE170" s="57">
        <f t="shared" si="74"/>
        <v>-28.07214380059148</v>
      </c>
      <c r="AF170" s="57">
        <f t="shared" si="75"/>
        <v>-26.667656400877412</v>
      </c>
      <c r="AG170" s="57">
        <f t="shared" si="76"/>
        <v>-34.984354250904708</v>
      </c>
      <c r="AH170" s="57">
        <f t="shared" si="77"/>
        <v>-73.639838308408471</v>
      </c>
      <c r="AJ170" s="57">
        <f t="shared" si="78"/>
        <v>49848.644904210552</v>
      </c>
      <c r="AK170" s="57">
        <f t="shared" si="79"/>
        <v>67562.067374346312</v>
      </c>
      <c r="AL170" s="57">
        <f t="shared" si="80"/>
        <v>79194.460886487563</v>
      </c>
      <c r="AN170" s="41">
        <v>165</v>
      </c>
      <c r="AO170" s="57">
        <f t="shared" si="81"/>
        <v>-2244.4436971680116</v>
      </c>
      <c r="AP170" s="57">
        <f t="shared" si="82"/>
        <v>16941.142838268908</v>
      </c>
      <c r="AR170" s="41">
        <v>165</v>
      </c>
      <c r="AS170" s="57">
        <f t="shared" si="83"/>
        <v>11619.259607988261</v>
      </c>
      <c r="AT170" s="57">
        <f t="shared" si="84"/>
        <v>-4094.1333421411764</v>
      </c>
      <c r="AV170" s="57">
        <f t="shared" si="85"/>
        <v>-334.00288401458516</v>
      </c>
      <c r="AW170" s="57">
        <f t="shared" si="86"/>
        <v>-578.40358977272979</v>
      </c>
      <c r="AX170" s="57">
        <f t="shared" si="87"/>
        <v>-9.8133220117811248</v>
      </c>
      <c r="AY170" s="57">
        <f t="shared" si="88"/>
        <v>-43.183058655465437</v>
      </c>
      <c r="BA170" s="57">
        <f t="shared" si="89"/>
        <v>47959.840181285246</v>
      </c>
      <c r="BB170" s="57">
        <f t="shared" si="90"/>
        <v>63101.370270352571</v>
      </c>
    </row>
    <row r="171" spans="9:54" x14ac:dyDescent="0.25">
      <c r="I171" s="41">
        <v>166</v>
      </c>
      <c r="J171" s="57">
        <f t="shared" si="64"/>
        <v>15148.521368620019</v>
      </c>
      <c r="K171" s="57">
        <f t="shared" si="65"/>
        <v>8709.6094779983396</v>
      </c>
      <c r="M171" s="41">
        <v>166</v>
      </c>
      <c r="N171" s="57">
        <f t="shared" si="66"/>
        <v>-23396.035041965988</v>
      </c>
      <c r="O171" s="57">
        <f t="shared" si="67"/>
        <v>10846.726634598837</v>
      </c>
      <c r="Q171" s="41">
        <v>166</v>
      </c>
      <c r="R171" s="57">
        <f t="shared" si="68"/>
        <v>-9851.4786313799814</v>
      </c>
      <c r="S171" s="41">
        <f t="shared" si="69"/>
        <v>-13790.39052200166</v>
      </c>
      <c r="U171" s="41">
        <v>165</v>
      </c>
      <c r="V171" s="41">
        <f t="shared" si="91"/>
        <v>82.5</v>
      </c>
      <c r="W171" s="57">
        <f t="shared" si="92"/>
        <v>30010.196605867557</v>
      </c>
      <c r="X171" s="57">
        <f t="shared" si="93"/>
        <v>59866.262691420328</v>
      </c>
      <c r="Y171" s="57">
        <f t="shared" si="94"/>
        <v>1943.2723854270425</v>
      </c>
      <c r="Z171" s="57">
        <f t="shared" si="95"/>
        <v>6438.1530589083841</v>
      </c>
      <c r="AA171" s="57">
        <f t="shared" si="70"/>
        <v>-387.15384055844925</v>
      </c>
      <c r="AB171" s="57">
        <f t="shared" si="71"/>
        <v>-821.03257379354773</v>
      </c>
      <c r="AC171" s="57">
        <f t="shared" si="72"/>
        <v>-32.838410661860316</v>
      </c>
      <c r="AD171" s="57">
        <f t="shared" si="73"/>
        <v>-171.78731915012975</v>
      </c>
      <c r="AE171" s="57">
        <f t="shared" si="74"/>
        <v>-25.126780456669678</v>
      </c>
      <c r="AF171" s="57">
        <f t="shared" si="75"/>
        <v>-25.054463287091497</v>
      </c>
      <c r="AG171" s="57">
        <f t="shared" si="76"/>
        <v>-31.770952285368832</v>
      </c>
      <c r="AH171" s="57">
        <f t="shared" si="77"/>
        <v>-67.939420236056748</v>
      </c>
      <c r="AJ171" s="57">
        <f t="shared" si="78"/>
        <v>53314.439923485668</v>
      </c>
      <c r="AK171" s="57">
        <f t="shared" si="79"/>
        <v>70623.394986132364</v>
      </c>
      <c r="AL171" s="57">
        <f t="shared" si="80"/>
        <v>82647.874478187616</v>
      </c>
      <c r="AN171" s="41">
        <v>166</v>
      </c>
      <c r="AO171" s="57">
        <f t="shared" si="81"/>
        <v>-2277.2179470699739</v>
      </c>
      <c r="AP171" s="57">
        <f t="shared" si="82"/>
        <v>16814.414216997509</v>
      </c>
      <c r="AR171" s="41">
        <v>166</v>
      </c>
      <c r="AS171" s="57">
        <f t="shared" si="83"/>
        <v>11603.964958034012</v>
      </c>
      <c r="AT171" s="57">
        <f t="shared" si="84"/>
        <v>-4153.2733654011627</v>
      </c>
      <c r="AV171" s="57">
        <f t="shared" si="85"/>
        <v>-288.43347771884748</v>
      </c>
      <c r="AW171" s="57">
        <f t="shared" si="86"/>
        <v>-517.4262475528767</v>
      </c>
      <c r="AX171" s="57">
        <f t="shared" si="87"/>
        <v>-8.9842194357029417</v>
      </c>
      <c r="AY171" s="57">
        <f t="shared" si="88"/>
        <v>-38.825123567393014</v>
      </c>
      <c r="BA171" s="57">
        <f t="shared" si="89"/>
        <v>51366.248278024788</v>
      </c>
      <c r="BB171" s="57">
        <f t="shared" si="90"/>
        <v>66580.31268850535</v>
      </c>
    </row>
    <row r="172" spans="9:54" x14ac:dyDescent="0.25">
      <c r="I172" s="41">
        <v>167</v>
      </c>
      <c r="J172" s="57">
        <f t="shared" si="64"/>
        <v>15128.149676073823</v>
      </c>
      <c r="K172" s="57">
        <f t="shared" si="65"/>
        <v>8624.7552717193248</v>
      </c>
      <c r="M172" s="41">
        <v>167</v>
      </c>
      <c r="N172" s="57">
        <f t="shared" si="66"/>
        <v>-23410.295226748323</v>
      </c>
      <c r="O172" s="57">
        <f t="shared" si="67"/>
        <v>10787.328690203527</v>
      </c>
      <c r="Q172" s="41">
        <v>167</v>
      </c>
      <c r="R172" s="57">
        <f t="shared" si="68"/>
        <v>-9871.8503239261772</v>
      </c>
      <c r="S172" s="41">
        <f t="shared" si="69"/>
        <v>-13875.244728280675</v>
      </c>
      <c r="U172" s="41">
        <v>166</v>
      </c>
      <c r="V172" s="41">
        <f t="shared" si="91"/>
        <v>83</v>
      </c>
      <c r="W172" s="57">
        <f t="shared" si="92"/>
        <v>30933.438568511272</v>
      </c>
      <c r="X172" s="57">
        <f t="shared" si="93"/>
        <v>62982.710149150327</v>
      </c>
      <c r="Y172" s="57">
        <f t="shared" si="94"/>
        <v>1749.6954651478179</v>
      </c>
      <c r="Z172" s="57">
        <f t="shared" si="95"/>
        <v>6027.6367720116104</v>
      </c>
      <c r="AA172" s="57">
        <f t="shared" si="70"/>
        <v>-343.54924705775926</v>
      </c>
      <c r="AB172" s="57">
        <f t="shared" si="71"/>
        <v>-744.02439553257</v>
      </c>
      <c r="AC172" s="57">
        <f t="shared" si="72"/>
        <v>-30.227682749167187</v>
      </c>
      <c r="AD172" s="57">
        <f t="shared" si="73"/>
        <v>-153.39307482667596</v>
      </c>
      <c r="AE172" s="57">
        <f t="shared" si="74"/>
        <v>-22.732920771298982</v>
      </c>
      <c r="AF172" s="57">
        <f t="shared" si="75"/>
        <v>-23.647564074222245</v>
      </c>
      <c r="AG172" s="57">
        <f t="shared" si="76"/>
        <v>-29.127096809617562</v>
      </c>
      <c r="AH172" s="57">
        <f t="shared" si="77"/>
        <v>-63.211594505767685</v>
      </c>
      <c r="AJ172" s="57">
        <f t="shared" si="78"/>
        <v>56549.723292214599</v>
      </c>
      <c r="AK172" s="57">
        <f t="shared" si="79"/>
        <v>73494.100029602298</v>
      </c>
      <c r="AL172" s="57">
        <f t="shared" si="80"/>
        <v>85863.351259797491</v>
      </c>
      <c r="AN172" s="41">
        <v>167</v>
      </c>
      <c r="AO172" s="57">
        <f t="shared" si="81"/>
        <v>-2307.775485889264</v>
      </c>
      <c r="AP172" s="57">
        <f t="shared" si="82"/>
        <v>16687.132907578987</v>
      </c>
      <c r="AR172" s="41">
        <v>167</v>
      </c>
      <c r="AS172" s="57">
        <f t="shared" si="83"/>
        <v>11589.704773251677</v>
      </c>
      <c r="AT172" s="57">
        <f t="shared" si="84"/>
        <v>-4212.671309796473</v>
      </c>
      <c r="AV172" s="57">
        <f t="shared" si="85"/>
        <v>-253.18105835076378</v>
      </c>
      <c r="AW172" s="57">
        <f t="shared" si="86"/>
        <v>-468.44205815616203</v>
      </c>
      <c r="AX172" s="57">
        <f t="shared" si="87"/>
        <v>-8.2804883769117623</v>
      </c>
      <c r="AY172" s="57">
        <f t="shared" si="88"/>
        <v>-35.330103969742012</v>
      </c>
      <c r="BA172" s="57">
        <f t="shared" si="89"/>
        <v>54542.494527149393</v>
      </c>
      <c r="BB172" s="57">
        <f t="shared" si="90"/>
        <v>69824.947861347595</v>
      </c>
    </row>
    <row r="173" spans="9:54" x14ac:dyDescent="0.25">
      <c r="I173" s="41">
        <v>168</v>
      </c>
      <c r="J173" s="57">
        <f t="shared" si="64"/>
        <v>15109.261996330972</v>
      </c>
      <c r="K173" s="57">
        <f t="shared" si="65"/>
        <v>8539.5584540887976</v>
      </c>
      <c r="M173" s="41">
        <v>168</v>
      </c>
      <c r="N173" s="57">
        <f t="shared" si="66"/>
        <v>-23423.516602568321</v>
      </c>
      <c r="O173" s="57">
        <f t="shared" si="67"/>
        <v>10727.690917862157</v>
      </c>
      <c r="Q173" s="41">
        <v>168</v>
      </c>
      <c r="R173" s="57">
        <f t="shared" si="68"/>
        <v>-9890.7380036690283</v>
      </c>
      <c r="S173" s="41">
        <f t="shared" si="69"/>
        <v>-13960.441545911202</v>
      </c>
      <c r="U173" s="41">
        <v>167</v>
      </c>
      <c r="V173" s="41">
        <f t="shared" si="91"/>
        <v>83.5</v>
      </c>
      <c r="W173" s="57">
        <f t="shared" si="92"/>
        <v>31765.34264520296</v>
      </c>
      <c r="X173" s="57">
        <f t="shared" si="93"/>
        <v>65903.525485714563</v>
      </c>
      <c r="Y173" s="57">
        <f t="shared" si="94"/>
        <v>1577.9208416189383</v>
      </c>
      <c r="Z173" s="57">
        <f t="shared" si="95"/>
        <v>5655.6245742453257</v>
      </c>
      <c r="AA173" s="57">
        <f t="shared" si="70"/>
        <v>-308.57112296364392</v>
      </c>
      <c r="AB173" s="57">
        <f t="shared" si="71"/>
        <v>-681.27092338560078</v>
      </c>
      <c r="AC173" s="57">
        <f t="shared" si="72"/>
        <v>-27.942925917463498</v>
      </c>
      <c r="AD173" s="57">
        <f t="shared" si="73"/>
        <v>-138.70955017458917</v>
      </c>
      <c r="AE173" s="57">
        <f t="shared" si="74"/>
        <v>-20.757206685368025</v>
      </c>
      <c r="AF173" s="57">
        <f t="shared" si="75"/>
        <v>-22.416562388102903</v>
      </c>
      <c r="AG173" s="57">
        <f t="shared" si="76"/>
        <v>-26.917878232975092</v>
      </c>
      <c r="AH173" s="57">
        <f t="shared" si="77"/>
        <v>-59.233808009321201</v>
      </c>
      <c r="AJ173" s="57">
        <f t="shared" si="78"/>
        <v>59576.799819388943</v>
      </c>
      <c r="AK173" s="57">
        <f t="shared" si="79"/>
        <v>76189.598114881839</v>
      </c>
      <c r="AL173" s="57">
        <f t="shared" si="80"/>
        <v>88865.464922189232</v>
      </c>
      <c r="AN173" s="41">
        <v>168</v>
      </c>
      <c r="AO173" s="57">
        <f t="shared" si="81"/>
        <v>-2336.1070055035425</v>
      </c>
      <c r="AP173" s="57">
        <f t="shared" si="82"/>
        <v>16559.337681133195</v>
      </c>
      <c r="AR173" s="41">
        <v>168</v>
      </c>
      <c r="AS173" s="57">
        <f t="shared" si="83"/>
        <v>11576.483397431681</v>
      </c>
      <c r="AT173" s="57">
        <f t="shared" si="84"/>
        <v>-4272.3090821378428</v>
      </c>
      <c r="AV173" s="57">
        <f t="shared" si="85"/>
        <v>-225.27462446769428</v>
      </c>
      <c r="AW173" s="57">
        <f t="shared" si="86"/>
        <v>-428.4373542264845</v>
      </c>
      <c r="AX173" s="57">
        <f t="shared" si="87"/>
        <v>-7.6784876601430074</v>
      </c>
      <c r="AY173" s="57">
        <f t="shared" si="88"/>
        <v>-32.473648587103106</v>
      </c>
      <c r="BA173" s="57">
        <f t="shared" si="89"/>
        <v>57511.324743826866</v>
      </c>
      <c r="BB173" s="57">
        <f t="shared" si="90"/>
        <v>72858.675806759173</v>
      </c>
    </row>
    <row r="174" spans="9:54" x14ac:dyDescent="0.25">
      <c r="I174" s="41">
        <v>169</v>
      </c>
      <c r="J174" s="57">
        <f t="shared" si="64"/>
        <v>15091.86408276168</v>
      </c>
      <c r="K174" s="57">
        <f t="shared" si="65"/>
        <v>8454.0449768827257</v>
      </c>
      <c r="M174" s="41">
        <v>169</v>
      </c>
      <c r="N174" s="57">
        <f t="shared" si="66"/>
        <v>-23435.695142066823</v>
      </c>
      <c r="O174" s="57">
        <f t="shared" si="67"/>
        <v>10667.831483817907</v>
      </c>
      <c r="Q174" s="41">
        <v>169</v>
      </c>
      <c r="R174" s="57">
        <f t="shared" si="68"/>
        <v>-9908.13591723832</v>
      </c>
      <c r="S174" s="41">
        <f t="shared" si="69"/>
        <v>-14045.955023117274</v>
      </c>
      <c r="U174" s="41">
        <v>168</v>
      </c>
      <c r="V174" s="41">
        <f t="shared" si="91"/>
        <v>84</v>
      </c>
      <c r="W174" s="57">
        <f t="shared" si="92"/>
        <v>32515.731675641971</v>
      </c>
      <c r="X174" s="57">
        <f t="shared" si="93"/>
        <v>68646.178907414025</v>
      </c>
      <c r="Y174" s="57">
        <f t="shared" si="94"/>
        <v>1423.6352801371163</v>
      </c>
      <c r="Z174" s="57">
        <f t="shared" si="95"/>
        <v>5314.9891125525255</v>
      </c>
      <c r="AA174" s="57">
        <f t="shared" si="70"/>
        <v>-280.01321913555125</v>
      </c>
      <c r="AB174" s="57">
        <f t="shared" si="71"/>
        <v>-629.3522784967854</v>
      </c>
      <c r="AC174" s="57">
        <f t="shared" si="72"/>
        <v>-25.947670235043748</v>
      </c>
      <c r="AD174" s="57">
        <f t="shared" si="73"/>
        <v>-126.76852840416819</v>
      </c>
      <c r="AE174" s="57">
        <f t="shared" si="74"/>
        <v>-19.105146345692788</v>
      </c>
      <c r="AF174" s="57">
        <f t="shared" si="75"/>
        <v>-21.335394078904447</v>
      </c>
      <c r="AG174" s="57">
        <f t="shared" si="76"/>
        <v>-25.047736249459341</v>
      </c>
      <c r="AH174" s="57">
        <f t="shared" si="77"/>
        <v>-55.847169546431168</v>
      </c>
      <c r="AJ174" s="57">
        <f t="shared" si="78"/>
        <v>62413.930611315867</v>
      </c>
      <c r="AK174" s="57">
        <f t="shared" si="79"/>
        <v>78722.781797065822</v>
      </c>
      <c r="AL174" s="57">
        <f t="shared" si="80"/>
        <v>91673.951420072874</v>
      </c>
      <c r="AN174" s="41">
        <v>169</v>
      </c>
      <c r="AO174" s="57">
        <f t="shared" si="81"/>
        <v>-2362.2038758574799</v>
      </c>
      <c r="AP174" s="57">
        <f t="shared" si="82"/>
        <v>16431.067465324086</v>
      </c>
      <c r="AR174" s="41">
        <v>169</v>
      </c>
      <c r="AS174" s="57">
        <f t="shared" si="83"/>
        <v>11564.304857933177</v>
      </c>
      <c r="AT174" s="57">
        <f t="shared" si="84"/>
        <v>-4332.1685161820924</v>
      </c>
      <c r="AV174" s="57">
        <f t="shared" si="85"/>
        <v>-202.75323045849009</v>
      </c>
      <c r="AW174" s="57">
        <f t="shared" si="86"/>
        <v>-395.29881318260584</v>
      </c>
      <c r="AX174" s="57">
        <f t="shared" si="87"/>
        <v>-7.1594358468652928</v>
      </c>
      <c r="AY174" s="57">
        <f t="shared" si="88"/>
        <v>-30.102373284675799</v>
      </c>
      <c r="BA174" s="57">
        <f t="shared" si="89"/>
        <v>60291.193395156813</v>
      </c>
      <c r="BB174" s="57">
        <f t="shared" si="90"/>
        <v>75700.465809636342</v>
      </c>
    </row>
    <row r="175" spans="9:54" x14ac:dyDescent="0.25">
      <c r="I175" s="41">
        <v>170</v>
      </c>
      <c r="J175" s="57">
        <f t="shared" si="64"/>
        <v>15075.961234938961</v>
      </c>
      <c r="K175" s="57">
        <f t="shared" si="65"/>
        <v>8368.2408883346507</v>
      </c>
      <c r="M175" s="41">
        <v>170</v>
      </c>
      <c r="N175" s="57">
        <f t="shared" si="66"/>
        <v>-23446.827135542728</v>
      </c>
      <c r="O175" s="57">
        <f t="shared" si="67"/>
        <v>10607.768621834257</v>
      </c>
      <c r="Q175" s="41">
        <v>170</v>
      </c>
      <c r="R175" s="57">
        <f t="shared" si="68"/>
        <v>-9924.0387650610392</v>
      </c>
      <c r="S175" s="41">
        <f t="shared" si="69"/>
        <v>-14131.759111665349</v>
      </c>
      <c r="U175" s="41">
        <v>169</v>
      </c>
      <c r="V175" s="41">
        <f t="shared" si="91"/>
        <v>84.5</v>
      </c>
      <c r="W175" s="57">
        <f t="shared" si="92"/>
        <v>33192.54766331859</v>
      </c>
      <c r="X175" s="57">
        <f t="shared" si="93"/>
        <v>71225.004428878179</v>
      </c>
      <c r="Y175" s="57">
        <f t="shared" si="94"/>
        <v>1283.6286705693406</v>
      </c>
      <c r="Z175" s="57">
        <f t="shared" si="95"/>
        <v>5000.3129733041333</v>
      </c>
      <c r="AA175" s="57">
        <f t="shared" si="70"/>
        <v>-256.34488298973548</v>
      </c>
      <c r="AB175" s="57">
        <f t="shared" si="71"/>
        <v>-585.84271699420185</v>
      </c>
      <c r="AC175" s="57">
        <f t="shared" si="72"/>
        <v>-24.20224975077711</v>
      </c>
      <c r="AD175" s="57">
        <f t="shared" si="73"/>
        <v>-116.90603755371417</v>
      </c>
      <c r="AE175" s="57">
        <f t="shared" si="74"/>
        <v>-17.70814871710277</v>
      </c>
      <c r="AF175" s="57">
        <f t="shared" si="75"/>
        <v>-20.382206366466228</v>
      </c>
      <c r="AG175" s="57">
        <f t="shared" si="76"/>
        <v>-23.447135155313333</v>
      </c>
      <c r="AH175" s="57">
        <f t="shared" si="77"/>
        <v>-52.935178622638311</v>
      </c>
      <c r="AJ175" s="57">
        <f t="shared" si="78"/>
        <v>65076.259137334229</v>
      </c>
      <c r="AK175" s="57">
        <f t="shared" si="79"/>
        <v>81104.551624619518</v>
      </c>
      <c r="AL175" s="57">
        <f t="shared" si="80"/>
        <v>94304.942000803567</v>
      </c>
      <c r="AN175" s="41">
        <v>170</v>
      </c>
      <c r="AO175" s="57">
        <f t="shared" si="81"/>
        <v>-2386.0581475915606</v>
      </c>
      <c r="AP175" s="57">
        <f t="shared" si="82"/>
        <v>16302.361332501978</v>
      </c>
      <c r="AR175" s="41">
        <v>170</v>
      </c>
      <c r="AS175" s="57">
        <f t="shared" si="83"/>
        <v>11553.172864457272</v>
      </c>
      <c r="AT175" s="57">
        <f t="shared" si="84"/>
        <v>-4392.231378165744</v>
      </c>
      <c r="AV175" s="57">
        <f t="shared" si="85"/>
        <v>-184.27882304524445</v>
      </c>
      <c r="AW175" s="57">
        <f t="shared" si="86"/>
        <v>-367.51122195842402</v>
      </c>
      <c r="AX175" s="57">
        <f t="shared" si="87"/>
        <v>-6.7085263212978159</v>
      </c>
      <c r="AY175" s="57">
        <f t="shared" si="88"/>
        <v>-28.108072492959057</v>
      </c>
      <c r="BA175" s="57">
        <f t="shared" si="89"/>
        <v>62897.304129635486</v>
      </c>
      <c r="BB175" s="57">
        <f t="shared" si="90"/>
        <v>78365.937055997842</v>
      </c>
    </row>
    <row r="176" spans="9:54" x14ac:dyDescent="0.25">
      <c r="I176" s="41">
        <v>171</v>
      </c>
      <c r="J176" s="57">
        <f t="shared" si="64"/>
        <v>15061.558297024312</v>
      </c>
      <c r="K176" s="57">
        <f t="shared" si="65"/>
        <v>8282.1723252011543</v>
      </c>
      <c r="M176" s="41">
        <v>171</v>
      </c>
      <c r="N176" s="57">
        <f t="shared" si="66"/>
        <v>-23456.909192082981</v>
      </c>
      <c r="O176" s="57">
        <f t="shared" si="67"/>
        <v>10547.520627640808</v>
      </c>
      <c r="Q176" s="41">
        <v>171</v>
      </c>
      <c r="R176" s="57">
        <f t="shared" si="68"/>
        <v>-9938.4417029756878</v>
      </c>
      <c r="S176" s="41">
        <f t="shared" si="69"/>
        <v>-14217.827674798846</v>
      </c>
      <c r="U176" s="41">
        <v>170</v>
      </c>
      <c r="V176" s="41">
        <f t="shared" si="91"/>
        <v>85</v>
      </c>
      <c r="W176" s="57">
        <f t="shared" si="92"/>
        <v>33802.318888229544</v>
      </c>
      <c r="X176" s="57">
        <f t="shared" si="93"/>
        <v>73651.930575905964</v>
      </c>
      <c r="Y176" s="57">
        <f t="shared" si="94"/>
        <v>1155.4562290744727</v>
      </c>
      <c r="Z176" s="57">
        <f t="shared" si="95"/>
        <v>4707.3916148070321</v>
      </c>
      <c r="AA176" s="57">
        <f t="shared" si="70"/>
        <v>-236.47558570232695</v>
      </c>
      <c r="AB176" s="57">
        <f t="shared" si="71"/>
        <v>-548.98042176856165</v>
      </c>
      <c r="AC176" s="57">
        <f t="shared" si="72"/>
        <v>-22.670042665920892</v>
      </c>
      <c r="AD176" s="57">
        <f t="shared" si="73"/>
        <v>-108.65327056511667</v>
      </c>
      <c r="AE176" s="57">
        <f t="shared" si="74"/>
        <v>-16.51536405535153</v>
      </c>
      <c r="AF176" s="57">
        <f t="shared" si="75"/>
        <v>-19.538838251022472</v>
      </c>
      <c r="AG176" s="57">
        <f t="shared" si="76"/>
        <v>-22.064301873433354</v>
      </c>
      <c r="AH176" s="57">
        <f t="shared" si="77"/>
        <v>-50.410465506555063</v>
      </c>
      <c r="AJ176" s="57">
        <f t="shared" si="78"/>
        <v>67576.489444272403</v>
      </c>
      <c r="AK176" s="57">
        <f t="shared" si="79"/>
        <v>83344.212659252444</v>
      </c>
      <c r="AL176" s="57">
        <f t="shared" si="80"/>
        <v>96771.817932387246</v>
      </c>
      <c r="AN176" s="41">
        <v>171</v>
      </c>
      <c r="AO176" s="57">
        <f t="shared" si="81"/>
        <v>-2407.6625544635326</v>
      </c>
      <c r="AP176" s="57">
        <f t="shared" si="82"/>
        <v>16173.258487801733</v>
      </c>
      <c r="AR176" s="41">
        <v>171</v>
      </c>
      <c r="AS176" s="57">
        <f t="shared" si="83"/>
        <v>11543.090807917019</v>
      </c>
      <c r="AT176" s="57">
        <f t="shared" si="84"/>
        <v>-4452.479372359192</v>
      </c>
      <c r="AV176" s="57">
        <f t="shared" si="85"/>
        <v>-168.91181040158705</v>
      </c>
      <c r="AW176" s="57">
        <f t="shared" si="86"/>
        <v>-343.96549165258716</v>
      </c>
      <c r="AX176" s="57">
        <f t="shared" si="87"/>
        <v>-6.3140667060341027</v>
      </c>
      <c r="AY176" s="57">
        <f t="shared" si="88"/>
        <v>-26.412355793280319</v>
      </c>
      <c r="BA176" s="57">
        <f t="shared" si="89"/>
        <v>65342.348699906383</v>
      </c>
      <c r="BB176" s="57">
        <f t="shared" si="90"/>
        <v>80868.123379313096</v>
      </c>
    </row>
    <row r="177" spans="9:54" x14ac:dyDescent="0.25">
      <c r="I177" s="41">
        <v>172</v>
      </c>
      <c r="J177" s="57">
        <f t="shared" si="64"/>
        <v>15048.659656292148</v>
      </c>
      <c r="K177" s="57">
        <f t="shared" si="65"/>
        <v>8195.8655048003293</v>
      </c>
      <c r="M177" s="41">
        <v>172</v>
      </c>
      <c r="N177" s="57">
        <f t="shared" si="66"/>
        <v>-23465.938240595497</v>
      </c>
      <c r="O177" s="57">
        <f t="shared" si="67"/>
        <v>10487.10585336023</v>
      </c>
      <c r="Q177" s="41">
        <v>172</v>
      </c>
      <c r="R177" s="57">
        <f t="shared" si="68"/>
        <v>-9951.3403437078523</v>
      </c>
      <c r="S177" s="41">
        <f t="shared" si="69"/>
        <v>-14304.134495199671</v>
      </c>
      <c r="U177" s="41">
        <v>171</v>
      </c>
      <c r="V177" s="41">
        <f t="shared" si="91"/>
        <v>85.5</v>
      </c>
      <c r="W177" s="57">
        <f t="shared" si="92"/>
        <v>34350.487554553991</v>
      </c>
      <c r="X177" s="57">
        <f t="shared" si="93"/>
        <v>75937.003830588408</v>
      </c>
      <c r="Y177" s="57">
        <f t="shared" si="94"/>
        <v>1037.2184362233093</v>
      </c>
      <c r="Z177" s="57">
        <f t="shared" si="95"/>
        <v>4432.9014039227513</v>
      </c>
      <c r="AA177" s="57">
        <f t="shared" si="70"/>
        <v>-219.61010082082015</v>
      </c>
      <c r="AB177" s="57">
        <f t="shared" si="71"/>
        <v>-517.45873188869223</v>
      </c>
      <c r="AC177" s="57">
        <f t="shared" si="72"/>
        <v>-21.319249212066449</v>
      </c>
      <c r="AD177" s="57">
        <f t="shared" si="73"/>
        <v>-101.67079929827558</v>
      </c>
      <c r="AE177" s="57">
        <f t="shared" si="74"/>
        <v>-15.488392003365236</v>
      </c>
      <c r="AF177" s="57">
        <f t="shared" si="75"/>
        <v>-18.790230020116496</v>
      </c>
      <c r="AG177" s="57">
        <f t="shared" si="76"/>
        <v>-20.859918845073267</v>
      </c>
      <c r="AH177" s="57">
        <f t="shared" si="77"/>
        <v>-48.20622660114055</v>
      </c>
      <c r="AJ177" s="57">
        <f t="shared" si="78"/>
        <v>69925.388710835075</v>
      </c>
      <c r="AK177" s="57">
        <f t="shared" si="79"/>
        <v>85449.774555423835</v>
      </c>
      <c r="AL177" s="57">
        <f t="shared" si="80"/>
        <v>99085.819048265228</v>
      </c>
      <c r="AN177" s="41">
        <v>172</v>
      </c>
      <c r="AO177" s="57">
        <f t="shared" si="81"/>
        <v>-2427.0105155617766</v>
      </c>
      <c r="AP177" s="57">
        <f t="shared" si="82"/>
        <v>16043.798257200493</v>
      </c>
      <c r="AR177" s="41">
        <v>172</v>
      </c>
      <c r="AS177" s="57">
        <f t="shared" si="83"/>
        <v>11534.061759404503</v>
      </c>
      <c r="AT177" s="57">
        <f t="shared" si="84"/>
        <v>-4512.89414663977</v>
      </c>
      <c r="AV177" s="57">
        <f t="shared" si="85"/>
        <v>-155.97577037297719</v>
      </c>
      <c r="AW177" s="57">
        <f t="shared" si="86"/>
        <v>-323.83435195175662</v>
      </c>
      <c r="AX177" s="57">
        <f t="shared" si="87"/>
        <v>-5.9667703873379843</v>
      </c>
      <c r="AY177" s="57">
        <f t="shared" si="88"/>
        <v>-24.957124017402933</v>
      </c>
      <c r="BA177" s="57">
        <f t="shared" si="89"/>
        <v>67637.042776419301</v>
      </c>
      <c r="BB177" s="57">
        <f t="shared" si="90"/>
        <v>83218.02663889376</v>
      </c>
    </row>
    <row r="178" spans="9:54" x14ac:dyDescent="0.25">
      <c r="I178" s="41">
        <v>173</v>
      </c>
      <c r="J178" s="57">
        <f t="shared" si="64"/>
        <v>15037.26924179339</v>
      </c>
      <c r="K178" s="57">
        <f t="shared" si="65"/>
        <v>8109.3467170257372</v>
      </c>
      <c r="M178" s="41">
        <v>173</v>
      </c>
      <c r="N178" s="57">
        <f t="shared" si="66"/>
        <v>-23473.911530744626</v>
      </c>
      <c r="O178" s="57">
        <f t="shared" si="67"/>
        <v>10426.542701918017</v>
      </c>
      <c r="Q178" s="41">
        <v>173</v>
      </c>
      <c r="R178" s="57">
        <f t="shared" si="68"/>
        <v>-9962.7307582066096</v>
      </c>
      <c r="S178" s="41">
        <f t="shared" si="69"/>
        <v>-14390.653282974263</v>
      </c>
      <c r="U178" s="41">
        <v>172</v>
      </c>
      <c r="V178" s="41">
        <f t="shared" si="91"/>
        <v>86</v>
      </c>
      <c r="W178" s="57">
        <f t="shared" si="92"/>
        <v>34841.645510063041</v>
      </c>
      <c r="X178" s="57">
        <f t="shared" si="93"/>
        <v>78088.772191063705</v>
      </c>
      <c r="Y178" s="57">
        <f t="shared" si="94"/>
        <v>927.41338581289915</v>
      </c>
      <c r="Z178" s="57">
        <f t="shared" si="95"/>
        <v>4174.1720379784056</v>
      </c>
      <c r="AA178" s="57">
        <f t="shared" si="70"/>
        <v>-205.15657792234504</v>
      </c>
      <c r="AB178" s="57">
        <f t="shared" si="71"/>
        <v>-490.29046785038889</v>
      </c>
      <c r="AC178" s="57">
        <f t="shared" si="72"/>
        <v>-20.122975199979301</v>
      </c>
      <c r="AD178" s="57">
        <f t="shared" si="73"/>
        <v>-95.707454489103341</v>
      </c>
      <c r="AE178" s="57">
        <f t="shared" si="74"/>
        <v>-14.597756930058631</v>
      </c>
      <c r="AF178" s="57">
        <f t="shared" si="75"/>
        <v>-18.123878976769621</v>
      </c>
      <c r="AG178" s="57">
        <f t="shared" si="76"/>
        <v>-19.803609619095415</v>
      </c>
      <c r="AH178" s="57">
        <f t="shared" si="77"/>
        <v>-46.270521229528754</v>
      </c>
      <c r="AJ178" s="57">
        <f t="shared" si="78"/>
        <v>72132.164814930264</v>
      </c>
      <c r="AK178" s="57">
        <f t="shared" si="79"/>
        <v>87428.181845089217</v>
      </c>
      <c r="AL178" s="57">
        <f t="shared" si="80"/>
        <v>101256.48732298233</v>
      </c>
      <c r="AN178" s="41">
        <v>173</v>
      </c>
      <c r="AO178" s="57">
        <f t="shared" si="81"/>
        <v>-2444.0961373099153</v>
      </c>
      <c r="AP178" s="57">
        <f t="shared" si="82"/>
        <v>15914.020075538607</v>
      </c>
      <c r="AR178" s="41">
        <v>173</v>
      </c>
      <c r="AS178" s="57">
        <f t="shared" si="83"/>
        <v>11526.088469255374</v>
      </c>
      <c r="AT178" s="57">
        <f t="shared" si="84"/>
        <v>-4573.4572980819839</v>
      </c>
      <c r="AV178" s="57">
        <f t="shared" si="85"/>
        <v>-144.97303058217582</v>
      </c>
      <c r="AW178" s="57">
        <f t="shared" si="86"/>
        <v>-306.49015307023797</v>
      </c>
      <c r="AX178" s="57">
        <f t="shared" si="87"/>
        <v>-5.6592055910358594</v>
      </c>
      <c r="AY178" s="57">
        <f t="shared" si="88"/>
        <v>-23.698460084749218</v>
      </c>
      <c r="BA178" s="57">
        <f t="shared" si="89"/>
        <v>69790.522159704458</v>
      </c>
      <c r="BB178" s="57">
        <f t="shared" si="90"/>
        <v>85425.025377611018</v>
      </c>
    </row>
    <row r="179" spans="9:54" x14ac:dyDescent="0.25">
      <c r="I179" s="41">
        <v>174</v>
      </c>
      <c r="J179" s="57">
        <f t="shared" si="64"/>
        <v>15027.390523158632</v>
      </c>
      <c r="K179" s="57">
        <f t="shared" si="65"/>
        <v>8022.6423163382688</v>
      </c>
      <c r="M179" s="41">
        <v>174</v>
      </c>
      <c r="N179" s="57">
        <f t="shared" si="66"/>
        <v>-23480.826633788958</v>
      </c>
      <c r="O179" s="57">
        <f t="shared" si="67"/>
        <v>10365.849621436788</v>
      </c>
      <c r="Q179" s="41">
        <v>174</v>
      </c>
      <c r="R179" s="57">
        <f t="shared" si="68"/>
        <v>-9972.6094768413677</v>
      </c>
      <c r="S179" s="41">
        <f t="shared" si="69"/>
        <v>-14477.357683661732</v>
      </c>
      <c r="U179" s="41">
        <v>173</v>
      </c>
      <c r="V179" s="41">
        <f t="shared" si="91"/>
        <v>86.5</v>
      </c>
      <c r="W179" s="57">
        <f t="shared" si="92"/>
        <v>35279.707630729201</v>
      </c>
      <c r="X179" s="57">
        <f t="shared" si="93"/>
        <v>80114.571901571602</v>
      </c>
      <c r="Y179" s="57">
        <f t="shared" si="94"/>
        <v>824.83509685172658</v>
      </c>
      <c r="Z179" s="57">
        <f t="shared" si="95"/>
        <v>3929.026804053211</v>
      </c>
      <c r="AA179" s="57">
        <f t="shared" si="70"/>
        <v>-192.66651772562659</v>
      </c>
      <c r="AB179" s="57">
        <f t="shared" si="71"/>
        <v>-466.7175079020945</v>
      </c>
      <c r="AC179" s="57">
        <f t="shared" si="72"/>
        <v>-19.05872646715423</v>
      </c>
      <c r="AD179" s="57">
        <f t="shared" si="73"/>
        <v>-90.573805261711684</v>
      </c>
      <c r="AE179" s="57">
        <f t="shared" si="74"/>
        <v>-13.820504172984412</v>
      </c>
      <c r="AF179" s="57">
        <f t="shared" si="75"/>
        <v>-17.529375155631655</v>
      </c>
      <c r="AG179" s="57">
        <f t="shared" si="76"/>
        <v>-18.871549128617094</v>
      </c>
      <c r="AH179" s="57">
        <f t="shared" si="77"/>
        <v>-44.562372024729527</v>
      </c>
      <c r="AJ179" s="57">
        <f t="shared" si="78"/>
        <v>74204.754010299614</v>
      </c>
      <c r="AK179" s="57">
        <f t="shared" si="79"/>
        <v>89285.493047188545</v>
      </c>
      <c r="AL179" s="57">
        <f t="shared" si="80"/>
        <v>103291.99695444104</v>
      </c>
      <c r="AN179" s="41">
        <v>174</v>
      </c>
      <c r="AO179" s="57">
        <f t="shared" si="81"/>
        <v>-2458.9142152620498</v>
      </c>
      <c r="AP179" s="57">
        <f t="shared" si="82"/>
        <v>15783.963474507404</v>
      </c>
      <c r="AR179" s="41">
        <v>174</v>
      </c>
      <c r="AS179" s="57">
        <f t="shared" si="83"/>
        <v>11519.173366211044</v>
      </c>
      <c r="AT179" s="57">
        <f t="shared" si="84"/>
        <v>-4634.1503785632121</v>
      </c>
      <c r="AV179" s="57">
        <f t="shared" si="85"/>
        <v>-135.5303620636642</v>
      </c>
      <c r="AW179" s="57">
        <f t="shared" si="86"/>
        <v>-291.44936315317949</v>
      </c>
      <c r="AX179" s="57">
        <f t="shared" si="87"/>
        <v>-5.3853758932066462</v>
      </c>
      <c r="AY179" s="57">
        <f t="shared" si="88"/>
        <v>-22.602592306842137</v>
      </c>
      <c r="BA179" s="57">
        <f t="shared" si="89"/>
        <v>71810.641050803737</v>
      </c>
      <c r="BB179" s="57">
        <f t="shared" si="90"/>
        <v>87497.182192203531</v>
      </c>
    </row>
    <row r="180" spans="9:54" x14ac:dyDescent="0.25">
      <c r="I180" s="41">
        <v>175</v>
      </c>
      <c r="J180" s="57">
        <f t="shared" si="64"/>
        <v>15019.026509541272</v>
      </c>
      <c r="K180" s="57">
        <f t="shared" si="65"/>
        <v>7935.7787137382929</v>
      </c>
      <c r="M180" s="41">
        <v>175</v>
      </c>
      <c r="N180" s="57">
        <f t="shared" si="66"/>
        <v>-23486.681443321111</v>
      </c>
      <c r="O180" s="57">
        <f t="shared" si="67"/>
        <v>10305.045099616806</v>
      </c>
      <c r="Q180" s="41">
        <v>175</v>
      </c>
      <c r="R180" s="57">
        <f t="shared" si="68"/>
        <v>-9980.9734904587276</v>
      </c>
      <c r="S180" s="41">
        <f t="shared" si="69"/>
        <v>-14564.221286261707</v>
      </c>
      <c r="U180" s="41">
        <v>174</v>
      </c>
      <c r="V180" s="41">
        <f t="shared" si="91"/>
        <v>87</v>
      </c>
      <c r="W180" s="57">
        <f t="shared" si="92"/>
        <v>35668.041864439365</v>
      </c>
      <c r="X180" s="57">
        <f t="shared" si="93"/>
        <v>82020.745615110456</v>
      </c>
      <c r="Y180" s="57">
        <f t="shared" si="94"/>
        <v>728.50183798891328</v>
      </c>
      <c r="Z180" s="57">
        <f t="shared" si="95"/>
        <v>3695.6680501021638</v>
      </c>
      <c r="AA180" s="57">
        <f t="shared" si="70"/>
        <v>-181.7945729209014</v>
      </c>
      <c r="AB180" s="57">
        <f t="shared" si="71"/>
        <v>-446.14912594081483</v>
      </c>
      <c r="AC180" s="57">
        <f t="shared" si="72"/>
        <v>-18.10775578557595</v>
      </c>
      <c r="AD180" s="57">
        <f t="shared" si="73"/>
        <v>-86.124576014830197</v>
      </c>
      <c r="AE180" s="57">
        <f t="shared" si="74"/>
        <v>-13.138525755777941</v>
      </c>
      <c r="AF180" s="57">
        <f t="shared" si="75"/>
        <v>-16.998018782818374</v>
      </c>
      <c r="AG180" s="57">
        <f t="shared" si="76"/>
        <v>-18.044800529559435</v>
      </c>
      <c r="AH180" s="57">
        <f t="shared" si="77"/>
        <v>-43.049036088079951</v>
      </c>
      <c r="AJ180" s="57">
        <f t="shared" si="78"/>
        <v>76150.043091897387</v>
      </c>
      <c r="AK180" s="57">
        <f t="shared" si="79"/>
        <v>91027.021724196966</v>
      </c>
      <c r="AL180" s="57">
        <f t="shared" si="80"/>
        <v>105199.40450781918</v>
      </c>
      <c r="AN180" s="41">
        <v>175</v>
      </c>
      <c r="AO180" s="57">
        <f t="shared" si="81"/>
        <v>-2471.4602356880914</v>
      </c>
      <c r="AP180" s="57">
        <f t="shared" si="82"/>
        <v>15653.66807060744</v>
      </c>
      <c r="AR180" s="41">
        <v>175</v>
      </c>
      <c r="AS180" s="57">
        <f t="shared" si="83"/>
        <v>11513.318556678891</v>
      </c>
      <c r="AT180" s="57">
        <f t="shared" si="84"/>
        <v>-4694.9549003831944</v>
      </c>
      <c r="AV180" s="57">
        <f t="shared" si="85"/>
        <v>-127.36308816609765</v>
      </c>
      <c r="AW180" s="57">
        <f t="shared" si="86"/>
        <v>-278.33433808607981</v>
      </c>
      <c r="AX180" s="57">
        <f t="shared" si="87"/>
        <v>-5.1404026838904207</v>
      </c>
      <c r="AY180" s="57">
        <f t="shared" si="88"/>
        <v>-21.643156969006519</v>
      </c>
      <c r="BA180" s="57">
        <f t="shared" si="89"/>
        <v>73704.200250761511</v>
      </c>
      <c r="BB180" s="57">
        <f t="shared" si="90"/>
        <v>89441.478755217278</v>
      </c>
    </row>
    <row r="181" spans="9:54" x14ac:dyDescent="0.25">
      <c r="I181" s="41">
        <v>176</v>
      </c>
      <c r="J181" s="57">
        <f t="shared" si="64"/>
        <v>15012.179748700879</v>
      </c>
      <c r="K181" s="57">
        <f t="shared" si="65"/>
        <v>7848.7823687206273</v>
      </c>
      <c r="M181" s="41">
        <v>176</v>
      </c>
      <c r="N181" s="57">
        <f t="shared" si="66"/>
        <v>-23491.474175909385</v>
      </c>
      <c r="O181" s="57">
        <f t="shared" si="67"/>
        <v>10244.147658104439</v>
      </c>
      <c r="Q181" s="41">
        <v>176</v>
      </c>
      <c r="R181" s="57">
        <f t="shared" si="68"/>
        <v>-9987.8202512991211</v>
      </c>
      <c r="S181" s="41">
        <f t="shared" si="69"/>
        <v>-14651.217631279373</v>
      </c>
      <c r="U181" s="41">
        <v>175</v>
      </c>
      <c r="V181" s="41">
        <f t="shared" si="91"/>
        <v>87.5</v>
      </c>
      <c r="W181" s="57">
        <f t="shared" si="92"/>
        <v>36009.568461818708</v>
      </c>
      <c r="X181" s="57">
        <f t="shared" si="93"/>
        <v>83812.810999418929</v>
      </c>
      <c r="Y181" s="57">
        <f t="shared" si="94"/>
        <v>637.60455152846259</v>
      </c>
      <c r="Z181" s="57">
        <f t="shared" si="95"/>
        <v>3472.5934871317563</v>
      </c>
      <c r="AA181" s="57">
        <f t="shared" si="70"/>
        <v>-172.27100839719358</v>
      </c>
      <c r="AB181" s="57">
        <f t="shared" si="71"/>
        <v>-428.11906057411483</v>
      </c>
      <c r="AC181" s="57">
        <f t="shared" si="72"/>
        <v>-17.254431623982121</v>
      </c>
      <c r="AD181" s="57">
        <f t="shared" si="73"/>
        <v>-82.246700313230164</v>
      </c>
      <c r="AE181" s="57">
        <f t="shared" si="74"/>
        <v>-12.537371925597029</v>
      </c>
      <c r="AF181" s="57">
        <f t="shared" si="75"/>
        <v>-16.522510167246963</v>
      </c>
      <c r="AG181" s="57">
        <f t="shared" si="76"/>
        <v>-17.308133670935593</v>
      </c>
      <c r="AH181" s="57">
        <f t="shared" si="77"/>
        <v>-41.704056036852776</v>
      </c>
      <c r="AJ181" s="57">
        <f t="shared" si="78"/>
        <v>77974.043148772878</v>
      </c>
      <c r="AK181" s="57">
        <f t="shared" si="79"/>
        <v>92657.448847435342</v>
      </c>
      <c r="AL181" s="57">
        <f t="shared" si="80"/>
        <v>106984.84155725744</v>
      </c>
      <c r="AN181" s="41">
        <v>176</v>
      </c>
      <c r="AO181" s="57">
        <f t="shared" si="81"/>
        <v>-2481.7303769486816</v>
      </c>
      <c r="AP181" s="57">
        <f t="shared" si="82"/>
        <v>15523.173553080942</v>
      </c>
      <c r="AR181" s="41">
        <v>176</v>
      </c>
      <c r="AS181" s="57">
        <f t="shared" si="83"/>
        <v>11508.525824090615</v>
      </c>
      <c r="AT181" s="57">
        <f t="shared" si="84"/>
        <v>-4755.852341895561</v>
      </c>
      <c r="AV181" s="57">
        <f t="shared" si="85"/>
        <v>-120.25078668348354</v>
      </c>
      <c r="AW181" s="57">
        <f t="shared" si="86"/>
        <v>-266.84649503492892</v>
      </c>
      <c r="AX181" s="57">
        <f t="shared" si="87"/>
        <v>-4.9202844931952745</v>
      </c>
      <c r="AY181" s="57">
        <f t="shared" si="88"/>
        <v>-20.799299021856054</v>
      </c>
      <c r="BA181" s="57">
        <f t="shared" si="89"/>
        <v>75477.124308163533</v>
      </c>
      <c r="BB181" s="57">
        <f t="shared" si="90"/>
        <v>91263.998184225726</v>
      </c>
    </row>
    <row r="182" spans="9:54" x14ac:dyDescent="0.25">
      <c r="I182" s="41">
        <v>177</v>
      </c>
      <c r="J182" s="57">
        <f t="shared" si="64"/>
        <v>15006.85232622713</v>
      </c>
      <c r="K182" s="57">
        <f t="shared" si="65"/>
        <v>7761.6797812147188</v>
      </c>
      <c r="M182" s="41">
        <v>177</v>
      </c>
      <c r="N182" s="57">
        <f t="shared" si="66"/>
        <v>-23495.203371641008</v>
      </c>
      <c r="O182" s="57">
        <f t="shared" si="67"/>
        <v>10183.175846850303</v>
      </c>
      <c r="Q182" s="41">
        <v>177</v>
      </c>
      <c r="R182" s="57">
        <f t="shared" si="68"/>
        <v>-9993.1476737728699</v>
      </c>
      <c r="S182" s="41">
        <f t="shared" si="69"/>
        <v>-14738.32021878528</v>
      </c>
      <c r="U182" s="41">
        <v>176</v>
      </c>
      <c r="V182" s="41">
        <f t="shared" si="91"/>
        <v>88</v>
      </c>
      <c r="W182" s="57">
        <f t="shared" si="92"/>
        <v>36306.836861533287</v>
      </c>
      <c r="X182" s="57">
        <f t="shared" si="93"/>
        <v>85495.592860413046</v>
      </c>
      <c r="Y182" s="57">
        <f t="shared" si="94"/>
        <v>551.46904732986582</v>
      </c>
      <c r="Z182" s="57">
        <f t="shared" si="95"/>
        <v>3258.5339568446989</v>
      </c>
      <c r="AA182" s="57">
        <f t="shared" si="70"/>
        <v>-163.88244518008733</v>
      </c>
      <c r="AB182" s="57">
        <f t="shared" si="71"/>
        <v>-412.25505825985374</v>
      </c>
      <c r="AC182" s="57">
        <f t="shared" si="72"/>
        <v>-16.485685543549295</v>
      </c>
      <c r="AD182" s="57">
        <f t="shared" si="73"/>
        <v>-78.85102602041772</v>
      </c>
      <c r="AE182" s="57">
        <f t="shared" si="74"/>
        <v>-12.005393041740145</v>
      </c>
      <c r="AF182" s="57">
        <f t="shared" si="75"/>
        <v>-16.096700076356747</v>
      </c>
      <c r="AG182" s="57">
        <f t="shared" si="76"/>
        <v>-16.649170228515249</v>
      </c>
      <c r="AH182" s="57">
        <f t="shared" si="77"/>
        <v>-40.5058426128655</v>
      </c>
      <c r="AJ182" s="57">
        <f t="shared" si="78"/>
        <v>79682.027045476032</v>
      </c>
      <c r="AK182" s="57">
        <f t="shared" si="79"/>
        <v>94180.913239873465</v>
      </c>
      <c r="AL182" s="57">
        <f t="shared" si="80"/>
        <v>108653.66517458684</v>
      </c>
      <c r="AN182" s="41">
        <v>177</v>
      </c>
      <c r="AO182" s="57">
        <f t="shared" si="81"/>
        <v>-2489.7215106593039</v>
      </c>
      <c r="AP182" s="57">
        <f t="shared" si="82"/>
        <v>15392.519671822078</v>
      </c>
      <c r="AR182" s="41">
        <v>177</v>
      </c>
      <c r="AS182" s="57">
        <f t="shared" si="83"/>
        <v>11504.796628358992</v>
      </c>
      <c r="AT182" s="57">
        <f t="shared" si="84"/>
        <v>-4816.8241531496969</v>
      </c>
      <c r="AV182" s="57">
        <f t="shared" si="85"/>
        <v>-114.02048268584011</v>
      </c>
      <c r="AW182" s="57">
        <f t="shared" si="86"/>
        <v>-256.7471623121715</v>
      </c>
      <c r="AX182" s="57">
        <f t="shared" si="87"/>
        <v>-4.7217136804425346</v>
      </c>
      <c r="AY182" s="57">
        <f t="shared" si="88"/>
        <v>-20.054327238042273</v>
      </c>
      <c r="BA182" s="57">
        <f t="shared" si="89"/>
        <v>77134.600841747917</v>
      </c>
      <c r="BB182" s="57">
        <f t="shared" si="90"/>
        <v>92970.068431735781</v>
      </c>
    </row>
    <row r="183" spans="9:54" x14ac:dyDescent="0.25">
      <c r="I183" s="41">
        <v>178</v>
      </c>
      <c r="J183" s="57">
        <f t="shared" si="64"/>
        <v>15003.045864904521</v>
      </c>
      <c r="K183" s="57">
        <f t="shared" si="65"/>
        <v>7674.4974835125031</v>
      </c>
      <c r="M183" s="41">
        <v>178</v>
      </c>
      <c r="N183" s="57">
        <f t="shared" si="66"/>
        <v>-23497.867894566836</v>
      </c>
      <c r="O183" s="57">
        <f t="shared" si="67"/>
        <v>10122.148238458753</v>
      </c>
      <c r="Q183" s="41">
        <v>178</v>
      </c>
      <c r="R183" s="57">
        <f t="shared" si="68"/>
        <v>-9996.9541350954787</v>
      </c>
      <c r="S183" s="41">
        <f t="shared" si="69"/>
        <v>-14825.502516487497</v>
      </c>
      <c r="U183" s="41">
        <v>177</v>
      </c>
      <c r="V183" s="41">
        <f t="shared" si="91"/>
        <v>88.5</v>
      </c>
      <c r="W183" s="57">
        <f t="shared" si="92"/>
        <v>36562.086079550711</v>
      </c>
      <c r="X183" s="57">
        <f t="shared" si="93"/>
        <v>87073.327956552923</v>
      </c>
      <c r="Y183" s="57">
        <f t="shared" si="94"/>
        <v>469.52782473982217</v>
      </c>
      <c r="Z183" s="57">
        <f t="shared" si="95"/>
        <v>3052.4064277147718</v>
      </c>
      <c r="AA183" s="57">
        <f t="shared" si="70"/>
        <v>-156.45814620571409</v>
      </c>
      <c r="AB183" s="57">
        <f t="shared" si="71"/>
        <v>-398.25689499532768</v>
      </c>
      <c r="AC183" s="57">
        <f t="shared" si="72"/>
        <v>-15.790549206736674</v>
      </c>
      <c r="AD183" s="57">
        <f t="shared" si="73"/>
        <v>-75.866442464223084</v>
      </c>
      <c r="AE183" s="57">
        <f t="shared" si="74"/>
        <v>-11.533110371785654</v>
      </c>
      <c r="AF183" s="57">
        <f t="shared" si="75"/>
        <v>-15.715389223685762</v>
      </c>
      <c r="AG183" s="57">
        <f t="shared" si="76"/>
        <v>-16.057754976045405</v>
      </c>
      <c r="AH183" s="57">
        <f t="shared" si="77"/>
        <v>-39.436627092746029</v>
      </c>
      <c r="AJ183" s="57">
        <f t="shared" si="78"/>
        <v>81278.639367225958</v>
      </c>
      <c r="AK183" s="57">
        <f t="shared" si="79"/>
        <v>95601.085056440992</v>
      </c>
      <c r="AL183" s="57">
        <f t="shared" si="80"/>
        <v>110210.57698519681</v>
      </c>
      <c r="AN183" s="41">
        <v>178</v>
      </c>
      <c r="AO183" s="57">
        <f t="shared" si="81"/>
        <v>-2495.4312026432181</v>
      </c>
      <c r="AP183" s="57">
        <f t="shared" si="82"/>
        <v>15261.746225268755</v>
      </c>
      <c r="AR183" s="41">
        <v>178</v>
      </c>
      <c r="AS183" s="57">
        <f t="shared" si="83"/>
        <v>11502.132105433164</v>
      </c>
      <c r="AT183" s="57">
        <f t="shared" si="84"/>
        <v>-4877.8517615412475</v>
      </c>
      <c r="AV183" s="57">
        <f t="shared" si="85"/>
        <v>-108.53479577501564</v>
      </c>
      <c r="AW183" s="57">
        <f t="shared" si="86"/>
        <v>-247.84369166455139</v>
      </c>
      <c r="AX183" s="57">
        <f t="shared" si="87"/>
        <v>-4.541935876130708</v>
      </c>
      <c r="AY183" s="57">
        <f t="shared" si="88"/>
        <v>-19.394744550121473</v>
      </c>
      <c r="BA183" s="57">
        <f t="shared" si="89"/>
        <v>78681.191401921475</v>
      </c>
      <c r="BB183" s="57">
        <f t="shared" si="90"/>
        <v>94564.376363918913</v>
      </c>
    </row>
    <row r="184" spans="9:54" x14ac:dyDescent="0.25">
      <c r="I184" s="41">
        <v>179</v>
      </c>
      <c r="J184" s="57">
        <f t="shared" si="64"/>
        <v>15000.761524218044</v>
      </c>
      <c r="K184" s="57">
        <f t="shared" si="65"/>
        <v>7587.2620321864169</v>
      </c>
      <c r="M184" s="41">
        <v>179</v>
      </c>
      <c r="N184" s="57">
        <f t="shared" si="66"/>
        <v>-23499.46693304737</v>
      </c>
      <c r="O184" s="57">
        <f t="shared" si="67"/>
        <v>10061.083422530492</v>
      </c>
      <c r="Q184" s="41">
        <v>179</v>
      </c>
      <c r="R184" s="57">
        <f t="shared" si="68"/>
        <v>-9999.2384757819564</v>
      </c>
      <c r="S184" s="41">
        <f t="shared" si="69"/>
        <v>-14912.737967813582</v>
      </c>
      <c r="U184" s="41">
        <v>178</v>
      </c>
      <c r="V184" s="41">
        <f t="shared" si="91"/>
        <v>89</v>
      </c>
      <c r="W184" s="57">
        <f t="shared" si="92"/>
        <v>36777.29272364491</v>
      </c>
      <c r="X184" s="57">
        <f t="shared" si="93"/>
        <v>88549.74905853589</v>
      </c>
      <c r="Y184" s="57">
        <f t="shared" si="94"/>
        <v>391.29875163696511</v>
      </c>
      <c r="Z184" s="57">
        <f t="shared" si="95"/>
        <v>2853.2779802171081</v>
      </c>
      <c r="AA184" s="57">
        <f t="shared" si="70"/>
        <v>-149.8600848530136</v>
      </c>
      <c r="AB184" s="57">
        <f t="shared" si="71"/>
        <v>-385.88026961604612</v>
      </c>
      <c r="AC184" s="57">
        <f t="shared" si="72"/>
        <v>-15.159774542675613</v>
      </c>
      <c r="AD184" s="57">
        <f t="shared" si="73"/>
        <v>-73.23564908277416</v>
      </c>
      <c r="AE184" s="57">
        <f t="shared" si="74"/>
        <v>-11.112748246481868</v>
      </c>
      <c r="AF184" s="57">
        <f t="shared" si="75"/>
        <v>-15.374167105158833</v>
      </c>
      <c r="AG184" s="57">
        <f t="shared" si="76"/>
        <v>-15.525486511784846</v>
      </c>
      <c r="AH184" s="57">
        <f t="shared" si="77"/>
        <v>-38.481675750068618</v>
      </c>
      <c r="AJ184" s="57">
        <f t="shared" si="78"/>
        <v>82767.985197094822</v>
      </c>
      <c r="AK184" s="57">
        <f t="shared" si="79"/>
        <v>96921.225983710203</v>
      </c>
      <c r="AL184" s="57">
        <f t="shared" si="80"/>
        <v>111659.71841896641</v>
      </c>
      <c r="AN184" s="41">
        <v>179</v>
      </c>
      <c r="AO184" s="57">
        <f t="shared" si="81"/>
        <v>-2498.8577136729346</v>
      </c>
      <c r="AP184" s="57">
        <f t="shared" si="82"/>
        <v>15130.893048279626</v>
      </c>
      <c r="AR184" s="41">
        <v>179</v>
      </c>
      <c r="AS184" s="57">
        <f t="shared" si="83"/>
        <v>11500.53306695263</v>
      </c>
      <c r="AT184" s="57">
        <f t="shared" si="84"/>
        <v>-4938.9165774695084</v>
      </c>
      <c r="AV184" s="57">
        <f t="shared" si="85"/>
        <v>-103.68343416405465</v>
      </c>
      <c r="AW184" s="57">
        <f t="shared" si="86"/>
        <v>-239.97924022706812</v>
      </c>
      <c r="AX184" s="57">
        <f t="shared" si="87"/>
        <v>-4.3786413880166251</v>
      </c>
      <c r="AY184" s="57">
        <f t="shared" si="88"/>
        <v>-18.809537450976389</v>
      </c>
      <c r="BA184" s="57">
        <f t="shared" si="89"/>
        <v>80120.920610149115</v>
      </c>
      <c r="BB184" s="57">
        <f t="shared" si="90"/>
        <v>96051.059480290758</v>
      </c>
    </row>
    <row r="185" spans="9:54" x14ac:dyDescent="0.25">
      <c r="I185" s="41">
        <v>180</v>
      </c>
      <c r="J185" s="57">
        <f t="shared" si="64"/>
        <v>15000</v>
      </c>
      <c r="K185" s="57">
        <f t="shared" si="65"/>
        <v>7500.0000000000009</v>
      </c>
      <c r="M185" s="41">
        <v>180</v>
      </c>
      <c r="N185" s="57">
        <f t="shared" si="66"/>
        <v>-23500</v>
      </c>
      <c r="O185" s="57">
        <f t="shared" si="67"/>
        <v>10000</v>
      </c>
      <c r="Q185" s="41">
        <v>180</v>
      </c>
      <c r="R185" s="57">
        <f t="shared" si="68"/>
        <v>-10000</v>
      </c>
      <c r="S185" s="41">
        <f t="shared" si="69"/>
        <v>-15000</v>
      </c>
      <c r="U185" s="41">
        <v>179</v>
      </c>
      <c r="V185" s="41">
        <f t="shared" si="91"/>
        <v>89.5</v>
      </c>
      <c r="W185" s="57">
        <f t="shared" si="92"/>
        <v>36954.209588856764</v>
      </c>
      <c r="X185" s="57">
        <f t="shared" si="93"/>
        <v>89928.153014942436</v>
      </c>
      <c r="Y185" s="57">
        <f t="shared" si="94"/>
        <v>316.36870921045829</v>
      </c>
      <c r="Z185" s="57">
        <f t="shared" si="95"/>
        <v>2660.3378454090848</v>
      </c>
      <c r="AA185" s="57">
        <f t="shared" si="70"/>
        <v>-143.97564318255456</v>
      </c>
      <c r="AB185" s="57">
        <f t="shared" si="71"/>
        <v>-374.92483374170342</v>
      </c>
      <c r="AC185" s="57">
        <f t="shared" si="72"/>
        <v>-14.58552516136935</v>
      </c>
      <c r="AD185" s="57">
        <f t="shared" si="73"/>
        <v>-70.912058359525986</v>
      </c>
      <c r="AE185" s="57">
        <f t="shared" si="74"/>
        <v>-10.737881756090188</v>
      </c>
      <c r="AF185" s="57">
        <f t="shared" si="75"/>
        <v>-15.069282187440907</v>
      </c>
      <c r="AG185" s="57">
        <f t="shared" si="76"/>
        <v>-15.045362309611507</v>
      </c>
      <c r="AH185" s="57">
        <f t="shared" si="77"/>
        <v>-37.628693140901639</v>
      </c>
      <c r="AJ185" s="57">
        <f t="shared" si="78"/>
        <v>84153.702427389653</v>
      </c>
      <c r="AK185" s="57">
        <f t="shared" si="79"/>
        <v>98144.238925529775</v>
      </c>
      <c r="AL185" s="57">
        <f t="shared" si="80"/>
        <v>113004.74767616135</v>
      </c>
      <c r="AN185" s="41">
        <v>180</v>
      </c>
      <c r="AO185" s="57">
        <f t="shared" si="81"/>
        <v>-2500</v>
      </c>
      <c r="AP185" s="57">
        <f t="shared" si="82"/>
        <v>15000.000000000002</v>
      </c>
      <c r="AR185" s="41">
        <v>180</v>
      </c>
      <c r="AS185" s="57">
        <f t="shared" si="83"/>
        <v>11500</v>
      </c>
      <c r="AT185" s="57">
        <f t="shared" si="84"/>
        <v>-5000</v>
      </c>
      <c r="AV185" s="57">
        <f t="shared" si="85"/>
        <v>-99.376993318558021</v>
      </c>
      <c r="AW185" s="57">
        <f t="shared" si="86"/>
        <v>-233.02515247113112</v>
      </c>
      <c r="AX185" s="57">
        <f t="shared" si="87"/>
        <v>-4.2298806369254978</v>
      </c>
      <c r="AY185" s="57">
        <f t="shared" si="88"/>
        <v>-18.289647582703758</v>
      </c>
      <c r="BA185" s="57">
        <f t="shared" si="89"/>
        <v>81457.348500176537</v>
      </c>
      <c r="BB185" s="57">
        <f t="shared" si="90"/>
        <v>97433.780351066001</v>
      </c>
    </row>
    <row r="186" spans="9:54" x14ac:dyDescent="0.25">
      <c r="I186" s="41">
        <v>181</v>
      </c>
      <c r="J186" s="57">
        <f t="shared" si="64"/>
        <v>15000.761524218044</v>
      </c>
      <c r="K186" s="57">
        <f t="shared" si="65"/>
        <v>7412.737967813584</v>
      </c>
      <c r="M186" s="41">
        <v>181</v>
      </c>
      <c r="N186" s="57">
        <f t="shared" si="66"/>
        <v>-23499.46693304737</v>
      </c>
      <c r="O186" s="57">
        <f t="shared" si="67"/>
        <v>9938.9165774695084</v>
      </c>
      <c r="Q186" s="41">
        <v>181</v>
      </c>
      <c r="R186" s="57">
        <f t="shared" si="68"/>
        <v>-9999.2384757819564</v>
      </c>
      <c r="S186" s="41">
        <f t="shared" si="69"/>
        <v>-15087.262032186416</v>
      </c>
      <c r="U186" s="41">
        <v>180</v>
      </c>
      <c r="V186" s="41">
        <f t="shared" si="91"/>
        <v>90</v>
      </c>
      <c r="W186" s="57">
        <f t="shared" si="92"/>
        <v>37094.396988064167</v>
      </c>
      <c r="X186" s="57">
        <f t="shared" si="93"/>
        <v>91211.456333429262</v>
      </c>
      <c r="Y186" s="57">
        <f t="shared" si="94"/>
        <v>244.38088761918101</v>
      </c>
      <c r="Z186" s="57">
        <f t="shared" si="95"/>
        <v>2472.8754285382329</v>
      </c>
      <c r="AA186" s="57">
        <f t="shared" si="70"/>
        <v>-138.7121691066655</v>
      </c>
      <c r="AB186" s="57">
        <f t="shared" si="71"/>
        <v>-365.22518251500424</v>
      </c>
      <c r="AC186" s="57">
        <f t="shared" si="72"/>
        <v>-14.061126553924742</v>
      </c>
      <c r="AD186" s="57">
        <f t="shared" si="73"/>
        <v>-68.857496543432646</v>
      </c>
      <c r="AE186" s="57">
        <f t="shared" si="74"/>
        <v>-10.403168382669621</v>
      </c>
      <c r="AF186" s="57">
        <f t="shared" si="75"/>
        <v>-14.797537051054359</v>
      </c>
      <c r="AG186" s="57">
        <f t="shared" si="76"/>
        <v>-14.611506989610067</v>
      </c>
      <c r="AH186" s="57">
        <f t="shared" si="77"/>
        <v>-36.867363536116436</v>
      </c>
      <c r="AJ186" s="57">
        <f t="shared" si="78"/>
        <v>85439.021119446188</v>
      </c>
      <c r="AK186" s="57">
        <f t="shared" si="79"/>
        <v>99272.709277158123</v>
      </c>
      <c r="AL186" s="57">
        <f t="shared" si="80"/>
        <v>114248.90246412302</v>
      </c>
      <c r="AN186" s="41">
        <v>181</v>
      </c>
      <c r="AO186" s="57">
        <f t="shared" si="81"/>
        <v>-2498.8577136729346</v>
      </c>
      <c r="AP186" s="57">
        <f t="shared" si="82"/>
        <v>14869.106951720376</v>
      </c>
      <c r="AR186" s="41">
        <v>181</v>
      </c>
      <c r="AS186" s="57">
        <f t="shared" si="83"/>
        <v>11500.53306695263</v>
      </c>
      <c r="AT186" s="57">
        <f t="shared" si="84"/>
        <v>-5061.0834225304916</v>
      </c>
      <c r="AV186" s="57">
        <f t="shared" si="85"/>
        <v>-95.542369401530735</v>
      </c>
      <c r="AW186" s="57">
        <f t="shared" si="86"/>
        <v>-226.87521178058185</v>
      </c>
      <c r="AX186" s="57">
        <f t="shared" si="87"/>
        <v>-4.0939977789303015</v>
      </c>
      <c r="AY186" s="57">
        <f t="shared" si="88"/>
        <v>-17.827573603818923</v>
      </c>
      <c r="BA186" s="57">
        <f t="shared" si="89"/>
        <v>82693.629709244575</v>
      </c>
      <c r="BB186" s="57">
        <f t="shared" si="90"/>
        <v>98715.787532013055</v>
      </c>
    </row>
    <row r="187" spans="9:54" x14ac:dyDescent="0.25">
      <c r="I187" s="41">
        <v>182</v>
      </c>
      <c r="J187" s="57">
        <f t="shared" si="64"/>
        <v>15003.045864904521</v>
      </c>
      <c r="K187" s="57">
        <f t="shared" si="65"/>
        <v>7325.5025164874951</v>
      </c>
      <c r="M187" s="41">
        <v>182</v>
      </c>
      <c r="N187" s="57">
        <f t="shared" si="66"/>
        <v>-23497.867894566836</v>
      </c>
      <c r="O187" s="57">
        <f t="shared" si="67"/>
        <v>9877.8517615412475</v>
      </c>
      <c r="Q187" s="41">
        <v>182</v>
      </c>
      <c r="R187" s="57">
        <f t="shared" si="68"/>
        <v>-9996.9541350954787</v>
      </c>
      <c r="S187" s="41">
        <f t="shared" si="69"/>
        <v>-15174.497483512505</v>
      </c>
      <c r="U187" s="41">
        <v>181</v>
      </c>
      <c r="V187" s="41">
        <f t="shared" si="91"/>
        <v>90.5</v>
      </c>
      <c r="W187" s="57">
        <f t="shared" si="92"/>
        <v>37199.248410735425</v>
      </c>
      <c r="X187" s="57">
        <f t="shared" si="93"/>
        <v>92402.240899884011</v>
      </c>
      <c r="Y187" s="57">
        <f t="shared" si="94"/>
        <v>175.02480306584826</v>
      </c>
      <c r="Z187" s="57">
        <f t="shared" si="95"/>
        <v>2290.2628372807308</v>
      </c>
      <c r="AA187" s="57">
        <f t="shared" si="70"/>
        <v>-133.9928679249295</v>
      </c>
      <c r="AB187" s="57">
        <f t="shared" si="71"/>
        <v>-356.6439957720296</v>
      </c>
      <c r="AC187" s="57">
        <f t="shared" si="72"/>
        <v>-13.58086387942455</v>
      </c>
      <c r="AD187" s="57">
        <f t="shared" si="73"/>
        <v>-67.040474629096494</v>
      </c>
      <c r="AE187" s="57">
        <f t="shared" si="74"/>
        <v>-10.104141427353746</v>
      </c>
      <c r="AF187" s="57">
        <f t="shared" si="75"/>
        <v>-14.556203431285544</v>
      </c>
      <c r="AG187" s="57">
        <f t="shared" si="76"/>
        <v>-14.218962012786285</v>
      </c>
      <c r="AH187" s="57">
        <f t="shared" si="77"/>
        <v>-36.188994850796156</v>
      </c>
      <c r="AJ187" s="57">
        <f t="shared" si="78"/>
        <v>86626.812568142675</v>
      </c>
      <c r="AK187" s="57">
        <f t="shared" si="79"/>
        <v>100308.93940260528</v>
      </c>
      <c r="AL187" s="57">
        <f t="shared" si="80"/>
        <v>115395.05152625771</v>
      </c>
      <c r="AN187" s="41">
        <v>182</v>
      </c>
      <c r="AO187" s="57">
        <f t="shared" si="81"/>
        <v>-2495.4312026432181</v>
      </c>
      <c r="AP187" s="57">
        <f t="shared" si="82"/>
        <v>14738.253774731244</v>
      </c>
      <c r="AR187" s="41">
        <v>182</v>
      </c>
      <c r="AS187" s="57">
        <f t="shared" si="83"/>
        <v>11502.132105433164</v>
      </c>
      <c r="AT187" s="57">
        <f t="shared" si="84"/>
        <v>-5122.1482384587534</v>
      </c>
      <c r="AV187" s="57">
        <f t="shared" si="85"/>
        <v>-92.1193224137389</v>
      </c>
      <c r="AW187" s="57">
        <f t="shared" si="86"/>
        <v>-221.44125521343031</v>
      </c>
      <c r="AX187" s="57">
        <f t="shared" si="87"/>
        <v>-3.9695781916260233</v>
      </c>
      <c r="AY187" s="57">
        <f t="shared" si="88"/>
        <v>-17.417067647421081</v>
      </c>
      <c r="BA187" s="57">
        <f t="shared" si="89"/>
        <v>83832.562256798075</v>
      </c>
      <c r="BB187" s="57">
        <f t="shared" si="90"/>
        <v>99899.965777374411</v>
      </c>
    </row>
    <row r="188" spans="9:54" x14ac:dyDescent="0.25">
      <c r="I188" s="41">
        <v>183</v>
      </c>
      <c r="J188" s="57">
        <f t="shared" si="64"/>
        <v>15006.85232622713</v>
      </c>
      <c r="K188" s="57">
        <f t="shared" si="65"/>
        <v>7238.3202187852821</v>
      </c>
      <c r="M188" s="41">
        <v>183</v>
      </c>
      <c r="N188" s="57">
        <f t="shared" si="66"/>
        <v>-23495.203371641008</v>
      </c>
      <c r="O188" s="57">
        <f t="shared" si="67"/>
        <v>9816.8241531496969</v>
      </c>
      <c r="Q188" s="41">
        <v>183</v>
      </c>
      <c r="R188" s="57">
        <f t="shared" si="68"/>
        <v>-9993.1476737728699</v>
      </c>
      <c r="S188" s="41">
        <f t="shared" si="69"/>
        <v>-15261.679781214718</v>
      </c>
      <c r="U188" s="41">
        <v>182</v>
      </c>
      <c r="V188" s="41">
        <f t="shared" si="91"/>
        <v>91</v>
      </c>
      <c r="W188" s="57">
        <f t="shared" si="92"/>
        <v>37270.011703777738</v>
      </c>
      <c r="X188" s="57">
        <f t="shared" si="93"/>
        <v>93502.791819052873</v>
      </c>
      <c r="Y188" s="57">
        <f t="shared" si="94"/>
        <v>108.02836910338351</v>
      </c>
      <c r="Z188" s="57">
        <f t="shared" si="95"/>
        <v>2111.940839394716</v>
      </c>
      <c r="AA188" s="57">
        <f t="shared" si="70"/>
        <v>-129.75366529556888</v>
      </c>
      <c r="AB188" s="57">
        <f t="shared" si="71"/>
        <v>-349.06676252665824</v>
      </c>
      <c r="AC188" s="57">
        <f t="shared" si="72"/>
        <v>-13.13981790644981</v>
      </c>
      <c r="AD188" s="57">
        <f t="shared" si="73"/>
        <v>-65.434873081265508</v>
      </c>
      <c r="AE188" s="57">
        <f t="shared" si="74"/>
        <v>-9.8370495011329524</v>
      </c>
      <c r="AF188" s="57">
        <f t="shared" si="75"/>
        <v>-14.342953182121295</v>
      </c>
      <c r="AG188" s="57">
        <f t="shared" si="76"/>
        <v>-13.863521296224938</v>
      </c>
      <c r="AH188" s="57">
        <f t="shared" si="77"/>
        <v>-35.586239616509623</v>
      </c>
      <c r="AJ188" s="57">
        <f t="shared" si="78"/>
        <v>87719.630100223105</v>
      </c>
      <c r="AK188" s="57">
        <f t="shared" si="79"/>
        <v>101254.97756716418</v>
      </c>
      <c r="AL188" s="57">
        <f t="shared" si="80"/>
        <v>116445.73724257249</v>
      </c>
      <c r="AN188" s="41">
        <v>183</v>
      </c>
      <c r="AO188" s="57">
        <f t="shared" si="81"/>
        <v>-2489.7215106593039</v>
      </c>
      <c r="AP188" s="57">
        <f t="shared" si="82"/>
        <v>14607.480328177924</v>
      </c>
      <c r="AR188" s="41">
        <v>183</v>
      </c>
      <c r="AS188" s="57">
        <f t="shared" si="83"/>
        <v>11504.796628358992</v>
      </c>
      <c r="AT188" s="57">
        <f t="shared" si="84"/>
        <v>-5183.1758468503022</v>
      </c>
      <c r="AV188" s="57">
        <f t="shared" si="85"/>
        <v>-89.057869983744055</v>
      </c>
      <c r="AW188" s="57">
        <f t="shared" si="86"/>
        <v>-216.64979521416447</v>
      </c>
      <c r="AX188" s="57">
        <f t="shared" si="87"/>
        <v>-3.8554066080171268</v>
      </c>
      <c r="AY188" s="57">
        <f t="shared" si="88"/>
        <v>-17.05290143259738</v>
      </c>
      <c r="BA188" s="57">
        <f t="shared" si="89"/>
        <v>84876.627988790337</v>
      </c>
      <c r="BB188" s="57">
        <f t="shared" si="90"/>
        <v>100988.87769172438</v>
      </c>
    </row>
    <row r="189" spans="9:54" x14ac:dyDescent="0.25">
      <c r="I189" s="41">
        <v>184</v>
      </c>
      <c r="J189" s="57">
        <f t="shared" si="64"/>
        <v>15012.179748700877</v>
      </c>
      <c r="K189" s="57">
        <f t="shared" si="65"/>
        <v>7151.2176312793763</v>
      </c>
      <c r="M189" s="41">
        <v>184</v>
      </c>
      <c r="N189" s="57">
        <f t="shared" si="66"/>
        <v>-23491.474175909385</v>
      </c>
      <c r="O189" s="57">
        <f t="shared" si="67"/>
        <v>9755.8523418955629</v>
      </c>
      <c r="Q189" s="41">
        <v>184</v>
      </c>
      <c r="R189" s="57">
        <f t="shared" si="68"/>
        <v>-9987.8202512991229</v>
      </c>
      <c r="S189" s="41">
        <f t="shared" si="69"/>
        <v>-15348.782368720624</v>
      </c>
      <c r="U189" s="41">
        <v>183</v>
      </c>
      <c r="V189" s="41">
        <f t="shared" si="91"/>
        <v>91.5</v>
      </c>
      <c r="W189" s="57">
        <f t="shared" si="92"/>
        <v>37307.806680167487</v>
      </c>
      <c r="X189" s="57">
        <f t="shared" si="93"/>
        <v>94515.128893434405</v>
      </c>
      <c r="Y189" s="57">
        <f t="shared" si="94"/>
        <v>43.151536455599071</v>
      </c>
      <c r="Z189" s="57">
        <f t="shared" si="95"/>
        <v>1937.4074581313869</v>
      </c>
      <c r="AA189" s="57">
        <f t="shared" si="70"/>
        <v>-125.94078671458355</v>
      </c>
      <c r="AB189" s="57">
        <f t="shared" si="71"/>
        <v>-342.39768625246313</v>
      </c>
      <c r="AC189" s="57">
        <f t="shared" si="72"/>
        <v>-12.733731415112281</v>
      </c>
      <c r="AD189" s="57">
        <f t="shared" si="73"/>
        <v>-64.018930928436262</v>
      </c>
      <c r="AE189" s="57">
        <f t="shared" si="74"/>
        <v>-9.598730755910557</v>
      </c>
      <c r="AF189" s="57">
        <f t="shared" si="75"/>
        <v>-14.15580204589995</v>
      </c>
      <c r="AG189" s="57">
        <f t="shared" si="76"/>
        <v>-13.54160156770687</v>
      </c>
      <c r="AH189" s="57">
        <f t="shared" si="77"/>
        <v>-35.052874575181839</v>
      </c>
      <c r="AJ189" s="57">
        <f t="shared" si="78"/>
        <v>88719.743171512018</v>
      </c>
      <c r="AK189" s="57">
        <f t="shared" si="79"/>
        <v>102112.64230429688</v>
      </c>
      <c r="AL189" s="57">
        <f t="shared" si="80"/>
        <v>117403.21104055023</v>
      </c>
      <c r="AN189" s="41">
        <v>184</v>
      </c>
      <c r="AO189" s="57">
        <f t="shared" si="81"/>
        <v>-2481.7303769486825</v>
      </c>
      <c r="AP189" s="57">
        <f t="shared" si="82"/>
        <v>14476.826446919064</v>
      </c>
      <c r="AR189" s="41">
        <v>184</v>
      </c>
      <c r="AS189" s="57">
        <f t="shared" si="83"/>
        <v>11508.525824090615</v>
      </c>
      <c r="AT189" s="57">
        <f t="shared" si="84"/>
        <v>-5244.1476581044371</v>
      </c>
      <c r="AV189" s="57">
        <f t="shared" si="85"/>
        <v>-86.316289488117519</v>
      </c>
      <c r="AW189" s="57">
        <f t="shared" si="86"/>
        <v>-212.43939436049271</v>
      </c>
      <c r="AX189" s="57">
        <f t="shared" si="87"/>
        <v>-3.750433487736315</v>
      </c>
      <c r="AY189" s="57">
        <f t="shared" si="88"/>
        <v>-16.730684342452353</v>
      </c>
      <c r="BA189" s="57">
        <f t="shared" si="89"/>
        <v>85828.026281760438</v>
      </c>
      <c r="BB189" s="57">
        <f t="shared" si="90"/>
        <v>101984.79846308756</v>
      </c>
    </row>
    <row r="190" spans="9:54" x14ac:dyDescent="0.25">
      <c r="I190" s="41">
        <v>185</v>
      </c>
      <c r="J190" s="57">
        <f t="shared" si="64"/>
        <v>15019.026509541272</v>
      </c>
      <c r="K190" s="57">
        <f t="shared" si="65"/>
        <v>7064.2212862617107</v>
      </c>
      <c r="M190" s="41">
        <v>185</v>
      </c>
      <c r="N190" s="57">
        <f t="shared" si="66"/>
        <v>-23486.681443321111</v>
      </c>
      <c r="O190" s="57">
        <f t="shared" si="67"/>
        <v>9694.954900383198</v>
      </c>
      <c r="Q190" s="41">
        <v>185</v>
      </c>
      <c r="R190" s="57">
        <f t="shared" si="68"/>
        <v>-9980.9734904587276</v>
      </c>
      <c r="S190" s="41">
        <f t="shared" si="69"/>
        <v>-15435.778713738289</v>
      </c>
      <c r="U190" s="41">
        <v>184</v>
      </c>
      <c r="V190" s="41">
        <f t="shared" si="91"/>
        <v>92</v>
      </c>
      <c r="W190" s="57">
        <f t="shared" si="92"/>
        <v>37313.639850055959</v>
      </c>
      <c r="X190" s="57">
        <f t="shared" si="93"/>
        <v>95441.032911718532</v>
      </c>
      <c r="Y190" s="57">
        <f t="shared" si="94"/>
        <v>-19.818856901692705</v>
      </c>
      <c r="Z190" s="57">
        <f t="shared" si="95"/>
        <v>1766.2086150051553</v>
      </c>
      <c r="AA190" s="57">
        <f t="shared" si="70"/>
        <v>-122.50887192286248</v>
      </c>
      <c r="AB190" s="57">
        <f t="shared" si="71"/>
        <v>-336.55648157093157</v>
      </c>
      <c r="AC190" s="57">
        <f t="shared" si="72"/>
        <v>-12.358899883859555</v>
      </c>
      <c r="AD190" s="57">
        <f t="shared" si="73"/>
        <v>-62.774461687535606</v>
      </c>
      <c r="AE190" s="57">
        <f t="shared" si="74"/>
        <v>-9.3865136084609215</v>
      </c>
      <c r="AF190" s="57">
        <f t="shared" si="75"/>
        <v>-13.993063784554254</v>
      </c>
      <c r="AG190" s="57">
        <f t="shared" si="76"/>
        <v>-13.250139294121118</v>
      </c>
      <c r="AH190" s="57">
        <f t="shared" si="77"/>
        <v>-34.583625399575503</v>
      </c>
      <c r="AJ190" s="57">
        <f t="shared" si="78"/>
        <v>89629.165980931721</v>
      </c>
      <c r="AK190" s="57">
        <f t="shared" si="79"/>
        <v>102883.54298858147</v>
      </c>
      <c r="AL190" s="57">
        <f t="shared" si="80"/>
        <v>118269.46295628276</v>
      </c>
      <c r="AN190" s="41">
        <v>185</v>
      </c>
      <c r="AO190" s="57">
        <f t="shared" si="81"/>
        <v>-2471.4602356880914</v>
      </c>
      <c r="AP190" s="57">
        <f t="shared" si="82"/>
        <v>14346.331929392565</v>
      </c>
      <c r="AR190" s="41">
        <v>185</v>
      </c>
      <c r="AS190" s="57">
        <f t="shared" si="83"/>
        <v>11513.318556678891</v>
      </c>
      <c r="AT190" s="57">
        <f t="shared" si="84"/>
        <v>-5305.0450996168029</v>
      </c>
      <c r="AV190" s="57">
        <f t="shared" si="85"/>
        <v>-83.859571330484854</v>
      </c>
      <c r="AW190" s="57">
        <f t="shared" si="86"/>
        <v>-208.75860994491021</v>
      </c>
      <c r="AX190" s="57">
        <f t="shared" si="87"/>
        <v>-3.6537478059360398</v>
      </c>
      <c r="AY190" s="57">
        <f t="shared" si="88"/>
        <v>-16.446720754356033</v>
      </c>
      <c r="BA190" s="57">
        <f t="shared" si="89"/>
        <v>86688.70224119928</v>
      </c>
      <c r="BB190" s="57">
        <f t="shared" si="90"/>
        <v>102889.74494929478</v>
      </c>
    </row>
    <row r="191" spans="9:54" x14ac:dyDescent="0.25">
      <c r="I191" s="41">
        <v>186</v>
      </c>
      <c r="J191" s="57">
        <f t="shared" si="64"/>
        <v>15027.390523158632</v>
      </c>
      <c r="K191" s="57">
        <f t="shared" si="65"/>
        <v>6977.3576836617349</v>
      </c>
      <c r="M191" s="41">
        <v>186</v>
      </c>
      <c r="N191" s="57">
        <f t="shared" si="66"/>
        <v>-23480.826633788958</v>
      </c>
      <c r="O191" s="57">
        <f t="shared" si="67"/>
        <v>9634.150378563214</v>
      </c>
      <c r="Q191" s="41">
        <v>186</v>
      </c>
      <c r="R191" s="57">
        <f t="shared" si="68"/>
        <v>-9972.6094768413677</v>
      </c>
      <c r="S191" s="41">
        <f t="shared" si="69"/>
        <v>-15522.642316338266</v>
      </c>
      <c r="U191" s="41">
        <v>185</v>
      </c>
      <c r="V191" s="41">
        <f t="shared" si="91"/>
        <v>92.5</v>
      </c>
      <c r="W191" s="57">
        <f t="shared" si="92"/>
        <v>37288.416812614756</v>
      </c>
      <c r="X191" s="57">
        <f t="shared" si="93"/>
        <v>96282.067659024746</v>
      </c>
      <c r="Y191" s="57">
        <f t="shared" si="94"/>
        <v>-81.073292863123953</v>
      </c>
      <c r="Z191" s="57">
        <f t="shared" si="95"/>
        <v>1597.9303742196894</v>
      </c>
      <c r="AA191" s="57">
        <f t="shared" si="70"/>
        <v>-119.41949323322409</v>
      </c>
      <c r="AB191" s="57">
        <f t="shared" si="71"/>
        <v>-331.47585184273231</v>
      </c>
      <c r="AC191" s="57">
        <f t="shared" si="72"/>
        <v>-12.012081541423935</v>
      </c>
      <c r="AD191" s="57">
        <f t="shared" si="73"/>
        <v>-61.686240428809263</v>
      </c>
      <c r="AE191" s="57">
        <f t="shared" si="74"/>
        <v>-9.1981378852366724</v>
      </c>
      <c r="AF191" s="57">
        <f t="shared" si="75"/>
        <v>-13.853312755123529</v>
      </c>
      <c r="AG191" s="57">
        <f t="shared" si="76"/>
        <v>-12.986508151165516</v>
      </c>
      <c r="AH191" s="57">
        <f t="shared" si="77"/>
        <v>-34.174026545760405</v>
      </c>
      <c r="AJ191" s="57">
        <f t="shared" si="78"/>
        <v>90449.681556644238</v>
      </c>
      <c r="AK191" s="57">
        <f t="shared" si="79"/>
        <v>103569.09722698371</v>
      </c>
      <c r="AL191" s="57">
        <f t="shared" si="80"/>
        <v>119046.24638763374</v>
      </c>
      <c r="AN191" s="41">
        <v>186</v>
      </c>
      <c r="AO191" s="57">
        <f t="shared" si="81"/>
        <v>-2458.9142152620507</v>
      </c>
      <c r="AP191" s="57">
        <f t="shared" si="82"/>
        <v>14216.036525492602</v>
      </c>
      <c r="AR191" s="41">
        <v>186</v>
      </c>
      <c r="AS191" s="57">
        <f t="shared" si="83"/>
        <v>11519.173366211044</v>
      </c>
      <c r="AT191" s="57">
        <f t="shared" si="84"/>
        <v>-5365.849621436786</v>
      </c>
      <c r="AV191" s="57">
        <f t="shared" si="85"/>
        <v>-81.658210779971995</v>
      </c>
      <c r="AW191" s="57">
        <f t="shared" si="86"/>
        <v>-205.56437474318787</v>
      </c>
      <c r="AX191" s="57">
        <f t="shared" si="87"/>
        <v>-3.5645548754259679</v>
      </c>
      <c r="AY191" s="57">
        <f t="shared" si="88"/>
        <v>-16.19789736985118</v>
      </c>
      <c r="BA191" s="57">
        <f t="shared" si="89"/>
        <v>87460.370358188055</v>
      </c>
      <c r="BB191" s="57">
        <f t="shared" si="90"/>
        <v>103705.50011113255</v>
      </c>
    </row>
    <row r="192" spans="9:54" x14ac:dyDescent="0.25">
      <c r="I192" s="41">
        <v>187</v>
      </c>
      <c r="J192" s="57">
        <f t="shared" si="64"/>
        <v>15037.26924179339</v>
      </c>
      <c r="K192" s="57">
        <f t="shared" si="65"/>
        <v>6890.6532829742609</v>
      </c>
      <c r="M192" s="41">
        <v>187</v>
      </c>
      <c r="N192" s="57">
        <f t="shared" si="66"/>
        <v>-23473.911530744626</v>
      </c>
      <c r="O192" s="57">
        <f t="shared" si="67"/>
        <v>9573.457298081983</v>
      </c>
      <c r="Q192" s="41">
        <v>187</v>
      </c>
      <c r="R192" s="57">
        <f t="shared" si="68"/>
        <v>-9962.7307582066096</v>
      </c>
      <c r="S192" s="41">
        <f t="shared" si="69"/>
        <v>-15609.346717025739</v>
      </c>
      <c r="U192" s="41">
        <v>186</v>
      </c>
      <c r="V192" s="41">
        <f t="shared" si="91"/>
        <v>93</v>
      </c>
      <c r="W192" s="57">
        <f t="shared" si="92"/>
        <v>37232.952729529046</v>
      </c>
      <c r="X192" s="57">
        <f t="shared" si="93"/>
        <v>97039.598364654245</v>
      </c>
      <c r="Y192" s="57">
        <f t="shared" si="94"/>
        <v>-140.783039479736</v>
      </c>
      <c r="Z192" s="57">
        <f t="shared" si="95"/>
        <v>1432.1924482983231</v>
      </c>
      <c r="AA192" s="57">
        <f t="shared" si="70"/>
        <v>-116.63998213004271</v>
      </c>
      <c r="AB192" s="57">
        <f t="shared" si="71"/>
        <v>-327.09949293325872</v>
      </c>
      <c r="AC192" s="57">
        <f t="shared" si="72"/>
        <v>-11.690422873873276</v>
      </c>
      <c r="AD192" s="57">
        <f t="shared" si="73"/>
        <v>-60.741521506406784</v>
      </c>
      <c r="AE192" s="57">
        <f t="shared" si="74"/>
        <v>-9.0316918741530259</v>
      </c>
      <c r="AF192" s="57">
        <f t="shared" si="75"/>
        <v>-13.735353424706304</v>
      </c>
      <c r="AG192" s="57">
        <f t="shared" si="76"/>
        <v>-12.748452530764014</v>
      </c>
      <c r="AH192" s="57">
        <f t="shared" si="77"/>
        <v>-33.820308763753069</v>
      </c>
      <c r="AJ192" s="57">
        <f t="shared" si="78"/>
        <v>91182.862068931441</v>
      </c>
      <c r="AK192" s="57">
        <f t="shared" si="79"/>
        <v>104170.54555689353</v>
      </c>
      <c r="AL192" s="57">
        <f t="shared" si="80"/>
        <v>119735.09885563076</v>
      </c>
      <c r="AN192" s="41">
        <v>187</v>
      </c>
      <c r="AO192" s="57">
        <f t="shared" si="81"/>
        <v>-2444.0961373099153</v>
      </c>
      <c r="AP192" s="57">
        <f t="shared" si="82"/>
        <v>14085.979924461391</v>
      </c>
      <c r="AR192" s="41">
        <v>187</v>
      </c>
      <c r="AS192" s="57">
        <f t="shared" si="83"/>
        <v>11526.088469255374</v>
      </c>
      <c r="AT192" s="57">
        <f t="shared" si="84"/>
        <v>-5426.542701918017</v>
      </c>
      <c r="AV192" s="57">
        <f t="shared" si="85"/>
        <v>-79.687256710871665</v>
      </c>
      <c r="AW192" s="57">
        <f t="shared" si="86"/>
        <v>-202.82071550186924</v>
      </c>
      <c r="AX192" s="57">
        <f t="shared" si="87"/>
        <v>-3.4821581403807262</v>
      </c>
      <c r="AY192" s="57">
        <f t="shared" si="88"/>
        <v>-15.981593736523326</v>
      </c>
      <c r="BA192" s="57">
        <f t="shared" si="89"/>
        <v>88144.53438244389</v>
      </c>
      <c r="BB192" s="57">
        <f t="shared" si="90"/>
        <v>104433.63357411932</v>
      </c>
    </row>
    <row r="193" spans="9:54" x14ac:dyDescent="0.25">
      <c r="I193" s="41">
        <v>188</v>
      </c>
      <c r="J193" s="57">
        <f t="shared" si="64"/>
        <v>15048.659656292148</v>
      </c>
      <c r="K193" s="57">
        <f t="shared" si="65"/>
        <v>6804.1344951996725</v>
      </c>
      <c r="M193" s="41">
        <v>188</v>
      </c>
      <c r="N193" s="57">
        <f t="shared" si="66"/>
        <v>-23465.938240595497</v>
      </c>
      <c r="O193" s="57">
        <f t="shared" si="67"/>
        <v>9512.89414663977</v>
      </c>
      <c r="Q193" s="41">
        <v>188</v>
      </c>
      <c r="R193" s="57">
        <f t="shared" si="68"/>
        <v>-9951.3403437078523</v>
      </c>
      <c r="S193" s="41">
        <f t="shared" si="69"/>
        <v>-15695.865504800327</v>
      </c>
      <c r="U193" s="41">
        <v>187</v>
      </c>
      <c r="V193" s="41">
        <f t="shared" si="91"/>
        <v>93.5</v>
      </c>
      <c r="W193" s="57">
        <f t="shared" si="92"/>
        <v>37147.981212022925</v>
      </c>
      <c r="X193" s="57">
        <f t="shared" si="93"/>
        <v>97714.807152186753</v>
      </c>
      <c r="Y193" s="57">
        <f t="shared" si="94"/>
        <v>-199.10303054475736</v>
      </c>
      <c r="Z193" s="57">
        <f t="shared" si="95"/>
        <v>1268.6427018316938</v>
      </c>
      <c r="AA193" s="57">
        <f t="shared" si="70"/>
        <v>-114.1424935455136</v>
      </c>
      <c r="AB193" s="57">
        <f t="shared" si="71"/>
        <v>-323.38050838096552</v>
      </c>
      <c r="AC193" s="57">
        <f t="shared" si="72"/>
        <v>-11.391396475009049</v>
      </c>
      <c r="AD193" s="57">
        <f t="shared" si="73"/>
        <v>-59.929657227902233</v>
      </c>
      <c r="AE193" s="57">
        <f t="shared" si="74"/>
        <v>-8.8855618993245713</v>
      </c>
      <c r="AF193" s="57">
        <f t="shared" si="75"/>
        <v>-13.638195644155179</v>
      </c>
      <c r="AG193" s="57">
        <f t="shared" si="76"/>
        <v>-12.534033692091022</v>
      </c>
      <c r="AH193" s="57">
        <f t="shared" si="77"/>
        <v>-33.519308631561472</v>
      </c>
      <c r="AJ193" s="57">
        <f t="shared" si="78"/>
        <v>91830.08596943671</v>
      </c>
      <c r="AK193" s="57">
        <f t="shared" si="79"/>
        <v>104688.96384220754</v>
      </c>
      <c r="AL193" s="57">
        <f t="shared" si="80"/>
        <v>120337.35941761265</v>
      </c>
      <c r="AN193" s="41">
        <v>188</v>
      </c>
      <c r="AO193" s="57">
        <f t="shared" si="81"/>
        <v>-2427.0105155617766</v>
      </c>
      <c r="AP193" s="57">
        <f t="shared" si="82"/>
        <v>13956.201742799509</v>
      </c>
      <c r="AR193" s="41">
        <v>188</v>
      </c>
      <c r="AS193" s="57">
        <f t="shared" si="83"/>
        <v>11534.061759404503</v>
      </c>
      <c r="AT193" s="57">
        <f t="shared" si="84"/>
        <v>-5487.105853360229</v>
      </c>
      <c r="AV193" s="57">
        <f t="shared" si="85"/>
        <v>-77.9255573582941</v>
      </c>
      <c r="AW193" s="57">
        <f t="shared" si="86"/>
        <v>-200.49773597315018</v>
      </c>
      <c r="AX193" s="57">
        <f t="shared" si="87"/>
        <v>-3.4059441207948544</v>
      </c>
      <c r="AY193" s="57">
        <f t="shared" si="88"/>
        <v>-15.795610904196465</v>
      </c>
      <c r="BA193" s="57">
        <f t="shared" si="89"/>
        <v>88742.50401150524</v>
      </c>
      <c r="BB193" s="57">
        <f t="shared" si="90"/>
        <v>105075.51893794784</v>
      </c>
    </row>
    <row r="194" spans="9:54" x14ac:dyDescent="0.25">
      <c r="I194" s="41">
        <v>189</v>
      </c>
      <c r="J194" s="57">
        <f t="shared" si="64"/>
        <v>15061.558297024312</v>
      </c>
      <c r="K194" s="57">
        <f t="shared" si="65"/>
        <v>6717.8276747988466</v>
      </c>
      <c r="M194" s="41">
        <v>189</v>
      </c>
      <c r="N194" s="57">
        <f t="shared" si="66"/>
        <v>-23456.909192082981</v>
      </c>
      <c r="O194" s="57">
        <f t="shared" si="67"/>
        <v>9452.479372359192</v>
      </c>
      <c r="Q194" s="41">
        <v>189</v>
      </c>
      <c r="R194" s="57">
        <f t="shared" si="68"/>
        <v>-9938.4417029756878</v>
      </c>
      <c r="S194" s="41">
        <f t="shared" si="69"/>
        <v>-15782.172325201154</v>
      </c>
      <c r="U194" s="41">
        <v>188</v>
      </c>
      <c r="V194" s="41">
        <f t="shared" si="91"/>
        <v>94</v>
      </c>
      <c r="W194" s="57">
        <f t="shared" si="92"/>
        <v>37034.161885057358</v>
      </c>
      <c r="X194" s="57">
        <f t="shared" si="93"/>
        <v>98308.705939554988</v>
      </c>
      <c r="Y194" s="57">
        <f t="shared" si="94"/>
        <v>-256.17427731751417</v>
      </c>
      <c r="Z194" s="57">
        <f t="shared" si="95"/>
        <v>1106.9524476412109</v>
      </c>
      <c r="AA194" s="57">
        <f t="shared" si="70"/>
        <v>-111.90325518437341</v>
      </c>
      <c r="AB194" s="57">
        <f t="shared" si="71"/>
        <v>-320.28015019454813</v>
      </c>
      <c r="AC194" s="57">
        <f t="shared" si="72"/>
        <v>-11.112748753242357</v>
      </c>
      <c r="AD194" s="57">
        <f t="shared" si="73"/>
        <v>-59.241795429839755</v>
      </c>
      <c r="AE194" s="57">
        <f t="shared" si="74"/>
        <v>-8.7583918638482423</v>
      </c>
      <c r="AF194" s="57">
        <f t="shared" si="75"/>
        <v>-13.561034756094189</v>
      </c>
      <c r="AG194" s="57">
        <f t="shared" si="76"/>
        <v>-12.341585976605845</v>
      </c>
      <c r="AH194" s="57">
        <f t="shared" si="77"/>
        <v>-33.268395836579892</v>
      </c>
      <c r="AJ194" s="57">
        <f t="shared" si="78"/>
        <v>92392.552435479942</v>
      </c>
      <c r="AK194" s="57">
        <f t="shared" si="79"/>
        <v>105125.27368168763</v>
      </c>
      <c r="AL194" s="57">
        <f t="shared" si="80"/>
        <v>120854.18324193728</v>
      </c>
      <c r="AN194" s="41">
        <v>189</v>
      </c>
      <c r="AO194" s="57">
        <f t="shared" si="81"/>
        <v>-2407.6625544635335</v>
      </c>
      <c r="AP194" s="57">
        <f t="shared" si="82"/>
        <v>13826.74151219827</v>
      </c>
      <c r="AR194" s="41">
        <v>189</v>
      </c>
      <c r="AS194" s="57">
        <f t="shared" si="83"/>
        <v>11543.090807917019</v>
      </c>
      <c r="AT194" s="57">
        <f t="shared" si="84"/>
        <v>-5547.520627640808</v>
      </c>
      <c r="AV194" s="57">
        <f t="shared" si="85"/>
        <v>-76.35515872300121</v>
      </c>
      <c r="AW194" s="57">
        <f t="shared" si="86"/>
        <v>-198.57080974513423</v>
      </c>
      <c r="AX194" s="57">
        <f t="shared" si="87"/>
        <v>-3.3353698676757548</v>
      </c>
      <c r="AY194" s="57">
        <f t="shared" si="88"/>
        <v>-15.638114426900065</v>
      </c>
      <c r="BA194" s="57">
        <f t="shared" si="89"/>
        <v>89255.408872523272</v>
      </c>
      <c r="BB194" s="57">
        <f t="shared" si="90"/>
        <v>105632.34832608029</v>
      </c>
    </row>
    <row r="195" spans="9:54" x14ac:dyDescent="0.25">
      <c r="I195" s="41">
        <v>190</v>
      </c>
      <c r="J195" s="57">
        <f t="shared" si="64"/>
        <v>15075.961234938961</v>
      </c>
      <c r="K195" s="57">
        <f t="shared" si="65"/>
        <v>6631.7591116653475</v>
      </c>
      <c r="M195" s="41">
        <v>190</v>
      </c>
      <c r="N195" s="57">
        <f t="shared" si="66"/>
        <v>-23446.827135542728</v>
      </c>
      <c r="O195" s="57">
        <f t="shared" si="67"/>
        <v>9392.2313781657431</v>
      </c>
      <c r="Q195" s="41">
        <v>190</v>
      </c>
      <c r="R195" s="57">
        <f t="shared" si="68"/>
        <v>-9924.0387650610392</v>
      </c>
      <c r="S195" s="41">
        <f t="shared" si="69"/>
        <v>-15868.240888334652</v>
      </c>
      <c r="U195" s="41">
        <v>189</v>
      </c>
      <c r="V195" s="41">
        <f t="shared" si="91"/>
        <v>94.5</v>
      </c>
      <c r="W195" s="57">
        <f t="shared" si="92"/>
        <v>36892.086839500553</v>
      </c>
      <c r="X195" s="57">
        <f t="shared" si="93"/>
        <v>98822.147144601273</v>
      </c>
      <c r="Y195" s="57">
        <f t="shared" si="94"/>
        <v>-312.12590490970086</v>
      </c>
      <c r="Z195" s="57">
        <f t="shared" si="95"/>
        <v>946.81237254393682</v>
      </c>
      <c r="AA195" s="57">
        <f t="shared" si="70"/>
        <v>-109.90196230724078</v>
      </c>
      <c r="AB195" s="57">
        <f t="shared" si="71"/>
        <v>-317.76682082446791</v>
      </c>
      <c r="AC195" s="57">
        <f t="shared" si="72"/>
        <v>-10.852455493720631</v>
      </c>
      <c r="AD195" s="57">
        <f t="shared" si="73"/>
        <v>-58.670639506793755</v>
      </c>
      <c r="AE195" s="57">
        <f t="shared" si="74"/>
        <v>-8.6490508215275295</v>
      </c>
      <c r="AF195" s="57">
        <f t="shared" si="75"/>
        <v>-13.503235817278327</v>
      </c>
      <c r="AG195" s="57">
        <f t="shared" si="76"/>
        <v>-12.169681112280788</v>
      </c>
      <c r="AH195" s="57">
        <f t="shared" si="77"/>
        <v>-33.065414945115513</v>
      </c>
      <c r="AJ195" s="57">
        <f t="shared" si="78"/>
        <v>92871.293502854984</v>
      </c>
      <c r="AK195" s="57">
        <f t="shared" si="79"/>
        <v>105480.25108204129</v>
      </c>
      <c r="AL195" s="57">
        <f t="shared" si="80"/>
        <v>121286.55374927395</v>
      </c>
      <c r="AN195" s="41">
        <v>190</v>
      </c>
      <c r="AO195" s="57">
        <f t="shared" si="81"/>
        <v>-2386.0581475915606</v>
      </c>
      <c r="AP195" s="57">
        <f t="shared" si="82"/>
        <v>13697.638667498022</v>
      </c>
      <c r="AR195" s="41">
        <v>190</v>
      </c>
      <c r="AS195" s="57">
        <f t="shared" si="83"/>
        <v>11553.172864457272</v>
      </c>
      <c r="AT195" s="57">
        <f t="shared" si="84"/>
        <v>-5607.7686218342569</v>
      </c>
      <c r="AV195" s="57">
        <f t="shared" si="85"/>
        <v>-74.960822454297045</v>
      </c>
      <c r="AW195" s="57">
        <f t="shared" si="86"/>
        <v>-197.01994170108748</v>
      </c>
      <c r="AX195" s="57">
        <f t="shared" si="87"/>
        <v>-3.2699524254147851</v>
      </c>
      <c r="AY195" s="57">
        <f t="shared" si="88"/>
        <v>-15.5075888541928</v>
      </c>
      <c r="BA195" s="57">
        <f t="shared" si="89"/>
        <v>89684.210176091932</v>
      </c>
      <c r="BB195" s="57">
        <f t="shared" si="90"/>
        <v>106105.1445685056</v>
      </c>
    </row>
    <row r="196" spans="9:54" x14ac:dyDescent="0.25">
      <c r="I196" s="41">
        <v>191</v>
      </c>
      <c r="J196" s="57">
        <f t="shared" si="64"/>
        <v>15091.86408276168</v>
      </c>
      <c r="K196" s="57">
        <f t="shared" si="65"/>
        <v>6545.9550231172761</v>
      </c>
      <c r="M196" s="41">
        <v>191</v>
      </c>
      <c r="N196" s="57">
        <f t="shared" si="66"/>
        <v>-23435.695142066823</v>
      </c>
      <c r="O196" s="57">
        <f t="shared" si="67"/>
        <v>9332.1685161820933</v>
      </c>
      <c r="Q196" s="41">
        <v>191</v>
      </c>
      <c r="R196" s="57">
        <f t="shared" si="68"/>
        <v>-9908.13591723832</v>
      </c>
      <c r="S196" s="41">
        <f t="shared" si="69"/>
        <v>-15954.044976882724</v>
      </c>
      <c r="U196" s="41">
        <v>190</v>
      </c>
      <c r="V196" s="41">
        <f t="shared" si="91"/>
        <v>95</v>
      </c>
      <c r="W196" s="57">
        <f t="shared" si="92"/>
        <v>36722.2861417573</v>
      </c>
      <c r="X196" s="57">
        <f t="shared" si="93"/>
        <v>99255.832478270182</v>
      </c>
      <c r="Y196" s="57">
        <f t="shared" si="94"/>
        <v>-367.07688606332124</v>
      </c>
      <c r="Z196" s="57">
        <f t="shared" si="95"/>
        <v>787.92896213170286</v>
      </c>
      <c r="AA196" s="57">
        <f t="shared" si="70"/>
        <v>-108.12128795028251</v>
      </c>
      <c r="AB196" s="57">
        <f t="shared" si="71"/>
        <v>-315.81528774420644</v>
      </c>
      <c r="AC196" s="57">
        <f t="shared" si="72"/>
        <v>-10.608683649272704</v>
      </c>
      <c r="AD196" s="57">
        <f t="shared" si="73"/>
        <v>-58.210258542755533</v>
      </c>
      <c r="AE196" s="57">
        <f t="shared" si="74"/>
        <v>-8.5566071016186918</v>
      </c>
      <c r="AF196" s="57">
        <f t="shared" si="75"/>
        <v>-13.464321380414553</v>
      </c>
      <c r="AG196" s="57">
        <f t="shared" si="76"/>
        <v>-12.017099086283199</v>
      </c>
      <c r="AH196" s="57">
        <f t="shared" si="77"/>
        <v>-32.908639172170652</v>
      </c>
      <c r="AJ196" s="57">
        <f t="shared" si="78"/>
        <v>93267.184194587913</v>
      </c>
      <c r="AK196" s="57">
        <f t="shared" si="79"/>
        <v>105754.53359802795</v>
      </c>
      <c r="AL196" s="57">
        <f t="shared" si="80"/>
        <v>121635.29264237914</v>
      </c>
      <c r="AN196" s="41">
        <v>191</v>
      </c>
      <c r="AO196" s="57">
        <f t="shared" si="81"/>
        <v>-2362.2038758574799</v>
      </c>
      <c r="AP196" s="57">
        <f t="shared" si="82"/>
        <v>13568.932534675914</v>
      </c>
      <c r="AR196" s="41">
        <v>191</v>
      </c>
      <c r="AS196" s="57">
        <f t="shared" si="83"/>
        <v>11564.304857933177</v>
      </c>
      <c r="AT196" s="57">
        <f t="shared" si="84"/>
        <v>-5667.8314838179067</v>
      </c>
      <c r="AV196" s="57">
        <f t="shared" si="85"/>
        <v>-73.729638211954139</v>
      </c>
      <c r="AW196" s="57">
        <f t="shared" si="86"/>
        <v>-195.82926709978113</v>
      </c>
      <c r="AX196" s="57">
        <f t="shared" si="87"/>
        <v>-3.2092599011537772</v>
      </c>
      <c r="AY196" s="57">
        <f t="shared" si="88"/>
        <v>-15.402801549084593</v>
      </c>
      <c r="BA196" s="57">
        <f t="shared" si="89"/>
        <v>90029.710344229446</v>
      </c>
      <c r="BB196" s="57">
        <f t="shared" si="90"/>
        <v>106494.77133156123</v>
      </c>
    </row>
    <row r="197" spans="9:54" x14ac:dyDescent="0.25">
      <c r="I197" s="41">
        <v>192</v>
      </c>
      <c r="J197" s="57">
        <f t="shared" si="64"/>
        <v>15109.261996330972</v>
      </c>
      <c r="K197" s="57">
        <f t="shared" si="65"/>
        <v>6460.4415459112042</v>
      </c>
      <c r="M197" s="41">
        <v>192</v>
      </c>
      <c r="N197" s="57">
        <f t="shared" si="66"/>
        <v>-23423.516602568321</v>
      </c>
      <c r="O197" s="57">
        <f t="shared" si="67"/>
        <v>9272.3090821378428</v>
      </c>
      <c r="Q197" s="41">
        <v>192</v>
      </c>
      <c r="R197" s="57">
        <f t="shared" si="68"/>
        <v>-9890.7380036690283</v>
      </c>
      <c r="S197" s="41">
        <f t="shared" si="69"/>
        <v>-16039.558454088796</v>
      </c>
      <c r="U197" s="41">
        <v>191</v>
      </c>
      <c r="V197" s="41">
        <f t="shared" si="91"/>
        <v>95.5</v>
      </c>
      <c r="W197" s="57">
        <f t="shared" si="92"/>
        <v>36525.232537731856</v>
      </c>
      <c r="X197" s="57">
        <f t="shared" si="93"/>
        <v>99610.320048368012</v>
      </c>
      <c r="Y197" s="57">
        <f t="shared" si="94"/>
        <v>-421.1375300384625</v>
      </c>
      <c r="Z197" s="57">
        <f t="shared" si="95"/>
        <v>630.02131825959964</v>
      </c>
      <c r="AA197" s="57">
        <f t="shared" si="70"/>
        <v>-106.54648565624791</v>
      </c>
      <c r="AB197" s="57">
        <f t="shared" si="71"/>
        <v>-314.4060740999638</v>
      </c>
      <c r="AC197" s="57">
        <f t="shared" si="72"/>
        <v>-10.379758020277622</v>
      </c>
      <c r="AD197" s="57">
        <f t="shared" si="73"/>
        <v>-57.855938250150167</v>
      </c>
      <c r="AE197" s="57">
        <f t="shared" si="74"/>
        <v>-8.4803078639633167</v>
      </c>
      <c r="AF197" s="57">
        <f t="shared" si="75"/>
        <v>-13.443962416097612</v>
      </c>
      <c r="AG197" s="57">
        <f t="shared" si="76"/>
        <v>-11.882804410196886</v>
      </c>
      <c r="AH197" s="57">
        <f t="shared" si="77"/>
        <v>-32.796734257594878</v>
      </c>
      <c r="AJ197" s="57">
        <f t="shared" si="78"/>
        <v>93580.95089193579</v>
      </c>
      <c r="AK197" s="57">
        <f t="shared" si="79"/>
        <v>105948.62610065128</v>
      </c>
      <c r="AL197" s="57">
        <f t="shared" si="80"/>
        <v>121901.0680794145</v>
      </c>
      <c r="AN197" s="41">
        <v>192</v>
      </c>
      <c r="AO197" s="57">
        <f t="shared" si="81"/>
        <v>-2336.1070055035425</v>
      </c>
      <c r="AP197" s="57">
        <f t="shared" si="82"/>
        <v>13440.662318866807</v>
      </c>
      <c r="AR197" s="41">
        <v>192</v>
      </c>
      <c r="AS197" s="57">
        <f t="shared" si="83"/>
        <v>11576.483397431681</v>
      </c>
      <c r="AT197" s="57">
        <f t="shared" si="84"/>
        <v>-5727.6909178621572</v>
      </c>
      <c r="AV197" s="57">
        <f t="shared" si="85"/>
        <v>-72.650711542376897</v>
      </c>
      <c r="AW197" s="57">
        <f t="shared" si="86"/>
        <v>-194.98666498288202</v>
      </c>
      <c r="AX197" s="57">
        <f t="shared" si="87"/>
        <v>-3.152903819433198</v>
      </c>
      <c r="AY197" s="57">
        <f t="shared" si="88"/>
        <v>-15.322774193239121</v>
      </c>
      <c r="BA197" s="57">
        <f t="shared" si="89"/>
        <v>90292.560852183902</v>
      </c>
      <c r="BB197" s="57">
        <f t="shared" si="90"/>
        <v>106801.94144501971</v>
      </c>
    </row>
    <row r="198" spans="9:54" x14ac:dyDescent="0.25">
      <c r="I198" s="41">
        <v>193</v>
      </c>
      <c r="J198" s="57">
        <f t="shared" si="64"/>
        <v>15128.149676073823</v>
      </c>
      <c r="K198" s="57">
        <f t="shared" si="65"/>
        <v>6375.2447282806752</v>
      </c>
      <c r="M198" s="41">
        <v>193</v>
      </c>
      <c r="N198" s="57">
        <f t="shared" si="66"/>
        <v>-23410.295226748323</v>
      </c>
      <c r="O198" s="57">
        <f t="shared" si="67"/>
        <v>9212.671309796473</v>
      </c>
      <c r="Q198" s="41">
        <v>193</v>
      </c>
      <c r="R198" s="57">
        <f t="shared" si="68"/>
        <v>-9871.8503239261772</v>
      </c>
      <c r="S198" s="41">
        <f t="shared" si="69"/>
        <v>-16124.755271719325</v>
      </c>
      <c r="U198" s="41">
        <v>192</v>
      </c>
      <c r="V198" s="41">
        <f t="shared" si="91"/>
        <v>96</v>
      </c>
      <c r="W198" s="57">
        <f t="shared" si="92"/>
        <v>36301.345462005593</v>
      </c>
      <c r="X198" s="57">
        <f t="shared" si="93"/>
        <v>99886.029948235315</v>
      </c>
      <c r="Y198" s="57">
        <f t="shared" si="94"/>
        <v>-474.41077286658646</v>
      </c>
      <c r="Z198" s="57">
        <f t="shared" si="95"/>
        <v>472.81828120961774</v>
      </c>
      <c r="AA198" s="57">
        <f t="shared" si="70"/>
        <v>-105.16506711386869</v>
      </c>
      <c r="AB198" s="57">
        <f t="shared" si="71"/>
        <v>-313.52499814685638</v>
      </c>
      <c r="AC198" s="57">
        <f t="shared" si="72"/>
        <v>-10.164131699221443</v>
      </c>
      <c r="AD198" s="57">
        <f t="shared" si="73"/>
        <v>-57.604065734985646</v>
      </c>
      <c r="AE198" s="57">
        <f t="shared" si="74"/>
        <v>-8.419563235750438</v>
      </c>
      <c r="AF198" s="57">
        <f t="shared" si="75"/>
        <v>-13.441972069218927</v>
      </c>
      <c r="AG198" s="57">
        <f t="shared" si="76"/>
        <v>-11.765926866911151</v>
      </c>
      <c r="AH198" s="57">
        <f t="shared" si="77"/>
        <v>-32.728731020257193</v>
      </c>
      <c r="AJ198" s="57">
        <f t="shared" si="78"/>
        <v>93813.178143946716</v>
      </c>
      <c r="AK198" s="57">
        <f t="shared" si="79"/>
        <v>106062.90530004895</v>
      </c>
      <c r="AL198" s="57">
        <f t="shared" si="80"/>
        <v>122084.40119130188</v>
      </c>
      <c r="AN198" s="41">
        <v>193</v>
      </c>
      <c r="AO198" s="57">
        <f t="shared" si="81"/>
        <v>-2307.775485889264</v>
      </c>
      <c r="AP198" s="57">
        <f t="shared" si="82"/>
        <v>13312.867092421013</v>
      </c>
      <c r="AR198" s="41">
        <v>193</v>
      </c>
      <c r="AS198" s="57">
        <f t="shared" si="83"/>
        <v>11589.704773251677</v>
      </c>
      <c r="AT198" s="57">
        <f t="shared" si="84"/>
        <v>-5787.328690203527</v>
      </c>
      <c r="AV198" s="57">
        <f t="shared" si="85"/>
        <v>-71.714912812105567</v>
      </c>
      <c r="AW198" s="57">
        <f t="shared" si="86"/>
        <v>-194.48346858101553</v>
      </c>
      <c r="AX198" s="57">
        <f t="shared" si="87"/>
        <v>-3.1005324998800901</v>
      </c>
      <c r="AY198" s="57">
        <f t="shared" si="88"/>
        <v>-15.266760741379063</v>
      </c>
      <c r="BA198" s="57">
        <f t="shared" si="89"/>
        <v>90473.268472541225</v>
      </c>
      <c r="BB198" s="57">
        <f t="shared" si="90"/>
        <v>107027.22362461721</v>
      </c>
    </row>
    <row r="199" spans="9:54" x14ac:dyDescent="0.25">
      <c r="I199" s="41">
        <v>194</v>
      </c>
      <c r="J199" s="57">
        <f t="shared" ref="J199:J262" si="96">$F$8*COS(I199*PI()/180)+$E$7</f>
        <v>15148.521368620019</v>
      </c>
      <c r="K199" s="57">
        <f t="shared" ref="K199:K262" si="97">$F$8*SIN(I199*PI()/180)+$G$7</f>
        <v>6290.3905220016622</v>
      </c>
      <c r="M199" s="41">
        <v>194</v>
      </c>
      <c r="N199" s="57">
        <f t="shared" ref="N199:N262" si="98">$F$19*COS(M199*PI()/180)+$E$18</f>
        <v>-23396.035041965988</v>
      </c>
      <c r="O199" s="57">
        <f t="shared" ref="O199:O262" si="99">$F$19*SIN(M199*PI()/180)+$G$18</f>
        <v>9153.2733654011645</v>
      </c>
      <c r="Q199" s="41">
        <v>194</v>
      </c>
      <c r="R199" s="57">
        <f t="shared" ref="R199:R262" si="100">$F$30*COS(Q199*PI()/180)+$E$29</f>
        <v>-9851.4786313799814</v>
      </c>
      <c r="S199" s="41">
        <f t="shared" ref="S199:S262" si="101">$F$30*SIN(Q199*PI()/180)+$G$29</f>
        <v>-16209.609477998338</v>
      </c>
      <c r="U199" s="41">
        <v>193</v>
      </c>
      <c r="V199" s="41">
        <f t="shared" si="91"/>
        <v>96.5</v>
      </c>
      <c r="W199" s="57">
        <f t="shared" si="92"/>
        <v>36050.994442183066</v>
      </c>
      <c r="X199" s="57">
        <f t="shared" si="93"/>
        <v>100083.24846407177</v>
      </c>
      <c r="Y199" s="57">
        <f t="shared" si="94"/>
        <v>-526.99330642352083</v>
      </c>
      <c r="Z199" s="57">
        <f t="shared" si="95"/>
        <v>316.05578213618958</v>
      </c>
      <c r="AA199" s="57">
        <f t="shared" ref="AA199:AA262" si="102">AC199+AE199+AG199+AV199+AX199</f>
        <v>-103.966541137851</v>
      </c>
      <c r="AB199" s="57">
        <f t="shared" ref="AB199:AB262" si="103">AD199+AF199+AH199+AW199+AY199</f>
        <v>-313.16284147731744</v>
      </c>
      <c r="AC199" s="57">
        <f t="shared" ref="AC199:AC262" si="104">(($E$7-W199)/(AJ199^2+$F$12^2)^(3/2))*$E$11</f>
        <v>-9.9603593134470945</v>
      </c>
      <c r="AD199" s="57">
        <f t="shared" ref="AD199:AD262" si="105">(($G$7-X199)/(AJ199^2+$F$12^2)^(3/2))*$E$11</f>
        <v>-57.452042889305382</v>
      </c>
      <c r="AE199" s="57">
        <f t="shared" ref="AE199:AE262" si="106">(($E$18-W199)/(AK199^2+$F$23^2)^(3/2))*$E$22</f>
        <v>-8.3739343977712615</v>
      </c>
      <c r="AF199" s="57">
        <f t="shared" ref="AF199:AF262" si="107">(($G$18-X199)/(AK199^2+$F$23^2)^(3/2))*$E$22</f>
        <v>-13.458302042337243</v>
      </c>
      <c r="AG199" s="57">
        <f t="shared" ref="AG199:AG262" si="108">(($E$29-W199)/(AL199^2+$F$34^2)^(3/2))*$E$33</f>
        <v>-11.665746034787071</v>
      </c>
      <c r="AH199" s="57">
        <f t="shared" ref="AH199:AH262" si="109">(($G$29-X199)/(AL199^2+$F$34^2)^(3/2))*$E$33</f>
        <v>-32.7040055346529</v>
      </c>
      <c r="AJ199" s="57">
        <f t="shared" ref="AJ199:AJ262" si="110">SQRT(($E$7-W199)^2+($G$7-X199)^2)</f>
        <v>93964.314070518492</v>
      </c>
      <c r="AK199" s="57">
        <f t="shared" ref="AK199:AK262" si="111">SQRT(($E$18-W199)^2+($G$18-X199)^2)</f>
        <v>106097.62312039477</v>
      </c>
      <c r="AL199" s="57">
        <f t="shared" ref="AL199:AL262" si="112">SQRT(($E$29-W199)^2+($G$29-X199)^2)</f>
        <v>122185.67109827331</v>
      </c>
      <c r="AN199" s="41">
        <v>194</v>
      </c>
      <c r="AO199" s="57">
        <f t="shared" ref="AO199:AO262" si="113">$F$41*COS(AN199*PI()/180)+$E$40</f>
        <v>-2277.2179470699739</v>
      </c>
      <c r="AP199" s="57">
        <f t="shared" ref="AP199:AP262" si="114">$F$41*SIN(AN199*PI()/180)+$G$40</f>
        <v>13185.585783002494</v>
      </c>
      <c r="AR199" s="41">
        <v>194</v>
      </c>
      <c r="AS199" s="57">
        <f t="shared" ref="AS199:AS262" si="115">$F$52*COS(AR199*PI()/180)+$E$51</f>
        <v>11603.964958034012</v>
      </c>
      <c r="AT199" s="57">
        <f t="shared" ref="AT199:AT262" si="116">$F$52*SIN(AR199*PI()/180)+$G$51</f>
        <v>-5846.7266345988364</v>
      </c>
      <c r="AV199" s="57">
        <f t="shared" ref="AV199:AV262" si="117">(($E$40-W199)/(BA199^2+$F$45^2)^(3/2))*$E$44</f>
        <v>-70.914676151402134</v>
      </c>
      <c r="AW199" s="57">
        <f t="shared" ref="AW199:AW262" si="118">(($G$40-X199)/(BA199^2+$F$45^2)^(3/2))*$E$44</f>
        <v>-194.31426011085048</v>
      </c>
      <c r="AX199" s="57">
        <f t="shared" ref="AX199:AX262" si="119">(($E$51-W199)/(BB199^2+$F$56^2)^(3/2))*$E$55</f>
        <v>-3.0518252404434354</v>
      </c>
      <c r="AY199" s="57">
        <f t="shared" ref="AY199:AY262" si="120">(($G$51-X199)/(BB199^2+$F$56^2)^(3/2))*$E$55</f>
        <v>-15.234230900171466</v>
      </c>
      <c r="BA199" s="57">
        <f t="shared" ref="BA199:BA262" si="121">SQRT(($E$40-W199)^2+($G$40-X199)^2)</f>
        <v>90572.200067390746</v>
      </c>
      <c r="BB199" s="57">
        <f t="shared" ref="BB199:BB262" si="122">SQRT(($E$51-W199)^2+($G$51-X199)^2)</f>
        <v>107171.04774502611</v>
      </c>
    </row>
    <row r="200" spans="9:54" x14ac:dyDescent="0.25">
      <c r="I200" s="41">
        <v>195</v>
      </c>
      <c r="J200" s="57">
        <f t="shared" si="96"/>
        <v>15170.370868554659</v>
      </c>
      <c r="K200" s="57">
        <f t="shared" si="97"/>
        <v>6205.9047744873988</v>
      </c>
      <c r="M200" s="41">
        <v>195</v>
      </c>
      <c r="N200" s="57">
        <f t="shared" si="98"/>
        <v>-23380.740392011739</v>
      </c>
      <c r="O200" s="57">
        <f t="shared" si="99"/>
        <v>9094.1333421411782</v>
      </c>
      <c r="Q200" s="41">
        <v>195</v>
      </c>
      <c r="R200" s="57">
        <f t="shared" si="100"/>
        <v>-9829.629131445341</v>
      </c>
      <c r="S200" s="41">
        <f t="shared" si="101"/>
        <v>-16294.095225512601</v>
      </c>
      <c r="U200" s="41">
        <v>194</v>
      </c>
      <c r="V200" s="41">
        <f t="shared" ref="V200:V263" si="123">V199+0.5</f>
        <v>97</v>
      </c>
      <c r="W200" s="57">
        <f t="shared" ref="W200:W263" si="124">W199+Y199*$F$3+((1/2)*AA199)*$F$3^2</f>
        <v>35774.501971329075</v>
      </c>
      <c r="X200" s="57">
        <f t="shared" ref="X200:X263" si="125">X199+Z199*$F$3+((1/2)*AB199)*$F$3^2</f>
        <v>100202.1309999552</v>
      </c>
      <c r="Y200" s="57">
        <f t="shared" ref="Y200:Y263" si="126">Y199+AA199*$F$3</f>
        <v>-578.97657699244633</v>
      </c>
      <c r="Z200" s="57">
        <f t="shared" ref="Z200:Z263" si="127">Z199+AB199*$F$3</f>
        <v>159.47436139753086</v>
      </c>
      <c r="AA200" s="57">
        <f t="shared" si="102"/>
        <v>-102.94220351757744</v>
      </c>
      <c r="AB200" s="57">
        <f t="shared" si="103"/>
        <v>-313.3151319438989</v>
      </c>
      <c r="AC200" s="57">
        <f t="shared" si="104"/>
        <v>-9.7670722086439614</v>
      </c>
      <c r="AD200" s="57">
        <f t="shared" si="105"/>
        <v>-57.398224617004985</v>
      </c>
      <c r="AE200" s="57">
        <f t="shared" si="106"/>
        <v>-8.3431251637925126</v>
      </c>
      <c r="AF200" s="57">
        <f t="shared" si="107"/>
        <v>-13.493041486238512</v>
      </c>
      <c r="AG200" s="57">
        <f t="shared" si="108"/>
        <v>-11.581679048141742</v>
      </c>
      <c r="AH200" s="57">
        <f t="shared" si="109"/>
        <v>-32.722266180998091</v>
      </c>
      <c r="AJ200" s="57">
        <f t="shared" si="110"/>
        <v>94034.674479025663</v>
      </c>
      <c r="AK200" s="57">
        <f t="shared" si="111"/>
        <v>106052.90899868269</v>
      </c>
      <c r="AL200" s="57">
        <f t="shared" si="112"/>
        <v>122205.11854231294</v>
      </c>
      <c r="AN200" s="41">
        <v>195</v>
      </c>
      <c r="AO200" s="57">
        <f t="shared" si="113"/>
        <v>-2244.4436971680134</v>
      </c>
      <c r="AP200" s="57">
        <f t="shared" si="114"/>
        <v>13058.857161731097</v>
      </c>
      <c r="AR200" s="41">
        <v>195</v>
      </c>
      <c r="AS200" s="57">
        <f t="shared" si="115"/>
        <v>11619.259607988261</v>
      </c>
      <c r="AT200" s="57">
        <f t="shared" si="116"/>
        <v>-5905.8666578588209</v>
      </c>
      <c r="AV200" s="57">
        <f t="shared" si="117"/>
        <v>-70.243839975220567</v>
      </c>
      <c r="AW200" s="57">
        <f t="shared" si="118"/>
        <v>-194.47674120232594</v>
      </c>
      <c r="AX200" s="57">
        <f t="shared" si="119"/>
        <v>-3.0064871217786551</v>
      </c>
      <c r="AY200" s="57">
        <f t="shared" si="120"/>
        <v>-15.224858457331354</v>
      </c>
      <c r="BA200" s="57">
        <f t="shared" si="121"/>
        <v>90589.586037893256</v>
      </c>
      <c r="BB200" s="57">
        <f t="shared" si="122"/>
        <v>107233.70878174686</v>
      </c>
    </row>
    <row r="201" spans="9:54" x14ac:dyDescent="0.25">
      <c r="I201" s="41">
        <v>196</v>
      </c>
      <c r="J201" s="57">
        <f t="shared" si="96"/>
        <v>15193.691520308406</v>
      </c>
      <c r="K201" s="57">
        <f t="shared" si="97"/>
        <v>6121.8132209150053</v>
      </c>
      <c r="M201" s="41">
        <v>196</v>
      </c>
      <c r="N201" s="57">
        <f t="shared" si="98"/>
        <v>-23364.415935784116</v>
      </c>
      <c r="O201" s="57">
        <f t="shared" si="99"/>
        <v>9035.2692546405033</v>
      </c>
      <c r="Q201" s="41">
        <v>196</v>
      </c>
      <c r="R201" s="57">
        <f t="shared" si="100"/>
        <v>-9806.3084796915937</v>
      </c>
      <c r="S201" s="41">
        <f t="shared" si="101"/>
        <v>-16378.186779084996</v>
      </c>
      <c r="U201" s="41">
        <v>195</v>
      </c>
      <c r="V201" s="41">
        <f t="shared" si="123"/>
        <v>97.5</v>
      </c>
      <c r="W201" s="57">
        <f t="shared" si="124"/>
        <v>35472.145907393155</v>
      </c>
      <c r="X201" s="57">
        <f t="shared" si="125"/>
        <v>100242.70378916098</v>
      </c>
      <c r="Y201" s="57">
        <f t="shared" si="126"/>
        <v>-630.447678751235</v>
      </c>
      <c r="Z201" s="57">
        <f t="shared" si="127"/>
        <v>2.8167954255814038</v>
      </c>
      <c r="AA201" s="57">
        <f t="shared" si="102"/>
        <v>-102.08496966961461</v>
      </c>
      <c r="AB201" s="57">
        <f t="shared" si="103"/>
        <v>-313.9820321228533</v>
      </c>
      <c r="AC201" s="57">
        <f t="shared" si="104"/>
        <v>-9.5829547819757526</v>
      </c>
      <c r="AD201" s="57">
        <f t="shared" si="105"/>
        <v>-57.441879238291328</v>
      </c>
      <c r="AE201" s="57">
        <f t="shared" si="106"/>
        <v>-8.3269767440884248</v>
      </c>
      <c r="AF201" s="57">
        <f t="shared" si="107"/>
        <v>-13.54641835977456</v>
      </c>
      <c r="AG201" s="57">
        <f t="shared" si="108"/>
        <v>-11.513271184997476</v>
      </c>
      <c r="AH201" s="57">
        <f t="shared" si="109"/>
        <v>-32.783547080822629</v>
      </c>
      <c r="AJ201" s="57">
        <f t="shared" si="110"/>
        <v>94024.445784613461</v>
      </c>
      <c r="AK201" s="57">
        <f t="shared" si="111"/>
        <v>105928.7711566096</v>
      </c>
      <c r="AL201" s="57">
        <f t="shared" si="112"/>
        <v>122142.8482187378</v>
      </c>
      <c r="AN201" s="41">
        <v>196</v>
      </c>
      <c r="AO201" s="57">
        <f t="shared" si="113"/>
        <v>-2209.4627195373914</v>
      </c>
      <c r="AP201" s="57">
        <f t="shared" si="114"/>
        <v>12932.719831372508</v>
      </c>
      <c r="AR201" s="41">
        <v>196</v>
      </c>
      <c r="AS201" s="57">
        <f t="shared" si="115"/>
        <v>11635.584064215884</v>
      </c>
      <c r="AT201" s="57">
        <f t="shared" si="116"/>
        <v>-5964.7307453594967</v>
      </c>
      <c r="AV201" s="57">
        <f t="shared" si="117"/>
        <v>-69.697522686582985</v>
      </c>
      <c r="AW201" s="57">
        <f t="shared" si="118"/>
        <v>-194.97167345110623</v>
      </c>
      <c r="AX201" s="57">
        <f t="shared" si="119"/>
        <v>-2.9642442719699718</v>
      </c>
      <c r="AY201" s="57">
        <f t="shared" si="120"/>
        <v>-15.238513992858568</v>
      </c>
      <c r="BA201" s="57">
        <f t="shared" si="121"/>
        <v>90525.522508782553</v>
      </c>
      <c r="BB201" s="57">
        <f t="shared" si="122"/>
        <v>107215.36950879138</v>
      </c>
    </row>
    <row r="202" spans="9:54" x14ac:dyDescent="0.25">
      <c r="I202" s="41">
        <v>197</v>
      </c>
      <c r="J202" s="57">
        <f t="shared" si="96"/>
        <v>15218.476220184823</v>
      </c>
      <c r="K202" s="57">
        <f t="shared" si="97"/>
        <v>6038.1414763863177</v>
      </c>
      <c r="M202" s="41">
        <v>197</v>
      </c>
      <c r="N202" s="57">
        <f t="shared" si="98"/>
        <v>-23347.066645870626</v>
      </c>
      <c r="O202" s="57">
        <f t="shared" si="99"/>
        <v>8976.6990334704224</v>
      </c>
      <c r="Q202" s="41">
        <v>197</v>
      </c>
      <c r="R202" s="57">
        <f t="shared" si="100"/>
        <v>-9781.5237798151775</v>
      </c>
      <c r="S202" s="41">
        <f t="shared" si="101"/>
        <v>-16461.858523613682</v>
      </c>
      <c r="U202" s="41">
        <v>196</v>
      </c>
      <c r="V202" s="41">
        <f t="shared" si="123"/>
        <v>98</v>
      </c>
      <c r="W202" s="57">
        <f t="shared" si="124"/>
        <v>35144.16144680883</v>
      </c>
      <c r="X202" s="57">
        <f t="shared" si="125"/>
        <v>100204.86443285841</v>
      </c>
      <c r="Y202" s="57">
        <f t="shared" si="126"/>
        <v>-681.49016358604229</v>
      </c>
      <c r="Z202" s="57">
        <f t="shared" si="127"/>
        <v>-154.17422063584524</v>
      </c>
      <c r="AA202" s="57">
        <f t="shared" si="102"/>
        <v>-101.38924392972211</v>
      </c>
      <c r="AB202" s="57">
        <f t="shared" si="103"/>
        <v>-315.16832850078475</v>
      </c>
      <c r="AC202" s="57">
        <f t="shared" si="104"/>
        <v>-9.4067212005584118</v>
      </c>
      <c r="AD202" s="57">
        <f t="shared" si="105"/>
        <v>-57.58316937642131</v>
      </c>
      <c r="AE202" s="57">
        <f t="shared" si="106"/>
        <v>-8.3254655131245823</v>
      </c>
      <c r="AF202" s="57">
        <f t="shared" si="107"/>
        <v>-13.61880330116618</v>
      </c>
      <c r="AG202" s="57">
        <f t="shared" si="108"/>
        <v>-11.460188982169004</v>
      </c>
      <c r="AH202" s="57">
        <f t="shared" si="109"/>
        <v>-32.888207661656594</v>
      </c>
      <c r="AJ202" s="57">
        <f t="shared" si="110"/>
        <v>93933.68679787709</v>
      </c>
      <c r="AK202" s="57">
        <f t="shared" si="111"/>
        <v>105725.09687402552</v>
      </c>
      <c r="AL202" s="57">
        <f t="shared" si="112"/>
        <v>121998.8298602111</v>
      </c>
      <c r="AN202" s="41">
        <v>197</v>
      </c>
      <c r="AO202" s="57">
        <f t="shared" si="113"/>
        <v>-2172.2856697227662</v>
      </c>
      <c r="AP202" s="57">
        <f t="shared" si="114"/>
        <v>12807.212214579476</v>
      </c>
      <c r="AR202" s="41">
        <v>197</v>
      </c>
      <c r="AS202" s="57">
        <f t="shared" si="115"/>
        <v>11652.933354129374</v>
      </c>
      <c r="AT202" s="57">
        <f t="shared" si="116"/>
        <v>-6023.3009665295776</v>
      </c>
      <c r="AV202" s="57">
        <f t="shared" si="117"/>
        <v>-69.272028787580297</v>
      </c>
      <c r="AW202" s="57">
        <f t="shared" si="118"/>
        <v>-195.80288648101319</v>
      </c>
      <c r="AX202" s="57">
        <f t="shared" si="119"/>
        <v>-2.924839446289826</v>
      </c>
      <c r="AY202" s="57">
        <f t="shared" si="120"/>
        <v>-15.275261680527473</v>
      </c>
      <c r="BA202" s="57">
        <f t="shared" si="121"/>
        <v>90379.972296704407</v>
      </c>
      <c r="BB202" s="57">
        <f t="shared" si="122"/>
        <v>107116.06201093846</v>
      </c>
    </row>
    <row r="203" spans="9:54" x14ac:dyDescent="0.25">
      <c r="I203" s="41">
        <v>198</v>
      </c>
      <c r="J203" s="57">
        <f t="shared" si="96"/>
        <v>15244.717418524233</v>
      </c>
      <c r="K203" s="57">
        <f t="shared" si="97"/>
        <v>5954.9150281252614</v>
      </c>
      <c r="M203" s="41">
        <v>198</v>
      </c>
      <c r="N203" s="57">
        <f t="shared" si="98"/>
        <v>-23328.697807033037</v>
      </c>
      <c r="O203" s="57">
        <f t="shared" si="99"/>
        <v>8918.4405196876833</v>
      </c>
      <c r="Q203" s="41">
        <v>198</v>
      </c>
      <c r="R203" s="57">
        <f t="shared" si="100"/>
        <v>-9755.2825814757671</v>
      </c>
      <c r="S203" s="41">
        <f t="shared" si="101"/>
        <v>-16545.084971874738</v>
      </c>
      <c r="U203" s="41">
        <v>197</v>
      </c>
      <c r="V203" s="41">
        <f t="shared" si="123"/>
        <v>98.5</v>
      </c>
      <c r="W203" s="57">
        <f t="shared" si="124"/>
        <v>34790.742709524595</v>
      </c>
      <c r="X203" s="57">
        <f t="shared" si="125"/>
        <v>100088.38128147788</v>
      </c>
      <c r="Y203" s="57">
        <f t="shared" si="126"/>
        <v>-732.18478555090337</v>
      </c>
      <c r="Z203" s="57">
        <f t="shared" si="127"/>
        <v>-311.75838488623765</v>
      </c>
      <c r="AA203" s="57">
        <f t="shared" si="102"/>
        <v>-100.85082084975929</v>
      </c>
      <c r="AB203" s="57">
        <f t="shared" si="103"/>
        <v>-316.88352058024458</v>
      </c>
      <c r="AC203" s="57">
        <f t="shared" si="104"/>
        <v>-9.2370917286586245</v>
      </c>
      <c r="AD203" s="57">
        <f t="shared" si="105"/>
        <v>-57.823152474573718</v>
      </c>
      <c r="AE203" s="57">
        <f t="shared" si="106"/>
        <v>-8.3387037201570848</v>
      </c>
      <c r="AF203" s="57">
        <f t="shared" si="107"/>
        <v>-13.71071613534088</v>
      </c>
      <c r="AG203" s="57">
        <f t="shared" si="108"/>
        <v>-11.422215670941188</v>
      </c>
      <c r="AH203" s="57">
        <f t="shared" si="109"/>
        <v>-33.036938310324317</v>
      </c>
      <c r="AJ203" s="57">
        <f t="shared" si="110"/>
        <v>93762.329419781789</v>
      </c>
      <c r="AK203" s="57">
        <f t="shared" si="111"/>
        <v>105441.65177280872</v>
      </c>
      <c r="AL203" s="57">
        <f t="shared" si="112"/>
        <v>121772.89809874122</v>
      </c>
      <c r="AN203" s="41">
        <v>198</v>
      </c>
      <c r="AO203" s="57">
        <f t="shared" si="113"/>
        <v>-2132.9238722136515</v>
      </c>
      <c r="AP203" s="57">
        <f t="shared" si="114"/>
        <v>12682.372542187892</v>
      </c>
      <c r="AR203" s="41">
        <v>198</v>
      </c>
      <c r="AS203" s="57">
        <f t="shared" si="115"/>
        <v>11671.302192966963</v>
      </c>
      <c r="AT203" s="57">
        <f t="shared" si="116"/>
        <v>-6081.5594803123167</v>
      </c>
      <c r="AV203" s="57">
        <f t="shared" si="117"/>
        <v>-68.964781945034261</v>
      </c>
      <c r="AW203" s="57">
        <f t="shared" si="118"/>
        <v>-196.97735361451484</v>
      </c>
      <c r="AX203" s="57">
        <f t="shared" si="119"/>
        <v>-2.8880277849681346</v>
      </c>
      <c r="AY203" s="57">
        <f t="shared" si="120"/>
        <v>-15.335360045490877</v>
      </c>
      <c r="BA203" s="57">
        <f t="shared" si="121"/>
        <v>90152.76468465761</v>
      </c>
      <c r="BB203" s="57">
        <f t="shared" si="122"/>
        <v>106935.68804358941</v>
      </c>
    </row>
    <row r="204" spans="9:54" x14ac:dyDescent="0.25">
      <c r="I204" s="41">
        <v>199</v>
      </c>
      <c r="J204" s="57">
        <f t="shared" si="96"/>
        <v>15272.407122003417</v>
      </c>
      <c r="K204" s="57">
        <f t="shared" si="97"/>
        <v>5872.1592277142163</v>
      </c>
      <c r="M204" s="41">
        <v>199</v>
      </c>
      <c r="N204" s="57">
        <f t="shared" si="98"/>
        <v>-23309.315014597611</v>
      </c>
      <c r="O204" s="57">
        <f t="shared" si="99"/>
        <v>8860.5114593999515</v>
      </c>
      <c r="Q204" s="41">
        <v>199</v>
      </c>
      <c r="R204" s="57">
        <f t="shared" si="100"/>
        <v>-9727.5928779965834</v>
      </c>
      <c r="S204" s="41">
        <f t="shared" si="101"/>
        <v>-16627.840772285785</v>
      </c>
      <c r="U204" s="41">
        <v>198</v>
      </c>
      <c r="V204" s="41">
        <f t="shared" si="123"/>
        <v>99</v>
      </c>
      <c r="W204" s="57">
        <f t="shared" si="124"/>
        <v>34412.043964142926</v>
      </c>
      <c r="X204" s="57">
        <f t="shared" si="125"/>
        <v>99892.891648962235</v>
      </c>
      <c r="Y204" s="57">
        <f t="shared" si="126"/>
        <v>-782.61019597578297</v>
      </c>
      <c r="Z204" s="57">
        <f t="shared" si="127"/>
        <v>-470.20014517635991</v>
      </c>
      <c r="AA204" s="57">
        <f t="shared" si="102"/>
        <v>-100.46681512577521</v>
      </c>
      <c r="AB204" s="57">
        <f t="shared" si="103"/>
        <v>-319.14201304584742</v>
      </c>
      <c r="AC204" s="57">
        <f t="shared" si="104"/>
        <v>-9.0727678330361972</v>
      </c>
      <c r="AD204" s="57">
        <f t="shared" si="105"/>
        <v>-58.163800876509058</v>
      </c>
      <c r="AE204" s="57">
        <f t="shared" si="106"/>
        <v>-8.3669431974873376</v>
      </c>
      <c r="AF204" s="57">
        <f t="shared" si="107"/>
        <v>-13.822835230751439</v>
      </c>
      <c r="AG204" s="57">
        <f t="shared" si="108"/>
        <v>-11.399248809376202</v>
      </c>
      <c r="AH204" s="57">
        <f t="shared" si="109"/>
        <v>-33.23077228693797</v>
      </c>
      <c r="AJ204" s="57">
        <f t="shared" si="110"/>
        <v>93510.178261413152</v>
      </c>
      <c r="AK204" s="57">
        <f t="shared" si="111"/>
        <v>105078.07810084788</v>
      </c>
      <c r="AL204" s="57">
        <f t="shared" si="112"/>
        <v>121464.75110455589</v>
      </c>
      <c r="AN204" s="41">
        <v>199</v>
      </c>
      <c r="AO204" s="57">
        <f t="shared" si="113"/>
        <v>-2091.3893169948751</v>
      </c>
      <c r="AP204" s="57">
        <f t="shared" si="114"/>
        <v>12558.238841571325</v>
      </c>
      <c r="AR204" s="41">
        <v>199</v>
      </c>
      <c r="AS204" s="57">
        <f t="shared" si="115"/>
        <v>11690.684985402391</v>
      </c>
      <c r="AT204" s="57">
        <f t="shared" si="116"/>
        <v>-6139.4885406000485</v>
      </c>
      <c r="AV204" s="57">
        <f t="shared" si="117"/>
        <v>-68.774282672591156</v>
      </c>
      <c r="AW204" s="57">
        <f t="shared" si="118"/>
        <v>-198.50533795873562</v>
      </c>
      <c r="AX204" s="57">
        <f t="shared" si="119"/>
        <v>-2.8535726132843164</v>
      </c>
      <c r="AY204" s="57">
        <f t="shared" si="120"/>
        <v>-15.419266692913308</v>
      </c>
      <c r="BA204" s="57">
        <f t="shared" si="121"/>
        <v>89843.593999077741</v>
      </c>
      <c r="BB204" s="57">
        <f t="shared" si="122"/>
        <v>106674.01824880672</v>
      </c>
    </row>
    <row r="205" spans="9:54" x14ac:dyDescent="0.25">
      <c r="I205" s="41">
        <v>200</v>
      </c>
      <c r="J205" s="57">
        <f t="shared" si="96"/>
        <v>15301.536896070458</v>
      </c>
      <c r="K205" s="57">
        <f t="shared" si="97"/>
        <v>5789.8992833716566</v>
      </c>
      <c r="M205" s="41">
        <v>200</v>
      </c>
      <c r="N205" s="57">
        <f t="shared" si="98"/>
        <v>-23288.924172750681</v>
      </c>
      <c r="O205" s="57">
        <f t="shared" si="99"/>
        <v>8802.9294983601594</v>
      </c>
      <c r="Q205" s="41">
        <v>200</v>
      </c>
      <c r="R205" s="57">
        <f t="shared" si="100"/>
        <v>-9698.4631039295418</v>
      </c>
      <c r="S205" s="41">
        <f t="shared" si="101"/>
        <v>-16710.100716628342</v>
      </c>
      <c r="U205" s="41">
        <v>199</v>
      </c>
      <c r="V205" s="41">
        <f t="shared" si="123"/>
        <v>99.5</v>
      </c>
      <c r="W205" s="57">
        <f t="shared" si="124"/>
        <v>34008.180514264313</v>
      </c>
      <c r="X205" s="57">
        <f t="shared" si="125"/>
        <v>99617.89882474333</v>
      </c>
      <c r="Y205" s="57">
        <f t="shared" si="126"/>
        <v>-832.84360353867055</v>
      </c>
      <c r="Z205" s="57">
        <f t="shared" si="127"/>
        <v>-629.77115169928356</v>
      </c>
      <c r="AA205" s="57">
        <f t="shared" si="102"/>
        <v>-100.23561785476122</v>
      </c>
      <c r="AB205" s="57">
        <f t="shared" si="103"/>
        <v>-321.96341825760891</v>
      </c>
      <c r="AC205" s="57">
        <f t="shared" si="104"/>
        <v>-8.9124051345608351</v>
      </c>
      <c r="AD205" s="57">
        <f t="shared" si="105"/>
        <v>-58.608042181823294</v>
      </c>
      <c r="AE205" s="57">
        <f t="shared" si="106"/>
        <v>-8.4105822415273188</v>
      </c>
      <c r="AF205" s="57">
        <f t="shared" si="107"/>
        <v>-13.95601001924709</v>
      </c>
      <c r="AG205" s="57">
        <f t="shared" si="108"/>
        <v>-11.391300064443714</v>
      </c>
      <c r="AH205" s="57">
        <f t="shared" si="109"/>
        <v>-33.471104292886963</v>
      </c>
      <c r="AJ205" s="57">
        <f t="shared" si="110"/>
        <v>93176.909184657241</v>
      </c>
      <c r="AK205" s="57">
        <f t="shared" si="111"/>
        <v>104633.89198640798</v>
      </c>
      <c r="AL205" s="57">
        <f t="shared" si="112"/>
        <v>121073.94797408949</v>
      </c>
      <c r="AN205" s="41">
        <v>200</v>
      </c>
      <c r="AO205" s="57">
        <f t="shared" si="113"/>
        <v>-2047.6946558943137</v>
      </c>
      <c r="AP205" s="57">
        <f t="shared" si="114"/>
        <v>12434.848925057486</v>
      </c>
      <c r="AR205" s="41">
        <v>200</v>
      </c>
      <c r="AS205" s="57">
        <f t="shared" si="115"/>
        <v>11711.07582724932</v>
      </c>
      <c r="AT205" s="57">
        <f t="shared" si="116"/>
        <v>-6197.0705016398406</v>
      </c>
      <c r="AV205" s="57">
        <f t="shared" si="117"/>
        <v>-68.700089271735919</v>
      </c>
      <c r="AW205" s="57">
        <f t="shared" si="118"/>
        <v>-200.40061459173586</v>
      </c>
      <c r="AX205" s="57">
        <f t="shared" si="119"/>
        <v>-2.8212411424934154</v>
      </c>
      <c r="AY205" s="57">
        <f t="shared" si="120"/>
        <v>-15.527647171915703</v>
      </c>
      <c r="BA205" s="57">
        <f t="shared" si="121"/>
        <v>89452.016960282359</v>
      </c>
      <c r="BB205" s="57">
        <f t="shared" si="122"/>
        <v>106330.69021203187</v>
      </c>
    </row>
    <row r="206" spans="9:54" x14ac:dyDescent="0.25">
      <c r="I206" s="41">
        <v>201</v>
      </c>
      <c r="J206" s="57">
        <f t="shared" si="96"/>
        <v>15332.097867513992</v>
      </c>
      <c r="K206" s="57">
        <f t="shared" si="97"/>
        <v>5708.1602522734975</v>
      </c>
      <c r="M206" s="41">
        <v>201</v>
      </c>
      <c r="N206" s="57">
        <f t="shared" si="98"/>
        <v>-23267.531492740207</v>
      </c>
      <c r="O206" s="57">
        <f t="shared" si="99"/>
        <v>8745.712176591449</v>
      </c>
      <c r="Q206" s="41">
        <v>201</v>
      </c>
      <c r="R206" s="57">
        <f t="shared" si="100"/>
        <v>-9667.9021324860078</v>
      </c>
      <c r="S206" s="41">
        <f t="shared" si="101"/>
        <v>-16791.839747726503</v>
      </c>
      <c r="U206" s="41">
        <v>200</v>
      </c>
      <c r="V206" s="41">
        <f t="shared" si="123"/>
        <v>100</v>
      </c>
      <c r="W206" s="57">
        <f t="shared" si="124"/>
        <v>33579.229260263135</v>
      </c>
      <c r="X206" s="57">
        <f t="shared" si="125"/>
        <v>99262.767821611487</v>
      </c>
      <c r="Y206" s="57">
        <f t="shared" si="126"/>
        <v>-882.96141246605112</v>
      </c>
      <c r="Z206" s="57">
        <f t="shared" si="127"/>
        <v>-790.75286082808805</v>
      </c>
      <c r="AA206" s="57">
        <f t="shared" si="102"/>
        <v>-100.15687776213296</v>
      </c>
      <c r="AB206" s="57">
        <f t="shared" si="103"/>
        <v>-325.37298090514122</v>
      </c>
      <c r="AC206" s="57">
        <f t="shared" si="104"/>
        <v>-8.7545831159239977</v>
      </c>
      <c r="AD206" s="57">
        <f t="shared" si="105"/>
        <v>-59.159821404029138</v>
      </c>
      <c r="AE206" s="57">
        <f t="shared" si="106"/>
        <v>-8.4701759743383143</v>
      </c>
      <c r="AF206" s="57">
        <f t="shared" si="107"/>
        <v>-14.111277109510244</v>
      </c>
      <c r="AG206" s="57">
        <f t="shared" si="108"/>
        <v>-11.398497173061566</v>
      </c>
      <c r="AH206" s="57">
        <f t="shared" si="109"/>
        <v>-33.759716328556465</v>
      </c>
      <c r="AJ206" s="57">
        <f t="shared" si="110"/>
        <v>92762.066738434427</v>
      </c>
      <c r="AK206" s="57">
        <f t="shared" si="111"/>
        <v>104108.47961284785</v>
      </c>
      <c r="AL206" s="57">
        <f t="shared" si="112"/>
        <v>120599.90481161847</v>
      </c>
      <c r="AN206" s="41">
        <v>201</v>
      </c>
      <c r="AO206" s="57">
        <f t="shared" si="113"/>
        <v>-2001.8531987290135</v>
      </c>
      <c r="AP206" s="57">
        <f t="shared" si="114"/>
        <v>12312.240378410246</v>
      </c>
      <c r="AR206" s="41">
        <v>201</v>
      </c>
      <c r="AS206" s="57">
        <f t="shared" si="115"/>
        <v>11732.468507259793</v>
      </c>
      <c r="AT206" s="57">
        <f t="shared" si="116"/>
        <v>-6254.287823408551</v>
      </c>
      <c r="AV206" s="57">
        <f t="shared" si="117"/>
        <v>-68.74282158243139</v>
      </c>
      <c r="AW206" s="57">
        <f t="shared" si="118"/>
        <v>-202.68077776529748</v>
      </c>
      <c r="AX206" s="57">
        <f t="shared" si="119"/>
        <v>-2.7907999163777033</v>
      </c>
      <c r="AY206" s="57">
        <f t="shared" si="120"/>
        <v>-15.661388297747942</v>
      </c>
      <c r="BA206" s="57">
        <f t="shared" si="121"/>
        <v>88977.448750059615</v>
      </c>
      <c r="BB206" s="57">
        <f t="shared" si="122"/>
        <v>105905.2053193264</v>
      </c>
    </row>
    <row r="207" spans="9:54" x14ac:dyDescent="0.25">
      <c r="I207" s="41">
        <v>202</v>
      </c>
      <c r="J207" s="57">
        <f t="shared" si="96"/>
        <v>15364.080727166063</v>
      </c>
      <c r="K207" s="57">
        <f t="shared" si="97"/>
        <v>5626.96703292044</v>
      </c>
      <c r="M207" s="41">
        <v>202</v>
      </c>
      <c r="N207" s="57">
        <f t="shared" si="98"/>
        <v>-23245.143490983755</v>
      </c>
      <c r="O207" s="57">
        <f t="shared" si="99"/>
        <v>8688.8769230443086</v>
      </c>
      <c r="Q207" s="41">
        <v>202</v>
      </c>
      <c r="R207" s="57">
        <f t="shared" si="100"/>
        <v>-9635.9192728339367</v>
      </c>
      <c r="S207" s="41">
        <f t="shared" si="101"/>
        <v>-16873.032967079562</v>
      </c>
      <c r="U207" s="41">
        <v>201</v>
      </c>
      <c r="V207" s="41">
        <f t="shared" si="123"/>
        <v>100.5</v>
      </c>
      <c r="W207" s="57">
        <f t="shared" si="124"/>
        <v>33125.228944309849</v>
      </c>
      <c r="X207" s="57">
        <f t="shared" si="125"/>
        <v>98826.719768584298</v>
      </c>
      <c r="Y207" s="57">
        <f t="shared" si="126"/>
        <v>-933.03985134711763</v>
      </c>
      <c r="Z207" s="57">
        <f t="shared" si="127"/>
        <v>-953.43935128065868</v>
      </c>
      <c r="AA207" s="57">
        <f t="shared" si="102"/>
        <v>-100.23150691251669</v>
      </c>
      <c r="AB207" s="57">
        <f t="shared" si="103"/>
        <v>-329.40214196659912</v>
      </c>
      <c r="AC207" s="57">
        <f t="shared" si="104"/>
        <v>-8.5977702650316612</v>
      </c>
      <c r="AD207" s="57">
        <f t="shared" si="105"/>
        <v>-59.824187369289426</v>
      </c>
      <c r="AE207" s="57">
        <f t="shared" si="106"/>
        <v>-8.5464506467750443</v>
      </c>
      <c r="AF207" s="57">
        <f t="shared" si="107"/>
        <v>-14.28988056527584</v>
      </c>
      <c r="AG207" s="57">
        <f t="shared" si="108"/>
        <v>-11.421088190133414</v>
      </c>
      <c r="AH207" s="57">
        <f t="shared" si="109"/>
        <v>-34.098811754535859</v>
      </c>
      <c r="AJ207" s="57">
        <f t="shared" si="110"/>
        <v>92265.060442889633</v>
      </c>
      <c r="AK207" s="57">
        <f t="shared" si="111"/>
        <v>103501.09224173405</v>
      </c>
      <c r="AL207" s="57">
        <f t="shared" si="112"/>
        <v>120041.88941920175</v>
      </c>
      <c r="AN207" s="41">
        <v>202</v>
      </c>
      <c r="AO207" s="57">
        <f t="shared" si="113"/>
        <v>-1953.878909250906</v>
      </c>
      <c r="AP207" s="57">
        <f t="shared" si="114"/>
        <v>12190.450549380661</v>
      </c>
      <c r="AR207" s="41">
        <v>202</v>
      </c>
      <c r="AS207" s="57">
        <f t="shared" si="115"/>
        <v>11754.856509016245</v>
      </c>
      <c r="AT207" s="57">
        <f t="shared" si="116"/>
        <v>-6311.1230769556923</v>
      </c>
      <c r="AV207" s="57">
        <f t="shared" si="117"/>
        <v>-68.90418798543574</v>
      </c>
      <c r="AW207" s="57">
        <f t="shared" si="118"/>
        <v>-205.36764584473002</v>
      </c>
      <c r="AX207" s="57">
        <f t="shared" si="119"/>
        <v>-2.7620098251408307</v>
      </c>
      <c r="AY207" s="57">
        <f t="shared" si="120"/>
        <v>-15.821616432767923</v>
      </c>
      <c r="BA207" s="57">
        <f t="shared" si="121"/>
        <v>88419.157711044769</v>
      </c>
      <c r="BB207" s="57">
        <f t="shared" si="122"/>
        <v>105396.92434880526</v>
      </c>
    </row>
    <row r="208" spans="9:54" x14ac:dyDescent="0.25">
      <c r="I208" s="41">
        <v>203</v>
      </c>
      <c r="J208" s="57">
        <f t="shared" si="96"/>
        <v>15397.475732737799</v>
      </c>
      <c r="K208" s="57">
        <f t="shared" si="97"/>
        <v>5546.3443575536321</v>
      </c>
      <c r="M208" s="41">
        <v>203</v>
      </c>
      <c r="N208" s="57">
        <f t="shared" si="98"/>
        <v>-23221.766987083542</v>
      </c>
      <c r="O208" s="57">
        <f t="shared" si="99"/>
        <v>8632.4410502875435</v>
      </c>
      <c r="Q208" s="41">
        <v>203</v>
      </c>
      <c r="R208" s="57">
        <f t="shared" si="100"/>
        <v>-9602.5242672622007</v>
      </c>
      <c r="S208" s="41">
        <f t="shared" si="101"/>
        <v>-16953.655642446367</v>
      </c>
      <c r="U208" s="41">
        <v>202</v>
      </c>
      <c r="V208" s="41">
        <f t="shared" si="123"/>
        <v>101</v>
      </c>
      <c r="W208" s="57">
        <f t="shared" si="124"/>
        <v>32646.180080272228</v>
      </c>
      <c r="X208" s="57">
        <f t="shared" si="125"/>
        <v>98308.824825198142</v>
      </c>
      <c r="Y208" s="57">
        <f t="shared" si="126"/>
        <v>-983.15560480337604</v>
      </c>
      <c r="Z208" s="57">
        <f t="shared" si="127"/>
        <v>-1118.1404222639583</v>
      </c>
      <c r="AA208" s="57">
        <f t="shared" si="102"/>
        <v>-100.4617112589943</v>
      </c>
      <c r="AB208" s="57">
        <f t="shared" si="103"/>
        <v>-334.08926554044763</v>
      </c>
      <c r="AC208" s="57">
        <f t="shared" si="104"/>
        <v>-8.4402830096188683</v>
      </c>
      <c r="AD208" s="57">
        <f t="shared" si="105"/>
        <v>-60.607406855705385</v>
      </c>
      <c r="AE208" s="57">
        <f t="shared" si="106"/>
        <v>-8.640322529663127</v>
      </c>
      <c r="AF208" s="57">
        <f t="shared" si="107"/>
        <v>-14.493297092815178</v>
      </c>
      <c r="AG208" s="57">
        <f t="shared" si="108"/>
        <v>-11.459448218464034</v>
      </c>
      <c r="AH208" s="57">
        <f t="shared" si="109"/>
        <v>-34.491058800937999</v>
      </c>
      <c r="AJ208" s="57">
        <f t="shared" si="110"/>
        <v>91685.159850197102</v>
      </c>
      <c r="AK208" s="57">
        <f t="shared" si="111"/>
        <v>102810.83998806734</v>
      </c>
      <c r="AL208" s="57">
        <f t="shared" si="112"/>
        <v>119399.01447626662</v>
      </c>
      <c r="AN208" s="41">
        <v>203</v>
      </c>
      <c r="AO208" s="57">
        <f t="shared" si="113"/>
        <v>-1903.7864008933029</v>
      </c>
      <c r="AP208" s="57">
        <f t="shared" si="114"/>
        <v>12069.516536330448</v>
      </c>
      <c r="AR208" s="41">
        <v>203</v>
      </c>
      <c r="AS208" s="57">
        <f t="shared" si="115"/>
        <v>11778.233012916458</v>
      </c>
      <c r="AT208" s="57">
        <f t="shared" si="116"/>
        <v>-6367.5589497124574</v>
      </c>
      <c r="AV208" s="57">
        <f t="shared" si="117"/>
        <v>-69.187037027605314</v>
      </c>
      <c r="AW208" s="57">
        <f t="shared" si="118"/>
        <v>-208.4877813561038</v>
      </c>
      <c r="AX208" s="57">
        <f t="shared" si="119"/>
        <v>-2.7346204736429462</v>
      </c>
      <c r="AY208" s="57">
        <f t="shared" si="120"/>
        <v>-16.009721434885254</v>
      </c>
      <c r="BA208" s="57">
        <f t="shared" si="121"/>
        <v>87776.258559968206</v>
      </c>
      <c r="BB208" s="57">
        <f t="shared" si="122"/>
        <v>104805.06170118345</v>
      </c>
    </row>
    <row r="209" spans="9:54" x14ac:dyDescent="0.25">
      <c r="I209" s="41">
        <v>204</v>
      </c>
      <c r="J209" s="57">
        <f t="shared" si="96"/>
        <v>15432.272711786994</v>
      </c>
      <c r="K209" s="57">
        <f t="shared" si="97"/>
        <v>5466.3167846210008</v>
      </c>
      <c r="M209" s="41">
        <v>204</v>
      </c>
      <c r="N209" s="57">
        <f t="shared" si="98"/>
        <v>-23197.409101749105</v>
      </c>
      <c r="O209" s="57">
        <f t="shared" si="99"/>
        <v>8576.4217492347016</v>
      </c>
      <c r="Q209" s="41">
        <v>204</v>
      </c>
      <c r="R209" s="57">
        <f t="shared" si="100"/>
        <v>-9567.7272882130055</v>
      </c>
      <c r="S209" s="41">
        <f t="shared" si="101"/>
        <v>-17033.683215378998</v>
      </c>
      <c r="U209" s="41">
        <v>203</v>
      </c>
      <c r="V209" s="41">
        <f t="shared" si="123"/>
        <v>101.5</v>
      </c>
      <c r="W209" s="57">
        <f t="shared" si="124"/>
        <v>32142.044563963165</v>
      </c>
      <c r="X209" s="57">
        <f t="shared" si="125"/>
        <v>97707.993455873599</v>
      </c>
      <c r="Y209" s="57">
        <f t="shared" si="126"/>
        <v>-1033.3864604328733</v>
      </c>
      <c r="Z209" s="57">
        <f t="shared" si="127"/>
        <v>-1285.1850550341821</v>
      </c>
      <c r="AA209" s="57">
        <f t="shared" si="102"/>
        <v>-100.85104724344549</v>
      </c>
      <c r="AB209" s="57">
        <f t="shared" si="103"/>
        <v>-339.480560132677</v>
      </c>
      <c r="AC209" s="57">
        <f t="shared" si="104"/>
        <v>-8.2802363490081188</v>
      </c>
      <c r="AD209" s="57">
        <f t="shared" si="105"/>
        <v>-61.51711126158218</v>
      </c>
      <c r="AE209" s="57">
        <f t="shared" si="106"/>
        <v>-8.7529222706446461</v>
      </c>
      <c r="AF209" s="57">
        <f t="shared" si="107"/>
        <v>-14.723267099580726</v>
      </c>
      <c r="AG209" s="57">
        <f t="shared" si="108"/>
        <v>-11.514088915516059</v>
      </c>
      <c r="AH209" s="57">
        <f t="shared" si="109"/>
        <v>-34.939645175038237</v>
      </c>
      <c r="AJ209" s="57">
        <f t="shared" si="110"/>
        <v>91021.488284515552</v>
      </c>
      <c r="AK209" s="57">
        <f t="shared" si="111"/>
        <v>102036.6842236942</v>
      </c>
      <c r="AL209" s="57">
        <f t="shared" si="112"/>
        <v>118670.22905194323</v>
      </c>
      <c r="AN209" s="41">
        <v>204</v>
      </c>
      <c r="AO209" s="57">
        <f t="shared" si="113"/>
        <v>-1851.5909323195083</v>
      </c>
      <c r="AP209" s="57">
        <f t="shared" si="114"/>
        <v>11949.475176931501</v>
      </c>
      <c r="AR209" s="41">
        <v>204</v>
      </c>
      <c r="AS209" s="57">
        <f t="shared" si="115"/>
        <v>11802.590898250895</v>
      </c>
      <c r="AT209" s="57">
        <f t="shared" si="116"/>
        <v>-6423.5782507652993</v>
      </c>
      <c r="AV209" s="57">
        <f t="shared" si="117"/>
        <v>-69.595436067091654</v>
      </c>
      <c r="AW209" s="57">
        <f t="shared" si="118"/>
        <v>-212.07314936171505</v>
      </c>
      <c r="AX209" s="57">
        <f t="shared" si="119"/>
        <v>-2.7083636411850125</v>
      </c>
      <c r="AY209" s="57">
        <f t="shared" si="120"/>
        <v>-16.22738723476078</v>
      </c>
      <c r="BA209" s="57">
        <f t="shared" si="121"/>
        <v>87047.70395943246</v>
      </c>
      <c r="BB209" s="57">
        <f t="shared" si="122"/>
        <v>104128.67814182927</v>
      </c>
    </row>
    <row r="210" spans="9:54" x14ac:dyDescent="0.25">
      <c r="I210" s="41">
        <v>205</v>
      </c>
      <c r="J210" s="57">
        <f t="shared" si="96"/>
        <v>15468.461064816751</v>
      </c>
      <c r="K210" s="57">
        <f t="shared" si="97"/>
        <v>5386.9086912965031</v>
      </c>
      <c r="M210" s="41">
        <v>205</v>
      </c>
      <c r="N210" s="57">
        <f t="shared" si="98"/>
        <v>-23172.077254628275</v>
      </c>
      <c r="O210" s="57">
        <f t="shared" si="99"/>
        <v>8520.8360839075522</v>
      </c>
      <c r="Q210" s="41">
        <v>205</v>
      </c>
      <c r="R210" s="57">
        <f t="shared" si="100"/>
        <v>-9531.5389351832491</v>
      </c>
      <c r="S210" s="41">
        <f t="shared" si="101"/>
        <v>-17113.091308703497</v>
      </c>
      <c r="U210" s="41">
        <v>204</v>
      </c>
      <c r="V210" s="41">
        <f t="shared" si="123"/>
        <v>102</v>
      </c>
      <c r="W210" s="57">
        <f t="shared" si="124"/>
        <v>31612.744952841298</v>
      </c>
      <c r="X210" s="57">
        <f t="shared" si="125"/>
        <v>97022.965858339929</v>
      </c>
      <c r="Y210" s="57">
        <f t="shared" si="126"/>
        <v>-1083.811984054596</v>
      </c>
      <c r="Z210" s="57">
        <f t="shared" si="127"/>
        <v>-1454.9253351005207</v>
      </c>
      <c r="AA210" s="57">
        <f t="shared" si="102"/>
        <v>-101.40450657544865</v>
      </c>
      <c r="AB210" s="57">
        <f t="shared" si="103"/>
        <v>-345.63123622236697</v>
      </c>
      <c r="AC210" s="57">
        <f t="shared" si="104"/>
        <v>-8.1154834679251682</v>
      </c>
      <c r="AD210" s="57">
        <f t="shared" si="105"/>
        <v>-62.562482201525341</v>
      </c>
      <c r="AE210" s="57">
        <f t="shared" si="106"/>
        <v>-8.8856258902400409</v>
      </c>
      <c r="AF210" s="57">
        <f t="shared" si="107"/>
        <v>-14.981832862849364</v>
      </c>
      <c r="AG210" s="57">
        <f t="shared" si="108"/>
        <v>-11.585671192115395</v>
      </c>
      <c r="AH210" s="57">
        <f t="shared" si="109"/>
        <v>-35.448345926315909</v>
      </c>
      <c r="AJ210" s="57">
        <f t="shared" si="110"/>
        <v>90273.015134165296</v>
      </c>
      <c r="AK210" s="57">
        <f t="shared" si="111"/>
        <v>101177.4284529353</v>
      </c>
      <c r="AL210" s="57">
        <f t="shared" si="112"/>
        <v>117854.30824827999</v>
      </c>
      <c r="AN210" s="41">
        <v>205</v>
      </c>
      <c r="AO210" s="57">
        <f t="shared" si="113"/>
        <v>-1797.3084027748755</v>
      </c>
      <c r="AP210" s="57">
        <f t="shared" si="114"/>
        <v>11830.363036944756</v>
      </c>
      <c r="AR210" s="41">
        <v>205</v>
      </c>
      <c r="AS210" s="57">
        <f t="shared" si="115"/>
        <v>11827.922745371725</v>
      </c>
      <c r="AT210" s="57">
        <f t="shared" si="116"/>
        <v>-6479.1639160924478</v>
      </c>
      <c r="AV210" s="57">
        <f t="shared" si="117"/>
        <v>-70.134780524995648</v>
      </c>
      <c r="AW210" s="57">
        <f t="shared" si="118"/>
        <v>-216.16194491315335</v>
      </c>
      <c r="AX210" s="57">
        <f t="shared" si="119"/>
        <v>-2.6829455001723903</v>
      </c>
      <c r="AY210" s="57">
        <f t="shared" si="120"/>
        <v>-16.476630318522979</v>
      </c>
      <c r="BA210" s="57">
        <f t="shared" si="121"/>
        <v>86232.27424881811</v>
      </c>
      <c r="BB210" s="57">
        <f t="shared" si="122"/>
        <v>103366.67188896114</v>
      </c>
    </row>
    <row r="211" spans="9:54" x14ac:dyDescent="0.25">
      <c r="I211" s="41">
        <v>206</v>
      </c>
      <c r="J211" s="57">
        <f t="shared" si="96"/>
        <v>15506.029768504164</v>
      </c>
      <c r="K211" s="57">
        <f t="shared" si="97"/>
        <v>5308.1442660546145</v>
      </c>
      <c r="M211" s="41">
        <v>206</v>
      </c>
      <c r="N211" s="57">
        <f t="shared" si="98"/>
        <v>-23145.779162047085</v>
      </c>
      <c r="O211" s="57">
        <f t="shared" si="99"/>
        <v>8465.7009862382292</v>
      </c>
      <c r="Q211" s="41">
        <v>206</v>
      </c>
      <c r="R211" s="57">
        <f t="shared" si="100"/>
        <v>-9493.9702314958358</v>
      </c>
      <c r="S211" s="41">
        <f t="shared" si="101"/>
        <v>-17191.855733945384</v>
      </c>
      <c r="U211" s="41">
        <v>205</v>
      </c>
      <c r="V211" s="41">
        <f t="shared" si="123"/>
        <v>102.5</v>
      </c>
      <c r="W211" s="57">
        <f t="shared" si="124"/>
        <v>31058.163397492066</v>
      </c>
      <c r="X211" s="57">
        <f t="shared" si="125"/>
        <v>96252.29928626187</v>
      </c>
      <c r="Y211" s="57">
        <f t="shared" si="126"/>
        <v>-1134.5142373423203</v>
      </c>
      <c r="Z211" s="57">
        <f t="shared" si="127"/>
        <v>-1627.7409532117042</v>
      </c>
      <c r="AA211" s="57">
        <f t="shared" si="102"/>
        <v>-102.12863233342709</v>
      </c>
      <c r="AB211" s="57">
        <f t="shared" si="103"/>
        <v>-352.6069552618622</v>
      </c>
      <c r="AC211" s="57">
        <f t="shared" si="104"/>
        <v>-7.9435407585910358</v>
      </c>
      <c r="AD211" s="57">
        <f t="shared" si="105"/>
        <v>-63.754484488715669</v>
      </c>
      <c r="AE211" s="57">
        <f t="shared" si="106"/>
        <v>-9.0400939771149051</v>
      </c>
      <c r="AF211" s="57">
        <f t="shared" si="107"/>
        <v>-15.271385404519814</v>
      </c>
      <c r="AG211" s="57">
        <f t="shared" si="108"/>
        <v>-11.67502166718532</v>
      </c>
      <c r="AH211" s="57">
        <f t="shared" si="109"/>
        <v>-36.021607378417748</v>
      </c>
      <c r="AJ211" s="57">
        <f t="shared" si="110"/>
        <v>89438.546535170346</v>
      </c>
      <c r="AK211" s="57">
        <f t="shared" si="111"/>
        <v>100231.7074667088</v>
      </c>
      <c r="AL211" s="57">
        <f t="shared" si="112"/>
        <v>116949.84071849017</v>
      </c>
      <c r="AN211" s="41">
        <v>206</v>
      </c>
      <c r="AO211" s="57">
        <f t="shared" si="113"/>
        <v>-1740.9553472437537</v>
      </c>
      <c r="AP211" s="57">
        <f t="shared" si="114"/>
        <v>11712.216399081923</v>
      </c>
      <c r="AR211" s="41">
        <v>206</v>
      </c>
      <c r="AS211" s="57">
        <f t="shared" si="115"/>
        <v>11854.220837952915</v>
      </c>
      <c r="AT211" s="57">
        <f t="shared" si="116"/>
        <v>-6534.2990137617699</v>
      </c>
      <c r="AV211" s="57">
        <f t="shared" si="117"/>
        <v>-70.811938766798576</v>
      </c>
      <c r="AW211" s="57">
        <f t="shared" si="118"/>
        <v>-220.79963019474039</v>
      </c>
      <c r="AX211" s="57">
        <f t="shared" si="119"/>
        <v>-2.6580371637372644</v>
      </c>
      <c r="AY211" s="57">
        <f t="shared" si="120"/>
        <v>-16.759847795468609</v>
      </c>
      <c r="BA211" s="57">
        <f t="shared" si="121"/>
        <v>85328.565082009125</v>
      </c>
      <c r="BB211" s="57">
        <f t="shared" si="122"/>
        <v>102517.76783784994</v>
      </c>
    </row>
    <row r="212" spans="9:54" x14ac:dyDescent="0.25">
      <c r="I212" s="41">
        <v>207</v>
      </c>
      <c r="J212" s="57">
        <f t="shared" si="96"/>
        <v>15544.967379058158</v>
      </c>
      <c r="K212" s="57">
        <f t="shared" si="97"/>
        <v>5230.0475013022688</v>
      </c>
      <c r="M212" s="41">
        <v>207</v>
      </c>
      <c r="N212" s="57">
        <f t="shared" si="98"/>
        <v>-23118.522834659288</v>
      </c>
      <c r="O212" s="57">
        <f t="shared" si="99"/>
        <v>8411.0332509115888</v>
      </c>
      <c r="Q212" s="41">
        <v>207</v>
      </c>
      <c r="R212" s="57">
        <f t="shared" si="100"/>
        <v>-9455.0326209418417</v>
      </c>
      <c r="S212" s="41">
        <f t="shared" si="101"/>
        <v>-17269.95249869773</v>
      </c>
      <c r="U212" s="41">
        <v>206</v>
      </c>
      <c r="V212" s="41">
        <f t="shared" si="123"/>
        <v>103</v>
      </c>
      <c r="W212" s="57">
        <f t="shared" si="124"/>
        <v>30478.140199779227</v>
      </c>
      <c r="X212" s="57">
        <f t="shared" si="125"/>
        <v>95394.352940248282</v>
      </c>
      <c r="Y212" s="57">
        <f t="shared" si="126"/>
        <v>-1185.5785535090338</v>
      </c>
      <c r="Z212" s="57">
        <f t="shared" si="127"/>
        <v>-1804.0444308426354</v>
      </c>
      <c r="AA212" s="57">
        <f t="shared" si="102"/>
        <v>-103.03167069691848</v>
      </c>
      <c r="AB212" s="57">
        <f t="shared" si="103"/>
        <v>-360.48564290173726</v>
      </c>
      <c r="AC212" s="57">
        <f t="shared" si="104"/>
        <v>-7.7614934843623944</v>
      </c>
      <c r="AD212" s="57">
        <f t="shared" si="105"/>
        <v>-65.106157643544364</v>
      </c>
      <c r="AE212" s="57">
        <f t="shared" si="106"/>
        <v>-9.218321155610127</v>
      </c>
      <c r="AF212" s="57">
        <f t="shared" si="107"/>
        <v>-15.594722134437344</v>
      </c>
      <c r="AG212" s="57">
        <f t="shared" si="108"/>
        <v>-11.783153632152738</v>
      </c>
      <c r="AH212" s="57">
        <f t="shared" si="109"/>
        <v>-36.664650781923811</v>
      </c>
      <c r="AJ212" s="57">
        <f t="shared" si="110"/>
        <v>88516.714245565861</v>
      </c>
      <c r="AK212" s="57">
        <f t="shared" si="111"/>
        <v>99197.97453633949</v>
      </c>
      <c r="AL212" s="57">
        <f t="shared" si="112"/>
        <v>115955.2137384572</v>
      </c>
      <c r="AN212" s="41">
        <v>207</v>
      </c>
      <c r="AO212" s="57">
        <f t="shared" si="113"/>
        <v>-1682.5489314127608</v>
      </c>
      <c r="AP212" s="57">
        <f t="shared" si="114"/>
        <v>11595.071251953403</v>
      </c>
      <c r="AR212" s="41">
        <v>207</v>
      </c>
      <c r="AS212" s="57">
        <f t="shared" si="115"/>
        <v>11881.477165340712</v>
      </c>
      <c r="AT212" s="57">
        <f t="shared" si="116"/>
        <v>-6588.9667490884121</v>
      </c>
      <c r="AV212" s="57">
        <f t="shared" si="117"/>
        <v>-71.635439427608418</v>
      </c>
      <c r="AW212" s="57">
        <f t="shared" si="118"/>
        <v>-226.040235088385</v>
      </c>
      <c r="AX212" s="57">
        <f t="shared" si="119"/>
        <v>-2.6332629971848189</v>
      </c>
      <c r="AY212" s="57">
        <f t="shared" si="120"/>
        <v>-17.079877253446735</v>
      </c>
      <c r="BA212" s="57">
        <f t="shared" si="121"/>
        <v>84334.972655007208</v>
      </c>
      <c r="BB212" s="57">
        <f t="shared" si="122"/>
        <v>101580.50465682459</v>
      </c>
    </row>
    <row r="213" spans="9:54" x14ac:dyDescent="0.25">
      <c r="I213" s="41">
        <v>208</v>
      </c>
      <c r="J213" s="57">
        <f t="shared" si="96"/>
        <v>15585.262035705366</v>
      </c>
      <c r="K213" s="57">
        <f t="shared" si="97"/>
        <v>5152.6421860705459</v>
      </c>
      <c r="M213" s="41">
        <v>208</v>
      </c>
      <c r="N213" s="57">
        <f t="shared" si="98"/>
        <v>-23090.316575006244</v>
      </c>
      <c r="O213" s="57">
        <f t="shared" si="99"/>
        <v>8356.849530249383</v>
      </c>
      <c r="Q213" s="41">
        <v>208</v>
      </c>
      <c r="R213" s="57">
        <f t="shared" si="100"/>
        <v>-9414.7379642946344</v>
      </c>
      <c r="S213" s="41">
        <f t="shared" si="101"/>
        <v>-17347.357813929455</v>
      </c>
      <c r="U213" s="41">
        <v>207</v>
      </c>
      <c r="V213" s="41">
        <f t="shared" si="123"/>
        <v>103.5</v>
      </c>
      <c r="W213" s="57">
        <f t="shared" si="124"/>
        <v>29872.471964187596</v>
      </c>
      <c r="X213" s="57">
        <f t="shared" si="125"/>
        <v>94447.270019464253</v>
      </c>
      <c r="Y213" s="57">
        <f t="shared" si="126"/>
        <v>-1237.094388857493</v>
      </c>
      <c r="Z213" s="57">
        <f t="shared" si="127"/>
        <v>-1984.287252293504</v>
      </c>
      <c r="AA213" s="57">
        <f t="shared" si="102"/>
        <v>-104.12376398474457</v>
      </c>
      <c r="AB213" s="57">
        <f t="shared" si="103"/>
        <v>-369.35976287225378</v>
      </c>
      <c r="AC213" s="57">
        <f t="shared" si="104"/>
        <v>-7.5658756491440808</v>
      </c>
      <c r="AD213" s="57">
        <f t="shared" si="105"/>
        <v>-66.632980613782138</v>
      </c>
      <c r="AE213" s="57">
        <f t="shared" si="106"/>
        <v>-9.4226985896319615</v>
      </c>
      <c r="AF213" s="57">
        <f t="shared" si="107"/>
        <v>-15.955117939252464</v>
      </c>
      <c r="AG213" s="57">
        <f t="shared" si="108"/>
        <v>-11.911293524930057</v>
      </c>
      <c r="AH213" s="57">
        <f t="shared" si="109"/>
        <v>-37.383600452612377</v>
      </c>
      <c r="AJ213" s="57">
        <f t="shared" si="110"/>
        <v>87505.962462687632</v>
      </c>
      <c r="AK213" s="57">
        <f t="shared" si="111"/>
        <v>98074.486353786138</v>
      </c>
      <c r="AL213" s="57">
        <f t="shared" si="112"/>
        <v>114868.59542802187</v>
      </c>
      <c r="AN213" s="41">
        <v>208</v>
      </c>
      <c r="AO213" s="57">
        <f t="shared" si="113"/>
        <v>-1622.1069464419515</v>
      </c>
      <c r="AP213" s="57">
        <f t="shared" si="114"/>
        <v>11478.963279105817</v>
      </c>
      <c r="AR213" s="41">
        <v>208</v>
      </c>
      <c r="AS213" s="57">
        <f t="shared" si="115"/>
        <v>11909.683424993756</v>
      </c>
      <c r="AT213" s="57">
        <f t="shared" si="116"/>
        <v>-6643.150469750618</v>
      </c>
      <c r="AV213" s="57">
        <f t="shared" si="117"/>
        <v>-72.615710281567502</v>
      </c>
      <c r="AW213" s="57">
        <f t="shared" si="118"/>
        <v>-231.9479925719283</v>
      </c>
      <c r="AX213" s="57">
        <f t="shared" si="119"/>
        <v>-2.6081859394709723</v>
      </c>
      <c r="AY213" s="57">
        <f t="shared" si="120"/>
        <v>-17.440071294678567</v>
      </c>
      <c r="BA213" s="57">
        <f t="shared" si="121"/>
        <v>83249.676126426828</v>
      </c>
      <c r="BB213" s="57">
        <f t="shared" si="122"/>
        <v>100553.21942459018</v>
      </c>
    </row>
    <row r="214" spans="9:54" x14ac:dyDescent="0.25">
      <c r="I214" s="41">
        <v>209</v>
      </c>
      <c r="J214" s="57">
        <f t="shared" si="96"/>
        <v>15626.90146430302</v>
      </c>
      <c r="K214" s="57">
        <f t="shared" si="97"/>
        <v>5075.951898768315</v>
      </c>
      <c r="M214" s="41">
        <v>209</v>
      </c>
      <c r="N214" s="57">
        <f t="shared" si="98"/>
        <v>-23061.168974987886</v>
      </c>
      <c r="O214" s="57">
        <f t="shared" si="99"/>
        <v>8303.1663291378209</v>
      </c>
      <c r="Q214" s="41">
        <v>209</v>
      </c>
      <c r="R214" s="57">
        <f t="shared" si="100"/>
        <v>-9373.0985356969795</v>
      </c>
      <c r="S214" s="41">
        <f t="shared" si="101"/>
        <v>-17424.048101231685</v>
      </c>
      <c r="U214" s="41">
        <v>208</v>
      </c>
      <c r="V214" s="41">
        <f t="shared" si="123"/>
        <v>104</v>
      </c>
      <c r="W214" s="57">
        <f t="shared" si="124"/>
        <v>29240.909299260758</v>
      </c>
      <c r="X214" s="57">
        <f t="shared" si="125"/>
        <v>93408.956422958479</v>
      </c>
      <c r="Y214" s="57">
        <f t="shared" si="126"/>
        <v>-1289.1562708498652</v>
      </c>
      <c r="Z214" s="57">
        <f t="shared" si="127"/>
        <v>-2168.9671337296309</v>
      </c>
      <c r="AA214" s="57">
        <f t="shared" si="102"/>
        <v>-105.41719229579542</v>
      </c>
      <c r="AB214" s="57">
        <f t="shared" si="103"/>
        <v>-379.33918005004062</v>
      </c>
      <c r="AC214" s="57">
        <f t="shared" si="104"/>
        <v>-7.3525152809872374</v>
      </c>
      <c r="AD214" s="57">
        <f t="shared" si="105"/>
        <v>-68.353329138724305</v>
      </c>
      <c r="AE214" s="57">
        <f t="shared" si="106"/>
        <v>-9.6560932300453839</v>
      </c>
      <c r="AF214" s="57">
        <f t="shared" si="107"/>
        <v>-16.35641321215348</v>
      </c>
      <c r="AG214" s="57">
        <f t="shared" si="108"/>
        <v>-12.060914238944537</v>
      </c>
      <c r="AH214" s="57">
        <f t="shared" si="109"/>
        <v>-38.185642639432075</v>
      </c>
      <c r="AJ214" s="57">
        <f t="shared" si="110"/>
        <v>86404.532279035819</v>
      </c>
      <c r="AK214" s="57">
        <f t="shared" si="111"/>
        <v>96859.285358632565</v>
      </c>
      <c r="AL214" s="57">
        <f t="shared" si="112"/>
        <v>113687.91361598256</v>
      </c>
      <c r="AN214" s="41">
        <v>209</v>
      </c>
      <c r="AO214" s="57">
        <f t="shared" si="113"/>
        <v>-1559.6478035454693</v>
      </c>
      <c r="AP214" s="57">
        <f t="shared" si="114"/>
        <v>11363.927848152473</v>
      </c>
      <c r="AR214" s="41">
        <v>209</v>
      </c>
      <c r="AS214" s="57">
        <f t="shared" si="115"/>
        <v>11938.831025012114</v>
      </c>
      <c r="AT214" s="57">
        <f t="shared" si="116"/>
        <v>-6696.8336708621791</v>
      </c>
      <c r="AV214" s="57">
        <f t="shared" si="117"/>
        <v>-73.765380729833467</v>
      </c>
      <c r="AW214" s="57">
        <f t="shared" si="118"/>
        <v>-238.59940449283539</v>
      </c>
      <c r="AX214" s="57">
        <f t="shared" si="119"/>
        <v>-2.5822888159847959</v>
      </c>
      <c r="AY214" s="57">
        <f t="shared" si="120"/>
        <v>-17.844390566895342</v>
      </c>
      <c r="BA214" s="57">
        <f t="shared" si="121"/>
        <v>82070.616733349743</v>
      </c>
      <c r="BB214" s="57">
        <f t="shared" si="122"/>
        <v>99434.029396004626</v>
      </c>
    </row>
    <row r="215" spans="9:54" x14ac:dyDescent="0.25">
      <c r="I215" s="41">
        <v>210</v>
      </c>
      <c r="J215" s="57">
        <f t="shared" si="96"/>
        <v>15669.872981077806</v>
      </c>
      <c r="K215" s="57">
        <f t="shared" si="97"/>
        <v>5000</v>
      </c>
      <c r="M215" s="41">
        <v>210</v>
      </c>
      <c r="N215" s="57">
        <f t="shared" si="98"/>
        <v>-23031.088913245534</v>
      </c>
      <c r="O215" s="57">
        <f t="shared" si="99"/>
        <v>8250</v>
      </c>
      <c r="Q215" s="41">
        <v>210</v>
      </c>
      <c r="R215" s="57">
        <f t="shared" si="100"/>
        <v>-9330.1270189221941</v>
      </c>
      <c r="S215" s="41">
        <f t="shared" si="101"/>
        <v>-17500</v>
      </c>
      <c r="U215" s="41">
        <v>209</v>
      </c>
      <c r="V215" s="41">
        <f t="shared" si="123"/>
        <v>104.5</v>
      </c>
      <c r="W215" s="57">
        <f t="shared" si="124"/>
        <v>28583.154014798849</v>
      </c>
      <c r="X215" s="57">
        <f t="shared" si="125"/>
        <v>92277.055458587405</v>
      </c>
      <c r="Y215" s="57">
        <f t="shared" si="126"/>
        <v>-1341.8648669977629</v>
      </c>
      <c r="Z215" s="57">
        <f t="shared" si="127"/>
        <v>-2358.636723754651</v>
      </c>
      <c r="AA215" s="57">
        <f t="shared" si="102"/>
        <v>-106.9266729815123</v>
      </c>
      <c r="AB215" s="57">
        <f t="shared" si="103"/>
        <v>-390.55478534828086</v>
      </c>
      <c r="AC215" s="57">
        <f t="shared" si="104"/>
        <v>-7.1163329792182859</v>
      </c>
      <c r="AD215" s="57">
        <f t="shared" si="105"/>
        <v>-70.28905162376978</v>
      </c>
      <c r="AE215" s="57">
        <f t="shared" si="106"/>
        <v>-9.9219488160715397</v>
      </c>
      <c r="AF215" s="57">
        <f t="shared" si="107"/>
        <v>-16.803123419045967</v>
      </c>
      <c r="AG215" s="57">
        <f t="shared" si="108"/>
        <v>-12.233777029712879</v>
      </c>
      <c r="AH215" s="57">
        <f t="shared" si="109"/>
        <v>-39.07922336020534</v>
      </c>
      <c r="AJ215" s="57">
        <f t="shared" si="110"/>
        <v>85210.443403788027</v>
      </c>
      <c r="AK215" s="57">
        <f t="shared" si="111"/>
        <v>95550.17901061794</v>
      </c>
      <c r="AL215" s="57">
        <f t="shared" si="112"/>
        <v>112410.83071237637</v>
      </c>
      <c r="AN215" s="41">
        <v>210</v>
      </c>
      <c r="AO215" s="57">
        <f t="shared" si="113"/>
        <v>-1495.1905283832893</v>
      </c>
      <c r="AP215" s="57">
        <f t="shared" si="114"/>
        <v>11250</v>
      </c>
      <c r="AR215" s="41">
        <v>210</v>
      </c>
      <c r="AS215" s="57">
        <f t="shared" si="115"/>
        <v>11968.911086754466</v>
      </c>
      <c r="AT215" s="57">
        <f t="shared" si="116"/>
        <v>-6750</v>
      </c>
      <c r="AV215" s="57">
        <f t="shared" si="117"/>
        <v>-75.099663907836117</v>
      </c>
      <c r="AW215" s="57">
        <f t="shared" si="118"/>
        <v>-246.08586659296458</v>
      </c>
      <c r="AX215" s="57">
        <f t="shared" si="119"/>
        <v>-2.5549502486734816</v>
      </c>
      <c r="AY215" s="57">
        <f t="shared" si="120"/>
        <v>-18.29752035229518</v>
      </c>
      <c r="BA215" s="57">
        <f t="shared" si="121"/>
        <v>80795.472977360041</v>
      </c>
      <c r="BB215" s="57">
        <f t="shared" si="122"/>
        <v>98220.81037989269</v>
      </c>
    </row>
    <row r="216" spans="9:54" x14ac:dyDescent="0.25">
      <c r="I216" s="41">
        <v>211</v>
      </c>
      <c r="J216" s="57">
        <f t="shared" si="96"/>
        <v>15714.163496489438</v>
      </c>
      <c r="K216" s="57">
        <f t="shared" si="97"/>
        <v>4924.8096254497286</v>
      </c>
      <c r="M216" s="41">
        <v>211</v>
      </c>
      <c r="N216" s="57">
        <f t="shared" si="98"/>
        <v>-23000.085552457393</v>
      </c>
      <c r="O216" s="57">
        <f t="shared" si="99"/>
        <v>8197.3667378148111</v>
      </c>
      <c r="Q216" s="41">
        <v>211</v>
      </c>
      <c r="R216" s="57">
        <f t="shared" si="100"/>
        <v>-9285.8365035105617</v>
      </c>
      <c r="S216" s="41">
        <f t="shared" si="101"/>
        <v>-17575.190374550271</v>
      </c>
      <c r="U216" s="41">
        <v>210</v>
      </c>
      <c r="V216" s="41">
        <f t="shared" si="123"/>
        <v>105</v>
      </c>
      <c r="W216" s="57">
        <f t="shared" si="124"/>
        <v>27898.85574717728</v>
      </c>
      <c r="X216" s="57">
        <f t="shared" si="125"/>
        <v>91048.917748541542</v>
      </c>
      <c r="Y216" s="57">
        <f t="shared" si="126"/>
        <v>-1395.328203488519</v>
      </c>
      <c r="Z216" s="57">
        <f t="shared" si="127"/>
        <v>-2553.9141164287917</v>
      </c>
      <c r="AA216" s="57">
        <f t="shared" si="102"/>
        <v>-108.66972946435043</v>
      </c>
      <c r="AB216" s="57">
        <f t="shared" si="103"/>
        <v>-403.16311642983192</v>
      </c>
      <c r="AC216" s="57">
        <f t="shared" si="104"/>
        <v>-6.8510767303215561</v>
      </c>
      <c r="AD216" s="57">
        <f t="shared" si="105"/>
        <v>-72.466198212967029</v>
      </c>
      <c r="AE216" s="57">
        <f t="shared" si="106"/>
        <v>-10.224415465451434</v>
      </c>
      <c r="AF216" s="57">
        <f t="shared" si="107"/>
        <v>-17.300576290595924</v>
      </c>
      <c r="AG216" s="57">
        <f t="shared" si="108"/>
        <v>-12.431984376502223</v>
      </c>
      <c r="AH216" s="57">
        <f t="shared" si="109"/>
        <v>-40.074296161742836</v>
      </c>
      <c r="AJ216" s="57">
        <f t="shared" si="110"/>
        <v>83921.472693627555</v>
      </c>
      <c r="AK216" s="57">
        <f t="shared" si="111"/>
        <v>94144.715465599831</v>
      </c>
      <c r="AL216" s="57">
        <f t="shared" si="112"/>
        <v>111034.71378407073</v>
      </c>
      <c r="AN216" s="41">
        <v>211</v>
      </c>
      <c r="AO216" s="57">
        <f t="shared" si="113"/>
        <v>-1428.7547552658425</v>
      </c>
      <c r="AP216" s="57">
        <f t="shared" si="114"/>
        <v>11137.214438174593</v>
      </c>
      <c r="AR216" s="41">
        <v>211</v>
      </c>
      <c r="AS216" s="57">
        <f t="shared" si="115"/>
        <v>11999.914447542607</v>
      </c>
      <c r="AT216" s="57">
        <f t="shared" si="116"/>
        <v>-6802.6332621851898</v>
      </c>
      <c r="AV216" s="57">
        <f t="shared" si="117"/>
        <v>-76.636839659401204</v>
      </c>
      <c r="AW216" s="57">
        <f t="shared" si="118"/>
        <v>-254.51702827921429</v>
      </c>
      <c r="AX216" s="57">
        <f t="shared" si="119"/>
        <v>-2.5254132326740097</v>
      </c>
      <c r="AY216" s="57">
        <f t="shared" si="120"/>
        <v>-18.805017485311875</v>
      </c>
      <c r="BA216" s="57">
        <f t="shared" si="121"/>
        <v>79421.63109162687</v>
      </c>
      <c r="BB216" s="57">
        <f t="shared" si="122"/>
        <v>96911.171080802582</v>
      </c>
    </row>
    <row r="217" spans="9:54" x14ac:dyDescent="0.25">
      <c r="I217" s="41">
        <v>212</v>
      </c>
      <c r="J217" s="57">
        <f t="shared" si="96"/>
        <v>15759.759519217871</v>
      </c>
      <c r="K217" s="57">
        <f t="shared" si="97"/>
        <v>4850.4036788339763</v>
      </c>
      <c r="M217" s="41">
        <v>212</v>
      </c>
      <c r="N217" s="57">
        <f t="shared" si="98"/>
        <v>-22968.168336547493</v>
      </c>
      <c r="O217" s="57">
        <f t="shared" si="99"/>
        <v>8145.2825751837827</v>
      </c>
      <c r="Q217" s="41">
        <v>212</v>
      </c>
      <c r="R217" s="57">
        <f t="shared" si="100"/>
        <v>-9240.2404807821295</v>
      </c>
      <c r="S217" s="41">
        <f t="shared" si="101"/>
        <v>-17649.596321166024</v>
      </c>
      <c r="U217" s="41">
        <v>211</v>
      </c>
      <c r="V217" s="41">
        <f t="shared" si="123"/>
        <v>105.5</v>
      </c>
      <c r="W217" s="57">
        <f t="shared" si="124"/>
        <v>27187.607929249978</v>
      </c>
      <c r="X217" s="57">
        <f t="shared" si="125"/>
        <v>89721.565300773422</v>
      </c>
      <c r="Y217" s="57">
        <f t="shared" si="126"/>
        <v>-1449.6630682206942</v>
      </c>
      <c r="Z217" s="57">
        <f t="shared" si="127"/>
        <v>-2755.4956746437074</v>
      </c>
      <c r="AA217" s="57">
        <f t="shared" si="102"/>
        <v>-110.66714355924523</v>
      </c>
      <c r="AB217" s="57">
        <f t="shared" si="103"/>
        <v>-417.35229467848461</v>
      </c>
      <c r="AC217" s="57">
        <f t="shared" si="104"/>
        <v>-6.5489689248234866</v>
      </c>
      <c r="AD217" s="57">
        <f t="shared" si="105"/>
        <v>-74.915949980218087</v>
      </c>
      <c r="AE217" s="57">
        <f t="shared" si="106"/>
        <v>-10.568517274898914</v>
      </c>
      <c r="AF217" s="57">
        <f t="shared" si="107"/>
        <v>-17.85508477832683</v>
      </c>
      <c r="AG217" s="57">
        <f t="shared" si="108"/>
        <v>-12.658046978026075</v>
      </c>
      <c r="AH217" s="57">
        <f t="shared" si="109"/>
        <v>-41.182634512738183</v>
      </c>
      <c r="AJ217" s="57">
        <f t="shared" si="110"/>
        <v>82535.128934617678</v>
      </c>
      <c r="AK217" s="57">
        <f t="shared" si="111"/>
        <v>92640.15498740325</v>
      </c>
      <c r="AL217" s="57">
        <f t="shared" si="112"/>
        <v>109556.59881198972</v>
      </c>
      <c r="AN217" s="41">
        <v>212</v>
      </c>
      <c r="AO217" s="57">
        <f t="shared" si="113"/>
        <v>-1360.3607211731951</v>
      </c>
      <c r="AP217" s="57">
        <f t="shared" si="114"/>
        <v>11025.605518250964</v>
      </c>
      <c r="AR217" s="41">
        <v>212</v>
      </c>
      <c r="AS217" s="57">
        <f t="shared" si="115"/>
        <v>12031.831663452509</v>
      </c>
      <c r="AT217" s="57">
        <f t="shared" si="116"/>
        <v>-6854.7174248162173</v>
      </c>
      <c r="AV217" s="57">
        <f t="shared" si="117"/>
        <v>-78.398866709891138</v>
      </c>
      <c r="AW217" s="57">
        <f t="shared" si="118"/>
        <v>-264.02512866864896</v>
      </c>
      <c r="AX217" s="57">
        <f t="shared" si="119"/>
        <v>-2.4927436716056226</v>
      </c>
      <c r="AY217" s="57">
        <f t="shared" si="120"/>
        <v>-19.373496738552554</v>
      </c>
      <c r="BA217" s="57">
        <f t="shared" si="121"/>
        <v>77946.149787015544</v>
      </c>
      <c r="BB217" s="57">
        <f t="shared" si="122"/>
        <v>95502.422587418172</v>
      </c>
    </row>
    <row r="218" spans="9:54" x14ac:dyDescent="0.25">
      <c r="I218" s="41">
        <v>213</v>
      </c>
      <c r="J218" s="57">
        <f t="shared" si="96"/>
        <v>15806.64716027288</v>
      </c>
      <c r="K218" s="57">
        <f t="shared" si="97"/>
        <v>4776.8048249248641</v>
      </c>
      <c r="M218" s="41">
        <v>213</v>
      </c>
      <c r="N218" s="57">
        <f t="shared" si="98"/>
        <v>-22935.346987808985</v>
      </c>
      <c r="O218" s="57">
        <f t="shared" si="99"/>
        <v>8093.7633774474052</v>
      </c>
      <c r="Q218" s="41">
        <v>213</v>
      </c>
      <c r="R218" s="57">
        <f t="shared" si="100"/>
        <v>-9193.3528397271202</v>
      </c>
      <c r="S218" s="41">
        <f t="shared" si="101"/>
        <v>-17723.195175075136</v>
      </c>
      <c r="U218" s="41">
        <v>212</v>
      </c>
      <c r="V218" s="41">
        <f t="shared" si="123"/>
        <v>106</v>
      </c>
      <c r="W218" s="57">
        <f t="shared" si="124"/>
        <v>26448.943002194723</v>
      </c>
      <c r="X218" s="57">
        <f t="shared" si="125"/>
        <v>88291.648426616768</v>
      </c>
      <c r="Y218" s="57">
        <f t="shared" si="126"/>
        <v>-1504.9966400003168</v>
      </c>
      <c r="Z218" s="57">
        <f t="shared" si="127"/>
        <v>-2964.1718219829495</v>
      </c>
      <c r="AA218" s="57">
        <f t="shared" si="102"/>
        <v>-112.94350836799514</v>
      </c>
      <c r="AB218" s="57">
        <f t="shared" si="103"/>
        <v>-433.34972222458674</v>
      </c>
      <c r="AC218" s="57">
        <f t="shared" si="104"/>
        <v>-6.2002310397465541</v>
      </c>
      <c r="AD218" s="57">
        <f t="shared" si="105"/>
        <v>-77.675812324054235</v>
      </c>
      <c r="AE218" s="57">
        <f t="shared" si="106"/>
        <v>-10.96037107057797</v>
      </c>
      <c r="AF218" s="57">
        <f t="shared" si="107"/>
        <v>-18.474166752134835</v>
      </c>
      <c r="AG218" s="57">
        <f t="shared" si="108"/>
        <v>-12.914969210854315</v>
      </c>
      <c r="AH218" s="57">
        <f t="shared" si="109"/>
        <v>-42.418228780377383</v>
      </c>
      <c r="AJ218" s="57">
        <f t="shared" si="110"/>
        <v>81048.623192103667</v>
      </c>
      <c r="AK218" s="57">
        <f t="shared" si="111"/>
        <v>91033.436271394792</v>
      </c>
      <c r="AL218" s="57">
        <f t="shared" si="112"/>
        <v>107973.14782223909</v>
      </c>
      <c r="AN218" s="41">
        <v>213</v>
      </c>
      <c r="AO218" s="57">
        <f t="shared" si="113"/>
        <v>-1290.0292595906803</v>
      </c>
      <c r="AP218" s="57">
        <f t="shared" si="114"/>
        <v>10915.207237387298</v>
      </c>
      <c r="AR218" s="41">
        <v>213</v>
      </c>
      <c r="AS218" s="57">
        <f t="shared" si="115"/>
        <v>12064.653012191016</v>
      </c>
      <c r="AT218" s="57">
        <f t="shared" si="116"/>
        <v>-6906.2366225525948</v>
      </c>
      <c r="AV218" s="57">
        <f t="shared" si="117"/>
        <v>-80.412162022091806</v>
      </c>
      <c r="AW218" s="57">
        <f t="shared" si="118"/>
        <v>-274.7706452268651</v>
      </c>
      <c r="AX218" s="57">
        <f t="shared" si="119"/>
        <v>-2.4557750247244878</v>
      </c>
      <c r="AY218" s="57">
        <f t="shared" si="120"/>
        <v>-20.010869141155187</v>
      </c>
      <c r="BA218" s="57">
        <f t="shared" si="121"/>
        <v>76365.717995722356</v>
      </c>
      <c r="BB218" s="57">
        <f t="shared" si="122"/>
        <v>93991.541970663355</v>
      </c>
    </row>
    <row r="219" spans="9:54" x14ac:dyDescent="0.25">
      <c r="I219" s="41">
        <v>214</v>
      </c>
      <c r="J219" s="57">
        <f t="shared" si="96"/>
        <v>15854.812137224792</v>
      </c>
      <c r="K219" s="57">
        <f t="shared" si="97"/>
        <v>4704.0354826462662</v>
      </c>
      <c r="M219" s="41">
        <v>214</v>
      </c>
      <c r="N219" s="57">
        <f t="shared" si="98"/>
        <v>-22901.631503942648</v>
      </c>
      <c r="O219" s="57">
        <f t="shared" si="99"/>
        <v>8042.8248378523867</v>
      </c>
      <c r="Q219" s="41">
        <v>214</v>
      </c>
      <c r="R219" s="57">
        <f t="shared" si="100"/>
        <v>-9145.1878627752085</v>
      </c>
      <c r="S219" s="41">
        <f t="shared" si="101"/>
        <v>-17795.964517353732</v>
      </c>
      <c r="U219" s="41">
        <v>213</v>
      </c>
      <c r="V219" s="41">
        <f t="shared" si="123"/>
        <v>106.5</v>
      </c>
      <c r="W219" s="57">
        <f t="shared" si="124"/>
        <v>25682.326743648566</v>
      </c>
      <c r="X219" s="57">
        <f t="shared" si="125"/>
        <v>86755.393800347214</v>
      </c>
      <c r="Y219" s="57">
        <f t="shared" si="126"/>
        <v>-1561.4683941843143</v>
      </c>
      <c r="Z219" s="57">
        <f t="shared" si="127"/>
        <v>-3180.846683095243</v>
      </c>
      <c r="AA219" s="57">
        <f t="shared" si="102"/>
        <v>-115.52790170783179</v>
      </c>
      <c r="AB219" s="57">
        <f t="shared" si="103"/>
        <v>-451.43216133501863</v>
      </c>
      <c r="AC219" s="57">
        <f t="shared" si="104"/>
        <v>-5.7924357313041135</v>
      </c>
      <c r="AD219" s="57">
        <f t="shared" si="105"/>
        <v>-80.791161025868405</v>
      </c>
      <c r="AE219" s="57">
        <f t="shared" si="106"/>
        <v>-11.407474870505608</v>
      </c>
      <c r="AF219" s="57">
        <f t="shared" si="107"/>
        <v>-19.166826393643788</v>
      </c>
      <c r="AG219" s="57">
        <f t="shared" si="108"/>
        <v>-13.206359011797769</v>
      </c>
      <c r="AH219" s="57">
        <f t="shared" si="109"/>
        <v>-43.79779516533651</v>
      </c>
      <c r="AJ219" s="57">
        <f t="shared" si="110"/>
        <v>79458.83389321604</v>
      </c>
      <c r="AK219" s="57">
        <f t="shared" si="111"/>
        <v>89321.136659582698</v>
      </c>
      <c r="AL219" s="57">
        <f t="shared" si="112"/>
        <v>106280.59720319486</v>
      </c>
      <c r="AN219" s="41">
        <v>214</v>
      </c>
      <c r="AO219" s="57">
        <f t="shared" si="113"/>
        <v>-1217.7817941628136</v>
      </c>
      <c r="AP219" s="57">
        <f t="shared" si="114"/>
        <v>10806.0532239694</v>
      </c>
      <c r="AR219" s="41">
        <v>214</v>
      </c>
      <c r="AS219" s="57">
        <f t="shared" si="115"/>
        <v>12098.368496057354</v>
      </c>
      <c r="AT219" s="57">
        <f t="shared" si="116"/>
        <v>-6957.1751621476133</v>
      </c>
      <c r="AV219" s="57">
        <f t="shared" si="117"/>
        <v>-82.70859856803699</v>
      </c>
      <c r="AW219" s="57">
        <f t="shared" si="118"/>
        <v>-286.94972932611995</v>
      </c>
      <c r="AX219" s="57">
        <f t="shared" si="119"/>
        <v>-2.413033526187311</v>
      </c>
      <c r="AY219" s="57">
        <f t="shared" si="120"/>
        <v>-20.726649424049977</v>
      </c>
      <c r="BA219" s="57">
        <f t="shared" si="121"/>
        <v>74676.603959834349</v>
      </c>
      <c r="BB219" s="57">
        <f t="shared" si="122"/>
        <v>92375.128666296674</v>
      </c>
    </row>
    <row r="220" spans="9:54" x14ac:dyDescent="0.25">
      <c r="I220" s="41">
        <v>215</v>
      </c>
      <c r="J220" s="57">
        <f t="shared" si="96"/>
        <v>15904.23977855504</v>
      </c>
      <c r="K220" s="57">
        <f t="shared" si="97"/>
        <v>4632.1178182447711</v>
      </c>
      <c r="M220" s="41">
        <v>215</v>
      </c>
      <c r="N220" s="57">
        <f t="shared" si="98"/>
        <v>-22867.032155011471</v>
      </c>
      <c r="O220" s="57">
        <f t="shared" si="99"/>
        <v>7992.4824727713394</v>
      </c>
      <c r="Q220" s="41">
        <v>215</v>
      </c>
      <c r="R220" s="57">
        <f t="shared" si="100"/>
        <v>-9095.7602214449598</v>
      </c>
      <c r="S220" s="41">
        <f t="shared" si="101"/>
        <v>-17867.882181755231</v>
      </c>
      <c r="U220" s="41">
        <v>214</v>
      </c>
      <c r="V220" s="41">
        <f t="shared" si="123"/>
        <v>107</v>
      </c>
      <c r="W220" s="57">
        <f t="shared" si="124"/>
        <v>24887.151558842928</v>
      </c>
      <c r="X220" s="57">
        <f t="shared" si="125"/>
        <v>85108.541438632717</v>
      </c>
      <c r="Y220" s="57">
        <f t="shared" si="126"/>
        <v>-1619.2323450382303</v>
      </c>
      <c r="Z220" s="57">
        <f t="shared" si="127"/>
        <v>-3406.5627637627522</v>
      </c>
      <c r="AA220" s="57">
        <f t="shared" si="102"/>
        <v>-118.45470217852336</v>
      </c>
      <c r="AB220" s="57">
        <f t="shared" si="103"/>
        <v>-471.93908063371009</v>
      </c>
      <c r="AC220" s="57">
        <f t="shared" si="104"/>
        <v>-5.3096120983628365</v>
      </c>
      <c r="AD220" s="57">
        <f t="shared" si="105"/>
        <v>-84.317264483694245</v>
      </c>
      <c r="AE220" s="57">
        <f t="shared" si="106"/>
        <v>-11.919092650549867</v>
      </c>
      <c r="AF220" s="57">
        <f t="shared" si="107"/>
        <v>-19.943917873273129</v>
      </c>
      <c r="AG220" s="57">
        <f t="shared" si="108"/>
        <v>-13.536570499184739</v>
      </c>
      <c r="AH220" s="57">
        <f t="shared" si="109"/>
        <v>-45.341434632423422</v>
      </c>
      <c r="AJ220" s="57">
        <f t="shared" si="110"/>
        <v>77762.265621515122</v>
      </c>
      <c r="AK220" s="57">
        <f t="shared" si="111"/>
        <v>87499.424981569697</v>
      </c>
      <c r="AL220" s="57">
        <f t="shared" si="112"/>
        <v>104474.6950092303</v>
      </c>
      <c r="AN220" s="41">
        <v>215</v>
      </c>
      <c r="AO220" s="57">
        <f t="shared" si="113"/>
        <v>-1143.6403321674397</v>
      </c>
      <c r="AP220" s="57">
        <f t="shared" si="114"/>
        <v>10698.176727367158</v>
      </c>
      <c r="AR220" s="41">
        <v>215</v>
      </c>
      <c r="AS220" s="57">
        <f t="shared" si="115"/>
        <v>12132.967844988529</v>
      </c>
      <c r="AT220" s="57">
        <f t="shared" si="116"/>
        <v>-7007.5175272286606</v>
      </c>
      <c r="AV220" s="57">
        <f t="shared" si="117"/>
        <v>-85.326791048801908</v>
      </c>
      <c r="AW220" s="57">
        <f t="shared" si="118"/>
        <v>-300.80410703213528</v>
      </c>
      <c r="AX220" s="57">
        <f t="shared" si="119"/>
        <v>-2.3626358816240001</v>
      </c>
      <c r="AY220" s="57">
        <f t="shared" si="120"/>
        <v>-21.532356612183985</v>
      </c>
      <c r="BA220" s="57">
        <f t="shared" si="121"/>
        <v>72874.593513630447</v>
      </c>
      <c r="BB220" s="57">
        <f t="shared" si="122"/>
        <v>90649.351934502643</v>
      </c>
    </row>
    <row r="221" spans="9:54" x14ac:dyDescent="0.25">
      <c r="I221" s="41">
        <v>216</v>
      </c>
      <c r="J221" s="57">
        <f t="shared" si="96"/>
        <v>15954.915028125262</v>
      </c>
      <c r="K221" s="57">
        <f t="shared" si="97"/>
        <v>4561.0737385376342</v>
      </c>
      <c r="M221" s="41">
        <v>216</v>
      </c>
      <c r="N221" s="57">
        <f t="shared" si="98"/>
        <v>-22831.559480312317</v>
      </c>
      <c r="O221" s="57">
        <f t="shared" si="99"/>
        <v>7942.7516169763439</v>
      </c>
      <c r="Q221" s="41">
        <v>216</v>
      </c>
      <c r="R221" s="57">
        <f t="shared" si="100"/>
        <v>-9045.0849718747377</v>
      </c>
      <c r="S221" s="41">
        <f t="shared" si="101"/>
        <v>-17938.926261462366</v>
      </c>
      <c r="U221" s="41">
        <v>215</v>
      </c>
      <c r="V221" s="41">
        <f t="shared" si="123"/>
        <v>107.5</v>
      </c>
      <c r="W221" s="57">
        <f t="shared" si="124"/>
        <v>24062.728548551499</v>
      </c>
      <c r="X221" s="57">
        <f t="shared" si="125"/>
        <v>83346.267671672133</v>
      </c>
      <c r="Y221" s="57">
        <f t="shared" si="126"/>
        <v>-1678.459696127492</v>
      </c>
      <c r="Z221" s="57">
        <f t="shared" si="127"/>
        <v>-3642.5323040796075</v>
      </c>
      <c r="AA221" s="57">
        <f t="shared" si="102"/>
        <v>-121.76456973275482</v>
      </c>
      <c r="AB221" s="57">
        <f t="shared" si="103"/>
        <v>-495.29054371844001</v>
      </c>
      <c r="AC221" s="57">
        <f t="shared" si="104"/>
        <v>-4.7309926511252174</v>
      </c>
      <c r="AD221" s="57">
        <f t="shared" si="105"/>
        <v>-88.32195670515361</v>
      </c>
      <c r="AE221" s="57">
        <f t="shared" si="106"/>
        <v>-12.506774095773673</v>
      </c>
      <c r="AF221" s="57">
        <f t="shared" si="107"/>
        <v>-20.818619971002835</v>
      </c>
      <c r="AG221" s="57">
        <f t="shared" si="108"/>
        <v>-13.910891096785477</v>
      </c>
      <c r="AH221" s="57">
        <f t="shared" si="109"/>
        <v>-47.073495424576414</v>
      </c>
      <c r="AJ221" s="57">
        <f t="shared" si="110"/>
        <v>75955.000381687525</v>
      </c>
      <c r="AK221" s="57">
        <f t="shared" si="111"/>
        <v>85564.005449183547</v>
      </c>
      <c r="AL221" s="57">
        <f t="shared" si="112"/>
        <v>102550.62435516895</v>
      </c>
      <c r="AN221" s="41">
        <v>216</v>
      </c>
      <c r="AO221" s="57">
        <f t="shared" si="113"/>
        <v>-1067.6274578121065</v>
      </c>
      <c r="AP221" s="57">
        <f t="shared" si="114"/>
        <v>10591.610607806451</v>
      </c>
      <c r="AR221" s="41">
        <v>216</v>
      </c>
      <c r="AS221" s="57">
        <f t="shared" si="115"/>
        <v>12168.440519687683</v>
      </c>
      <c r="AT221" s="57">
        <f t="shared" si="116"/>
        <v>-7057.2483830236561</v>
      </c>
      <c r="AV221" s="57">
        <f t="shared" si="117"/>
        <v>-88.313764462582526</v>
      </c>
      <c r="AW221" s="57">
        <f t="shared" si="118"/>
        <v>-316.63442983409197</v>
      </c>
      <c r="AX221" s="57">
        <f t="shared" si="119"/>
        <v>-2.3021474264879358</v>
      </c>
      <c r="AY221" s="57">
        <f t="shared" si="120"/>
        <v>-22.442041783615117</v>
      </c>
      <c r="BA221" s="57">
        <f t="shared" si="121"/>
        <v>70954.914730155346</v>
      </c>
      <c r="BB221" s="57">
        <f t="shared" si="122"/>
        <v>88809.887176256845</v>
      </c>
    </row>
    <row r="222" spans="9:54" x14ac:dyDescent="0.25">
      <c r="I222" s="41">
        <v>217</v>
      </c>
      <c r="J222" s="57">
        <f t="shared" si="96"/>
        <v>16006.822449763535</v>
      </c>
      <c r="K222" s="57">
        <f t="shared" si="97"/>
        <v>4490.9248842397592</v>
      </c>
      <c r="M222" s="41">
        <v>217</v>
      </c>
      <c r="N222" s="57">
        <f t="shared" si="98"/>
        <v>-22795.224285165525</v>
      </c>
      <c r="O222" s="57">
        <f t="shared" si="99"/>
        <v>7893.647418967832</v>
      </c>
      <c r="Q222" s="41">
        <v>217</v>
      </c>
      <c r="R222" s="57">
        <f t="shared" si="100"/>
        <v>-8993.1775502364653</v>
      </c>
      <c r="S222" s="41">
        <f t="shared" si="101"/>
        <v>-18009.075115760239</v>
      </c>
      <c r="U222" s="41">
        <v>216</v>
      </c>
      <c r="V222" s="41">
        <f t="shared" si="123"/>
        <v>108</v>
      </c>
      <c r="W222" s="57">
        <f t="shared" si="124"/>
        <v>23208.278129271155</v>
      </c>
      <c r="X222" s="57">
        <f t="shared" si="125"/>
        <v>81463.09020166751</v>
      </c>
      <c r="Y222" s="57">
        <f t="shared" si="126"/>
        <v>-1739.3419809938694</v>
      </c>
      <c r="Z222" s="57">
        <f t="shared" si="127"/>
        <v>-3890.1775759388274</v>
      </c>
      <c r="AA222" s="57">
        <f t="shared" si="102"/>
        <v>-125.50560647106096</v>
      </c>
      <c r="AB222" s="57">
        <f t="shared" si="103"/>
        <v>-522.01150913894526</v>
      </c>
      <c r="AC222" s="57">
        <f t="shared" si="104"/>
        <v>-4.0292316551325849</v>
      </c>
      <c r="AD222" s="57">
        <f t="shared" si="105"/>
        <v>-92.889211079616501</v>
      </c>
      <c r="AE222" s="57">
        <f t="shared" si="106"/>
        <v>-13.185066551200659</v>
      </c>
      <c r="AF222" s="57">
        <f t="shared" si="107"/>
        <v>-21.807062004285793</v>
      </c>
      <c r="AG222" s="57">
        <f t="shared" si="108"/>
        <v>-14.335790067349453</v>
      </c>
      <c r="AH222" s="57">
        <f t="shared" si="109"/>
        <v>-49.023715805748481</v>
      </c>
      <c r="AJ222" s="57">
        <f t="shared" si="110"/>
        <v>74032.639833621797</v>
      </c>
      <c r="AK222" s="57">
        <f t="shared" si="111"/>
        <v>83510.050653008948</v>
      </c>
      <c r="AL222" s="57">
        <f t="shared" si="112"/>
        <v>100502.90904383495</v>
      </c>
      <c r="AN222" s="41">
        <v>217</v>
      </c>
      <c r="AO222" s="57">
        <f t="shared" si="113"/>
        <v>-989.76632535469798</v>
      </c>
      <c r="AP222" s="57">
        <f t="shared" si="114"/>
        <v>10486.38732635964</v>
      </c>
      <c r="AR222" s="41">
        <v>217</v>
      </c>
      <c r="AS222" s="57">
        <f t="shared" si="115"/>
        <v>12204.775714834475</v>
      </c>
      <c r="AT222" s="57">
        <f t="shared" si="116"/>
        <v>-7106.352581032168</v>
      </c>
      <c r="AV222" s="57">
        <f t="shared" si="117"/>
        <v>-91.727135593232703</v>
      </c>
      <c r="AW222" s="57">
        <f t="shared" si="118"/>
        <v>-334.81852834140784</v>
      </c>
      <c r="AX222" s="57">
        <f t="shared" si="119"/>
        <v>-2.2283826041455592</v>
      </c>
      <c r="AY222" s="57">
        <f t="shared" si="120"/>
        <v>-23.472991907886584</v>
      </c>
      <c r="BA222" s="57">
        <f t="shared" si="121"/>
        <v>68912.145167509385</v>
      </c>
      <c r="BB222" s="57">
        <f t="shared" si="122"/>
        <v>86851.838190502123</v>
      </c>
    </row>
    <row r="223" spans="9:54" x14ac:dyDescent="0.25">
      <c r="I223" s="41">
        <v>218</v>
      </c>
      <c r="J223" s="57">
        <f t="shared" si="96"/>
        <v>16059.946231966389</v>
      </c>
      <c r="K223" s="57">
        <f t="shared" si="97"/>
        <v>4421.6926233717113</v>
      </c>
      <c r="M223" s="41">
        <v>218</v>
      </c>
      <c r="N223" s="57">
        <f t="shared" si="98"/>
        <v>-22758.037637623529</v>
      </c>
      <c r="O223" s="57">
        <f t="shared" si="99"/>
        <v>7845.1848363601976</v>
      </c>
      <c r="Q223" s="41">
        <v>218</v>
      </c>
      <c r="R223" s="57">
        <f t="shared" si="100"/>
        <v>-8940.053768033611</v>
      </c>
      <c r="S223" s="41">
        <f t="shared" si="101"/>
        <v>-18078.307376628291</v>
      </c>
      <c r="U223" s="41">
        <v>217</v>
      </c>
      <c r="V223" s="41">
        <f t="shared" si="123"/>
        <v>108.5</v>
      </c>
      <c r="W223" s="57">
        <f t="shared" si="124"/>
        <v>22322.918937965336</v>
      </c>
      <c r="X223" s="57">
        <f t="shared" si="125"/>
        <v>79452.749975055718</v>
      </c>
      <c r="Y223" s="57">
        <f t="shared" si="126"/>
        <v>-1802.0947842293999</v>
      </c>
      <c r="Z223" s="57">
        <f t="shared" si="127"/>
        <v>-4151.1833305083001</v>
      </c>
      <c r="AA223" s="57">
        <f t="shared" si="102"/>
        <v>-129.73469387122091</v>
      </c>
      <c r="AB223" s="57">
        <f t="shared" si="103"/>
        <v>-552.76532751242848</v>
      </c>
      <c r="AC223" s="57">
        <f t="shared" si="104"/>
        <v>-3.1678295376744181</v>
      </c>
      <c r="AD223" s="57">
        <f t="shared" si="105"/>
        <v>-98.123977966933722</v>
      </c>
      <c r="AE223" s="57">
        <f t="shared" si="106"/>
        <v>-13.972505350460564</v>
      </c>
      <c r="AF223" s="57">
        <f t="shared" si="107"/>
        <v>-22.929158597332769</v>
      </c>
      <c r="AG223" s="57">
        <f t="shared" si="108"/>
        <v>-14.819253181100567</v>
      </c>
      <c r="AH223" s="57">
        <f t="shared" si="109"/>
        <v>-51.228758490610012</v>
      </c>
      <c r="AJ223" s="57">
        <f t="shared" si="110"/>
        <v>71990.236708634577</v>
      </c>
      <c r="AK223" s="57">
        <f t="shared" si="111"/>
        <v>81332.12124694146</v>
      </c>
      <c r="AL223" s="57">
        <f t="shared" si="112"/>
        <v>98325.296221984565</v>
      </c>
      <c r="AN223" s="41">
        <v>218</v>
      </c>
      <c r="AO223" s="57">
        <f t="shared" si="113"/>
        <v>-910.08065205041657</v>
      </c>
      <c r="AP223" s="57">
        <f t="shared" si="114"/>
        <v>10382.538935057566</v>
      </c>
      <c r="AR223" s="41">
        <v>218</v>
      </c>
      <c r="AS223" s="57">
        <f t="shared" si="115"/>
        <v>12241.962362376473</v>
      </c>
      <c r="AT223" s="57">
        <f t="shared" si="116"/>
        <v>-7154.8151636398024</v>
      </c>
      <c r="AV223" s="57">
        <f t="shared" si="117"/>
        <v>-95.637985945499494</v>
      </c>
      <c r="AW223" s="57">
        <f t="shared" si="118"/>
        <v>-355.83675120442376</v>
      </c>
      <c r="AX223" s="57">
        <f t="shared" si="119"/>
        <v>-2.1371198564858664</v>
      </c>
      <c r="AY223" s="57">
        <f t="shared" si="120"/>
        <v>-24.646681253128218</v>
      </c>
      <c r="BA223" s="57">
        <f t="shared" si="121"/>
        <v>66740.096642710691</v>
      </c>
      <c r="BB223" s="57">
        <f t="shared" si="122"/>
        <v>84769.641500488171</v>
      </c>
    </row>
    <row r="224" spans="9:54" x14ac:dyDescent="0.25">
      <c r="I224" s="41">
        <v>219</v>
      </c>
      <c r="J224" s="57">
        <f t="shared" si="96"/>
        <v>16114.270192715147</v>
      </c>
      <c r="K224" s="57">
        <f t="shared" si="97"/>
        <v>4353.398044750812</v>
      </c>
      <c r="M224" s="41">
        <v>219</v>
      </c>
      <c r="N224" s="57">
        <f t="shared" si="98"/>
        <v>-22720.010865099397</v>
      </c>
      <c r="O224" s="57">
        <f t="shared" si="99"/>
        <v>7797.3786313255678</v>
      </c>
      <c r="Q224" s="41">
        <v>219</v>
      </c>
      <c r="R224" s="57">
        <f t="shared" si="100"/>
        <v>-8885.7298072848535</v>
      </c>
      <c r="S224" s="41">
        <f t="shared" si="101"/>
        <v>-18146.601955249189</v>
      </c>
      <c r="U224" s="41">
        <v>218</v>
      </c>
      <c r="V224" s="41">
        <f t="shared" si="123"/>
        <v>109</v>
      </c>
      <c r="W224" s="57">
        <f t="shared" si="124"/>
        <v>21405.654709116734</v>
      </c>
      <c r="X224" s="57">
        <f t="shared" si="125"/>
        <v>77308.062643862519</v>
      </c>
      <c r="Y224" s="57">
        <f t="shared" si="126"/>
        <v>-1866.9621311650103</v>
      </c>
      <c r="Z224" s="57">
        <f t="shared" si="127"/>
        <v>-4427.5659942645143</v>
      </c>
      <c r="AA224" s="57">
        <f t="shared" si="102"/>
        <v>-134.51895397057979</v>
      </c>
      <c r="AB224" s="57">
        <f t="shared" si="103"/>
        <v>-588.40066587186516</v>
      </c>
      <c r="AC224" s="57">
        <f t="shared" si="104"/>
        <v>-2.0973413615327567</v>
      </c>
      <c r="AD224" s="57">
        <f t="shared" si="105"/>
        <v>-104.1588209407718</v>
      </c>
      <c r="AE224" s="57">
        <f t="shared" si="106"/>
        <v>-14.893014936461988</v>
      </c>
      <c r="AF224" s="57">
        <f t="shared" si="107"/>
        <v>-24.209736311177085</v>
      </c>
      <c r="AG224" s="57">
        <f t="shared" si="108"/>
        <v>-15.371240381895348</v>
      </c>
      <c r="AH224" s="57">
        <f t="shared" si="109"/>
        <v>-53.734301827251549</v>
      </c>
      <c r="AJ224" s="57">
        <f t="shared" si="110"/>
        <v>69822.213336807763</v>
      </c>
      <c r="AK224" s="57">
        <f t="shared" si="111"/>
        <v>79024.069363458635</v>
      </c>
      <c r="AL224" s="57">
        <f t="shared" si="112"/>
        <v>96010.608943388885</v>
      </c>
      <c r="AN224" s="41">
        <v>219</v>
      </c>
      <c r="AO224" s="57">
        <f t="shared" si="113"/>
        <v>-828.59471092728108</v>
      </c>
      <c r="AP224" s="57">
        <f t="shared" si="114"/>
        <v>10280.097067126218</v>
      </c>
      <c r="AR224" s="41">
        <v>219</v>
      </c>
      <c r="AS224" s="57">
        <f t="shared" si="115"/>
        <v>12279.989134900603</v>
      </c>
      <c r="AT224" s="57">
        <f t="shared" si="116"/>
        <v>-7202.6213686744322</v>
      </c>
      <c r="AV224" s="57">
        <f t="shared" si="117"/>
        <v>-100.13467017887191</v>
      </c>
      <c r="AW224" s="57">
        <f t="shared" si="118"/>
        <v>-380.30773004508615</v>
      </c>
      <c r="AX224" s="57">
        <f t="shared" si="119"/>
        <v>-2.0226871118177838</v>
      </c>
      <c r="AY224" s="57">
        <f t="shared" si="120"/>
        <v>-25.990076747578492</v>
      </c>
      <c r="BA224" s="57">
        <f t="shared" si="121"/>
        <v>64431.670604340688</v>
      </c>
      <c r="BB224" s="57">
        <f t="shared" si="122"/>
        <v>82556.947547970951</v>
      </c>
    </row>
    <row r="225" spans="9:54" x14ac:dyDescent="0.25">
      <c r="I225" s="41">
        <v>220</v>
      </c>
      <c r="J225" s="57">
        <f t="shared" si="96"/>
        <v>16169.777784405109</v>
      </c>
      <c r="K225" s="57">
        <f t="shared" si="97"/>
        <v>4286.0619515673043</v>
      </c>
      <c r="M225" s="41">
        <v>220</v>
      </c>
      <c r="N225" s="57">
        <f t="shared" si="98"/>
        <v>-22681.155550916425</v>
      </c>
      <c r="O225" s="57">
        <f t="shared" si="99"/>
        <v>7750.2433660971128</v>
      </c>
      <c r="Q225" s="41">
        <v>220</v>
      </c>
      <c r="R225" s="57">
        <f t="shared" si="100"/>
        <v>-8830.2222155948912</v>
      </c>
      <c r="S225" s="41">
        <f t="shared" si="101"/>
        <v>-18213.938048432698</v>
      </c>
      <c r="U225" s="41">
        <v>219</v>
      </c>
      <c r="V225" s="41">
        <f t="shared" si="123"/>
        <v>109.5</v>
      </c>
      <c r="W225" s="57">
        <f t="shared" si="124"/>
        <v>20455.358774287906</v>
      </c>
      <c r="X225" s="57">
        <f t="shared" si="125"/>
        <v>75020.729563496265</v>
      </c>
      <c r="Y225" s="57">
        <f t="shared" si="126"/>
        <v>-1934.2216081503002</v>
      </c>
      <c r="Z225" s="57">
        <f t="shared" si="127"/>
        <v>-4721.7663272004465</v>
      </c>
      <c r="AA225" s="57">
        <f t="shared" si="102"/>
        <v>-139.93717031697028</v>
      </c>
      <c r="AB225" s="57">
        <f t="shared" si="103"/>
        <v>-630.01841259194703</v>
      </c>
      <c r="AC225" s="57">
        <f t="shared" si="104"/>
        <v>-0.7496826048780374</v>
      </c>
      <c r="AD225" s="57">
        <f t="shared" si="105"/>
        <v>-111.16315152065746</v>
      </c>
      <c r="AE225" s="57">
        <f t="shared" si="106"/>
        <v>-15.977928717030371</v>
      </c>
      <c r="AF225" s="57">
        <f t="shared" si="107"/>
        <v>-25.680073383878653</v>
      </c>
      <c r="AG225" s="57">
        <f t="shared" si="108"/>
        <v>-16.00432259799625</v>
      </c>
      <c r="AH225" s="57">
        <f t="shared" si="109"/>
        <v>-56.597937165844385</v>
      </c>
      <c r="AJ225" s="57">
        <f t="shared" si="110"/>
        <v>67522.265012365518</v>
      </c>
      <c r="AK225" s="57">
        <f t="shared" si="111"/>
        <v>76578.922207913522</v>
      </c>
      <c r="AL225" s="57">
        <f t="shared" si="112"/>
        <v>93550.558744840469</v>
      </c>
      <c r="AN225" s="41">
        <v>220</v>
      </c>
      <c r="AO225" s="57">
        <f t="shared" si="113"/>
        <v>-745.33332339233493</v>
      </c>
      <c r="AP225" s="57">
        <f t="shared" si="114"/>
        <v>10179.092927350956</v>
      </c>
      <c r="AR225" s="41">
        <v>220</v>
      </c>
      <c r="AS225" s="57">
        <f t="shared" si="115"/>
        <v>12318.844449083577</v>
      </c>
      <c r="AT225" s="57">
        <f t="shared" si="116"/>
        <v>-7249.7566339028872</v>
      </c>
      <c r="AV225" s="57">
        <f t="shared" si="117"/>
        <v>-105.32788888771223</v>
      </c>
      <c r="AW225" s="57">
        <f t="shared" si="118"/>
        <v>-409.03979174787122</v>
      </c>
      <c r="AX225" s="57">
        <f t="shared" si="119"/>
        <v>-1.8773475093533831</v>
      </c>
      <c r="AY225" s="57">
        <f t="shared" si="120"/>
        <v>-27.537458773695338</v>
      </c>
      <c r="BA225" s="57">
        <f t="shared" si="121"/>
        <v>61978.674495154482</v>
      </c>
      <c r="BB225" s="57">
        <f t="shared" si="122"/>
        <v>80206.47167922552</v>
      </c>
    </row>
    <row r="226" spans="9:54" x14ac:dyDescent="0.25">
      <c r="I226" s="41">
        <v>221</v>
      </c>
      <c r="J226" s="57">
        <f t="shared" si="96"/>
        <v>16226.45209888614</v>
      </c>
      <c r="K226" s="57">
        <f t="shared" si="97"/>
        <v>4219.7048550474628</v>
      </c>
      <c r="M226" s="41">
        <v>221</v>
      </c>
      <c r="N226" s="57">
        <f t="shared" si="98"/>
        <v>-22641.4835307797</v>
      </c>
      <c r="O226" s="57">
        <f t="shared" si="99"/>
        <v>7703.7933985332238</v>
      </c>
      <c r="Q226" s="41">
        <v>221</v>
      </c>
      <c r="R226" s="57">
        <f t="shared" si="100"/>
        <v>-8773.5479011138596</v>
      </c>
      <c r="S226" s="41">
        <f t="shared" si="101"/>
        <v>-18280.295144952535</v>
      </c>
      <c r="U226" s="41">
        <v>220</v>
      </c>
      <c r="V226" s="41">
        <f t="shared" si="123"/>
        <v>110</v>
      </c>
      <c r="W226" s="57">
        <f t="shared" si="124"/>
        <v>19470.755823923137</v>
      </c>
      <c r="X226" s="57">
        <f t="shared" si="125"/>
        <v>72581.09409832205</v>
      </c>
      <c r="Y226" s="57">
        <f t="shared" si="126"/>
        <v>-2004.1901933087854</v>
      </c>
      <c r="Z226" s="57">
        <f t="shared" si="127"/>
        <v>-5036.7755334964204</v>
      </c>
      <c r="AA226" s="57">
        <f t="shared" si="102"/>
        <v>-146.08075607353408</v>
      </c>
      <c r="AB226" s="57">
        <f t="shared" si="103"/>
        <v>-679.06893710288239</v>
      </c>
      <c r="AC226" s="57">
        <f t="shared" si="104"/>
        <v>0.97061389669641229</v>
      </c>
      <c r="AD226" s="57">
        <f t="shared" si="105"/>
        <v>-119.35627674221988</v>
      </c>
      <c r="AE226" s="57">
        <f t="shared" si="106"/>
        <v>-17.268962136321683</v>
      </c>
      <c r="AF226" s="57">
        <f t="shared" si="107"/>
        <v>-27.380031668369817</v>
      </c>
      <c r="AG226" s="57">
        <f t="shared" si="108"/>
        <v>-16.73458528269569</v>
      </c>
      <c r="AH226" s="57">
        <f t="shared" si="109"/>
        <v>-59.893257849736372</v>
      </c>
      <c r="AJ226" s="57">
        <f t="shared" si="110"/>
        <v>65083.24598875321</v>
      </c>
      <c r="AK226" s="57">
        <f t="shared" si="111"/>
        <v>73988.741737204866</v>
      </c>
      <c r="AL226" s="57">
        <f t="shared" si="112"/>
        <v>90935.504254681568</v>
      </c>
      <c r="AN226" s="41">
        <v>221</v>
      </c>
      <c r="AO226" s="57">
        <f t="shared" si="113"/>
        <v>-660.32185167078933</v>
      </c>
      <c r="AP226" s="57">
        <f t="shared" si="114"/>
        <v>10079.557282571193</v>
      </c>
      <c r="AR226" s="41">
        <v>221</v>
      </c>
      <c r="AS226" s="57">
        <f t="shared" si="115"/>
        <v>12358.516469220298</v>
      </c>
      <c r="AT226" s="57">
        <f t="shared" si="116"/>
        <v>-7296.2066014667762</v>
      </c>
      <c r="AV226" s="57">
        <f t="shared" si="117"/>
        <v>-111.35745304284906</v>
      </c>
      <c r="AW226" s="57">
        <f t="shared" si="118"/>
        <v>-443.10636294541547</v>
      </c>
      <c r="AX226" s="57">
        <f t="shared" si="119"/>
        <v>-1.6903695083640515</v>
      </c>
      <c r="AY226" s="57">
        <f t="shared" si="120"/>
        <v>-29.333007897140863</v>
      </c>
      <c r="BA226" s="57">
        <f t="shared" si="121"/>
        <v>59371.585558037979</v>
      </c>
      <c r="BB226" s="57">
        <f t="shared" si="122"/>
        <v>77709.805167236409</v>
      </c>
    </row>
    <row r="227" spans="9:54" x14ac:dyDescent="0.25">
      <c r="I227" s="41">
        <v>222</v>
      </c>
      <c r="J227" s="57">
        <f t="shared" si="96"/>
        <v>16284.275872613029</v>
      </c>
      <c r="K227" s="57">
        <f t="shared" si="97"/>
        <v>4154.3469682057093</v>
      </c>
      <c r="M227" s="41">
        <v>222</v>
      </c>
      <c r="N227" s="57">
        <f t="shared" si="98"/>
        <v>-22601.00688917088</v>
      </c>
      <c r="O227" s="57">
        <f t="shared" si="99"/>
        <v>7658.0428777439956</v>
      </c>
      <c r="Q227" s="41">
        <v>222</v>
      </c>
      <c r="R227" s="57">
        <f t="shared" si="100"/>
        <v>-8715.7241273869713</v>
      </c>
      <c r="S227" s="41">
        <f t="shared" si="101"/>
        <v>-18345.653031794292</v>
      </c>
      <c r="U227" s="41">
        <v>221</v>
      </c>
      <c r="V227" s="41">
        <f t="shared" si="123"/>
        <v>110.5</v>
      </c>
      <c r="W227" s="57">
        <f t="shared" si="124"/>
        <v>18450.400632759553</v>
      </c>
      <c r="X227" s="57">
        <f t="shared" si="125"/>
        <v>69977.82271443597</v>
      </c>
      <c r="Y227" s="57">
        <f t="shared" si="126"/>
        <v>-2077.2305713455526</v>
      </c>
      <c r="Z227" s="57">
        <f t="shared" si="127"/>
        <v>-5376.3100020478614</v>
      </c>
      <c r="AA227" s="57">
        <f t="shared" si="102"/>
        <v>-153.05330673910018</v>
      </c>
      <c r="AB227" s="57">
        <f t="shared" si="103"/>
        <v>-737.49651081696675</v>
      </c>
      <c r="AC227" s="57">
        <f t="shared" si="104"/>
        <v>3.2001564910640261</v>
      </c>
      <c r="AD227" s="57">
        <f t="shared" si="105"/>
        <v>-129.02613032373918</v>
      </c>
      <c r="AE227" s="57">
        <f t="shared" si="106"/>
        <v>-18.822691399703196</v>
      </c>
      <c r="AF227" s="57">
        <f t="shared" si="107"/>
        <v>-29.361047718657115</v>
      </c>
      <c r="AG227" s="57">
        <f t="shared" si="108"/>
        <v>-17.582939017050698</v>
      </c>
      <c r="AH227" s="57">
        <f t="shared" si="109"/>
        <v>-63.715750446598932</v>
      </c>
      <c r="AJ227" s="57">
        <f t="shared" si="110"/>
        <v>62497.036644431741</v>
      </c>
      <c r="AK227" s="57">
        <f t="shared" si="111"/>
        <v>71244.456109819715</v>
      </c>
      <c r="AL227" s="57">
        <f t="shared" si="112"/>
        <v>88154.135711962139</v>
      </c>
      <c r="AN227" s="41">
        <v>222</v>
      </c>
      <c r="AO227" s="57">
        <f t="shared" si="113"/>
        <v>-573.58619108045696</v>
      </c>
      <c r="AP227" s="57">
        <f t="shared" si="114"/>
        <v>9981.5204523085631</v>
      </c>
      <c r="AR227" s="41">
        <v>222</v>
      </c>
      <c r="AS227" s="57">
        <f t="shared" si="115"/>
        <v>12398.99311082912</v>
      </c>
      <c r="AT227" s="57">
        <f t="shared" si="116"/>
        <v>-7341.9571222560044</v>
      </c>
      <c r="AV227" s="57">
        <f t="shared" si="117"/>
        <v>-118.40124758750703</v>
      </c>
      <c r="AW227" s="57">
        <f t="shared" si="118"/>
        <v>-483.95902670584542</v>
      </c>
      <c r="AX227" s="57">
        <f t="shared" si="119"/>
        <v>-1.4465852259032854</v>
      </c>
      <c r="AY227" s="57">
        <f t="shared" si="120"/>
        <v>-31.434555622125981</v>
      </c>
      <c r="BA227" s="57">
        <f t="shared" si="121"/>
        <v>56599.242641590972</v>
      </c>
      <c r="BB227" s="57">
        <f t="shared" si="122"/>
        <v>75057.172632093847</v>
      </c>
    </row>
    <row r="228" spans="9:54" x14ac:dyDescent="0.25">
      <c r="I228" s="41">
        <v>223</v>
      </c>
      <c r="J228" s="57">
        <f t="shared" si="96"/>
        <v>16343.231491904147</v>
      </c>
      <c r="K228" s="57">
        <f t="shared" si="97"/>
        <v>4090.0081996875083</v>
      </c>
      <c r="M228" s="41">
        <v>223</v>
      </c>
      <c r="N228" s="57">
        <f t="shared" si="98"/>
        <v>-22559.737955667097</v>
      </c>
      <c r="O228" s="57">
        <f t="shared" si="99"/>
        <v>7613.0057397812561</v>
      </c>
      <c r="Q228" s="41">
        <v>223</v>
      </c>
      <c r="R228" s="57">
        <f t="shared" si="100"/>
        <v>-8656.7685080958527</v>
      </c>
      <c r="S228" s="41">
        <f t="shared" si="101"/>
        <v>-18409.991800312491</v>
      </c>
      <c r="U228" s="41">
        <v>222</v>
      </c>
      <c r="V228" s="41">
        <f t="shared" si="123"/>
        <v>111</v>
      </c>
      <c r="W228" s="57">
        <f t="shared" si="124"/>
        <v>17392.653683744389</v>
      </c>
      <c r="X228" s="57">
        <f t="shared" si="125"/>
        <v>67197.480649559919</v>
      </c>
      <c r="Y228" s="57">
        <f t="shared" si="126"/>
        <v>-2153.7572247151024</v>
      </c>
      <c r="Z228" s="57">
        <f t="shared" si="127"/>
        <v>-5745.058257456345</v>
      </c>
      <c r="AA228" s="57">
        <f t="shared" si="102"/>
        <v>-160.96654311254946</v>
      </c>
      <c r="AB228" s="57">
        <f t="shared" si="103"/>
        <v>-807.95878643368303</v>
      </c>
      <c r="AC228" s="57">
        <f t="shared" si="104"/>
        <v>6.1389483365336748</v>
      </c>
      <c r="AD228" s="57">
        <f t="shared" si="105"/>
        <v>-140.55660624905622</v>
      </c>
      <c r="AE228" s="57">
        <f t="shared" si="106"/>
        <v>-20.717477330034132</v>
      </c>
      <c r="AF228" s="57">
        <f t="shared" si="107"/>
        <v>-31.690382787875532</v>
      </c>
      <c r="AG228" s="57">
        <f t="shared" si="108"/>
        <v>-18.577068911758285</v>
      </c>
      <c r="AH228" s="57">
        <f t="shared" si="109"/>
        <v>-68.191482973198802</v>
      </c>
      <c r="AJ228" s="57">
        <f t="shared" si="110"/>
        <v>59754.392731559681</v>
      </c>
      <c r="AK228" s="57">
        <f t="shared" si="111"/>
        <v>68335.659374657567</v>
      </c>
      <c r="AL228" s="57">
        <f t="shared" si="112"/>
        <v>85193.055844563351</v>
      </c>
      <c r="AN228" s="41">
        <v>223</v>
      </c>
      <c r="AO228" s="57">
        <f t="shared" si="113"/>
        <v>-485.152762143779</v>
      </c>
      <c r="AP228" s="57">
        <f t="shared" si="114"/>
        <v>9885.0122995312631</v>
      </c>
      <c r="AR228" s="41">
        <v>223</v>
      </c>
      <c r="AS228" s="57">
        <f t="shared" si="115"/>
        <v>12440.262044332903</v>
      </c>
      <c r="AT228" s="57">
        <f t="shared" si="116"/>
        <v>-7386.9942602187439</v>
      </c>
      <c r="AV228" s="57">
        <f t="shared" si="117"/>
        <v>-126.68685090334969</v>
      </c>
      <c r="AW228" s="57">
        <f t="shared" si="118"/>
        <v>-533.60116544330538</v>
      </c>
      <c r="AX228" s="57">
        <f t="shared" si="119"/>
        <v>-1.1240943039410289</v>
      </c>
      <c r="AY228" s="57">
        <f t="shared" si="120"/>
        <v>-33.919148980247094</v>
      </c>
      <c r="BA228" s="57">
        <f t="shared" si="121"/>
        <v>53648.437549349052</v>
      </c>
      <c r="BB228" s="57">
        <f t="shared" si="122"/>
        <v>72237.116524636513</v>
      </c>
    </row>
    <row r="229" spans="9:54" x14ac:dyDescent="0.25">
      <c r="I229" s="41">
        <v>224</v>
      </c>
      <c r="J229" s="57">
        <f t="shared" si="96"/>
        <v>16403.300998306746</v>
      </c>
      <c r="K229" s="57">
        <f t="shared" si="97"/>
        <v>4026.7081477050133</v>
      </c>
      <c r="M229" s="41">
        <v>224</v>
      </c>
      <c r="N229" s="57">
        <f t="shared" si="98"/>
        <v>-22517.689301185281</v>
      </c>
      <c r="O229" s="57">
        <f t="shared" si="99"/>
        <v>7568.6957033935087</v>
      </c>
      <c r="Q229" s="41">
        <v>224</v>
      </c>
      <c r="R229" s="57">
        <f t="shared" si="100"/>
        <v>-8596.6990016932559</v>
      </c>
      <c r="S229" s="41">
        <f t="shared" si="101"/>
        <v>-18473.291852294988</v>
      </c>
      <c r="U229" s="41">
        <v>223</v>
      </c>
      <c r="V229" s="41">
        <f t="shared" si="123"/>
        <v>111.5</v>
      </c>
      <c r="W229" s="57">
        <f t="shared" si="124"/>
        <v>16295.654253497769</v>
      </c>
      <c r="X229" s="57">
        <f t="shared" si="125"/>
        <v>64223.956672527536</v>
      </c>
      <c r="Y229" s="57">
        <f t="shared" si="126"/>
        <v>-2234.2404962713772</v>
      </c>
      <c r="Z229" s="57">
        <f t="shared" si="127"/>
        <v>-6149.0376506731864</v>
      </c>
      <c r="AA229" s="57">
        <f t="shared" si="102"/>
        <v>-169.92762259137186</v>
      </c>
      <c r="AB229" s="57">
        <f t="shared" si="103"/>
        <v>-894.16880713954686</v>
      </c>
      <c r="AC229" s="57">
        <f t="shared" si="104"/>
        <v>10.087505009516551</v>
      </c>
      <c r="AD229" s="57">
        <f t="shared" si="105"/>
        <v>-154.46808593231748</v>
      </c>
      <c r="AE229" s="57">
        <f t="shared" si="106"/>
        <v>-23.064484536837838</v>
      </c>
      <c r="AF229" s="57">
        <f t="shared" si="107"/>
        <v>-34.457227343660648</v>
      </c>
      <c r="AG229" s="57">
        <f t="shared" si="108"/>
        <v>-19.754418840249517</v>
      </c>
      <c r="AH229" s="57">
        <f t="shared" si="109"/>
        <v>-73.490262551282612</v>
      </c>
      <c r="AJ229" s="57">
        <f t="shared" si="110"/>
        <v>56844.783736033423</v>
      </c>
      <c r="AK229" s="57">
        <f t="shared" si="111"/>
        <v>65250.379270266269</v>
      </c>
      <c r="AL229" s="57">
        <f t="shared" si="112"/>
        <v>82036.212741295152</v>
      </c>
      <c r="AN229" s="41">
        <v>224</v>
      </c>
      <c r="AO229" s="57">
        <f t="shared" si="113"/>
        <v>-395.04850253988297</v>
      </c>
      <c r="AP229" s="57">
        <f t="shared" si="114"/>
        <v>9790.0622215575204</v>
      </c>
      <c r="AR229" s="41">
        <v>224</v>
      </c>
      <c r="AS229" s="57">
        <f t="shared" si="115"/>
        <v>12482.310698814721</v>
      </c>
      <c r="AT229" s="57">
        <f t="shared" si="116"/>
        <v>-7431.3042966064913</v>
      </c>
      <c r="AV229" s="57">
        <f t="shared" si="117"/>
        <v>-136.50573122975311</v>
      </c>
      <c r="AW229" s="57">
        <f t="shared" si="118"/>
        <v>-594.86170953969906</v>
      </c>
      <c r="AX229" s="57">
        <f t="shared" si="119"/>
        <v>-0.69049299404793252</v>
      </c>
      <c r="AY229" s="57">
        <f t="shared" si="120"/>
        <v>-36.891521772586991</v>
      </c>
      <c r="BA229" s="57">
        <f t="shared" si="121"/>
        <v>50503.363407929872</v>
      </c>
      <c r="BB229" s="57">
        <f t="shared" si="122"/>
        <v>69236.080892440586</v>
      </c>
    </row>
    <row r="230" spans="9:54" x14ac:dyDescent="0.25">
      <c r="I230" s="41">
        <v>225</v>
      </c>
      <c r="J230" s="57">
        <f t="shared" si="96"/>
        <v>16464.466094067262</v>
      </c>
      <c r="K230" s="57">
        <f t="shared" si="97"/>
        <v>3964.4660940672625</v>
      </c>
      <c r="M230" s="41">
        <v>225</v>
      </c>
      <c r="N230" s="57">
        <f t="shared" si="98"/>
        <v>-22474.873734152916</v>
      </c>
      <c r="O230" s="57">
        <f t="shared" si="99"/>
        <v>7525.1262658470841</v>
      </c>
      <c r="Q230" s="41">
        <v>225</v>
      </c>
      <c r="R230" s="57">
        <f t="shared" si="100"/>
        <v>-8535.533905932738</v>
      </c>
      <c r="S230" s="41">
        <f t="shared" si="101"/>
        <v>-18535.533905932738</v>
      </c>
      <c r="U230" s="41">
        <v>224</v>
      </c>
      <c r="V230" s="41">
        <f t="shared" si="123"/>
        <v>112</v>
      </c>
      <c r="W230" s="57">
        <f t="shared" si="124"/>
        <v>15157.293052538158</v>
      </c>
      <c r="X230" s="57">
        <f t="shared" si="125"/>
        <v>61037.666746298499</v>
      </c>
      <c r="Y230" s="57">
        <f t="shared" si="126"/>
        <v>-2319.2043075670631</v>
      </c>
      <c r="Z230" s="57">
        <f t="shared" si="127"/>
        <v>-6596.1220542429601</v>
      </c>
      <c r="AA230" s="57">
        <f t="shared" si="102"/>
        <v>-180.00607220469726</v>
      </c>
      <c r="AB230" s="57">
        <f t="shared" si="103"/>
        <v>-1001.4422554232666</v>
      </c>
      <c r="AC230" s="57">
        <f t="shared" si="104"/>
        <v>15.510938612201004</v>
      </c>
      <c r="AD230" s="57">
        <f t="shared" si="105"/>
        <v>-171.47836351682403</v>
      </c>
      <c r="AE230" s="57">
        <f t="shared" si="106"/>
        <v>-26.025799900239399</v>
      </c>
      <c r="AF230" s="57">
        <f t="shared" si="107"/>
        <v>-37.781523740445415</v>
      </c>
      <c r="AG230" s="57">
        <f t="shared" si="108"/>
        <v>-21.166914431165125</v>
      </c>
      <c r="AH230" s="57">
        <f t="shared" si="109"/>
        <v>-79.846176833832743</v>
      </c>
      <c r="AJ230" s="57">
        <f t="shared" si="110"/>
        <v>53756.242160485061</v>
      </c>
      <c r="AK230" s="57">
        <f t="shared" si="111"/>
        <v>61974.822966171283</v>
      </c>
      <c r="AL230" s="57">
        <f t="shared" si="112"/>
        <v>78664.116517170973</v>
      </c>
      <c r="AN230" s="41">
        <v>225</v>
      </c>
      <c r="AO230" s="57">
        <f t="shared" si="113"/>
        <v>-303.30085889910788</v>
      </c>
      <c r="AP230" s="57">
        <f t="shared" si="114"/>
        <v>9696.699141100893</v>
      </c>
      <c r="AR230" s="41">
        <v>225</v>
      </c>
      <c r="AS230" s="57">
        <f t="shared" si="115"/>
        <v>12525.126265847084</v>
      </c>
      <c r="AT230" s="57">
        <f t="shared" si="116"/>
        <v>-7474.8737341529159</v>
      </c>
      <c r="AV230" s="57">
        <f t="shared" si="117"/>
        <v>-148.22783706040178</v>
      </c>
      <c r="AW230" s="57">
        <f t="shared" si="118"/>
        <v>-671.83881865121316</v>
      </c>
      <c r="AX230" s="57">
        <f t="shared" si="119"/>
        <v>-9.6459425091957318E-2</v>
      </c>
      <c r="AY230" s="57">
        <f t="shared" si="120"/>
        <v>-40.49737268095118</v>
      </c>
      <c r="BA230" s="57">
        <f t="shared" si="121"/>
        <v>47144.855091498357</v>
      </c>
      <c r="BB230" s="57">
        <f t="shared" si="122"/>
        <v>66037.854071733396</v>
      </c>
    </row>
    <row r="231" spans="9:54" x14ac:dyDescent="0.25">
      <c r="I231" s="41">
        <v>226</v>
      </c>
      <c r="J231" s="57">
        <f t="shared" si="96"/>
        <v>16526.708147705012</v>
      </c>
      <c r="K231" s="57">
        <f t="shared" si="97"/>
        <v>3903.3009983067459</v>
      </c>
      <c r="M231" s="41">
        <v>226</v>
      </c>
      <c r="N231" s="57">
        <f t="shared" si="98"/>
        <v>-22431.30429660649</v>
      </c>
      <c r="O231" s="57">
        <f t="shared" si="99"/>
        <v>7482.3106988147219</v>
      </c>
      <c r="Q231" s="41">
        <v>226</v>
      </c>
      <c r="R231" s="57">
        <f t="shared" si="100"/>
        <v>-8473.2918522949876</v>
      </c>
      <c r="S231" s="41">
        <f t="shared" si="101"/>
        <v>-18596.699001693254</v>
      </c>
      <c r="U231" s="41">
        <v>225</v>
      </c>
      <c r="V231" s="41">
        <f t="shared" si="123"/>
        <v>112.5</v>
      </c>
      <c r="W231" s="57">
        <f t="shared" si="124"/>
        <v>13975.19013972904</v>
      </c>
      <c r="X231" s="57">
        <f t="shared" si="125"/>
        <v>57614.425437249105</v>
      </c>
      <c r="Y231" s="57">
        <f t="shared" si="126"/>
        <v>-2409.2073436694118</v>
      </c>
      <c r="Z231" s="57">
        <f t="shared" si="127"/>
        <v>-7096.8431819545931</v>
      </c>
      <c r="AA231" s="57">
        <f t="shared" si="102"/>
        <v>-191.1518449182999</v>
      </c>
      <c r="AB231" s="57">
        <f t="shared" si="103"/>
        <v>-1137.5966792898519</v>
      </c>
      <c r="AC231" s="57">
        <f t="shared" si="104"/>
        <v>23.153973167464205</v>
      </c>
      <c r="AD231" s="57">
        <f t="shared" si="105"/>
        <v>-192.59496793891614</v>
      </c>
      <c r="AE231" s="57">
        <f t="shared" si="106"/>
        <v>-29.845338125880875</v>
      </c>
      <c r="AF231" s="57">
        <f t="shared" si="107"/>
        <v>-41.826657069462875</v>
      </c>
      <c r="AG231" s="57">
        <f t="shared" si="108"/>
        <v>-22.888734148090617</v>
      </c>
      <c r="AH231" s="57">
        <f t="shared" si="109"/>
        <v>-87.590810258583076</v>
      </c>
      <c r="AJ231" s="57">
        <f t="shared" si="110"/>
        <v>50475.280789293472</v>
      </c>
      <c r="AK231" s="57">
        <f t="shared" si="111"/>
        <v>58493.136817494204</v>
      </c>
      <c r="AL231" s="57">
        <f t="shared" si="112"/>
        <v>75052.732278183437</v>
      </c>
      <c r="AN231" s="41">
        <v>226</v>
      </c>
      <c r="AO231" s="57">
        <f t="shared" si="113"/>
        <v>-209.93777844248234</v>
      </c>
      <c r="AP231" s="57">
        <f t="shared" si="114"/>
        <v>9604.9514974601188</v>
      </c>
      <c r="AR231" s="41">
        <v>226</v>
      </c>
      <c r="AS231" s="57">
        <f t="shared" si="115"/>
        <v>12568.695703393509</v>
      </c>
      <c r="AT231" s="57">
        <f t="shared" si="116"/>
        <v>-7517.6893011852781</v>
      </c>
      <c r="AV231" s="57">
        <f t="shared" si="117"/>
        <v>-162.3073583481625</v>
      </c>
      <c r="AW231" s="57">
        <f t="shared" si="118"/>
        <v>-770.6393639091699</v>
      </c>
      <c r="AX231" s="57">
        <f t="shared" si="119"/>
        <v>0.73561253636985846</v>
      </c>
      <c r="AY231" s="57">
        <f t="shared" si="120"/>
        <v>-44.944880113719783</v>
      </c>
      <c r="BA231" s="57">
        <f t="shared" si="121"/>
        <v>43549.32024028794</v>
      </c>
      <c r="BB231" s="57">
        <f t="shared" si="122"/>
        <v>62622.811403565524</v>
      </c>
    </row>
    <row r="232" spans="9:54" x14ac:dyDescent="0.25">
      <c r="I232" s="41">
        <v>227</v>
      </c>
      <c r="J232" s="57">
        <f t="shared" si="96"/>
        <v>16590.008199687505</v>
      </c>
      <c r="K232" s="57">
        <f t="shared" si="97"/>
        <v>3843.2314919041492</v>
      </c>
      <c r="M232" s="41">
        <v>227</v>
      </c>
      <c r="N232" s="57">
        <f t="shared" si="98"/>
        <v>-22386.994260218748</v>
      </c>
      <c r="O232" s="57">
        <f t="shared" si="99"/>
        <v>7440.2620443329051</v>
      </c>
      <c r="Q232" s="41">
        <v>227</v>
      </c>
      <c r="R232" s="57">
        <f t="shared" si="100"/>
        <v>-8409.9918003124949</v>
      </c>
      <c r="S232" s="41">
        <f t="shared" si="101"/>
        <v>-18656.768508095851</v>
      </c>
      <c r="U232" s="41">
        <v>226</v>
      </c>
      <c r="V232" s="41">
        <f t="shared" si="123"/>
        <v>113</v>
      </c>
      <c r="W232" s="57">
        <f t="shared" si="124"/>
        <v>12746.692487279546</v>
      </c>
      <c r="X232" s="57">
        <f t="shared" si="125"/>
        <v>53923.804261360579</v>
      </c>
      <c r="Y232" s="57">
        <f t="shared" si="126"/>
        <v>-2504.7832661285615</v>
      </c>
      <c r="Z232" s="57">
        <f t="shared" si="127"/>
        <v>-7665.6415215995194</v>
      </c>
      <c r="AA232" s="57">
        <f t="shared" si="102"/>
        <v>-202.99178575696183</v>
      </c>
      <c r="AB232" s="57">
        <f t="shared" si="103"/>
        <v>-1314.4634019989626</v>
      </c>
      <c r="AC232" s="57">
        <f t="shared" si="104"/>
        <v>34.256507532221306</v>
      </c>
      <c r="AD232" s="57">
        <f t="shared" si="105"/>
        <v>-219.25409857015637</v>
      </c>
      <c r="AE232" s="57">
        <f t="shared" si="106"/>
        <v>-34.903772231341449</v>
      </c>
      <c r="AF232" s="57">
        <f t="shared" si="107"/>
        <v>-46.817139168118729</v>
      </c>
      <c r="AG232" s="57">
        <f t="shared" si="108"/>
        <v>-25.029696462375398</v>
      </c>
      <c r="AH232" s="57">
        <f t="shared" si="109"/>
        <v>-97.209206782084962</v>
      </c>
      <c r="AJ232" s="57">
        <f t="shared" si="110"/>
        <v>46987.02024997124</v>
      </c>
      <c r="AK232" s="57">
        <f t="shared" si="111"/>
        <v>54787.283649098434</v>
      </c>
      <c r="AL232" s="57">
        <f t="shared" si="112"/>
        <v>71171.8756820165</v>
      </c>
      <c r="AN232" s="41">
        <v>227</v>
      </c>
      <c r="AO232" s="57">
        <f t="shared" si="113"/>
        <v>-114.98770046874233</v>
      </c>
      <c r="AP232" s="57">
        <f t="shared" si="114"/>
        <v>9514.8472378562237</v>
      </c>
      <c r="AR232" s="41">
        <v>227</v>
      </c>
      <c r="AS232" s="57">
        <f t="shared" si="115"/>
        <v>12613.005739781254</v>
      </c>
      <c r="AT232" s="57">
        <f t="shared" si="116"/>
        <v>-7559.7379556670949</v>
      </c>
      <c r="AV232" s="57">
        <f t="shared" si="117"/>
        <v>-179.24756145335951</v>
      </c>
      <c r="AW232" s="57">
        <f t="shared" si="118"/>
        <v>-900.64204920917462</v>
      </c>
      <c r="AX232" s="57">
        <f t="shared" si="119"/>
        <v>1.9327368578932196</v>
      </c>
      <c r="AY232" s="57">
        <f t="shared" si="120"/>
        <v>-50.540908269427881</v>
      </c>
      <c r="BA232" s="57">
        <f t="shared" si="121"/>
        <v>39687.199229338235</v>
      </c>
      <c r="BB232" s="57">
        <f t="shared" si="122"/>
        <v>58966.872931994767</v>
      </c>
    </row>
    <row r="233" spans="9:54" x14ac:dyDescent="0.25">
      <c r="I233" s="41">
        <v>228</v>
      </c>
      <c r="J233" s="57">
        <f t="shared" si="96"/>
        <v>16654.346968205708</v>
      </c>
      <c r="K233" s="57">
        <f t="shared" si="97"/>
        <v>3784.2758726130301</v>
      </c>
      <c r="M233" s="41">
        <v>228</v>
      </c>
      <c r="N233" s="57">
        <f t="shared" si="98"/>
        <v>-22341.957122256004</v>
      </c>
      <c r="O233" s="57">
        <f t="shared" si="99"/>
        <v>7398.9931108291203</v>
      </c>
      <c r="Q233" s="41">
        <v>228</v>
      </c>
      <c r="R233" s="57">
        <f t="shared" si="100"/>
        <v>-8345.6530317942925</v>
      </c>
      <c r="S233" s="41">
        <f t="shared" si="101"/>
        <v>-18715.724127386969</v>
      </c>
      <c r="U233" s="41">
        <v>227</v>
      </c>
      <c r="V233" s="41">
        <f t="shared" si="123"/>
        <v>113.5</v>
      </c>
      <c r="W233" s="57">
        <f t="shared" si="124"/>
        <v>11468.926880995645</v>
      </c>
      <c r="X233" s="57">
        <f t="shared" si="125"/>
        <v>49926.675575310946</v>
      </c>
      <c r="Y233" s="57">
        <f t="shared" si="126"/>
        <v>-2606.2791590070424</v>
      </c>
      <c r="Z233" s="57">
        <f t="shared" si="127"/>
        <v>-8322.8732225990007</v>
      </c>
      <c r="AA233" s="57">
        <f t="shared" si="102"/>
        <v>-214.30659114118322</v>
      </c>
      <c r="AB233" s="57">
        <f t="shared" si="103"/>
        <v>-1550.4526227155163</v>
      </c>
      <c r="AC233" s="57">
        <f t="shared" si="104"/>
        <v>50.977324049258861</v>
      </c>
      <c r="AD233" s="57">
        <f t="shared" si="105"/>
        <v>-253.52008580461191</v>
      </c>
      <c r="AE233" s="57">
        <f t="shared" si="106"/>
        <v>-41.820702088239905</v>
      </c>
      <c r="AF233" s="57">
        <f t="shared" si="107"/>
        <v>-53.060646488624535</v>
      </c>
      <c r="AG233" s="57">
        <f t="shared" si="108"/>
        <v>-27.759625164940925</v>
      </c>
      <c r="AH233" s="57">
        <f t="shared" si="109"/>
        <v>-109.43883534124932</v>
      </c>
      <c r="AJ233" s="57">
        <f t="shared" si="110"/>
        <v>43275.882532127347</v>
      </c>
      <c r="AK233" s="57">
        <f t="shared" si="111"/>
        <v>50837.31682079201</v>
      </c>
      <c r="AL233" s="57">
        <f t="shared" si="112"/>
        <v>66982.824319919964</v>
      </c>
      <c r="AN233" s="41">
        <v>228</v>
      </c>
      <c r="AO233" s="57">
        <f t="shared" si="113"/>
        <v>-18.479547691438711</v>
      </c>
      <c r="AP233" s="57">
        <f t="shared" si="114"/>
        <v>9426.413808919544</v>
      </c>
      <c r="AR233" s="41">
        <v>228</v>
      </c>
      <c r="AS233" s="57">
        <f t="shared" si="115"/>
        <v>12658.042877743996</v>
      </c>
      <c r="AT233" s="57">
        <f t="shared" si="116"/>
        <v>-7601.0068891708797</v>
      </c>
      <c r="AV233" s="57">
        <f t="shared" si="117"/>
        <v>-199.41646140696022</v>
      </c>
      <c r="AW233" s="57">
        <f t="shared" si="118"/>
        <v>-1076.6784321521695</v>
      </c>
      <c r="AX233" s="57">
        <f t="shared" si="119"/>
        <v>3.7128734696989509</v>
      </c>
      <c r="AY233" s="57">
        <f t="shared" si="120"/>
        <v>-57.754622928860918</v>
      </c>
      <c r="BA233" s="57">
        <f t="shared" si="121"/>
        <v>35520.693711338048</v>
      </c>
      <c r="BB233" s="57">
        <f t="shared" si="122"/>
        <v>55040.059657736703</v>
      </c>
    </row>
    <row r="234" spans="9:54" x14ac:dyDescent="0.25">
      <c r="I234" s="41">
        <v>229</v>
      </c>
      <c r="J234" s="57">
        <f t="shared" si="96"/>
        <v>16719.704855047461</v>
      </c>
      <c r="K234" s="57">
        <f t="shared" si="97"/>
        <v>3726.4520988861418</v>
      </c>
      <c r="M234" s="41">
        <v>229</v>
      </c>
      <c r="N234" s="57">
        <f t="shared" si="98"/>
        <v>-22296.206601466776</v>
      </c>
      <c r="O234" s="57">
        <f t="shared" si="99"/>
        <v>7358.5164692202998</v>
      </c>
      <c r="Q234" s="41">
        <v>229</v>
      </c>
      <c r="R234" s="57">
        <f t="shared" si="100"/>
        <v>-8280.295144952539</v>
      </c>
      <c r="S234" s="41">
        <f t="shared" si="101"/>
        <v>-18773.54790111386</v>
      </c>
      <c r="U234" s="41">
        <v>228</v>
      </c>
      <c r="V234" s="41">
        <f t="shared" si="123"/>
        <v>114</v>
      </c>
      <c r="W234" s="57">
        <f t="shared" si="124"/>
        <v>10138.998977599476</v>
      </c>
      <c r="X234" s="57">
        <f t="shared" si="125"/>
        <v>45571.432386172011</v>
      </c>
      <c r="Y234" s="57">
        <f t="shared" si="126"/>
        <v>-2713.432454577634</v>
      </c>
      <c r="Z234" s="57">
        <f t="shared" si="127"/>
        <v>-9098.099533956758</v>
      </c>
      <c r="AA234" s="57">
        <f t="shared" si="102"/>
        <v>-221.60501618358074</v>
      </c>
      <c r="AB234" s="57">
        <f t="shared" si="103"/>
        <v>-1874.7402241973587</v>
      </c>
      <c r="AC234" s="57">
        <f t="shared" si="104"/>
        <v>77.269563445691347</v>
      </c>
      <c r="AD234" s="57">
        <f t="shared" si="105"/>
        <v>-298.32295459143307</v>
      </c>
      <c r="AE234" s="57">
        <f t="shared" si="106"/>
        <v>-51.654049821995095</v>
      </c>
      <c r="AF234" s="57">
        <f t="shared" si="107"/>
        <v>-60.964484655933504</v>
      </c>
      <c r="AG234" s="57">
        <f t="shared" si="108"/>
        <v>-31.355758118001592</v>
      </c>
      <c r="AH234" s="57">
        <f t="shared" si="109"/>
        <v>-125.45500436138187</v>
      </c>
      <c r="AJ234" s="57">
        <f t="shared" si="110"/>
        <v>39327.767608887378</v>
      </c>
      <c r="AK234" s="57">
        <f t="shared" si="111"/>
        <v>46622.806236602162</v>
      </c>
      <c r="AL234" s="57">
        <f t="shared" si="112"/>
        <v>62434.667544212694</v>
      </c>
      <c r="AN234" s="41">
        <v>229</v>
      </c>
      <c r="AO234" s="57">
        <f t="shared" si="113"/>
        <v>79.557282571193355</v>
      </c>
      <c r="AP234" s="57">
        <f t="shared" si="114"/>
        <v>9339.6781483292125</v>
      </c>
      <c r="AR234" s="41">
        <v>229</v>
      </c>
      <c r="AS234" s="57">
        <f t="shared" si="115"/>
        <v>12703.793398533224</v>
      </c>
      <c r="AT234" s="57">
        <f t="shared" si="116"/>
        <v>-7641.4835307797002</v>
      </c>
      <c r="AV234" s="57">
        <f t="shared" si="117"/>
        <v>-222.33709621135714</v>
      </c>
      <c r="AW234" s="57">
        <f t="shared" si="118"/>
        <v>-1322.6629414389199</v>
      </c>
      <c r="AX234" s="57">
        <f t="shared" si="119"/>
        <v>6.4723245220817143</v>
      </c>
      <c r="AY234" s="57">
        <f t="shared" si="120"/>
        <v>-67.334839149690126</v>
      </c>
      <c r="BA234" s="57">
        <f t="shared" si="121"/>
        <v>31000.35142758958</v>
      </c>
      <c r="BB234" s="57">
        <f t="shared" si="122"/>
        <v>50804.518544406521</v>
      </c>
    </row>
    <row r="235" spans="9:54" x14ac:dyDescent="0.25">
      <c r="I235" s="41">
        <v>230</v>
      </c>
      <c r="J235" s="57">
        <f t="shared" si="96"/>
        <v>16786.061951567302</v>
      </c>
      <c r="K235" s="57">
        <f t="shared" si="97"/>
        <v>3669.7777844051107</v>
      </c>
      <c r="M235" s="41">
        <v>230</v>
      </c>
      <c r="N235" s="57">
        <f t="shared" si="98"/>
        <v>-22249.756633902889</v>
      </c>
      <c r="O235" s="57">
        <f t="shared" si="99"/>
        <v>7318.8444490835773</v>
      </c>
      <c r="Q235" s="41">
        <v>230</v>
      </c>
      <c r="R235" s="57">
        <f t="shared" si="100"/>
        <v>-8213.9380484326975</v>
      </c>
      <c r="S235" s="41">
        <f t="shared" si="101"/>
        <v>-18830.222215594891</v>
      </c>
      <c r="U235" s="41">
        <v>229</v>
      </c>
      <c r="V235" s="41">
        <f t="shared" si="123"/>
        <v>114.5</v>
      </c>
      <c r="W235" s="57">
        <f t="shared" si="124"/>
        <v>8754.5821232877133</v>
      </c>
      <c r="X235" s="57">
        <f t="shared" si="125"/>
        <v>40788.040091168965</v>
      </c>
      <c r="Y235" s="57">
        <f t="shared" si="126"/>
        <v>-2824.2349626694245</v>
      </c>
      <c r="Z235" s="57">
        <f t="shared" si="127"/>
        <v>-10035.469646055437</v>
      </c>
      <c r="AA235" s="57">
        <f t="shared" si="102"/>
        <v>-214.91050940624558</v>
      </c>
      <c r="AB235" s="57">
        <f t="shared" si="103"/>
        <v>-2332.5830178910651</v>
      </c>
      <c r="AC235" s="57">
        <f t="shared" si="104"/>
        <v>120.77316957014143</v>
      </c>
      <c r="AD235" s="57">
        <f t="shared" si="105"/>
        <v>-357.50579966564942</v>
      </c>
      <c r="AE235" s="57">
        <f t="shared" si="106"/>
        <v>-66.306972942301115</v>
      </c>
      <c r="AF235" s="57">
        <f t="shared" si="107"/>
        <v>-70.99604969109555</v>
      </c>
      <c r="AG235" s="57">
        <f t="shared" si="108"/>
        <v>-36.302912538732265</v>
      </c>
      <c r="AH235" s="57">
        <f t="shared" si="109"/>
        <v>-147.24317481866927</v>
      </c>
      <c r="AJ235" s="57">
        <f t="shared" si="110"/>
        <v>35136.206914423085</v>
      </c>
      <c r="AK235" s="57">
        <f t="shared" si="111"/>
        <v>42127.537380439469</v>
      </c>
      <c r="AL235" s="57">
        <f t="shared" si="112"/>
        <v>57458.628130161109</v>
      </c>
      <c r="AN235" s="41">
        <v>230</v>
      </c>
      <c r="AO235" s="57">
        <f t="shared" si="113"/>
        <v>179.09292735095369</v>
      </c>
      <c r="AP235" s="57">
        <f t="shared" si="114"/>
        <v>9254.6666766076669</v>
      </c>
      <c r="AR235" s="41">
        <v>230</v>
      </c>
      <c r="AS235" s="57">
        <f t="shared" si="115"/>
        <v>12750.243366097111</v>
      </c>
      <c r="AT235" s="57">
        <f t="shared" si="116"/>
        <v>-7681.1555509164227</v>
      </c>
      <c r="AV235" s="57">
        <f t="shared" si="117"/>
        <v>-244.05907782729335</v>
      </c>
      <c r="AW235" s="57">
        <f t="shared" si="118"/>
        <v>-1676.2998056659296</v>
      </c>
      <c r="AX235" s="57">
        <f t="shared" si="119"/>
        <v>10.985284331939708</v>
      </c>
      <c r="AY235" s="57">
        <f t="shared" si="120"/>
        <v>-80.538188049721356</v>
      </c>
      <c r="BA235" s="57">
        <f t="shared" si="121"/>
        <v>26059.928984251848</v>
      </c>
      <c r="BB235" s="57">
        <f t="shared" si="122"/>
        <v>46212.009909170301</v>
      </c>
    </row>
    <row r="236" spans="9:54" x14ac:dyDescent="0.25">
      <c r="I236" s="41">
        <v>231</v>
      </c>
      <c r="J236" s="57">
        <f t="shared" si="96"/>
        <v>16853.398044750815</v>
      </c>
      <c r="K236" s="57">
        <f t="shared" si="97"/>
        <v>3614.2701927151443</v>
      </c>
      <c r="M236" s="41">
        <v>231</v>
      </c>
      <c r="N236" s="57">
        <f t="shared" si="98"/>
        <v>-22202.62136867443</v>
      </c>
      <c r="O236" s="57">
        <f t="shared" si="99"/>
        <v>7279.9891349006011</v>
      </c>
      <c r="Q236" s="41">
        <v>231</v>
      </c>
      <c r="R236" s="57">
        <f t="shared" si="100"/>
        <v>-8146.6019552491853</v>
      </c>
      <c r="S236" s="41">
        <f t="shared" si="101"/>
        <v>-18885.729807284857</v>
      </c>
      <c r="U236" s="41">
        <v>230</v>
      </c>
      <c r="V236" s="41">
        <f t="shared" si="123"/>
        <v>115</v>
      </c>
      <c r="W236" s="57">
        <f t="shared" si="124"/>
        <v>7315.60082827722</v>
      </c>
      <c r="X236" s="57">
        <f t="shared" si="125"/>
        <v>35478.732390904865</v>
      </c>
      <c r="Y236" s="57">
        <f t="shared" si="126"/>
        <v>-2931.6902173725471</v>
      </c>
      <c r="Z236" s="57">
        <f t="shared" si="127"/>
        <v>-11201.76115500097</v>
      </c>
      <c r="AA236" s="57">
        <f t="shared" si="102"/>
        <v>-164.0979403956311</v>
      </c>
      <c r="AB236" s="57">
        <f t="shared" si="103"/>
        <v>-2980.9129646575288</v>
      </c>
      <c r="AC236" s="57">
        <f t="shared" si="104"/>
        <v>196.97125192828486</v>
      </c>
      <c r="AD236" s="57">
        <f t="shared" si="105"/>
        <v>-434.4711855716921</v>
      </c>
      <c r="AE236" s="57">
        <f t="shared" si="106"/>
        <v>-89.374544438266028</v>
      </c>
      <c r="AF236" s="57">
        <f t="shared" si="107"/>
        <v>-83.364452227032828</v>
      </c>
      <c r="AG236" s="57">
        <f t="shared" si="108"/>
        <v>-43.528048093630325</v>
      </c>
      <c r="AH236" s="57">
        <f t="shared" si="109"/>
        <v>-178.41116498123503</v>
      </c>
      <c r="AJ236" s="57">
        <f t="shared" si="110"/>
        <v>30719.75664860434</v>
      </c>
      <c r="AK236" s="57">
        <f t="shared" si="111"/>
        <v>37353.819789375273</v>
      </c>
      <c r="AL236" s="57">
        <f t="shared" si="112"/>
        <v>51959.37304812338</v>
      </c>
      <c r="AN236" s="41">
        <v>231</v>
      </c>
      <c r="AO236" s="57">
        <f t="shared" si="113"/>
        <v>280.09706712622119</v>
      </c>
      <c r="AP236" s="57">
        <f t="shared" si="114"/>
        <v>9171.4052890727162</v>
      </c>
      <c r="AR236" s="41">
        <v>231</v>
      </c>
      <c r="AS236" s="57">
        <f t="shared" si="115"/>
        <v>12797.37863132557</v>
      </c>
      <c r="AT236" s="57">
        <f t="shared" si="116"/>
        <v>-7720.0108650993989</v>
      </c>
      <c r="AV236" s="57">
        <f t="shared" si="117"/>
        <v>-247.07351897108853</v>
      </c>
      <c r="AW236" s="57">
        <f t="shared" si="118"/>
        <v>-2185.0711116097132</v>
      </c>
      <c r="AX236" s="57">
        <f t="shared" si="119"/>
        <v>18.906919179068908</v>
      </c>
      <c r="AY236" s="57">
        <f t="shared" si="120"/>
        <v>-99.595050267855456</v>
      </c>
      <c r="BA236" s="57">
        <f t="shared" si="121"/>
        <v>20609.233065163153</v>
      </c>
      <c r="BB236" s="57">
        <f t="shared" si="122"/>
        <v>41201.671890893755</v>
      </c>
    </row>
    <row r="237" spans="9:54" x14ac:dyDescent="0.25">
      <c r="I237" s="41">
        <v>232</v>
      </c>
      <c r="J237" s="57">
        <f t="shared" si="96"/>
        <v>16921.692623371709</v>
      </c>
      <c r="K237" s="57">
        <f t="shared" si="97"/>
        <v>3559.9462319663894</v>
      </c>
      <c r="M237" s="41">
        <v>232</v>
      </c>
      <c r="N237" s="57">
        <f t="shared" si="98"/>
        <v>-22154.815163639803</v>
      </c>
      <c r="O237" s="57">
        <f t="shared" si="99"/>
        <v>7241.9623623764728</v>
      </c>
      <c r="Q237" s="41">
        <v>232</v>
      </c>
      <c r="R237" s="57">
        <f t="shared" si="100"/>
        <v>-8078.3073766282905</v>
      </c>
      <c r="S237" s="41">
        <f t="shared" si="101"/>
        <v>-18940.053768033609</v>
      </c>
      <c r="U237" s="41">
        <v>231</v>
      </c>
      <c r="V237" s="41">
        <f t="shared" si="123"/>
        <v>115.5</v>
      </c>
      <c r="W237" s="57">
        <f t="shared" si="124"/>
        <v>5829.243477041493</v>
      </c>
      <c r="X237" s="57">
        <f t="shared" si="125"/>
        <v>29505.237692822189</v>
      </c>
      <c r="Y237" s="57">
        <f t="shared" si="126"/>
        <v>-3013.7391875703624</v>
      </c>
      <c r="Z237" s="57">
        <f t="shared" si="127"/>
        <v>-12692.217637329733</v>
      </c>
      <c r="AA237" s="57">
        <f t="shared" si="102"/>
        <v>27.848632466486968</v>
      </c>
      <c r="AB237" s="57">
        <f t="shared" si="103"/>
        <v>-3789.8099899302219</v>
      </c>
      <c r="AC237" s="57">
        <f t="shared" si="104"/>
        <v>337.32870109109587</v>
      </c>
      <c r="AD237" s="57">
        <f t="shared" si="105"/>
        <v>-523.82512084617997</v>
      </c>
      <c r="AE237" s="57">
        <f t="shared" si="106"/>
        <v>-127.7407968617249</v>
      </c>
      <c r="AF237" s="57">
        <f t="shared" si="107"/>
        <v>-96.464869676618619</v>
      </c>
      <c r="AG237" s="57">
        <f t="shared" si="108"/>
        <v>-55.024810877476362</v>
      </c>
      <c r="AH237" s="57">
        <f t="shared" si="109"/>
        <v>-226.13696813599591</v>
      </c>
      <c r="AJ237" s="57">
        <f t="shared" si="110"/>
        <v>26173.284592319964</v>
      </c>
      <c r="AK237" s="57">
        <f t="shared" si="111"/>
        <v>32366.713086901211</v>
      </c>
      <c r="AL237" s="57">
        <f t="shared" si="112"/>
        <v>45803.806570847875</v>
      </c>
      <c r="AN237" s="41">
        <v>232</v>
      </c>
      <c r="AO237" s="57">
        <f t="shared" si="113"/>
        <v>382.53893505756423</v>
      </c>
      <c r="AP237" s="57">
        <f t="shared" si="114"/>
        <v>9089.9193479495843</v>
      </c>
      <c r="AR237" s="41">
        <v>232</v>
      </c>
      <c r="AS237" s="57">
        <f t="shared" si="115"/>
        <v>12845.184836360197</v>
      </c>
      <c r="AT237" s="57">
        <f t="shared" si="116"/>
        <v>-7758.0376376235272</v>
      </c>
      <c r="AV237" s="57">
        <f t="shared" si="117"/>
        <v>-160.91292189237467</v>
      </c>
      <c r="AW237" s="57">
        <f t="shared" si="118"/>
        <v>-2814.7103287719142</v>
      </c>
      <c r="AX237" s="57">
        <f t="shared" si="119"/>
        <v>34.198461006967044</v>
      </c>
      <c r="AY237" s="57">
        <f t="shared" si="120"/>
        <v>-128.67270249951309</v>
      </c>
      <c r="BA237" s="57">
        <f t="shared" si="121"/>
        <v>14528.921682956567</v>
      </c>
      <c r="BB237" s="57">
        <f t="shared" si="122"/>
        <v>35703.139966136645</v>
      </c>
    </row>
    <row r="238" spans="9:54" x14ac:dyDescent="0.25">
      <c r="I238" s="41">
        <v>233</v>
      </c>
      <c r="J238" s="57">
        <f t="shared" si="96"/>
        <v>16990.924884239757</v>
      </c>
      <c r="K238" s="57">
        <f t="shared" si="97"/>
        <v>3506.822449763536</v>
      </c>
      <c r="M238" s="41">
        <v>233</v>
      </c>
      <c r="N238" s="57">
        <f t="shared" si="98"/>
        <v>-22106.35258103217</v>
      </c>
      <c r="O238" s="57">
        <f t="shared" si="99"/>
        <v>7204.7757148344754</v>
      </c>
      <c r="Q238" s="41">
        <v>233</v>
      </c>
      <c r="R238" s="57">
        <f t="shared" si="100"/>
        <v>-8009.0751157602408</v>
      </c>
      <c r="S238" s="41">
        <f t="shared" si="101"/>
        <v>-18993.177550236465</v>
      </c>
      <c r="U238" s="41">
        <v>232</v>
      </c>
      <c r="V238" s="41">
        <f t="shared" si="123"/>
        <v>116</v>
      </c>
      <c r="W238" s="57">
        <f t="shared" si="124"/>
        <v>4325.8549623146228</v>
      </c>
      <c r="X238" s="57">
        <f t="shared" si="125"/>
        <v>22685.402625416045</v>
      </c>
      <c r="Y238" s="57">
        <f t="shared" si="126"/>
        <v>-2999.8148713371188</v>
      </c>
      <c r="Z238" s="57">
        <f t="shared" si="127"/>
        <v>-14587.122632294844</v>
      </c>
      <c r="AA238" s="57">
        <f t="shared" si="102"/>
        <v>640.87673813483264</v>
      </c>
      <c r="AB238" s="57">
        <f t="shared" si="103"/>
        <v>-3986.7493989894906</v>
      </c>
      <c r="AC238" s="57">
        <f t="shared" si="104"/>
        <v>593.24966660359337</v>
      </c>
      <c r="AD238" s="57">
        <f t="shared" si="105"/>
        <v>-574.75128774868938</v>
      </c>
      <c r="AE238" s="57">
        <f t="shared" si="106"/>
        <v>-192.47313594491686</v>
      </c>
      <c r="AF238" s="57">
        <f t="shared" si="107"/>
        <v>-100.37054104861717</v>
      </c>
      <c r="AG238" s="57">
        <f t="shared" si="108"/>
        <v>-75.787598221883755</v>
      </c>
      <c r="AH238" s="57">
        <f t="shared" si="109"/>
        <v>-306.25461842868827</v>
      </c>
      <c r="AJ238" s="57">
        <f t="shared" si="110"/>
        <v>21823.731934717071</v>
      </c>
      <c r="AK238" s="57">
        <f t="shared" si="111"/>
        <v>27434.77099260133</v>
      </c>
      <c r="AL238" s="57">
        <f t="shared" si="112"/>
        <v>38822.173326822427</v>
      </c>
      <c r="AN238" s="41">
        <v>233</v>
      </c>
      <c r="AO238" s="57">
        <f t="shared" si="113"/>
        <v>486.38732635963788</v>
      </c>
      <c r="AP238" s="57">
        <f t="shared" si="114"/>
        <v>9010.2336746453038</v>
      </c>
      <c r="AR238" s="41">
        <v>233</v>
      </c>
      <c r="AS238" s="57">
        <f t="shared" si="115"/>
        <v>12893.64741896783</v>
      </c>
      <c r="AT238" s="57">
        <f t="shared" si="116"/>
        <v>-7795.2242851655246</v>
      </c>
      <c r="AV238" s="57">
        <f t="shared" si="117"/>
        <v>248.23145032354452</v>
      </c>
      <c r="AW238" s="57">
        <f t="shared" si="118"/>
        <v>-2829.8934700721638</v>
      </c>
      <c r="AX238" s="57">
        <f t="shared" si="119"/>
        <v>67.656355374495362</v>
      </c>
      <c r="AY238" s="57">
        <f t="shared" si="120"/>
        <v>-175.47948169133213</v>
      </c>
      <c r="BA238" s="57">
        <f t="shared" si="121"/>
        <v>7714.9131587197835</v>
      </c>
      <c r="BB238" s="57">
        <f t="shared" si="122"/>
        <v>29671.853511652032</v>
      </c>
    </row>
    <row r="239" spans="9:54" x14ac:dyDescent="0.25">
      <c r="I239" s="41">
        <v>234</v>
      </c>
      <c r="J239" s="57">
        <f t="shared" si="96"/>
        <v>17061.073738537634</v>
      </c>
      <c r="K239" s="57">
        <f t="shared" si="97"/>
        <v>3454.9150281252632</v>
      </c>
      <c r="M239" s="41">
        <v>234</v>
      </c>
      <c r="N239" s="57">
        <f t="shared" si="98"/>
        <v>-22057.248383023656</v>
      </c>
      <c r="O239" s="57">
        <f t="shared" si="99"/>
        <v>7168.4405196876842</v>
      </c>
      <c r="Q239" s="41">
        <v>234</v>
      </c>
      <c r="R239" s="57">
        <f t="shared" si="100"/>
        <v>-7938.9262614623658</v>
      </c>
      <c r="S239" s="41">
        <f t="shared" si="101"/>
        <v>-19045.084971874738</v>
      </c>
      <c r="U239" s="41">
        <v>233</v>
      </c>
      <c r="V239" s="41">
        <f t="shared" si="123"/>
        <v>116.5</v>
      </c>
      <c r="W239" s="57">
        <f t="shared" si="124"/>
        <v>2906.0571189129173</v>
      </c>
      <c r="X239" s="57">
        <f t="shared" si="125"/>
        <v>14893.497634394938</v>
      </c>
      <c r="Y239" s="57">
        <f t="shared" si="126"/>
        <v>-2679.3765022697025</v>
      </c>
      <c r="Z239" s="57">
        <f t="shared" si="127"/>
        <v>-16580.497331789589</v>
      </c>
      <c r="AA239" s="57">
        <f t="shared" si="102"/>
        <v>1761.4968142328637</v>
      </c>
      <c r="AB239" s="57">
        <f t="shared" si="103"/>
        <v>-1120.4915562790222</v>
      </c>
      <c r="AC239" s="57">
        <f t="shared" si="104"/>
        <v>947.4883866114111</v>
      </c>
      <c r="AD239" s="57">
        <f t="shared" si="105"/>
        <v>-409.80908815243737</v>
      </c>
      <c r="AE239" s="57">
        <f t="shared" si="106"/>
        <v>-281.57259604714028</v>
      </c>
      <c r="AF239" s="57">
        <f t="shared" si="107"/>
        <v>-60.153295938891546</v>
      </c>
      <c r="AG239" s="57">
        <f t="shared" si="108"/>
        <v>-120.61029749124982</v>
      </c>
      <c r="AH239" s="57">
        <f t="shared" si="109"/>
        <v>-456.03814752531133</v>
      </c>
      <c r="AJ239" s="57">
        <f t="shared" si="110"/>
        <v>18624.357451779946</v>
      </c>
      <c r="AK239" s="57">
        <f t="shared" si="111"/>
        <v>23422.932605306494</v>
      </c>
      <c r="AL239" s="57">
        <f t="shared" si="112"/>
        <v>30921.302365603708</v>
      </c>
      <c r="AN239" s="41">
        <v>234</v>
      </c>
      <c r="AO239" s="57">
        <f t="shared" si="113"/>
        <v>591.61060780645039</v>
      </c>
      <c r="AP239" s="57">
        <f t="shared" si="114"/>
        <v>8932.3725421878953</v>
      </c>
      <c r="AR239" s="41">
        <v>234</v>
      </c>
      <c r="AS239" s="57">
        <f t="shared" si="115"/>
        <v>12942.751616976344</v>
      </c>
      <c r="AT239" s="57">
        <f t="shared" si="116"/>
        <v>-7831.5594803123158</v>
      </c>
      <c r="AV239" s="57">
        <f t="shared" si="117"/>
        <v>1065.0221512929031</v>
      </c>
      <c r="AW239" s="57">
        <f t="shared" si="118"/>
        <v>54.169280145597646</v>
      </c>
      <c r="AX239" s="57">
        <f t="shared" si="119"/>
        <v>151.1691698669396</v>
      </c>
      <c r="AY239" s="57">
        <f t="shared" si="120"/>
        <v>-248.66030480797963</v>
      </c>
      <c r="BA239" s="57">
        <f t="shared" si="121"/>
        <v>2096.6495995122186</v>
      </c>
      <c r="BB239" s="57">
        <f t="shared" si="122"/>
        <v>23281.209215602914</v>
      </c>
    </row>
    <row r="240" spans="9:54" x14ac:dyDescent="0.25">
      <c r="I240" s="41">
        <v>235</v>
      </c>
      <c r="J240" s="57">
        <f t="shared" si="96"/>
        <v>17132.117818244769</v>
      </c>
      <c r="K240" s="57">
        <f t="shared" si="97"/>
        <v>3404.239778555042</v>
      </c>
      <c r="M240" s="41">
        <v>235</v>
      </c>
      <c r="N240" s="57">
        <f t="shared" si="98"/>
        <v>-22007.517527228661</v>
      </c>
      <c r="O240" s="57">
        <f t="shared" si="99"/>
        <v>7132.9678449885296</v>
      </c>
      <c r="Q240" s="41">
        <v>235</v>
      </c>
      <c r="R240" s="57">
        <f t="shared" si="100"/>
        <v>-7867.8821817552325</v>
      </c>
      <c r="S240" s="41">
        <f t="shared" si="101"/>
        <v>-19095.760221444958</v>
      </c>
      <c r="U240" s="41">
        <v>234</v>
      </c>
      <c r="V240" s="41">
        <f t="shared" si="123"/>
        <v>117</v>
      </c>
      <c r="W240" s="57">
        <f t="shared" si="124"/>
        <v>1786.555969557174</v>
      </c>
      <c r="X240" s="57">
        <f t="shared" si="125"/>
        <v>6463.1875239652663</v>
      </c>
      <c r="Y240" s="57">
        <f t="shared" si="126"/>
        <v>-1798.6280951532708</v>
      </c>
      <c r="Z240" s="57">
        <f t="shared" si="127"/>
        <v>-17140.743109929099</v>
      </c>
      <c r="AA240" s="57">
        <f t="shared" si="102"/>
        <v>1910.5015082724649</v>
      </c>
      <c r="AB240" s="57">
        <f t="shared" si="103"/>
        <v>1839.8117766136322</v>
      </c>
      <c r="AC240" s="57">
        <f t="shared" si="104"/>
        <v>1059.1391240112673</v>
      </c>
      <c r="AD240" s="57">
        <f t="shared" si="105"/>
        <v>60.292202605718941</v>
      </c>
      <c r="AE240" s="57">
        <f t="shared" si="106"/>
        <v>-315.16355208216521</v>
      </c>
      <c r="AF240" s="57">
        <f t="shared" si="107"/>
        <v>51.16340483338363</v>
      </c>
      <c r="AG240" s="57">
        <f t="shared" si="108"/>
        <v>-237.77128520498533</v>
      </c>
      <c r="AH240" s="57">
        <f t="shared" si="109"/>
        <v>-751.97636401454793</v>
      </c>
      <c r="AJ240" s="57">
        <f t="shared" si="110"/>
        <v>18242.930783197491</v>
      </c>
      <c r="AK240" s="57">
        <f t="shared" si="111"/>
        <v>22071.770737874256</v>
      </c>
      <c r="AL240" s="57">
        <f t="shared" si="112"/>
        <v>22510.569975387793</v>
      </c>
      <c r="AN240" s="41">
        <v>235</v>
      </c>
      <c r="AO240" s="57">
        <f t="shared" si="113"/>
        <v>698.17672736715213</v>
      </c>
      <c r="AP240" s="57">
        <f t="shared" si="114"/>
        <v>8856.359667832563</v>
      </c>
      <c r="AR240" s="41">
        <v>235</v>
      </c>
      <c r="AS240" s="57">
        <f t="shared" si="115"/>
        <v>12992.482472771339</v>
      </c>
      <c r="AT240" s="57">
        <f t="shared" si="116"/>
        <v>-7867.0321550114704</v>
      </c>
      <c r="AV240" s="57">
        <f t="shared" si="117"/>
        <v>1049.5110681759854</v>
      </c>
      <c r="AW240" s="57">
        <f t="shared" si="118"/>
        <v>2788.1236130652751</v>
      </c>
      <c r="AX240" s="57">
        <f t="shared" si="119"/>
        <v>354.78615337236249</v>
      </c>
      <c r="AY240" s="57">
        <f t="shared" si="120"/>
        <v>-307.7910798761975</v>
      </c>
      <c r="BA240" s="57">
        <f t="shared" si="121"/>
        <v>9121.5892139347579</v>
      </c>
      <c r="BB240" s="57">
        <f t="shared" si="122"/>
        <v>17492.849149159152</v>
      </c>
    </row>
    <row r="241" spans="9:54" x14ac:dyDescent="0.25">
      <c r="I241" s="41">
        <v>236</v>
      </c>
      <c r="J241" s="57">
        <f t="shared" si="96"/>
        <v>17204.035482646264</v>
      </c>
      <c r="K241" s="57">
        <f t="shared" si="97"/>
        <v>3354.8121372247933</v>
      </c>
      <c r="M241" s="41">
        <v>236</v>
      </c>
      <c r="N241" s="57">
        <f t="shared" si="98"/>
        <v>-21957.175162147614</v>
      </c>
      <c r="O241" s="57">
        <f t="shared" si="99"/>
        <v>7098.3684960573555</v>
      </c>
      <c r="Q241" s="41">
        <v>236</v>
      </c>
      <c r="R241" s="57">
        <f t="shared" si="100"/>
        <v>-7795.9645173537356</v>
      </c>
      <c r="S241" s="41">
        <f t="shared" si="101"/>
        <v>-19145.187862775208</v>
      </c>
      <c r="U241" s="41">
        <v>235</v>
      </c>
      <c r="V241" s="41">
        <f t="shared" si="123"/>
        <v>117.5</v>
      </c>
      <c r="W241" s="57">
        <f t="shared" si="124"/>
        <v>1126.0546105145968</v>
      </c>
      <c r="X241" s="57">
        <f t="shared" si="125"/>
        <v>-1877.207558922579</v>
      </c>
      <c r="Y241" s="57">
        <f t="shared" si="126"/>
        <v>-843.37734101703836</v>
      </c>
      <c r="Z241" s="57">
        <f t="shared" si="127"/>
        <v>-16220.837221622283</v>
      </c>
      <c r="AA241" s="57">
        <f t="shared" si="102"/>
        <v>1148.8045305624994</v>
      </c>
      <c r="AB241" s="57">
        <f t="shared" si="103"/>
        <v>1598.7624473712265</v>
      </c>
      <c r="AC241" s="57">
        <f t="shared" si="104"/>
        <v>778.5275487200945</v>
      </c>
      <c r="AD241" s="57">
        <f t="shared" si="105"/>
        <v>386.79853438351938</v>
      </c>
      <c r="AE241" s="57">
        <f t="shared" si="106"/>
        <v>-236.34050317228599</v>
      </c>
      <c r="AF241" s="57">
        <f t="shared" si="107"/>
        <v>132.87219324711691</v>
      </c>
      <c r="AG241" s="57">
        <f t="shared" si="108"/>
        <v>-588.42549536347201</v>
      </c>
      <c r="AH241" s="57">
        <f t="shared" si="109"/>
        <v>-1260.4826652115605</v>
      </c>
      <c r="AJ241" s="57">
        <f t="shared" si="110"/>
        <v>21075.052459445789</v>
      </c>
      <c r="AK241" s="57">
        <f t="shared" si="111"/>
        <v>24235.887497761923</v>
      </c>
      <c r="AL241" s="57">
        <f t="shared" si="112"/>
        <v>14482.272837597207</v>
      </c>
      <c r="AN241" s="41">
        <v>236</v>
      </c>
      <c r="AO241" s="57">
        <f t="shared" si="113"/>
        <v>806.05322396939573</v>
      </c>
      <c r="AP241" s="57">
        <f t="shared" si="114"/>
        <v>8782.2182058371891</v>
      </c>
      <c r="AR241" s="41">
        <v>236</v>
      </c>
      <c r="AS241" s="57">
        <f t="shared" si="115"/>
        <v>13042.824837852384</v>
      </c>
      <c r="AT241" s="57">
        <f t="shared" si="116"/>
        <v>-7901.6315039426445</v>
      </c>
      <c r="AV241" s="57">
        <f t="shared" si="117"/>
        <v>569.34575291222745</v>
      </c>
      <c r="AW241" s="57">
        <f t="shared" si="118"/>
        <v>2480.4083379108047</v>
      </c>
      <c r="AX241" s="57">
        <f t="shared" si="119"/>
        <v>625.69722746593538</v>
      </c>
      <c r="AY241" s="57">
        <f t="shared" si="120"/>
        <v>-140.83395295865407</v>
      </c>
      <c r="BA241" s="57">
        <f t="shared" si="121"/>
        <v>17316.107757451402</v>
      </c>
      <c r="BB241" s="57">
        <f t="shared" si="122"/>
        <v>14221.047545820018</v>
      </c>
    </row>
    <row r="242" spans="9:54" x14ac:dyDescent="0.25">
      <c r="I242" s="41">
        <v>237</v>
      </c>
      <c r="J242" s="57">
        <f t="shared" si="96"/>
        <v>17276.804824924864</v>
      </c>
      <c r="K242" s="57">
        <f t="shared" si="97"/>
        <v>3306.6471602728798</v>
      </c>
      <c r="M242" s="41">
        <v>237</v>
      </c>
      <c r="N242" s="57">
        <f t="shared" si="98"/>
        <v>-21906.236622552595</v>
      </c>
      <c r="O242" s="57">
        <f t="shared" si="99"/>
        <v>7064.6530121910164</v>
      </c>
      <c r="Q242" s="41">
        <v>237</v>
      </c>
      <c r="R242" s="57">
        <f t="shared" si="100"/>
        <v>-7723.195175075135</v>
      </c>
      <c r="S242" s="41">
        <f t="shared" si="101"/>
        <v>-19193.352839727122</v>
      </c>
      <c r="U242" s="41">
        <v>236</v>
      </c>
      <c r="V242" s="41">
        <f t="shared" si="123"/>
        <v>118</v>
      </c>
      <c r="W242" s="57">
        <f t="shared" si="124"/>
        <v>847.96650632639</v>
      </c>
      <c r="X242" s="57">
        <f t="shared" si="125"/>
        <v>-9787.7808638123188</v>
      </c>
      <c r="Y242" s="57">
        <f t="shared" si="126"/>
        <v>-268.97507573578866</v>
      </c>
      <c r="Z242" s="57">
        <f t="shared" si="127"/>
        <v>-15421.45599793667</v>
      </c>
      <c r="AA242" s="57">
        <f t="shared" si="102"/>
        <v>-306.50237409617398</v>
      </c>
      <c r="AB242" s="57">
        <f t="shared" si="103"/>
        <v>1171.5584273397174</v>
      </c>
      <c r="AC242" s="57">
        <f t="shared" si="104"/>
        <v>473.31795443253128</v>
      </c>
      <c r="AD242" s="57">
        <f t="shared" si="105"/>
        <v>427.24534070183336</v>
      </c>
      <c r="AE242" s="57">
        <f t="shared" si="106"/>
        <v>-144.61054444483929</v>
      </c>
      <c r="AF242" s="57">
        <f t="shared" si="107"/>
        <v>137.25663667018711</v>
      </c>
      <c r="AG242" s="57">
        <f t="shared" si="108"/>
        <v>-1493.7767248441987</v>
      </c>
      <c r="AH242" s="57">
        <f t="shared" si="109"/>
        <v>-1331.3844431225514</v>
      </c>
      <c r="AJ242" s="57">
        <f t="shared" si="110"/>
        <v>25800.537865284732</v>
      </c>
      <c r="AK242" s="57">
        <f t="shared" si="111"/>
        <v>28743.590223964089</v>
      </c>
      <c r="AL242" s="57">
        <f t="shared" si="112"/>
        <v>7833.6415914156005</v>
      </c>
      <c r="AN242" s="41">
        <v>237</v>
      </c>
      <c r="AO242" s="57">
        <f t="shared" si="113"/>
        <v>915.20723738729748</v>
      </c>
      <c r="AP242" s="57">
        <f t="shared" si="114"/>
        <v>8709.9707404093206</v>
      </c>
      <c r="AR242" s="41">
        <v>237</v>
      </c>
      <c r="AS242" s="57">
        <f t="shared" si="115"/>
        <v>13093.763377447405</v>
      </c>
      <c r="AT242" s="57">
        <f t="shared" si="116"/>
        <v>-7935.3469878089836</v>
      </c>
      <c r="AV242" s="57">
        <f t="shared" si="117"/>
        <v>292.62422544608188</v>
      </c>
      <c r="AW242" s="57">
        <f t="shared" si="118"/>
        <v>1746.9765566323936</v>
      </c>
      <c r="AX242" s="57">
        <f t="shared" si="119"/>
        <v>565.94271531425079</v>
      </c>
      <c r="AY242" s="57">
        <f t="shared" si="120"/>
        <v>191.4643364578547</v>
      </c>
      <c r="BA242" s="57">
        <f t="shared" si="121"/>
        <v>25133.114854410058</v>
      </c>
      <c r="BB242" s="57">
        <f t="shared" si="122"/>
        <v>14939.976492817756</v>
      </c>
    </row>
    <row r="243" spans="9:54" x14ac:dyDescent="0.25">
      <c r="I243" s="41">
        <v>238</v>
      </c>
      <c r="J243" s="57">
        <f t="shared" si="96"/>
        <v>17350.403678833976</v>
      </c>
      <c r="K243" s="57">
        <f t="shared" si="97"/>
        <v>3259.7595192178705</v>
      </c>
      <c r="M243" s="41">
        <v>238</v>
      </c>
      <c r="N243" s="57">
        <f t="shared" si="98"/>
        <v>-21854.717424816219</v>
      </c>
      <c r="O243" s="57">
        <f t="shared" si="99"/>
        <v>7031.831663452509</v>
      </c>
      <c r="Q243" s="41">
        <v>238</v>
      </c>
      <c r="R243" s="57">
        <f t="shared" si="100"/>
        <v>-7649.5963211660255</v>
      </c>
      <c r="S243" s="41">
        <f t="shared" si="101"/>
        <v>-19240.240480782129</v>
      </c>
      <c r="U243" s="41">
        <v>237</v>
      </c>
      <c r="V243" s="41">
        <f t="shared" si="123"/>
        <v>118.5</v>
      </c>
      <c r="W243" s="57">
        <f t="shared" si="124"/>
        <v>675.16617169647395</v>
      </c>
      <c r="X243" s="57">
        <f t="shared" si="125"/>
        <v>-17352.064059363191</v>
      </c>
      <c r="Y243" s="57">
        <f t="shared" si="126"/>
        <v>-422.22626278387565</v>
      </c>
      <c r="Z243" s="57">
        <f t="shared" si="127"/>
        <v>-14835.676784266811</v>
      </c>
      <c r="AA243" s="57">
        <f t="shared" si="102"/>
        <v>-1165.6043201768239</v>
      </c>
      <c r="AB243" s="57">
        <f t="shared" si="103"/>
        <v>2741.328674029467</v>
      </c>
      <c r="AC243" s="57">
        <f t="shared" si="104"/>
        <v>280.75849573821455</v>
      </c>
      <c r="AD243" s="57">
        <f t="shared" si="105"/>
        <v>361.06018728488516</v>
      </c>
      <c r="AE243" s="57">
        <f t="shared" si="106"/>
        <v>-86.646591512583456</v>
      </c>
      <c r="AF243" s="57">
        <f t="shared" si="107"/>
        <v>114.6284920709391</v>
      </c>
      <c r="AG243" s="57">
        <f t="shared" si="108"/>
        <v>-1838.1816567695812</v>
      </c>
      <c r="AH243" s="57">
        <f t="shared" si="109"/>
        <v>761.83161491040346</v>
      </c>
      <c r="AJ243" s="57">
        <f t="shared" si="110"/>
        <v>31481.332413070384</v>
      </c>
      <c r="AK243" s="57">
        <f t="shared" si="111"/>
        <v>34286.993226802049</v>
      </c>
      <c r="AL243" s="57">
        <f t="shared" si="112"/>
        <v>6143.2659405007089</v>
      </c>
      <c r="AN243" s="41">
        <v>238</v>
      </c>
      <c r="AO243" s="57">
        <f t="shared" si="113"/>
        <v>1025.6055182509626</v>
      </c>
      <c r="AP243" s="57">
        <f t="shared" si="114"/>
        <v>8639.6392788268058</v>
      </c>
      <c r="AR243" s="41">
        <v>238</v>
      </c>
      <c r="AS243" s="57">
        <f t="shared" si="115"/>
        <v>13145.282575183783</v>
      </c>
      <c r="AT243" s="57">
        <f t="shared" si="116"/>
        <v>-7968.168336547491</v>
      </c>
      <c r="AV243" s="57">
        <f t="shared" si="117"/>
        <v>164.88280521181761</v>
      </c>
      <c r="AW243" s="57">
        <f t="shared" si="118"/>
        <v>1233.411337469277</v>
      </c>
      <c r="AX243" s="57">
        <f t="shared" si="119"/>
        <v>313.58262715530844</v>
      </c>
      <c r="AY243" s="57">
        <f t="shared" si="120"/>
        <v>270.39704229396244</v>
      </c>
      <c r="BA243" s="57">
        <f t="shared" si="121"/>
        <v>32639.856564384256</v>
      </c>
      <c r="BB243" s="57">
        <f t="shared" si="122"/>
        <v>18914.924021394349</v>
      </c>
    </row>
    <row r="244" spans="9:54" x14ac:dyDescent="0.25">
      <c r="I244" s="41">
        <v>239</v>
      </c>
      <c r="J244" s="57">
        <f t="shared" si="96"/>
        <v>17424.809625449729</v>
      </c>
      <c r="K244" s="57">
        <f t="shared" si="97"/>
        <v>3214.1634964894392</v>
      </c>
      <c r="M244" s="41">
        <v>239</v>
      </c>
      <c r="N244" s="57">
        <f t="shared" si="98"/>
        <v>-21802.633262185191</v>
      </c>
      <c r="O244" s="57">
        <f t="shared" si="99"/>
        <v>6999.9144475426074</v>
      </c>
      <c r="Q244" s="41">
        <v>239</v>
      </c>
      <c r="R244" s="57">
        <f t="shared" si="100"/>
        <v>-7575.1903745502723</v>
      </c>
      <c r="S244" s="41">
        <f t="shared" si="101"/>
        <v>-19285.83650351056</v>
      </c>
      <c r="U244" s="41">
        <v>238</v>
      </c>
      <c r="V244" s="41">
        <f t="shared" si="123"/>
        <v>119</v>
      </c>
      <c r="W244" s="57">
        <f t="shared" si="124"/>
        <v>318.35250028243314</v>
      </c>
      <c r="X244" s="57">
        <f t="shared" si="125"/>
        <v>-24427.236367242913</v>
      </c>
      <c r="Y244" s="57">
        <f t="shared" si="126"/>
        <v>-1005.0284228722876</v>
      </c>
      <c r="Z244" s="57">
        <f t="shared" si="127"/>
        <v>-13465.012447252077</v>
      </c>
      <c r="AA244" s="57">
        <f t="shared" si="102"/>
        <v>-478.26474856696132</v>
      </c>
      <c r="AB244" s="57">
        <f t="shared" si="103"/>
        <v>3046.5805837834255</v>
      </c>
      <c r="AC244" s="57">
        <f t="shared" si="104"/>
        <v>176.20292517697959</v>
      </c>
      <c r="AD244" s="57">
        <f t="shared" si="105"/>
        <v>285.83341109049803</v>
      </c>
      <c r="AE244" s="57">
        <f t="shared" si="106"/>
        <v>-54.590004089817818</v>
      </c>
      <c r="AF244" s="57">
        <f t="shared" si="107"/>
        <v>92.496819024219192</v>
      </c>
      <c r="AG244" s="57">
        <f t="shared" si="108"/>
        <v>-870.18784950602787</v>
      </c>
      <c r="AH244" s="57">
        <f t="shared" si="109"/>
        <v>1542.4826655924894</v>
      </c>
      <c r="AJ244" s="57">
        <f t="shared" si="110"/>
        <v>37506.208424112097</v>
      </c>
      <c r="AK244" s="57">
        <f t="shared" si="111"/>
        <v>39975.868373454337</v>
      </c>
      <c r="AL244" s="57">
        <f t="shared" si="112"/>
        <v>10823.939155461276</v>
      </c>
      <c r="AN244" s="41">
        <v>239</v>
      </c>
      <c r="AO244" s="57">
        <f t="shared" si="113"/>
        <v>1137.2144381745911</v>
      </c>
      <c r="AP244" s="57">
        <f t="shared" si="114"/>
        <v>8571.2452447341602</v>
      </c>
      <c r="AR244" s="41">
        <v>239</v>
      </c>
      <c r="AS244" s="57">
        <f t="shared" si="115"/>
        <v>13197.366737814809</v>
      </c>
      <c r="AT244" s="57">
        <f t="shared" si="116"/>
        <v>-8000.0855524573926</v>
      </c>
      <c r="AV244" s="57">
        <f t="shared" si="117"/>
        <v>108.20489491083143</v>
      </c>
      <c r="AW244" s="57">
        <f t="shared" si="118"/>
        <v>911.26467082355134</v>
      </c>
      <c r="AX244" s="57">
        <f t="shared" si="119"/>
        <v>162.10528494107334</v>
      </c>
      <c r="AY244" s="57">
        <f t="shared" si="120"/>
        <v>214.50301725266718</v>
      </c>
      <c r="BA244" s="57">
        <f t="shared" si="121"/>
        <v>39704.216285805895</v>
      </c>
      <c r="BB244" s="57">
        <f t="shared" si="122"/>
        <v>24350.940149708567</v>
      </c>
    </row>
    <row r="245" spans="9:54" x14ac:dyDescent="0.25">
      <c r="I245" s="41">
        <v>240</v>
      </c>
      <c r="J245" s="57">
        <f t="shared" si="96"/>
        <v>17499.999999999996</v>
      </c>
      <c r="K245" s="57">
        <f t="shared" si="97"/>
        <v>3169.8729810778077</v>
      </c>
      <c r="M245" s="41">
        <v>240</v>
      </c>
      <c r="N245" s="57">
        <f t="shared" si="98"/>
        <v>-21750</v>
      </c>
      <c r="O245" s="57">
        <f t="shared" si="99"/>
        <v>6968.9110867544659</v>
      </c>
      <c r="Q245" s="41">
        <v>240</v>
      </c>
      <c r="R245" s="57">
        <f t="shared" si="100"/>
        <v>-7500.0000000000018</v>
      </c>
      <c r="S245" s="41">
        <f t="shared" si="101"/>
        <v>-19330.12701892219</v>
      </c>
      <c r="U245" s="41">
        <v>239</v>
      </c>
      <c r="V245" s="41">
        <f t="shared" si="123"/>
        <v>119.5</v>
      </c>
      <c r="W245" s="57">
        <f t="shared" si="124"/>
        <v>-243.94480472458082</v>
      </c>
      <c r="X245" s="57">
        <f t="shared" si="125"/>
        <v>-30778.920017896024</v>
      </c>
      <c r="Y245" s="57">
        <f t="shared" si="126"/>
        <v>-1244.1607971557683</v>
      </c>
      <c r="Z245" s="57">
        <f t="shared" si="127"/>
        <v>-11941.722155360363</v>
      </c>
      <c r="AA245" s="57">
        <f t="shared" si="102"/>
        <v>-88.163192018507246</v>
      </c>
      <c r="AB245" s="57">
        <f t="shared" si="103"/>
        <v>2327.7748188531523</v>
      </c>
      <c r="AC245" s="57">
        <f t="shared" si="104"/>
        <v>120.757033557231</v>
      </c>
      <c r="AD245" s="57">
        <f t="shared" si="105"/>
        <v>228.33735587230177</v>
      </c>
      <c r="AE245" s="57">
        <f t="shared" si="106"/>
        <v>-36.810786557000007</v>
      </c>
      <c r="AF245" s="57">
        <f t="shared" si="107"/>
        <v>75.981976460701958</v>
      </c>
      <c r="AG245" s="57">
        <f t="shared" si="108"/>
        <v>-347.64965788277306</v>
      </c>
      <c r="AH245" s="57">
        <f t="shared" si="109"/>
        <v>1153.3794122974912</v>
      </c>
      <c r="AJ245" s="57">
        <f t="shared" si="110"/>
        <v>43302.344266716282</v>
      </c>
      <c r="AK245" s="57">
        <f t="shared" si="111"/>
        <v>45312.493141568913</v>
      </c>
      <c r="AL245" s="57">
        <f t="shared" si="112"/>
        <v>16480.120689839205</v>
      </c>
      <c r="AN245" s="41">
        <v>240</v>
      </c>
      <c r="AO245" s="57">
        <f t="shared" si="113"/>
        <v>1249.9999999999968</v>
      </c>
      <c r="AP245" s="57">
        <f t="shared" si="114"/>
        <v>8504.8094716167125</v>
      </c>
      <c r="AR245" s="41">
        <v>240</v>
      </c>
      <c r="AS245" s="57">
        <f t="shared" si="115"/>
        <v>13249.999999999998</v>
      </c>
      <c r="AT245" s="57">
        <f t="shared" si="116"/>
        <v>-8031.0889132455341</v>
      </c>
      <c r="AV245" s="57">
        <f t="shared" si="117"/>
        <v>81.437706556229699</v>
      </c>
      <c r="AW245" s="57">
        <f t="shared" si="118"/>
        <v>710.94002582171208</v>
      </c>
      <c r="AX245" s="57">
        <f t="shared" si="119"/>
        <v>94.102512307805128</v>
      </c>
      <c r="AY245" s="57">
        <f t="shared" si="120"/>
        <v>159.13604840094499</v>
      </c>
      <c r="BA245" s="57">
        <f t="shared" si="121"/>
        <v>46078.286373517833</v>
      </c>
      <c r="BB245" s="57">
        <f t="shared" si="122"/>
        <v>29948.799149524675</v>
      </c>
    </row>
    <row r="246" spans="9:54" x14ac:dyDescent="0.25">
      <c r="I246" s="41">
        <v>241</v>
      </c>
      <c r="J246" s="57">
        <f t="shared" si="96"/>
        <v>17575.951898768315</v>
      </c>
      <c r="K246" s="57">
        <f t="shared" si="97"/>
        <v>3126.9014643030205</v>
      </c>
      <c r="M246" s="41">
        <v>241</v>
      </c>
      <c r="N246" s="57">
        <f t="shared" si="98"/>
        <v>-21696.833670862179</v>
      </c>
      <c r="O246" s="57">
        <f t="shared" si="99"/>
        <v>6938.831025012114</v>
      </c>
      <c r="Q246" s="41">
        <v>241</v>
      </c>
      <c r="R246" s="57">
        <f t="shared" si="100"/>
        <v>-7424.0481012316841</v>
      </c>
      <c r="S246" s="41">
        <f t="shared" si="101"/>
        <v>-19373.09853569698</v>
      </c>
      <c r="U246" s="41">
        <v>240</v>
      </c>
      <c r="V246" s="41">
        <f t="shared" si="123"/>
        <v>120</v>
      </c>
      <c r="W246" s="57">
        <f t="shared" si="124"/>
        <v>-877.0456023047783</v>
      </c>
      <c r="X246" s="57">
        <f t="shared" si="125"/>
        <v>-36458.809243219563</v>
      </c>
      <c r="Y246" s="57">
        <f t="shared" si="126"/>
        <v>-1288.2423931650219</v>
      </c>
      <c r="Z246" s="57">
        <f t="shared" si="127"/>
        <v>-10777.834745933787</v>
      </c>
      <c r="AA246" s="57">
        <f t="shared" si="102"/>
        <v>35.00275671919956</v>
      </c>
      <c r="AB246" s="57">
        <f t="shared" si="103"/>
        <v>1763.1357918535018</v>
      </c>
      <c r="AC246" s="57">
        <f t="shared" si="104"/>
        <v>89.143517140505253</v>
      </c>
      <c r="AD246" s="57">
        <f t="shared" si="105"/>
        <v>187.70102532211433</v>
      </c>
      <c r="AE246" s="57">
        <f t="shared" si="106"/>
        <v>-26.312409700822531</v>
      </c>
      <c r="AF246" s="57">
        <f t="shared" si="107"/>
        <v>63.925437335524258</v>
      </c>
      <c r="AG246" s="57">
        <f t="shared" si="108"/>
        <v>-155.56166442307705</v>
      </c>
      <c r="AH246" s="57">
        <f t="shared" si="109"/>
        <v>809.65437897606125</v>
      </c>
      <c r="AJ246" s="57">
        <f t="shared" si="110"/>
        <v>48664.44228759309</v>
      </c>
      <c r="AK246" s="57">
        <f t="shared" si="111"/>
        <v>50240.50498546163</v>
      </c>
      <c r="AL246" s="57">
        <f t="shared" si="112"/>
        <v>21851.298522109842</v>
      </c>
      <c r="AN246" s="41">
        <v>241</v>
      </c>
      <c r="AO246" s="57">
        <f t="shared" si="113"/>
        <v>1363.9278481524739</v>
      </c>
      <c r="AP246" s="57">
        <f t="shared" si="114"/>
        <v>8440.3521964545307</v>
      </c>
      <c r="AR246" s="41">
        <v>241</v>
      </c>
      <c r="AS246" s="57">
        <f t="shared" si="115"/>
        <v>13303.166329137821</v>
      </c>
      <c r="AT246" s="57">
        <f t="shared" si="116"/>
        <v>-8061.168974987886</v>
      </c>
      <c r="AV246" s="57">
        <f t="shared" si="117"/>
        <v>66.243147649932538</v>
      </c>
      <c r="AW246" s="57">
        <f t="shared" si="118"/>
        <v>580.01821480702699</v>
      </c>
      <c r="AX246" s="57">
        <f t="shared" si="119"/>
        <v>61.490166052661344</v>
      </c>
      <c r="AY246" s="57">
        <f t="shared" si="120"/>
        <v>121.83673541277489</v>
      </c>
      <c r="BA246" s="57">
        <f t="shared" si="121"/>
        <v>51793.326922892578</v>
      </c>
      <c r="BB246" s="57">
        <f t="shared" si="122"/>
        <v>35238.292467980653</v>
      </c>
    </row>
    <row r="247" spans="9:54" x14ac:dyDescent="0.25">
      <c r="I247" s="41">
        <v>242</v>
      </c>
      <c r="J247" s="57">
        <f t="shared" si="96"/>
        <v>17652.642186070545</v>
      </c>
      <c r="K247" s="57">
        <f t="shared" si="97"/>
        <v>3085.2620357053647</v>
      </c>
      <c r="M247" s="41">
        <v>242</v>
      </c>
      <c r="N247" s="57">
        <f t="shared" si="98"/>
        <v>-21643.150469750617</v>
      </c>
      <c r="O247" s="57">
        <f t="shared" si="99"/>
        <v>6909.6834249937556</v>
      </c>
      <c r="Q247" s="41">
        <v>242</v>
      </c>
      <c r="R247" s="57">
        <f t="shared" si="100"/>
        <v>-7347.3578139294532</v>
      </c>
      <c r="S247" s="41">
        <f t="shared" si="101"/>
        <v>-19414.737964294636</v>
      </c>
      <c r="U247" s="41">
        <v>241</v>
      </c>
      <c r="V247" s="41">
        <f t="shared" si="123"/>
        <v>120.5</v>
      </c>
      <c r="W247" s="57">
        <f t="shared" si="124"/>
        <v>-1516.7914542973892</v>
      </c>
      <c r="X247" s="57">
        <f t="shared" si="125"/>
        <v>-41627.334642204769</v>
      </c>
      <c r="Y247" s="57">
        <f t="shared" si="126"/>
        <v>-1270.7410148054221</v>
      </c>
      <c r="Z247" s="57">
        <f t="shared" si="127"/>
        <v>-9896.2668500070358</v>
      </c>
      <c r="AA247" s="57">
        <f t="shared" si="102"/>
        <v>72.186395480229734</v>
      </c>
      <c r="AB247" s="57">
        <f t="shared" si="103"/>
        <v>1391.4491113955728</v>
      </c>
      <c r="AC247" s="57">
        <f t="shared" si="104"/>
        <v>69.378427843273187</v>
      </c>
      <c r="AD247" s="57">
        <f t="shared" si="105"/>
        <v>158.40545970090764</v>
      </c>
      <c r="AE247" s="57">
        <f t="shared" si="106"/>
        <v>-19.648880186967673</v>
      </c>
      <c r="AF247" s="57">
        <f t="shared" si="107"/>
        <v>54.883290974554413</v>
      </c>
      <c r="AG247" s="57">
        <f t="shared" si="108"/>
        <v>-77.507938277442548</v>
      </c>
      <c r="AH247" s="57">
        <f t="shared" si="109"/>
        <v>592.50825291154433</v>
      </c>
      <c r="AJ247" s="57">
        <f t="shared" si="110"/>
        <v>53632.707590936501</v>
      </c>
      <c r="AK247" s="57">
        <f t="shared" si="111"/>
        <v>54836.216868071155</v>
      </c>
      <c r="AL247" s="57">
        <f t="shared" si="112"/>
        <v>26854.193190651135</v>
      </c>
      <c r="AN247" s="41">
        <v>242</v>
      </c>
      <c r="AO247" s="57">
        <f t="shared" si="113"/>
        <v>1478.9632791058193</v>
      </c>
      <c r="AP247" s="57">
        <f t="shared" si="114"/>
        <v>8377.8930535580475</v>
      </c>
      <c r="AR247" s="41">
        <v>242</v>
      </c>
      <c r="AS247" s="57">
        <f t="shared" si="115"/>
        <v>13356.849530249383</v>
      </c>
      <c r="AT247" s="57">
        <f t="shared" si="116"/>
        <v>-8090.3165750062444</v>
      </c>
      <c r="AV247" s="57">
        <f t="shared" si="117"/>
        <v>56.239095165058444</v>
      </c>
      <c r="AW247" s="57">
        <f t="shared" si="118"/>
        <v>488.68681531714304</v>
      </c>
      <c r="AX247" s="57">
        <f t="shared" si="119"/>
        <v>43.725690936308325</v>
      </c>
      <c r="AY247" s="57">
        <f t="shared" si="120"/>
        <v>96.96529249142317</v>
      </c>
      <c r="BA247" s="57">
        <f t="shared" si="121"/>
        <v>57001.084196171636</v>
      </c>
      <c r="BB247" s="57">
        <f t="shared" si="122"/>
        <v>40179.174244088252</v>
      </c>
    </row>
    <row r="248" spans="9:54" x14ac:dyDescent="0.25">
      <c r="I248" s="41">
        <v>243</v>
      </c>
      <c r="J248" s="57">
        <f t="shared" si="96"/>
        <v>17730.047501302266</v>
      </c>
      <c r="K248" s="57">
        <f t="shared" si="97"/>
        <v>3044.967379058161</v>
      </c>
      <c r="M248" s="41">
        <v>243</v>
      </c>
      <c r="N248" s="57">
        <f t="shared" si="98"/>
        <v>-21588.966749088413</v>
      </c>
      <c r="O248" s="57">
        <f t="shared" si="99"/>
        <v>6881.4771653407133</v>
      </c>
      <c r="Q248" s="41">
        <v>243</v>
      </c>
      <c r="R248" s="57">
        <f t="shared" si="100"/>
        <v>-7269.952498697734</v>
      </c>
      <c r="S248" s="41">
        <f t="shared" si="101"/>
        <v>-19455.032620941838</v>
      </c>
      <c r="U248" s="41">
        <v>242</v>
      </c>
      <c r="V248" s="41">
        <f t="shared" si="123"/>
        <v>121</v>
      </c>
      <c r="W248" s="57">
        <f t="shared" si="124"/>
        <v>-2143.1386622650716</v>
      </c>
      <c r="X248" s="57">
        <f t="shared" si="125"/>
        <v>-46401.536928283844</v>
      </c>
      <c r="Y248" s="57">
        <f t="shared" si="126"/>
        <v>-1234.6478170653072</v>
      </c>
      <c r="Z248" s="57">
        <f t="shared" si="127"/>
        <v>-9200.542294309249</v>
      </c>
      <c r="AA248" s="57">
        <f t="shared" si="102"/>
        <v>81.648532292812803</v>
      </c>
      <c r="AB248" s="57">
        <f t="shared" si="103"/>
        <v>1139.9971277453512</v>
      </c>
      <c r="AC248" s="57">
        <f t="shared" si="104"/>
        <v>56.09674180351336</v>
      </c>
      <c r="AD248" s="57">
        <f t="shared" si="105"/>
        <v>136.55248454146553</v>
      </c>
      <c r="AE248" s="57">
        <f t="shared" si="106"/>
        <v>-15.168362911642539</v>
      </c>
      <c r="AF248" s="57">
        <f t="shared" si="107"/>
        <v>47.909818232991718</v>
      </c>
      <c r="AG248" s="57">
        <f t="shared" si="108"/>
        <v>-41.326811177861103</v>
      </c>
      <c r="AH248" s="57">
        <f t="shared" si="109"/>
        <v>454.24864349864617</v>
      </c>
      <c r="AJ248" s="57">
        <f t="shared" si="110"/>
        <v>58272.585947831809</v>
      </c>
      <c r="AK248" s="57">
        <f t="shared" si="111"/>
        <v>59160.805139109281</v>
      </c>
      <c r="AL248" s="57">
        <f t="shared" si="112"/>
        <v>31531.225446554065</v>
      </c>
      <c r="AN248" s="41">
        <v>243</v>
      </c>
      <c r="AO248" s="57">
        <f t="shared" si="113"/>
        <v>1595.0712519533981</v>
      </c>
      <c r="AP248" s="57">
        <f t="shared" si="114"/>
        <v>8317.451068587241</v>
      </c>
      <c r="AR248" s="41">
        <v>243</v>
      </c>
      <c r="AS248" s="57">
        <f t="shared" si="115"/>
        <v>13411.033250911585</v>
      </c>
      <c r="AT248" s="57">
        <f t="shared" si="116"/>
        <v>-8118.5228346592867</v>
      </c>
      <c r="AV248" s="57">
        <f t="shared" si="117"/>
        <v>49.045004836732382</v>
      </c>
      <c r="AW248" s="57">
        <f t="shared" si="118"/>
        <v>421.58479878585524</v>
      </c>
      <c r="AX248" s="57">
        <f t="shared" si="119"/>
        <v>33.001959742070703</v>
      </c>
      <c r="AY248" s="57">
        <f t="shared" si="120"/>
        <v>79.701382686392364</v>
      </c>
      <c r="BA248" s="57">
        <f t="shared" si="121"/>
        <v>61815.638531877601</v>
      </c>
      <c r="BB248" s="57">
        <f t="shared" si="122"/>
        <v>44810.428063316889</v>
      </c>
    </row>
    <row r="249" spans="9:54" x14ac:dyDescent="0.25">
      <c r="I249" s="41">
        <v>244</v>
      </c>
      <c r="J249" s="57">
        <f t="shared" si="96"/>
        <v>17808.144266054613</v>
      </c>
      <c r="K249" s="57">
        <f t="shared" si="97"/>
        <v>3006.029768504166</v>
      </c>
      <c r="M249" s="41">
        <v>244</v>
      </c>
      <c r="N249" s="57">
        <f t="shared" si="98"/>
        <v>-21534.299013761771</v>
      </c>
      <c r="O249" s="57">
        <f t="shared" si="99"/>
        <v>6854.2208379529166</v>
      </c>
      <c r="Q249" s="41">
        <v>244</v>
      </c>
      <c r="R249" s="57">
        <f t="shared" si="100"/>
        <v>-7191.8557339453891</v>
      </c>
      <c r="S249" s="41">
        <f t="shared" si="101"/>
        <v>-19493.970231495834</v>
      </c>
      <c r="U249" s="41">
        <v>243</v>
      </c>
      <c r="V249" s="41">
        <f t="shared" si="123"/>
        <v>121.5</v>
      </c>
      <c r="W249" s="57">
        <f t="shared" si="124"/>
        <v>-2750.2565042611236</v>
      </c>
      <c r="X249" s="57">
        <f t="shared" si="125"/>
        <v>-50859.308434470302</v>
      </c>
      <c r="Y249" s="57">
        <f t="shared" si="126"/>
        <v>-1193.8235509189008</v>
      </c>
      <c r="Z249" s="57">
        <f t="shared" si="127"/>
        <v>-8630.5437304365732</v>
      </c>
      <c r="AA249" s="57">
        <f t="shared" si="102"/>
        <v>81.543608718722169</v>
      </c>
      <c r="AB249" s="57">
        <f t="shared" si="103"/>
        <v>961.59706717413144</v>
      </c>
      <c r="AC249" s="57">
        <f t="shared" si="104"/>
        <v>46.67645306330941</v>
      </c>
      <c r="AD249" s="57">
        <f t="shared" si="105"/>
        <v>119.73515641190875</v>
      </c>
      <c r="AE249" s="57">
        <f t="shared" si="106"/>
        <v>-12.017857576741065</v>
      </c>
      <c r="AF249" s="57">
        <f t="shared" si="107"/>
        <v>42.400543588668107</v>
      </c>
      <c r="AG249" s="57">
        <f t="shared" si="108"/>
        <v>-22.70720694638138</v>
      </c>
      <c r="AH249" s="57">
        <f t="shared" si="109"/>
        <v>361.93670039179727</v>
      </c>
      <c r="AJ249" s="57">
        <f t="shared" si="110"/>
        <v>62636.914451139048</v>
      </c>
      <c r="AK249" s="57">
        <f t="shared" si="111"/>
        <v>63256.691928923799</v>
      </c>
      <c r="AL249" s="57">
        <f t="shared" si="112"/>
        <v>35929.811399381048</v>
      </c>
      <c r="AN249" s="41">
        <v>244</v>
      </c>
      <c r="AO249" s="57">
        <f t="shared" si="113"/>
        <v>1712.2163990819172</v>
      </c>
      <c r="AP249" s="57">
        <f t="shared" si="114"/>
        <v>8259.044652756249</v>
      </c>
      <c r="AR249" s="41">
        <v>244</v>
      </c>
      <c r="AS249" s="57">
        <f t="shared" si="115"/>
        <v>13465.700986238227</v>
      </c>
      <c r="AT249" s="57">
        <f t="shared" si="116"/>
        <v>-8145.7791620470834</v>
      </c>
      <c r="AV249" s="57">
        <f t="shared" si="117"/>
        <v>43.578370249979137</v>
      </c>
      <c r="AW249" s="57">
        <f t="shared" si="118"/>
        <v>370.31565675109715</v>
      </c>
      <c r="AX249" s="57">
        <f t="shared" si="119"/>
        <v>26.01384992855607</v>
      </c>
      <c r="AY249" s="57">
        <f t="shared" si="120"/>
        <v>67.209010030660124</v>
      </c>
      <c r="BA249" s="57">
        <f t="shared" si="121"/>
        <v>66313.761643783495</v>
      </c>
      <c r="BB249" s="57">
        <f t="shared" si="122"/>
        <v>49174.665998407589</v>
      </c>
    </row>
    <row r="250" spans="9:54" x14ac:dyDescent="0.25">
      <c r="I250" s="41">
        <v>245</v>
      </c>
      <c r="J250" s="57">
        <f t="shared" si="96"/>
        <v>17886.908691296499</v>
      </c>
      <c r="K250" s="57">
        <f t="shared" si="97"/>
        <v>2968.4610648167518</v>
      </c>
      <c r="M250" s="41">
        <v>245</v>
      </c>
      <c r="N250" s="57">
        <f t="shared" si="98"/>
        <v>-21479.16391609245</v>
      </c>
      <c r="O250" s="57">
        <f t="shared" si="99"/>
        <v>6827.9227453717258</v>
      </c>
      <c r="Q250" s="41">
        <v>245</v>
      </c>
      <c r="R250" s="57">
        <f t="shared" si="100"/>
        <v>-7113.0913087034996</v>
      </c>
      <c r="S250" s="41">
        <f t="shared" si="101"/>
        <v>-19531.538935183249</v>
      </c>
      <c r="U250" s="41">
        <v>244</v>
      </c>
      <c r="V250" s="41">
        <f t="shared" si="123"/>
        <v>122</v>
      </c>
      <c r="W250" s="57">
        <f t="shared" si="124"/>
        <v>-3336.9753286307337</v>
      </c>
      <c r="X250" s="57">
        <f t="shared" si="125"/>
        <v>-55054.380666291821</v>
      </c>
      <c r="Y250" s="57">
        <f t="shared" si="126"/>
        <v>-1153.0517465595397</v>
      </c>
      <c r="Z250" s="57">
        <f t="shared" si="127"/>
        <v>-8149.7451968495079</v>
      </c>
      <c r="AA250" s="57">
        <f t="shared" si="102"/>
        <v>78.099689067942563</v>
      </c>
      <c r="AB250" s="57">
        <f t="shared" si="103"/>
        <v>829.52925288097151</v>
      </c>
      <c r="AC250" s="57">
        <f t="shared" si="104"/>
        <v>39.712716456788783</v>
      </c>
      <c r="AD250" s="57">
        <f t="shared" si="105"/>
        <v>106.44928691691919</v>
      </c>
      <c r="AE250" s="57">
        <f t="shared" si="106"/>
        <v>-9.7225668888197685</v>
      </c>
      <c r="AF250" s="57">
        <f t="shared" si="107"/>
        <v>37.958028624030781</v>
      </c>
      <c r="AG250" s="57">
        <f t="shared" si="108"/>
        <v>-12.345298545706873</v>
      </c>
      <c r="AH250" s="57">
        <f t="shared" si="109"/>
        <v>297.33971834682683</v>
      </c>
      <c r="AJ250" s="57">
        <f t="shared" si="110"/>
        <v>66765.746891894087</v>
      </c>
      <c r="AK250" s="57">
        <f t="shared" si="111"/>
        <v>67154.514629125741</v>
      </c>
      <c r="AL250" s="57">
        <f t="shared" si="112"/>
        <v>40088.889503424696</v>
      </c>
      <c r="AN250" s="41">
        <v>245</v>
      </c>
      <c r="AO250" s="57">
        <f t="shared" si="113"/>
        <v>1830.3630369447505</v>
      </c>
      <c r="AP250" s="57">
        <f t="shared" si="114"/>
        <v>8202.6915972251263</v>
      </c>
      <c r="AR250" s="41">
        <v>245</v>
      </c>
      <c r="AS250" s="57">
        <f t="shared" si="115"/>
        <v>13520.83608390755</v>
      </c>
      <c r="AT250" s="57">
        <f t="shared" si="116"/>
        <v>-8172.0772546282742</v>
      </c>
      <c r="AV250" s="57">
        <f t="shared" si="117"/>
        <v>39.265414857276163</v>
      </c>
      <c r="AW250" s="57">
        <f t="shared" si="118"/>
        <v>329.9415208756858</v>
      </c>
      <c r="AX250" s="57">
        <f t="shared" si="119"/>
        <v>21.189423188404263</v>
      </c>
      <c r="AY250" s="57">
        <f t="shared" si="120"/>
        <v>57.84069811750885</v>
      </c>
      <c r="BA250" s="57">
        <f t="shared" si="121"/>
        <v>70548.716559324588</v>
      </c>
      <c r="BB250" s="57">
        <f t="shared" si="122"/>
        <v>53307.46371840308</v>
      </c>
    </row>
    <row r="251" spans="9:54" x14ac:dyDescent="0.25">
      <c r="I251" s="41">
        <v>246</v>
      </c>
      <c r="J251" s="57">
        <f t="shared" si="96"/>
        <v>17966.316784620998</v>
      </c>
      <c r="K251" s="57">
        <f t="shared" si="97"/>
        <v>2932.2727117869954</v>
      </c>
      <c r="M251" s="41">
        <v>246</v>
      </c>
      <c r="N251" s="57">
        <f t="shared" si="98"/>
        <v>-21423.578250765298</v>
      </c>
      <c r="O251" s="57">
        <f t="shared" si="99"/>
        <v>6802.5908982508972</v>
      </c>
      <c r="Q251" s="41">
        <v>246</v>
      </c>
      <c r="R251" s="57">
        <f t="shared" si="100"/>
        <v>-7033.6832153790001</v>
      </c>
      <c r="S251" s="41">
        <f t="shared" si="101"/>
        <v>-19567.727288213006</v>
      </c>
      <c r="U251" s="41">
        <v>245</v>
      </c>
      <c r="V251" s="41">
        <f t="shared" si="123"/>
        <v>122.5</v>
      </c>
      <c r="W251" s="57">
        <f t="shared" si="124"/>
        <v>-3903.7387407770107</v>
      </c>
      <c r="X251" s="57">
        <f t="shared" si="125"/>
        <v>-59025.56210810646</v>
      </c>
      <c r="Y251" s="57">
        <f t="shared" si="126"/>
        <v>-1114.0019020255684</v>
      </c>
      <c r="Z251" s="57">
        <f t="shared" si="127"/>
        <v>-7734.9805704090222</v>
      </c>
      <c r="AA251" s="57">
        <f t="shared" si="102"/>
        <v>73.63520132209679</v>
      </c>
      <c r="AB251" s="57">
        <f t="shared" si="103"/>
        <v>728.29748413482446</v>
      </c>
      <c r="AC251" s="57">
        <f t="shared" si="104"/>
        <v>34.394381414745432</v>
      </c>
      <c r="AD251" s="57">
        <f t="shared" si="105"/>
        <v>95.721660188383268</v>
      </c>
      <c r="AE251" s="57">
        <f t="shared" si="106"/>
        <v>-8.0014654870768442</v>
      </c>
      <c r="AF251" s="57">
        <f t="shared" si="107"/>
        <v>34.312667024935855</v>
      </c>
      <c r="AG251" s="57">
        <f t="shared" si="108"/>
        <v>-6.2322158446152169</v>
      </c>
      <c r="AH251" s="57">
        <f t="shared" si="109"/>
        <v>250.28413932341806</v>
      </c>
      <c r="AJ251" s="57">
        <f t="shared" si="110"/>
        <v>70689.73857347935</v>
      </c>
      <c r="AK251" s="57">
        <f t="shared" si="111"/>
        <v>70877.484794998367</v>
      </c>
      <c r="AL251" s="57">
        <f t="shared" si="112"/>
        <v>44039.208754054751</v>
      </c>
      <c r="AN251" s="41">
        <v>246</v>
      </c>
      <c r="AO251" s="57">
        <f t="shared" si="113"/>
        <v>1949.4751769314994</v>
      </c>
      <c r="AP251" s="57">
        <f t="shared" si="114"/>
        <v>8148.4090676804926</v>
      </c>
      <c r="AR251" s="41">
        <v>246</v>
      </c>
      <c r="AS251" s="57">
        <f t="shared" si="115"/>
        <v>13576.4217492347</v>
      </c>
      <c r="AT251" s="57">
        <f t="shared" si="116"/>
        <v>-8197.4091017491028</v>
      </c>
      <c r="AV251" s="57">
        <f t="shared" si="117"/>
        <v>35.768075822265807</v>
      </c>
      <c r="AW251" s="57">
        <f t="shared" si="118"/>
        <v>297.37529316112153</v>
      </c>
      <c r="AX251" s="57">
        <f t="shared" si="119"/>
        <v>17.706425416777616</v>
      </c>
      <c r="AY251" s="57">
        <f t="shared" si="120"/>
        <v>50.603724436965756</v>
      </c>
      <c r="BA251" s="57">
        <f t="shared" si="121"/>
        <v>74559.106814561164</v>
      </c>
      <c r="BB251" s="57">
        <f t="shared" si="122"/>
        <v>57237.336586151723</v>
      </c>
    </row>
    <row r="252" spans="9:54" x14ac:dyDescent="0.25">
      <c r="I252" s="41">
        <v>247</v>
      </c>
      <c r="J252" s="57">
        <f t="shared" si="96"/>
        <v>18046.344357553629</v>
      </c>
      <c r="K252" s="57">
        <f t="shared" si="97"/>
        <v>2897.4757327377984</v>
      </c>
      <c r="M252" s="41">
        <v>247</v>
      </c>
      <c r="N252" s="57">
        <f t="shared" si="98"/>
        <v>-21367.55894971246</v>
      </c>
      <c r="O252" s="57">
        <f t="shared" si="99"/>
        <v>6778.2330129164593</v>
      </c>
      <c r="Q252" s="41">
        <v>247</v>
      </c>
      <c r="R252" s="57">
        <f t="shared" si="100"/>
        <v>-6953.6556424463688</v>
      </c>
      <c r="S252" s="41">
        <f t="shared" si="101"/>
        <v>-19602.524267262201</v>
      </c>
      <c r="U252" s="41">
        <v>246</v>
      </c>
      <c r="V252" s="41">
        <f t="shared" si="123"/>
        <v>123</v>
      </c>
      <c r="W252" s="57">
        <f t="shared" si="124"/>
        <v>-4451.5352916245329</v>
      </c>
      <c r="X252" s="57">
        <f t="shared" si="125"/>
        <v>-62802.015207794117</v>
      </c>
      <c r="Y252" s="57">
        <f t="shared" si="126"/>
        <v>-1077.18430136452</v>
      </c>
      <c r="Z252" s="57">
        <f t="shared" si="127"/>
        <v>-7370.8318283416102</v>
      </c>
      <c r="AA252" s="57">
        <f t="shared" si="102"/>
        <v>69.052319431214798</v>
      </c>
      <c r="AB252" s="57">
        <f t="shared" si="103"/>
        <v>648.48273213199082</v>
      </c>
      <c r="AC252" s="57">
        <f t="shared" si="104"/>
        <v>30.224360317208095</v>
      </c>
      <c r="AD252" s="57">
        <f t="shared" si="105"/>
        <v>86.899796406405571</v>
      </c>
      <c r="AE252" s="57">
        <f t="shared" si="106"/>
        <v>-6.679732117342863</v>
      </c>
      <c r="AF252" s="57">
        <f t="shared" si="107"/>
        <v>31.276268642062938</v>
      </c>
      <c r="AG252" s="57">
        <f t="shared" si="108"/>
        <v>-2.4650382149036485</v>
      </c>
      <c r="AH252" s="57">
        <f t="shared" si="109"/>
        <v>214.84298339930999</v>
      </c>
      <c r="AJ252" s="57">
        <f t="shared" si="110"/>
        <v>74432.861831280388</v>
      </c>
      <c r="AK252" s="57">
        <f t="shared" si="111"/>
        <v>74443.859203452666</v>
      </c>
      <c r="AL252" s="57">
        <f t="shared" si="112"/>
        <v>47805.16155670341</v>
      </c>
      <c r="AN252" s="41">
        <v>247</v>
      </c>
      <c r="AO252" s="57">
        <f t="shared" si="113"/>
        <v>2069.5165363304463</v>
      </c>
      <c r="AP252" s="57">
        <f t="shared" si="114"/>
        <v>8096.213599106698</v>
      </c>
      <c r="AR252" s="41">
        <v>247</v>
      </c>
      <c r="AS252" s="57">
        <f t="shared" si="115"/>
        <v>13632.441050287542</v>
      </c>
      <c r="AT252" s="57">
        <f t="shared" si="116"/>
        <v>-8221.7669870835416</v>
      </c>
      <c r="AV252" s="57">
        <f t="shared" si="117"/>
        <v>32.871752228495481</v>
      </c>
      <c r="AW252" s="57">
        <f t="shared" si="118"/>
        <v>270.5897494827704</v>
      </c>
      <c r="AX252" s="57">
        <f t="shared" si="119"/>
        <v>15.100977217757732</v>
      </c>
      <c r="AY252" s="57">
        <f t="shared" si="120"/>
        <v>44.873934201441934</v>
      </c>
      <c r="BA252" s="57">
        <f t="shared" si="121"/>
        <v>78374.007743400813</v>
      </c>
      <c r="BB252" s="57">
        <f t="shared" si="122"/>
        <v>60987.172317491299</v>
      </c>
    </row>
    <row r="253" spans="9:54" x14ac:dyDescent="0.25">
      <c r="I253" s="41">
        <v>248</v>
      </c>
      <c r="J253" s="57">
        <f t="shared" si="96"/>
        <v>18126.967032920438</v>
      </c>
      <c r="K253" s="57">
        <f t="shared" si="97"/>
        <v>2864.0807271660633</v>
      </c>
      <c r="M253" s="41">
        <v>248</v>
      </c>
      <c r="N253" s="57">
        <f t="shared" si="98"/>
        <v>-21311.123076955693</v>
      </c>
      <c r="O253" s="57">
        <f t="shared" si="99"/>
        <v>6754.8565090162447</v>
      </c>
      <c r="Q253" s="41">
        <v>248</v>
      </c>
      <c r="R253" s="57">
        <f t="shared" si="100"/>
        <v>-6873.0329670795618</v>
      </c>
      <c r="S253" s="41">
        <f t="shared" si="101"/>
        <v>-19635.919272833937</v>
      </c>
      <c r="U253" s="41">
        <v>247</v>
      </c>
      <c r="V253" s="41">
        <f t="shared" si="123"/>
        <v>123.5</v>
      </c>
      <c r="W253" s="57">
        <f t="shared" si="124"/>
        <v>-4981.4959023778911</v>
      </c>
      <c r="X253" s="57">
        <f t="shared" si="125"/>
        <v>-66406.370780448429</v>
      </c>
      <c r="Y253" s="57">
        <f t="shared" si="126"/>
        <v>-1042.6581416489125</v>
      </c>
      <c r="Z253" s="57">
        <f t="shared" si="127"/>
        <v>-7046.5904622756152</v>
      </c>
      <c r="AA253" s="57">
        <f t="shared" si="102"/>
        <v>64.699074643120511</v>
      </c>
      <c r="AB253" s="57">
        <f t="shared" si="103"/>
        <v>584.08817617012448</v>
      </c>
      <c r="AC253" s="57">
        <f t="shared" si="104"/>
        <v>26.88303564401744</v>
      </c>
      <c r="AD253" s="57">
        <f t="shared" si="105"/>
        <v>79.53197069442291</v>
      </c>
      <c r="AE253" s="57">
        <f t="shared" si="106"/>
        <v>-5.644068656093955</v>
      </c>
      <c r="AF253" s="57">
        <f t="shared" si="107"/>
        <v>28.714098264693419</v>
      </c>
      <c r="AG253" s="57">
        <f t="shared" si="108"/>
        <v>-6.7455783627277277E-2</v>
      </c>
      <c r="AH253" s="57">
        <f t="shared" si="109"/>
        <v>187.39941256504818</v>
      </c>
      <c r="AJ253" s="57">
        <f t="shared" si="110"/>
        <v>78014.27292141896</v>
      </c>
      <c r="AK253" s="57">
        <f t="shared" si="111"/>
        <v>77868.407978907941</v>
      </c>
      <c r="AL253" s="57">
        <f t="shared" si="112"/>
        <v>51406.37411079069</v>
      </c>
      <c r="AN253" s="41">
        <v>248</v>
      </c>
      <c r="AO253" s="57">
        <f t="shared" si="113"/>
        <v>2190.4505493806578</v>
      </c>
      <c r="AP253" s="57">
        <f t="shared" si="114"/>
        <v>8046.1210907490949</v>
      </c>
      <c r="AR253" s="41">
        <v>248</v>
      </c>
      <c r="AS253" s="57">
        <f t="shared" si="115"/>
        <v>13688.876923044307</v>
      </c>
      <c r="AT253" s="57">
        <f t="shared" si="116"/>
        <v>-8245.1434909837553</v>
      </c>
      <c r="AV253" s="57">
        <f t="shared" si="117"/>
        <v>30.43254667604543</v>
      </c>
      <c r="AW253" s="57">
        <f t="shared" si="118"/>
        <v>248.19958879242407</v>
      </c>
      <c r="AX253" s="57">
        <f t="shared" si="119"/>
        <v>13.095016762778879</v>
      </c>
      <c r="AY253" s="57">
        <f t="shared" si="120"/>
        <v>40.243105853535901</v>
      </c>
      <c r="BA253" s="57">
        <f t="shared" si="121"/>
        <v>82016.019557724416</v>
      </c>
      <c r="BB253" s="57">
        <f t="shared" si="122"/>
        <v>64575.556915311659</v>
      </c>
    </row>
    <row r="254" spans="9:54" x14ac:dyDescent="0.25">
      <c r="I254" s="41">
        <v>249</v>
      </c>
      <c r="J254" s="57">
        <f t="shared" si="96"/>
        <v>18208.160252273497</v>
      </c>
      <c r="K254" s="57">
        <f t="shared" si="97"/>
        <v>2832.0978675139922</v>
      </c>
      <c r="M254" s="41">
        <v>249</v>
      </c>
      <c r="N254" s="57">
        <f t="shared" si="98"/>
        <v>-21254.287823408551</v>
      </c>
      <c r="O254" s="57">
        <f t="shared" si="99"/>
        <v>6732.4685072597949</v>
      </c>
      <c r="Q254" s="41">
        <v>249</v>
      </c>
      <c r="R254" s="57">
        <f t="shared" si="100"/>
        <v>-6791.8397477265034</v>
      </c>
      <c r="S254" s="41">
        <f t="shared" si="101"/>
        <v>-19667.902132486008</v>
      </c>
      <c r="U254" s="41">
        <v>248</v>
      </c>
      <c r="V254" s="41">
        <f t="shared" si="123"/>
        <v>124</v>
      </c>
      <c r="W254" s="57">
        <f t="shared" si="124"/>
        <v>-5494.7375888719571</v>
      </c>
      <c r="X254" s="57">
        <f t="shared" si="125"/>
        <v>-69856.654989564966</v>
      </c>
      <c r="Y254" s="57">
        <f t="shared" si="126"/>
        <v>-1010.3086043273523</v>
      </c>
      <c r="Z254" s="57">
        <f t="shared" si="127"/>
        <v>-6754.5463741905533</v>
      </c>
      <c r="AA254" s="57">
        <f t="shared" si="102"/>
        <v>60.695352104515592</v>
      </c>
      <c r="AB254" s="57">
        <f t="shared" si="103"/>
        <v>531.13588257050731</v>
      </c>
      <c r="AC254" s="57">
        <f t="shared" si="104"/>
        <v>24.156623961318978</v>
      </c>
      <c r="AD254" s="57">
        <f t="shared" si="105"/>
        <v>73.296523212855391</v>
      </c>
      <c r="AE254" s="57">
        <f t="shared" si="106"/>
        <v>-4.8184889092832828</v>
      </c>
      <c r="AF254" s="57">
        <f t="shared" si="107"/>
        <v>26.527503983966614</v>
      </c>
      <c r="AG254" s="57">
        <f t="shared" si="108"/>
        <v>1.4939574950759684</v>
      </c>
      <c r="AH254" s="57">
        <f t="shared" si="109"/>
        <v>165.65046343722929</v>
      </c>
      <c r="AJ254" s="57">
        <f t="shared" si="110"/>
        <v>81449.577751514633</v>
      </c>
      <c r="AK254" s="57">
        <f t="shared" si="111"/>
        <v>81163.341378593424</v>
      </c>
      <c r="AL254" s="57">
        <f t="shared" si="112"/>
        <v>54858.885897600994</v>
      </c>
      <c r="AN254" s="41">
        <v>249</v>
      </c>
      <c r="AO254" s="57">
        <f t="shared" si="113"/>
        <v>2312.2403784102448</v>
      </c>
      <c r="AP254" s="57">
        <f t="shared" si="114"/>
        <v>7998.1468012709875</v>
      </c>
      <c r="AR254" s="41">
        <v>249</v>
      </c>
      <c r="AS254" s="57">
        <f t="shared" si="115"/>
        <v>13745.712176591447</v>
      </c>
      <c r="AT254" s="57">
        <f t="shared" si="116"/>
        <v>-8267.5314927402051</v>
      </c>
      <c r="AV254" s="57">
        <f t="shared" si="117"/>
        <v>28.349844430989993</v>
      </c>
      <c r="AW254" s="57">
        <f t="shared" si="118"/>
        <v>229.22659547383068</v>
      </c>
      <c r="AX254" s="57">
        <f t="shared" si="119"/>
        <v>11.513415126413934</v>
      </c>
      <c r="AY254" s="57">
        <f t="shared" si="120"/>
        <v>36.434796462625357</v>
      </c>
      <c r="BA254" s="57">
        <f t="shared" si="121"/>
        <v>85503.166099726062</v>
      </c>
      <c r="BB254" s="57">
        <f t="shared" si="122"/>
        <v>68017.791534804943</v>
      </c>
    </row>
    <row r="255" spans="9:54" x14ac:dyDescent="0.25">
      <c r="I255" s="41">
        <v>250</v>
      </c>
      <c r="J255" s="57">
        <f t="shared" si="96"/>
        <v>18289.899283371655</v>
      </c>
      <c r="K255" s="57">
        <f t="shared" si="97"/>
        <v>2801.5368960704591</v>
      </c>
      <c r="M255" s="41">
        <v>250</v>
      </c>
      <c r="N255" s="57">
        <f t="shared" si="98"/>
        <v>-21197.070501639842</v>
      </c>
      <c r="O255" s="57">
        <f t="shared" si="99"/>
        <v>6711.0758272493213</v>
      </c>
      <c r="Q255" s="41">
        <v>250</v>
      </c>
      <c r="R255" s="57">
        <f t="shared" si="100"/>
        <v>-6710.1007166283471</v>
      </c>
      <c r="S255" s="41">
        <f t="shared" si="101"/>
        <v>-19698.463103929542</v>
      </c>
      <c r="U255" s="41">
        <v>249</v>
      </c>
      <c r="V255" s="41">
        <f t="shared" si="123"/>
        <v>124.5</v>
      </c>
      <c r="W255" s="57">
        <f t="shared" si="124"/>
        <v>-5992.304972022569</v>
      </c>
      <c r="X255" s="57">
        <f t="shared" si="125"/>
        <v>-73167.536191338921</v>
      </c>
      <c r="Y255" s="57">
        <f t="shared" si="126"/>
        <v>-979.96092827509449</v>
      </c>
      <c r="Z255" s="57">
        <f t="shared" si="127"/>
        <v>-6488.9784329053</v>
      </c>
      <c r="AA255" s="57">
        <f t="shared" si="102"/>
        <v>57.065047184885948</v>
      </c>
      <c r="AB255" s="57">
        <f t="shared" si="103"/>
        <v>486.89224675770731</v>
      </c>
      <c r="AC255" s="57">
        <f t="shared" si="104"/>
        <v>21.897334424173398</v>
      </c>
      <c r="AD255" s="57">
        <f t="shared" si="105"/>
        <v>67.958729287655316</v>
      </c>
      <c r="AE255" s="57">
        <f t="shared" si="106"/>
        <v>-4.1505244755300117</v>
      </c>
      <c r="AF255" s="57">
        <f t="shared" si="107"/>
        <v>24.642804818511383</v>
      </c>
      <c r="AG255" s="57">
        <f t="shared" si="108"/>
        <v>2.5260561915851945</v>
      </c>
      <c r="AH255" s="57">
        <f t="shared" si="109"/>
        <v>148.07389773115605</v>
      </c>
      <c r="AJ255" s="57">
        <f t="shared" si="110"/>
        <v>84751.703894019753</v>
      </c>
      <c r="AK255" s="57">
        <f t="shared" si="111"/>
        <v>84338.926932552873</v>
      </c>
      <c r="AL255" s="57">
        <f t="shared" si="112"/>
        <v>58175.999653879808</v>
      </c>
      <c r="AN255" s="41">
        <v>250</v>
      </c>
      <c r="AO255" s="57">
        <f t="shared" si="113"/>
        <v>2434.8489250574798</v>
      </c>
      <c r="AP255" s="57">
        <f t="shared" si="114"/>
        <v>7952.3053441056882</v>
      </c>
      <c r="AR255" s="41">
        <v>250</v>
      </c>
      <c r="AS255" s="57">
        <f t="shared" si="115"/>
        <v>13802.929498360158</v>
      </c>
      <c r="AT255" s="57">
        <f t="shared" si="116"/>
        <v>-8288.9241727506778</v>
      </c>
      <c r="AV255" s="57">
        <f t="shared" si="117"/>
        <v>26.550925170285371</v>
      </c>
      <c r="AW255" s="57">
        <f t="shared" si="118"/>
        <v>212.96076317230668</v>
      </c>
      <c r="AX255" s="57">
        <f t="shared" si="119"/>
        <v>10.241255874371992</v>
      </c>
      <c r="AY255" s="57">
        <f t="shared" si="120"/>
        <v>33.256051748077887</v>
      </c>
      <c r="BA255" s="57">
        <f t="shared" si="121"/>
        <v>88850.127780712908</v>
      </c>
      <c r="BB255" s="57">
        <f t="shared" si="122"/>
        <v>71326.641996072591</v>
      </c>
    </row>
    <row r="256" spans="9:54" x14ac:dyDescent="0.25">
      <c r="I256" s="41">
        <v>251</v>
      </c>
      <c r="J256" s="57">
        <f t="shared" si="96"/>
        <v>18372.159227714215</v>
      </c>
      <c r="K256" s="57">
        <f t="shared" si="97"/>
        <v>2772.4071220034157</v>
      </c>
      <c r="M256" s="41">
        <v>251</v>
      </c>
      <c r="N256" s="57">
        <f t="shared" si="98"/>
        <v>-21139.488540600047</v>
      </c>
      <c r="O256" s="57">
        <f t="shared" si="99"/>
        <v>6690.6849854023912</v>
      </c>
      <c r="Q256" s="41">
        <v>251</v>
      </c>
      <c r="R256" s="57">
        <f t="shared" si="100"/>
        <v>-6627.8407722857828</v>
      </c>
      <c r="S256" s="41">
        <f t="shared" si="101"/>
        <v>-19727.592877996583</v>
      </c>
      <c r="U256" s="41">
        <v>250</v>
      </c>
      <c r="V256" s="41">
        <f t="shared" si="123"/>
        <v>125</v>
      </c>
      <c r="W256" s="57">
        <f t="shared" si="124"/>
        <v>-6475.1523052620059</v>
      </c>
      <c r="X256" s="57">
        <f t="shared" si="125"/>
        <v>-76351.163876946855</v>
      </c>
      <c r="Y256" s="57">
        <f t="shared" si="126"/>
        <v>-951.42840468265149</v>
      </c>
      <c r="Z256" s="57">
        <f t="shared" si="127"/>
        <v>-6245.5323095264466</v>
      </c>
      <c r="AA256" s="57">
        <f t="shared" si="102"/>
        <v>53.792412946194091</v>
      </c>
      <c r="AB256" s="57">
        <f t="shared" si="103"/>
        <v>449.42102955261242</v>
      </c>
      <c r="AC256" s="57">
        <f t="shared" si="104"/>
        <v>20.000097642832365</v>
      </c>
      <c r="AD256" s="57">
        <f t="shared" si="105"/>
        <v>63.343600281036373</v>
      </c>
      <c r="AE256" s="57">
        <f t="shared" si="106"/>
        <v>-3.6030256750588721</v>
      </c>
      <c r="AF256" s="57">
        <f t="shared" si="107"/>
        <v>23.003989955532205</v>
      </c>
      <c r="AG256" s="57">
        <f t="shared" si="108"/>
        <v>3.2130603780088998</v>
      </c>
      <c r="AH256" s="57">
        <f t="shared" si="109"/>
        <v>133.630265223859</v>
      </c>
      <c r="AJ256" s="57">
        <f t="shared" si="110"/>
        <v>87931.515243997797</v>
      </c>
      <c r="AK256" s="57">
        <f t="shared" si="111"/>
        <v>87403.918722613293</v>
      </c>
      <c r="AL256" s="57">
        <f t="shared" si="112"/>
        <v>61368.895895068119</v>
      </c>
      <c r="AN256" s="41">
        <v>251</v>
      </c>
      <c r="AO256" s="57">
        <f t="shared" si="113"/>
        <v>2558.2388415713253</v>
      </c>
      <c r="AP256" s="57">
        <f t="shared" si="114"/>
        <v>7908.610683005124</v>
      </c>
      <c r="AR256" s="41">
        <v>251</v>
      </c>
      <c r="AS256" s="57">
        <f t="shared" si="115"/>
        <v>13860.511459399951</v>
      </c>
      <c r="AT256" s="57">
        <f t="shared" si="116"/>
        <v>-8309.3150145976088</v>
      </c>
      <c r="AV256" s="57">
        <f t="shared" si="117"/>
        <v>24.981794442317394</v>
      </c>
      <c r="AW256" s="57">
        <f t="shared" si="118"/>
        <v>198.87457153783109</v>
      </c>
      <c r="AX256" s="57">
        <f t="shared" si="119"/>
        <v>9.2004861580943054</v>
      </c>
      <c r="AY256" s="57">
        <f t="shared" si="120"/>
        <v>30.568602554353749</v>
      </c>
      <c r="BA256" s="57">
        <f t="shared" si="121"/>
        <v>92069.073320533425</v>
      </c>
      <c r="BB256" s="57">
        <f t="shared" si="122"/>
        <v>74512.88984551013</v>
      </c>
    </row>
    <row r="257" spans="9:54" x14ac:dyDescent="0.25">
      <c r="I257" s="41">
        <v>252</v>
      </c>
      <c r="J257" s="57">
        <f t="shared" si="96"/>
        <v>18454.915028125262</v>
      </c>
      <c r="K257" s="57">
        <f t="shared" si="97"/>
        <v>2744.717418524232</v>
      </c>
      <c r="M257" s="41">
        <v>252</v>
      </c>
      <c r="N257" s="57">
        <f t="shared" si="98"/>
        <v>-21081.559480312317</v>
      </c>
      <c r="O257" s="57">
        <f t="shared" si="99"/>
        <v>6671.302192966963</v>
      </c>
      <c r="Q257" s="41">
        <v>252</v>
      </c>
      <c r="R257" s="57">
        <f t="shared" si="100"/>
        <v>-6545.0849718747377</v>
      </c>
      <c r="S257" s="41">
        <f t="shared" si="101"/>
        <v>-19755.282581475767</v>
      </c>
      <c r="U257" s="41">
        <v>251</v>
      </c>
      <c r="V257" s="41">
        <f t="shared" si="123"/>
        <v>125.5</v>
      </c>
      <c r="W257" s="57">
        <f t="shared" si="124"/>
        <v>-6944.1424559850575</v>
      </c>
      <c r="X257" s="57">
        <f t="shared" si="125"/>
        <v>-79417.752403015998</v>
      </c>
      <c r="Y257" s="57">
        <f t="shared" si="126"/>
        <v>-924.53219820955439</v>
      </c>
      <c r="Z257" s="57">
        <f t="shared" si="127"/>
        <v>-6020.8217947501407</v>
      </c>
      <c r="AA257" s="57">
        <f t="shared" si="102"/>
        <v>50.846849305748741</v>
      </c>
      <c r="AB257" s="57">
        <f t="shared" si="103"/>
        <v>417.31461686731507</v>
      </c>
      <c r="AC257" s="57">
        <f t="shared" si="104"/>
        <v>18.388398499845593</v>
      </c>
      <c r="AD257" s="57">
        <f t="shared" si="105"/>
        <v>59.31820879096292</v>
      </c>
      <c r="AE257" s="57">
        <f t="shared" si="106"/>
        <v>-3.149108306243166</v>
      </c>
      <c r="AF257" s="57">
        <f t="shared" si="107"/>
        <v>21.567804785601158</v>
      </c>
      <c r="AG257" s="57">
        <f t="shared" si="108"/>
        <v>3.6695964396351908</v>
      </c>
      <c r="AH257" s="57">
        <f t="shared" si="109"/>
        <v>121.58942064131622</v>
      </c>
      <c r="AJ257" s="57">
        <f t="shared" si="110"/>
        <v>90998.255452950354</v>
      </c>
      <c r="AK257" s="57">
        <f t="shared" si="111"/>
        <v>90365.86668104658</v>
      </c>
      <c r="AL257" s="57">
        <f t="shared" si="112"/>
        <v>64447.08305691916</v>
      </c>
      <c r="AN257" s="41">
        <v>252</v>
      </c>
      <c r="AO257" s="57">
        <f t="shared" si="113"/>
        <v>2682.3725421878935</v>
      </c>
      <c r="AP257" s="57">
        <f t="shared" si="114"/>
        <v>7867.0761277863485</v>
      </c>
      <c r="AR257" s="41">
        <v>252</v>
      </c>
      <c r="AS257" s="57">
        <f t="shared" si="115"/>
        <v>13918.440519687683</v>
      </c>
      <c r="AT257" s="57">
        <f t="shared" si="116"/>
        <v>-8328.697807033037</v>
      </c>
      <c r="AV257" s="57">
        <f t="shared" si="117"/>
        <v>23.601453189368609</v>
      </c>
      <c r="AW257" s="57">
        <f t="shared" si="118"/>
        <v>186.56811669795158</v>
      </c>
      <c r="AX257" s="57">
        <f t="shared" si="119"/>
        <v>8.3365094831425157</v>
      </c>
      <c r="AY257" s="57">
        <f t="shared" si="120"/>
        <v>28.271065951483131</v>
      </c>
      <c r="BA257" s="57">
        <f t="shared" si="121"/>
        <v>95170.239612213321</v>
      </c>
      <c r="BB257" s="57">
        <f t="shared" si="122"/>
        <v>77585.74135010349</v>
      </c>
    </row>
    <row r="258" spans="9:54" x14ac:dyDescent="0.25">
      <c r="I258" s="41">
        <v>253</v>
      </c>
      <c r="J258" s="57">
        <f t="shared" si="96"/>
        <v>18538.141476386314</v>
      </c>
      <c r="K258" s="57">
        <f t="shared" si="97"/>
        <v>2718.4762201848234</v>
      </c>
      <c r="M258" s="41">
        <v>253</v>
      </c>
      <c r="N258" s="57">
        <f t="shared" si="98"/>
        <v>-21023.300966529579</v>
      </c>
      <c r="O258" s="57">
        <f t="shared" si="99"/>
        <v>6652.9333541293763</v>
      </c>
      <c r="Q258" s="41">
        <v>253</v>
      </c>
      <c r="R258" s="57">
        <f t="shared" si="100"/>
        <v>-6461.858523613686</v>
      </c>
      <c r="S258" s="41">
        <f t="shared" si="101"/>
        <v>-19781.523779815176</v>
      </c>
      <c r="U258" s="41">
        <v>252</v>
      </c>
      <c r="V258" s="41">
        <f t="shared" si="123"/>
        <v>126</v>
      </c>
      <c r="W258" s="57">
        <f t="shared" si="124"/>
        <v>-7400.0526989266154</v>
      </c>
      <c r="X258" s="57">
        <f t="shared" si="125"/>
        <v>-82375.998973282651</v>
      </c>
      <c r="Y258" s="57">
        <f t="shared" si="126"/>
        <v>-899.10877355668003</v>
      </c>
      <c r="Z258" s="57">
        <f t="shared" si="127"/>
        <v>-5812.1644863164829</v>
      </c>
      <c r="AA258" s="57">
        <f t="shared" si="102"/>
        <v>48.193909880099049</v>
      </c>
      <c r="AB258" s="57">
        <f t="shared" si="103"/>
        <v>389.5263965439533</v>
      </c>
      <c r="AC258" s="57">
        <f t="shared" si="104"/>
        <v>17.005340199030975</v>
      </c>
      <c r="AD258" s="57">
        <f t="shared" si="105"/>
        <v>55.779890464528314</v>
      </c>
      <c r="AE258" s="57">
        <f t="shared" si="106"/>
        <v>-2.7689399736111291</v>
      </c>
      <c r="AF258" s="57">
        <f t="shared" si="107"/>
        <v>20.300370314849875</v>
      </c>
      <c r="AG258" s="57">
        <f t="shared" si="108"/>
        <v>3.9691799143585058</v>
      </c>
      <c r="AH258" s="57">
        <f t="shared" si="109"/>
        <v>111.42566242574397</v>
      </c>
      <c r="AJ258" s="57">
        <f t="shared" si="110"/>
        <v>93959.874836812451</v>
      </c>
      <c r="AK258" s="57">
        <f t="shared" si="111"/>
        <v>93231.345899872889</v>
      </c>
      <c r="AL258" s="57">
        <f t="shared" si="112"/>
        <v>67418.732490350259</v>
      </c>
      <c r="AN258" s="41">
        <v>253</v>
      </c>
      <c r="AO258" s="57">
        <f t="shared" si="113"/>
        <v>2807.2122145794719</v>
      </c>
      <c r="AP258" s="57">
        <f t="shared" si="114"/>
        <v>7827.7143302772347</v>
      </c>
      <c r="AR258" s="41">
        <v>253</v>
      </c>
      <c r="AS258" s="57">
        <f t="shared" si="115"/>
        <v>13976.699033470421</v>
      </c>
      <c r="AT258" s="57">
        <f t="shared" si="116"/>
        <v>-8347.0666458706237</v>
      </c>
      <c r="AV258" s="57">
        <f t="shared" si="117"/>
        <v>22.378173360150257</v>
      </c>
      <c r="AW258" s="57">
        <f t="shared" si="118"/>
        <v>175.73288106513951</v>
      </c>
      <c r="AX258" s="57">
        <f t="shared" si="119"/>
        <v>7.6101563801704462</v>
      </c>
      <c r="AY258" s="57">
        <f t="shared" si="120"/>
        <v>26.28759227369164</v>
      </c>
      <c r="BA258" s="57">
        <f t="shared" si="121"/>
        <v>98162.347582873655</v>
      </c>
      <c r="BB258" s="57">
        <f t="shared" si="122"/>
        <v>80553.135122278924</v>
      </c>
    </row>
    <row r="259" spans="9:54" x14ac:dyDescent="0.25">
      <c r="I259" s="41">
        <v>254</v>
      </c>
      <c r="J259" s="57">
        <f t="shared" si="96"/>
        <v>18621.813220915006</v>
      </c>
      <c r="K259" s="57">
        <f t="shared" si="97"/>
        <v>2693.6915203084054</v>
      </c>
      <c r="M259" s="41">
        <v>254</v>
      </c>
      <c r="N259" s="57">
        <f t="shared" si="98"/>
        <v>-20964.730745359495</v>
      </c>
      <c r="O259" s="57">
        <f t="shared" si="99"/>
        <v>6635.5840642158837</v>
      </c>
      <c r="Q259" s="41">
        <v>254</v>
      </c>
      <c r="R259" s="57">
        <f t="shared" si="100"/>
        <v>-6378.1867790849947</v>
      </c>
      <c r="S259" s="41">
        <f t="shared" si="101"/>
        <v>-19806.308479691594</v>
      </c>
      <c r="U259" s="41">
        <v>253</v>
      </c>
      <c r="V259" s="41">
        <f t="shared" si="123"/>
        <v>126.5</v>
      </c>
      <c r="W259" s="57">
        <f t="shared" si="124"/>
        <v>-7843.5828469699427</v>
      </c>
      <c r="X259" s="57">
        <f t="shared" si="125"/>
        <v>-85233.390416872891</v>
      </c>
      <c r="Y259" s="57">
        <f t="shared" si="126"/>
        <v>-875.01181861663053</v>
      </c>
      <c r="Z259" s="57">
        <f t="shared" si="127"/>
        <v>-5617.4012880445061</v>
      </c>
      <c r="AA259" s="57">
        <f t="shared" si="102"/>
        <v>45.800080390522972</v>
      </c>
      <c r="AB259" s="57">
        <f t="shared" si="103"/>
        <v>365.2627561063523</v>
      </c>
      <c r="AC259" s="57">
        <f t="shared" si="104"/>
        <v>15.807832347510224</v>
      </c>
      <c r="AD259" s="57">
        <f t="shared" si="105"/>
        <v>52.648177383740148</v>
      </c>
      <c r="AE259" s="57">
        <f t="shared" si="106"/>
        <v>-2.4476394278879292</v>
      </c>
      <c r="AF259" s="57">
        <f t="shared" si="107"/>
        <v>19.174810990891487</v>
      </c>
      <c r="AG259" s="57">
        <f t="shared" si="108"/>
        <v>4.1601918389577337</v>
      </c>
      <c r="AH259" s="57">
        <f t="shared" si="109"/>
        <v>102.75219445283682</v>
      </c>
      <c r="AJ259" s="57">
        <f t="shared" si="110"/>
        <v>96823.276147650846</v>
      </c>
      <c r="AK259" s="57">
        <f t="shared" si="111"/>
        <v>96006.130680759248</v>
      </c>
      <c r="AL259" s="57">
        <f t="shared" si="112"/>
        <v>70290.931796757926</v>
      </c>
      <c r="AN259" s="41">
        <v>254</v>
      </c>
      <c r="AO259" s="57">
        <f t="shared" si="113"/>
        <v>2932.7198313725085</v>
      </c>
      <c r="AP259" s="57">
        <f t="shared" si="114"/>
        <v>7790.5372804626077</v>
      </c>
      <c r="AR259" s="41">
        <v>254</v>
      </c>
      <c r="AS259" s="57">
        <f t="shared" si="115"/>
        <v>14035.269254640503</v>
      </c>
      <c r="AT259" s="57">
        <f t="shared" si="116"/>
        <v>-8364.4159357841163</v>
      </c>
      <c r="AV259" s="57">
        <f t="shared" si="117"/>
        <v>21.286997259587082</v>
      </c>
      <c r="AW259" s="57">
        <f t="shared" si="118"/>
        <v>166.12715723840799</v>
      </c>
      <c r="AX259" s="57">
        <f t="shared" si="119"/>
        <v>6.9926983723558616</v>
      </c>
      <c r="AY259" s="57">
        <f t="shared" si="120"/>
        <v>24.560416040475847</v>
      </c>
      <c r="BA259" s="57">
        <f t="shared" si="121"/>
        <v>101052.90779986614</v>
      </c>
      <c r="BB259" s="57">
        <f t="shared" si="122"/>
        <v>83421.976811106128</v>
      </c>
    </row>
    <row r="260" spans="9:54" x14ac:dyDescent="0.25">
      <c r="I260" s="41">
        <v>255</v>
      </c>
      <c r="J260" s="57">
        <f t="shared" si="96"/>
        <v>18705.904774487397</v>
      </c>
      <c r="K260" s="57">
        <f t="shared" si="97"/>
        <v>2670.370868554658</v>
      </c>
      <c r="M260" s="41">
        <v>255</v>
      </c>
      <c r="N260" s="57">
        <f t="shared" si="98"/>
        <v>-20905.866657858824</v>
      </c>
      <c r="O260" s="57">
        <f t="shared" si="99"/>
        <v>6619.2596079882605</v>
      </c>
      <c r="Q260" s="41">
        <v>255</v>
      </c>
      <c r="R260" s="57">
        <f t="shared" si="100"/>
        <v>-6294.0952255126031</v>
      </c>
      <c r="S260" s="41">
        <f t="shared" si="101"/>
        <v>-19829.629131445341</v>
      </c>
      <c r="U260" s="41">
        <v>254</v>
      </c>
      <c r="V260" s="41">
        <f t="shared" si="123"/>
        <v>127</v>
      </c>
      <c r="W260" s="57">
        <f t="shared" si="124"/>
        <v>-8275.3637462294428</v>
      </c>
      <c r="X260" s="57">
        <f t="shared" si="125"/>
        <v>-87996.433216381847</v>
      </c>
      <c r="Y260" s="57">
        <f t="shared" si="126"/>
        <v>-852.11177842136908</v>
      </c>
      <c r="Z260" s="57">
        <f t="shared" si="127"/>
        <v>-5434.7699099913298</v>
      </c>
      <c r="AA260" s="57">
        <f t="shared" si="102"/>
        <v>43.634686041665958</v>
      </c>
      <c r="AB260" s="57">
        <f t="shared" si="103"/>
        <v>343.91147138977919</v>
      </c>
      <c r="AC260" s="57">
        <f t="shared" si="104"/>
        <v>14.762708173144446</v>
      </c>
      <c r="AD260" s="57">
        <f t="shared" si="105"/>
        <v>49.859163185393854</v>
      </c>
      <c r="AE260" s="57">
        <f t="shared" si="106"/>
        <v>-2.1738697499476101</v>
      </c>
      <c r="AF260" s="57">
        <f t="shared" si="107"/>
        <v>18.169559989832887</v>
      </c>
      <c r="AG260" s="57">
        <f t="shared" si="108"/>
        <v>4.2751833692185039</v>
      </c>
      <c r="AH260" s="57">
        <f t="shared" si="109"/>
        <v>95.278925175318179</v>
      </c>
      <c r="AJ260" s="57">
        <f t="shared" si="110"/>
        <v>99594.502619534498</v>
      </c>
      <c r="AK260" s="57">
        <f t="shared" si="111"/>
        <v>98695.329263425738</v>
      </c>
      <c r="AL260" s="57">
        <f t="shared" si="112"/>
        <v>73069.879362045001</v>
      </c>
      <c r="AN260" s="41">
        <v>255</v>
      </c>
      <c r="AO260" s="57">
        <f t="shared" si="113"/>
        <v>3058.8571617310954</v>
      </c>
      <c r="AP260" s="57">
        <f t="shared" si="114"/>
        <v>7755.5563028319875</v>
      </c>
      <c r="AR260" s="41">
        <v>255</v>
      </c>
      <c r="AS260" s="57">
        <f t="shared" si="115"/>
        <v>14094.133342141178</v>
      </c>
      <c r="AT260" s="57">
        <f t="shared" si="116"/>
        <v>-8380.7403920117395</v>
      </c>
      <c r="AV260" s="57">
        <f t="shared" si="117"/>
        <v>20.30801163650154</v>
      </c>
      <c r="AW260" s="57">
        <f t="shared" si="118"/>
        <v>157.55897949466893</v>
      </c>
      <c r="AX260" s="57">
        <f t="shared" si="119"/>
        <v>6.462652612749082</v>
      </c>
      <c r="AY260" s="57">
        <f t="shared" si="120"/>
        <v>23.044843544565303</v>
      </c>
      <c r="BA260" s="57">
        <f t="shared" si="121"/>
        <v>103848.44985791223</v>
      </c>
      <c r="BB260" s="57">
        <f t="shared" si="122"/>
        <v>86198.320657427103</v>
      </c>
    </row>
    <row r="261" spans="9:54" x14ac:dyDescent="0.25">
      <c r="I261" s="41">
        <v>256</v>
      </c>
      <c r="J261" s="57">
        <f t="shared" si="96"/>
        <v>18790.39052200166</v>
      </c>
      <c r="K261" s="57">
        <f t="shared" si="97"/>
        <v>2648.5213686200177</v>
      </c>
      <c r="M261" s="41">
        <v>256</v>
      </c>
      <c r="N261" s="57">
        <f t="shared" si="98"/>
        <v>-20846.726634598836</v>
      </c>
      <c r="O261" s="57">
        <f t="shared" si="99"/>
        <v>6603.9649580340119</v>
      </c>
      <c r="Q261" s="41">
        <v>256</v>
      </c>
      <c r="R261" s="57">
        <f t="shared" si="100"/>
        <v>-6209.6094779983387</v>
      </c>
      <c r="S261" s="41">
        <f t="shared" si="101"/>
        <v>-19851.478631379981</v>
      </c>
      <c r="U261" s="41">
        <v>255</v>
      </c>
      <c r="V261" s="41">
        <f t="shared" si="123"/>
        <v>127.5</v>
      </c>
      <c r="W261" s="57">
        <f t="shared" si="124"/>
        <v>-8695.9652996849181</v>
      </c>
      <c r="X261" s="57">
        <f t="shared" si="125"/>
        <v>-90670.829237453785</v>
      </c>
      <c r="Y261" s="57">
        <f t="shared" si="126"/>
        <v>-830.29443540053614</v>
      </c>
      <c r="Z261" s="57">
        <f t="shared" si="127"/>
        <v>-5262.8141742964399</v>
      </c>
      <c r="AA261" s="57">
        <f t="shared" si="102"/>
        <v>41.670472431588479</v>
      </c>
      <c r="AB261" s="57">
        <f t="shared" si="103"/>
        <v>324.99300385078664</v>
      </c>
      <c r="AC261" s="57">
        <f t="shared" si="104"/>
        <v>13.844068480882232</v>
      </c>
      <c r="AD261" s="57">
        <f t="shared" si="105"/>
        <v>47.361490320844112</v>
      </c>
      <c r="AE261" s="57">
        <f t="shared" si="106"/>
        <v>-1.9388756595926877</v>
      </c>
      <c r="AF261" s="57">
        <f t="shared" si="107"/>
        <v>17.267128561987736</v>
      </c>
      <c r="AG261" s="57">
        <f t="shared" si="108"/>
        <v>4.3364750011863977</v>
      </c>
      <c r="AH261" s="57">
        <f t="shared" si="109"/>
        <v>88.784561731474454</v>
      </c>
      <c r="AJ261" s="57">
        <f t="shared" si="110"/>
        <v>102278.88412399712</v>
      </c>
      <c r="AK261" s="57">
        <f t="shared" si="111"/>
        <v>101303.48987010522</v>
      </c>
      <c r="AL261" s="57">
        <f t="shared" si="112"/>
        <v>75761.035875840331</v>
      </c>
      <c r="AN261" s="41">
        <v>256</v>
      </c>
      <c r="AO261" s="57">
        <f t="shared" si="113"/>
        <v>3185.5857830024916</v>
      </c>
      <c r="AP261" s="57">
        <f t="shared" si="114"/>
        <v>7722.7820529300261</v>
      </c>
      <c r="AR261" s="41">
        <v>256</v>
      </c>
      <c r="AS261" s="57">
        <f t="shared" si="115"/>
        <v>14153.273365401163</v>
      </c>
      <c r="AT261" s="57">
        <f t="shared" si="116"/>
        <v>-8396.0350419659881</v>
      </c>
      <c r="AV261" s="57">
        <f t="shared" si="117"/>
        <v>19.425127952329234</v>
      </c>
      <c r="AW261" s="57">
        <f t="shared" si="118"/>
        <v>149.87402011112684</v>
      </c>
      <c r="AX261" s="57">
        <f t="shared" si="119"/>
        <v>6.0036766567832975</v>
      </c>
      <c r="AY261" s="57">
        <f t="shared" si="120"/>
        <v>21.705803125353516</v>
      </c>
      <c r="BA261" s="57">
        <f t="shared" si="121"/>
        <v>106554.69777171389</v>
      </c>
      <c r="BB261" s="57">
        <f t="shared" si="122"/>
        <v>88887.511798434527</v>
      </c>
    </row>
    <row r="262" spans="9:54" x14ac:dyDescent="0.25">
      <c r="I262" s="41">
        <v>257</v>
      </c>
      <c r="J262" s="57">
        <f t="shared" si="96"/>
        <v>18875.244728280675</v>
      </c>
      <c r="K262" s="57">
        <f t="shared" si="97"/>
        <v>2628.1496760738246</v>
      </c>
      <c r="M262" s="41">
        <v>257</v>
      </c>
      <c r="N262" s="57">
        <f t="shared" si="98"/>
        <v>-20787.328690203529</v>
      </c>
      <c r="O262" s="57">
        <f t="shared" si="99"/>
        <v>6589.7047732516767</v>
      </c>
      <c r="Q262" s="41">
        <v>257</v>
      </c>
      <c r="R262" s="57">
        <f t="shared" si="100"/>
        <v>-6124.7552717193266</v>
      </c>
      <c r="S262" s="41">
        <f t="shared" si="101"/>
        <v>-19871.850323926177</v>
      </c>
      <c r="U262" s="41">
        <v>256</v>
      </c>
      <c r="V262" s="41">
        <f t="shared" si="123"/>
        <v>128</v>
      </c>
      <c r="W262" s="57">
        <f t="shared" si="124"/>
        <v>-9105.9037083312378</v>
      </c>
      <c r="X262" s="57">
        <f t="shared" si="125"/>
        <v>-93261.61219912066</v>
      </c>
      <c r="Y262" s="57">
        <f t="shared" si="126"/>
        <v>-809.45919918474192</v>
      </c>
      <c r="Z262" s="57">
        <f t="shared" si="127"/>
        <v>-5100.3176723710467</v>
      </c>
      <c r="AA262" s="57">
        <f t="shared" si="102"/>
        <v>39.883587904083925</v>
      </c>
      <c r="AB262" s="57">
        <f t="shared" si="103"/>
        <v>308.12662240169362</v>
      </c>
      <c r="AC262" s="57">
        <f t="shared" si="104"/>
        <v>13.031426190917044</v>
      </c>
      <c r="AD262" s="57">
        <f t="shared" si="105"/>
        <v>45.113442462011463</v>
      </c>
      <c r="AE262" s="57">
        <f t="shared" si="106"/>
        <v>-1.7358118849207367</v>
      </c>
      <c r="AF262" s="57">
        <f t="shared" si="107"/>
        <v>16.453198954041309</v>
      </c>
      <c r="AG262" s="57">
        <f t="shared" si="108"/>
        <v>4.3596240456042166</v>
      </c>
      <c r="AH262" s="57">
        <f t="shared" si="109"/>
        <v>83.097712617744037</v>
      </c>
      <c r="AJ262" s="57">
        <f t="shared" si="110"/>
        <v>104881.15237565151</v>
      </c>
      <c r="AK262" s="57">
        <f t="shared" si="111"/>
        <v>103834.68538004888</v>
      </c>
      <c r="AL262" s="57">
        <f t="shared" si="112"/>
        <v>78369.243898787478</v>
      </c>
      <c r="AN262" s="41">
        <v>257</v>
      </c>
      <c r="AO262" s="57">
        <f t="shared" si="113"/>
        <v>3312.8670924210105</v>
      </c>
      <c r="AP262" s="57">
        <f t="shared" si="114"/>
        <v>7692.2245141107369</v>
      </c>
      <c r="AR262" s="41">
        <v>257</v>
      </c>
      <c r="AS262" s="57">
        <f t="shared" si="115"/>
        <v>14212.671309796471</v>
      </c>
      <c r="AT262" s="57">
        <f t="shared" si="116"/>
        <v>-8410.2952267483233</v>
      </c>
      <c r="AV262" s="57">
        <f t="shared" si="117"/>
        <v>18.625202450188524</v>
      </c>
      <c r="AW262" s="57">
        <f t="shared" si="118"/>
        <v>142.9468459792121</v>
      </c>
      <c r="AX262" s="57">
        <f t="shared" si="119"/>
        <v>5.6031471022948747</v>
      </c>
      <c r="AY262" s="57">
        <f t="shared" si="120"/>
        <v>20.51542238868473</v>
      </c>
      <c r="BA262" s="57">
        <f t="shared" si="121"/>
        <v>109176.70628564275</v>
      </c>
      <c r="BB262" s="57">
        <f t="shared" si="122"/>
        <v>91494.299175321867</v>
      </c>
    </row>
    <row r="263" spans="9:54" x14ac:dyDescent="0.25">
      <c r="I263" s="41">
        <v>258</v>
      </c>
      <c r="J263" s="57">
        <f t="shared" ref="J263:J326" si="128">$F$8*COS(I263*PI()/180)+$E$7</f>
        <v>18960.441545911202</v>
      </c>
      <c r="K263" s="57">
        <f t="shared" ref="K263:K326" si="129">$F$8*SIN(I263*PI()/180)+$G$7</f>
        <v>2609.2619963309717</v>
      </c>
      <c r="M263" s="41">
        <v>258</v>
      </c>
      <c r="N263" s="57">
        <f t="shared" ref="N263:N326" si="130">$F$19*COS(M263*PI()/180)+$E$18</f>
        <v>-20727.690917862161</v>
      </c>
      <c r="O263" s="57">
        <f t="shared" ref="O263:O326" si="131">$F$19*SIN(M263*PI()/180)+$G$18</f>
        <v>6576.4833974316807</v>
      </c>
      <c r="Q263" s="41">
        <v>258</v>
      </c>
      <c r="R263" s="57">
        <f t="shared" ref="R263:R326" si="132">$F$30*COS(Q263*PI()/180)+$E$29</f>
        <v>-6039.5584540887994</v>
      </c>
      <c r="S263" s="41">
        <f t="shared" ref="S263:S326" si="133">$F$30*SIN(Q263*PI()/180)+$G$29</f>
        <v>-19890.73800366903</v>
      </c>
      <c r="U263" s="41">
        <v>257</v>
      </c>
      <c r="V263" s="41">
        <f t="shared" si="123"/>
        <v>128.5</v>
      </c>
      <c r="W263" s="57">
        <f t="shared" si="124"/>
        <v>-9505.6478594355976</v>
      </c>
      <c r="X263" s="57">
        <f t="shared" si="125"/>
        <v>-95773.255207505979</v>
      </c>
      <c r="Y263" s="57">
        <f t="shared" si="126"/>
        <v>-789.51740523269996</v>
      </c>
      <c r="Z263" s="57">
        <f t="shared" si="127"/>
        <v>-4946.2543611701994</v>
      </c>
      <c r="AA263" s="57">
        <f t="shared" ref="AA263:AA326" si="134">AC263+AE263+AG263+AV263+AX263</f>
        <v>38.253314783517354</v>
      </c>
      <c r="AB263" s="57">
        <f t="shared" ref="AB263:AB326" si="135">AD263+AF263+AH263+AW263+AY263</f>
        <v>293.00635792498292</v>
      </c>
      <c r="AC263" s="57">
        <f t="shared" ref="AC263:AC326" si="136">(($E$7-W263)/(AJ263^2+$F$12^2)^(3/2))*$E$11</f>
        <v>12.308385552885312</v>
      </c>
      <c r="AD263" s="57">
        <f t="shared" ref="AD263:AD326" si="137">(($G$7-X263)/(AJ263^2+$F$12^2)^(3/2))*$E$11</f>
        <v>43.080804341295334</v>
      </c>
      <c r="AE263" s="57">
        <f t="shared" ref="AE263:AE326" si="138">(($E$18-W263)/(AK263^2+$F$23^2)^(3/2))*$E$22</f>
        <v>-1.5592663579195676</v>
      </c>
      <c r="AF263" s="57">
        <f t="shared" ref="AF263:AF326" si="139">(($G$18-X263)/(AK263^2+$F$23^2)^(3/2))*$E$22</f>
        <v>15.715946654314827</v>
      </c>
      <c r="AG263" s="57">
        <f t="shared" ref="AG263:AG326" si="140">(($E$29-W263)/(AL263^2+$F$34^2)^(3/2))*$E$33</f>
        <v>4.3556270100868728</v>
      </c>
      <c r="AH263" s="57">
        <f t="shared" ref="AH263:AH326" si="141">(($G$29-X263)/(AL263^2+$F$34^2)^(3/2))*$E$33</f>
        <v>78.08381459232011</v>
      </c>
      <c r="AJ263" s="57">
        <f t="shared" ref="AJ263:AJ326" si="142">SQRT(($E$7-W263)^2+($G$7-X263)^2)</f>
        <v>107405.53289640007</v>
      </c>
      <c r="AK263" s="57">
        <f t="shared" ref="AK263:AK326" si="143">SQRT(($E$18-W263)^2+($G$18-X263)^2)</f>
        <v>106292.58179215687</v>
      </c>
      <c r="AL263" s="57">
        <f t="shared" ref="AL263:AL326" si="144">SQRT(($E$29-W263)^2+($G$29-X263)^2)</f>
        <v>80898.823350220177</v>
      </c>
      <c r="AN263" s="41">
        <v>258</v>
      </c>
      <c r="AO263" s="57">
        <f t="shared" ref="AO263:AO326" si="145">$F$41*COS(AN263*PI()/180)+$E$40</f>
        <v>3440.6623188668018</v>
      </c>
      <c r="AP263" s="57">
        <f t="shared" ref="AP263:AP326" si="146">$F$41*SIN(AN263*PI()/180)+$G$40</f>
        <v>7663.8929944964584</v>
      </c>
      <c r="AR263" s="41">
        <v>258</v>
      </c>
      <c r="AS263" s="57">
        <f t="shared" ref="AS263:AS326" si="147">$F$52*COS(AR263*PI()/180)+$E$51</f>
        <v>14272.309082137841</v>
      </c>
      <c r="AT263" s="57">
        <f t="shared" ref="AT263:AT326" si="148">$F$52*SIN(AR263*PI()/180)+$G$51</f>
        <v>-8423.5166025683193</v>
      </c>
      <c r="AV263" s="57">
        <f t="shared" ref="AV263:AV326" si="149">(($E$40-W263)/(BA263^2+$F$45^2)^(3/2))*$E$44</f>
        <v>17.897389773501654</v>
      </c>
      <c r="AW263" s="57">
        <f t="shared" ref="AW263:AW326" si="150">(($G$40-X263)/(BA263^2+$F$45^2)^(3/2))*$E$44</f>
        <v>136.67449700557157</v>
      </c>
      <c r="AX263" s="57">
        <f t="shared" ref="AX263:AX326" si="151">(($E$51-W263)/(BB263^2+$F$56^2)^(3/2))*$E$55</f>
        <v>5.2511788049630814</v>
      </c>
      <c r="AY263" s="57">
        <f t="shared" ref="AY263:AY326" si="152">(($G$51-X263)/(BB263^2+$F$56^2)^(3/2))*$E$55</f>
        <v>19.451295331481123</v>
      </c>
      <c r="BA263" s="57">
        <f t="shared" ref="BA263:BA326" si="153">SQRT(($E$40-W263)^2+($G$40-X263)^2)</f>
        <v>111718.96834955647</v>
      </c>
      <c r="BB263" s="57">
        <f t="shared" ref="BB263:BB326" si="154">SQRT(($E$51-W263)^2+($G$51-X263)^2)</f>
        <v>94022.926129629006</v>
      </c>
    </row>
    <row r="264" spans="9:54" x14ac:dyDescent="0.25">
      <c r="I264" s="41">
        <v>259</v>
      </c>
      <c r="J264" s="57">
        <f t="shared" si="128"/>
        <v>19045.955023117273</v>
      </c>
      <c r="K264" s="57">
        <f t="shared" si="129"/>
        <v>2591.8640827616809</v>
      </c>
      <c r="M264" s="41">
        <v>259</v>
      </c>
      <c r="N264" s="57">
        <f t="shared" si="130"/>
        <v>-20667.83148381791</v>
      </c>
      <c r="O264" s="57">
        <f t="shared" si="131"/>
        <v>6564.3048579331771</v>
      </c>
      <c r="Q264" s="41">
        <v>259</v>
      </c>
      <c r="R264" s="57">
        <f t="shared" si="132"/>
        <v>-5954.0449768827275</v>
      </c>
      <c r="S264" s="41">
        <f t="shared" si="133"/>
        <v>-19908.13591723832</v>
      </c>
      <c r="U264" s="41">
        <v>258</v>
      </c>
      <c r="V264" s="41">
        <f t="shared" ref="V264:V327" si="155">V263+0.5</f>
        <v>129</v>
      </c>
      <c r="W264" s="57">
        <f t="shared" ref="W264:W327" si="156">W263+Y263*$F$3+((1/2)*AA263)*$F$3^2</f>
        <v>-9895.6248977040068</v>
      </c>
      <c r="X264" s="57">
        <f t="shared" ref="X264:X327" si="157">X263+Z263*$F$3+((1/2)*AB263)*$F$3^2</f>
        <v>-98209.756593350452</v>
      </c>
      <c r="Y264" s="57">
        <f t="shared" ref="Y264:Y327" si="158">Y263+AA263*$F$3</f>
        <v>-770.39074784094123</v>
      </c>
      <c r="Z264" s="57">
        <f t="shared" ref="Z264:Z327" si="159">Z263+AB263*$F$3</f>
        <v>-4799.7511822077076</v>
      </c>
      <c r="AA264" s="57">
        <f t="shared" si="134"/>
        <v>36.761715050559999</v>
      </c>
      <c r="AB264" s="57">
        <f t="shared" si="135"/>
        <v>279.38362548734477</v>
      </c>
      <c r="AC264" s="57">
        <f t="shared" si="136"/>
        <v>11.661685919483746</v>
      </c>
      <c r="AD264" s="57">
        <f t="shared" si="137"/>
        <v>41.235263829905918</v>
      </c>
      <c r="AE264" s="57">
        <f t="shared" si="138"/>
        <v>-1.4049163343607862</v>
      </c>
      <c r="AF264" s="57">
        <f t="shared" si="139"/>
        <v>15.045527609189646</v>
      </c>
      <c r="AG264" s="57">
        <f t="shared" si="140"/>
        <v>4.3323502418460267</v>
      </c>
      <c r="AH264" s="57">
        <f t="shared" si="141"/>
        <v>73.635913010863703</v>
      </c>
      <c r="AJ264" s="57">
        <f t="shared" si="142"/>
        <v>109855.81926802795</v>
      </c>
      <c r="AK264" s="57">
        <f t="shared" si="143"/>
        <v>108680.49419376069</v>
      </c>
      <c r="AL264" s="57">
        <f t="shared" si="144"/>
        <v>83353.648603187423</v>
      </c>
      <c r="AN264" s="41">
        <v>259</v>
      </c>
      <c r="AO264" s="57">
        <f t="shared" si="145"/>
        <v>3568.9325346759088</v>
      </c>
      <c r="AP264" s="57">
        <f t="shared" si="146"/>
        <v>7637.796124142521</v>
      </c>
      <c r="AR264" s="41">
        <v>259</v>
      </c>
      <c r="AS264" s="57">
        <f t="shared" si="147"/>
        <v>14332.168516182091</v>
      </c>
      <c r="AT264" s="57">
        <f t="shared" si="148"/>
        <v>-8435.6951420668229</v>
      </c>
      <c r="AV264" s="57">
        <f t="shared" si="149"/>
        <v>17.232660467005509</v>
      </c>
      <c r="AW264" s="57">
        <f t="shared" si="150"/>
        <v>130.97169875875812</v>
      </c>
      <c r="AX264" s="57">
        <f t="shared" si="151"/>
        <v>4.9399347565855072</v>
      </c>
      <c r="AY264" s="57">
        <f t="shared" si="152"/>
        <v>18.495222278627434</v>
      </c>
      <c r="BA264" s="57">
        <f t="shared" si="153"/>
        <v>114185.50095795331</v>
      </c>
      <c r="BB264" s="57">
        <f t="shared" si="154"/>
        <v>96477.203852717561</v>
      </c>
    </row>
    <row r="265" spans="9:54" x14ac:dyDescent="0.25">
      <c r="I265" s="41">
        <v>260</v>
      </c>
      <c r="J265" s="57">
        <f t="shared" si="128"/>
        <v>19131.759111665349</v>
      </c>
      <c r="K265" s="57">
        <f t="shared" si="129"/>
        <v>2575.9612349389599</v>
      </c>
      <c r="M265" s="41">
        <v>260</v>
      </c>
      <c r="N265" s="57">
        <f t="shared" si="130"/>
        <v>-20607.768621834257</v>
      </c>
      <c r="O265" s="57">
        <f t="shared" si="131"/>
        <v>6553.1728644572722</v>
      </c>
      <c r="Q265" s="41">
        <v>260</v>
      </c>
      <c r="R265" s="57">
        <f t="shared" si="132"/>
        <v>-5868.2408883346516</v>
      </c>
      <c r="S265" s="41">
        <f t="shared" si="133"/>
        <v>-19924.038765061039</v>
      </c>
      <c r="U265" s="41">
        <v>259</v>
      </c>
      <c r="V265" s="41">
        <f t="shared" si="155"/>
        <v>129.5</v>
      </c>
      <c r="W265" s="57">
        <f t="shared" si="156"/>
        <v>-10276.225057243159</v>
      </c>
      <c r="X265" s="57">
        <f t="shared" si="157"/>
        <v>-100574.7092312684</v>
      </c>
      <c r="Y265" s="57">
        <f t="shared" si="158"/>
        <v>-752.00989031566121</v>
      </c>
      <c r="Z265" s="57">
        <f t="shared" si="159"/>
        <v>-4660.0593694640356</v>
      </c>
      <c r="AA265" s="57">
        <f t="shared" si="134"/>
        <v>35.393267529432535</v>
      </c>
      <c r="AB265" s="57">
        <f t="shared" si="135"/>
        <v>267.05445910838824</v>
      </c>
      <c r="AC265" s="57">
        <f t="shared" si="136"/>
        <v>11.080498773172961</v>
      </c>
      <c r="AD265" s="57">
        <f t="shared" si="137"/>
        <v>39.553203240626715</v>
      </c>
      <c r="AE265" s="57">
        <f t="shared" si="138"/>
        <v>-1.2692767895052746</v>
      </c>
      <c r="AF265" s="57">
        <f t="shared" si="139"/>
        <v>14.433685760908016</v>
      </c>
      <c r="AG265" s="57">
        <f t="shared" si="140"/>
        <v>4.2954780767380827</v>
      </c>
      <c r="AH265" s="57">
        <f t="shared" si="141"/>
        <v>69.668045513246781</v>
      </c>
      <c r="AJ265" s="57">
        <f t="shared" si="142"/>
        <v>112235.43370584911</v>
      </c>
      <c r="AK265" s="57">
        <f t="shared" si="143"/>
        <v>111001.4329669529</v>
      </c>
      <c r="AL265" s="57">
        <f t="shared" si="144"/>
        <v>85737.211354643514</v>
      </c>
      <c r="AN265" s="41">
        <v>260</v>
      </c>
      <c r="AO265" s="57">
        <f t="shared" si="145"/>
        <v>3697.6386674980222</v>
      </c>
      <c r="AP265" s="57">
        <f t="shared" si="146"/>
        <v>7613.9418524084394</v>
      </c>
      <c r="AR265" s="41">
        <v>260</v>
      </c>
      <c r="AS265" s="57">
        <f t="shared" si="147"/>
        <v>14392.231378165743</v>
      </c>
      <c r="AT265" s="57">
        <f t="shared" si="148"/>
        <v>-8446.8271355427278</v>
      </c>
      <c r="AV265" s="57">
        <f t="shared" si="149"/>
        <v>16.623435607031752</v>
      </c>
      <c r="AW265" s="57">
        <f t="shared" si="150"/>
        <v>125.76724482050336</v>
      </c>
      <c r="AX265" s="57">
        <f t="shared" si="151"/>
        <v>4.6631318619950148</v>
      </c>
      <c r="AY265" s="57">
        <f t="shared" si="152"/>
        <v>17.632279773103356</v>
      </c>
      <c r="BA265" s="57">
        <f t="shared" si="153"/>
        <v>116579.91450456541</v>
      </c>
      <c r="BB265" s="57">
        <f t="shared" si="154"/>
        <v>98860.571502424093</v>
      </c>
    </row>
    <row r="266" spans="9:54" x14ac:dyDescent="0.25">
      <c r="I266" s="41">
        <v>261</v>
      </c>
      <c r="J266" s="57">
        <f t="shared" si="128"/>
        <v>19217.827674798846</v>
      </c>
      <c r="K266" s="57">
        <f t="shared" si="129"/>
        <v>2561.5582970243113</v>
      </c>
      <c r="M266" s="41">
        <v>261</v>
      </c>
      <c r="N266" s="57">
        <f t="shared" si="130"/>
        <v>-20547.52062764081</v>
      </c>
      <c r="O266" s="57">
        <f t="shared" si="131"/>
        <v>6543.0908079170185</v>
      </c>
      <c r="Q266" s="41">
        <v>261</v>
      </c>
      <c r="R266" s="57">
        <f t="shared" si="132"/>
        <v>-5782.1723252011552</v>
      </c>
      <c r="S266" s="41">
        <f t="shared" si="133"/>
        <v>-19938.441702975688</v>
      </c>
      <c r="U266" s="41">
        <v>260</v>
      </c>
      <c r="V266" s="41">
        <f t="shared" si="155"/>
        <v>130</v>
      </c>
      <c r="W266" s="57">
        <f t="shared" si="156"/>
        <v>-10647.80584395981</v>
      </c>
      <c r="X266" s="57">
        <f t="shared" si="157"/>
        <v>-102871.35710861186</v>
      </c>
      <c r="Y266" s="57">
        <f t="shared" si="158"/>
        <v>-734.31325655094497</v>
      </c>
      <c r="Z266" s="57">
        <f t="shared" si="159"/>
        <v>-4526.5321399098411</v>
      </c>
      <c r="AA266" s="57">
        <f t="shared" si="134"/>
        <v>34.134530253582213</v>
      </c>
      <c r="AB266" s="57">
        <f t="shared" si="135"/>
        <v>255.8499954740978</v>
      </c>
      <c r="AC266" s="57">
        <f t="shared" si="136"/>
        <v>10.555903686394066</v>
      </c>
      <c r="AD266" s="57">
        <f t="shared" si="137"/>
        <v>38.014774085523257</v>
      </c>
      <c r="AE266" s="57">
        <f t="shared" si="138"/>
        <v>-1.1495138918837284</v>
      </c>
      <c r="AF266" s="57">
        <f t="shared" si="139"/>
        <v>13.873449463014012</v>
      </c>
      <c r="AG266" s="57">
        <f t="shared" si="140"/>
        <v>4.2491526096421195</v>
      </c>
      <c r="AH266" s="57">
        <f t="shared" si="141"/>
        <v>66.110418220231878</v>
      </c>
      <c r="AJ266" s="57">
        <f t="shared" si="142"/>
        <v>114547.47693880377</v>
      </c>
      <c r="AK266" s="57">
        <f t="shared" si="143"/>
        <v>113258.14227273931</v>
      </c>
      <c r="AL266" s="57">
        <f t="shared" si="144"/>
        <v>88052.672366943283</v>
      </c>
      <c r="AN266" s="41">
        <v>261</v>
      </c>
      <c r="AO266" s="57">
        <f t="shared" si="145"/>
        <v>3826.7415121982672</v>
      </c>
      <c r="AP266" s="57">
        <f t="shared" si="146"/>
        <v>7592.3374455364674</v>
      </c>
      <c r="AR266" s="41">
        <v>261</v>
      </c>
      <c r="AS266" s="57">
        <f t="shared" si="147"/>
        <v>14452.479372359192</v>
      </c>
      <c r="AT266" s="57">
        <f t="shared" si="148"/>
        <v>-8456.9091920829815</v>
      </c>
      <c r="AV266" s="57">
        <f t="shared" si="149"/>
        <v>16.063306532138242</v>
      </c>
      <c r="AW266" s="57">
        <f t="shared" si="150"/>
        <v>121.00122914840706</v>
      </c>
      <c r="AX266" s="57">
        <f t="shared" si="151"/>
        <v>4.4156813172915168</v>
      </c>
      <c r="AY266" s="57">
        <f t="shared" si="152"/>
        <v>16.850124556921564</v>
      </c>
      <c r="BA266" s="57">
        <f t="shared" si="153"/>
        <v>118905.46940471733</v>
      </c>
      <c r="BB266" s="57">
        <f t="shared" si="154"/>
        <v>101176.14583927818</v>
      </c>
    </row>
    <row r="267" spans="9:54" x14ac:dyDescent="0.25">
      <c r="I267" s="41">
        <v>262</v>
      </c>
      <c r="J267" s="57">
        <f t="shared" si="128"/>
        <v>19304.134495199676</v>
      </c>
      <c r="K267" s="57">
        <f t="shared" si="129"/>
        <v>2548.6596562921486</v>
      </c>
      <c r="M267" s="41">
        <v>262</v>
      </c>
      <c r="N267" s="57">
        <f t="shared" si="130"/>
        <v>-20487.105853360226</v>
      </c>
      <c r="O267" s="57">
        <f t="shared" si="131"/>
        <v>6534.0617594045034</v>
      </c>
      <c r="Q267" s="41">
        <v>262</v>
      </c>
      <c r="R267" s="57">
        <f t="shared" si="132"/>
        <v>-5695.8655048003247</v>
      </c>
      <c r="S267" s="41">
        <f t="shared" si="133"/>
        <v>-19951.340343707852</v>
      </c>
      <c r="U267" s="41">
        <v>261</v>
      </c>
      <c r="V267" s="41">
        <f t="shared" si="155"/>
        <v>130.5</v>
      </c>
      <c r="W267" s="57">
        <f t="shared" si="156"/>
        <v>-11010.695655953585</v>
      </c>
      <c r="X267" s="57">
        <f t="shared" si="157"/>
        <v>-105102.64192913251</v>
      </c>
      <c r="Y267" s="57">
        <f t="shared" si="158"/>
        <v>-717.24599142415389</v>
      </c>
      <c r="Z267" s="57">
        <f t="shared" si="159"/>
        <v>-4398.607142172792</v>
      </c>
      <c r="AA267" s="57">
        <f t="shared" si="134"/>
        <v>32.97384047234646</v>
      </c>
      <c r="AB267" s="57">
        <f t="shared" si="135"/>
        <v>245.62928391617913</v>
      </c>
      <c r="AC267" s="57">
        <f t="shared" si="136"/>
        <v>10.080492669504533</v>
      </c>
      <c r="AD267" s="57">
        <f t="shared" si="137"/>
        <v>36.603181016209938</v>
      </c>
      <c r="AE267" s="57">
        <f t="shared" si="138"/>
        <v>-1.0433050428444008</v>
      </c>
      <c r="AF267" s="57">
        <f t="shared" si="139"/>
        <v>13.358894322997378</v>
      </c>
      <c r="AG267" s="57">
        <f t="shared" si="140"/>
        <v>4.1964124159341853</v>
      </c>
      <c r="AH267" s="57">
        <f t="shared" si="141"/>
        <v>62.90583768375771</v>
      </c>
      <c r="AJ267" s="57">
        <f t="shared" si="142"/>
        <v>116794.76963668627</v>
      </c>
      <c r="AK267" s="57">
        <f t="shared" si="143"/>
        <v>115453.13235965488</v>
      </c>
      <c r="AL267" s="57">
        <f t="shared" si="144"/>
        <v>90302.904409979907</v>
      </c>
      <c r="AN267" s="41">
        <v>262</v>
      </c>
      <c r="AO267" s="57">
        <f t="shared" si="145"/>
        <v>3956.2017427995129</v>
      </c>
      <c r="AP267" s="57">
        <f t="shared" si="146"/>
        <v>7572.9894844382225</v>
      </c>
      <c r="AR267" s="41">
        <v>262</v>
      </c>
      <c r="AS267" s="57">
        <f t="shared" si="147"/>
        <v>14512.894146639772</v>
      </c>
      <c r="AT267" s="57">
        <f t="shared" si="148"/>
        <v>-8465.9382405954966</v>
      </c>
      <c r="AV267" s="57">
        <f t="shared" si="149"/>
        <v>15.546817324217709</v>
      </c>
      <c r="AW267" s="57">
        <f t="shared" si="150"/>
        <v>116.62290473517491</v>
      </c>
      <c r="AX267" s="57">
        <f t="shared" si="151"/>
        <v>4.1934231055344338</v>
      </c>
      <c r="AY267" s="57">
        <f t="shared" si="152"/>
        <v>16.138466158039204</v>
      </c>
      <c r="BA267" s="57">
        <f t="shared" si="153"/>
        <v>121165.12276123435</v>
      </c>
      <c r="BB267" s="57">
        <f t="shared" si="154"/>
        <v>103426.76254093407</v>
      </c>
    </row>
    <row r="268" spans="9:54" x14ac:dyDescent="0.25">
      <c r="I268" s="41">
        <v>263</v>
      </c>
      <c r="J268" s="57">
        <f t="shared" si="128"/>
        <v>19390.653282974265</v>
      </c>
      <c r="K268" s="57">
        <f t="shared" si="129"/>
        <v>2537.2692417933895</v>
      </c>
      <c r="M268" s="41">
        <v>263</v>
      </c>
      <c r="N268" s="57">
        <f t="shared" si="130"/>
        <v>-20426.542701918013</v>
      </c>
      <c r="O268" s="57">
        <f t="shared" si="131"/>
        <v>6526.0884692553727</v>
      </c>
      <c r="Q268" s="41">
        <v>263</v>
      </c>
      <c r="R268" s="57">
        <f t="shared" si="132"/>
        <v>-5609.3467170257354</v>
      </c>
      <c r="S268" s="41">
        <f t="shared" si="133"/>
        <v>-19962.73075820661</v>
      </c>
      <c r="U268" s="41">
        <v>262</v>
      </c>
      <c r="V268" s="41">
        <f t="shared" si="155"/>
        <v>131</v>
      </c>
      <c r="W268" s="57">
        <f t="shared" si="156"/>
        <v>-11365.196921606619</v>
      </c>
      <c r="X268" s="57">
        <f t="shared" si="157"/>
        <v>-107271.24183972938</v>
      </c>
      <c r="Y268" s="57">
        <f t="shared" si="158"/>
        <v>-700.75907118798068</v>
      </c>
      <c r="Z268" s="57">
        <f t="shared" si="159"/>
        <v>-4275.7925002147022</v>
      </c>
      <c r="AA268" s="57">
        <f t="shared" si="134"/>
        <v>31.901054631694844</v>
      </c>
      <c r="AB268" s="57">
        <f t="shared" si="135"/>
        <v>236.2737870830054</v>
      </c>
      <c r="AC268" s="57">
        <f t="shared" si="136"/>
        <v>9.6480679471799053</v>
      </c>
      <c r="AD268" s="57">
        <f t="shared" si="137"/>
        <v>35.304122031165171</v>
      </c>
      <c r="AE268" s="57">
        <f t="shared" si="138"/>
        <v>-0.94873268189203219</v>
      </c>
      <c r="AF268" s="57">
        <f t="shared" si="139"/>
        <v>12.88495623690781</v>
      </c>
      <c r="AG268" s="57">
        <f t="shared" si="140"/>
        <v>4.13949782173834</v>
      </c>
      <c r="AH268" s="57">
        <f t="shared" si="141"/>
        <v>60.007036594280713</v>
      </c>
      <c r="AJ268" s="57">
        <f t="shared" si="142"/>
        <v>118979.88708754438</v>
      </c>
      <c r="AK268" s="57">
        <f t="shared" si="143"/>
        <v>117588.70688478093</v>
      </c>
      <c r="AL268" s="57">
        <f t="shared" si="144"/>
        <v>92490.528177195825</v>
      </c>
      <c r="AN268" s="41">
        <v>263</v>
      </c>
      <c r="AO268" s="57">
        <f t="shared" si="145"/>
        <v>4085.979924461396</v>
      </c>
      <c r="AP268" s="57">
        <f t="shared" si="146"/>
        <v>7555.9038626900847</v>
      </c>
      <c r="AR268" s="41">
        <v>263</v>
      </c>
      <c r="AS268" s="57">
        <f t="shared" si="147"/>
        <v>14573.457298081985</v>
      </c>
      <c r="AT268" s="57">
        <f t="shared" si="148"/>
        <v>-8473.9115307446264</v>
      </c>
      <c r="AV268" s="57">
        <f t="shared" si="149"/>
        <v>15.069294183481242</v>
      </c>
      <c r="AW268" s="57">
        <f t="shared" si="150"/>
        <v>112.58900960915382</v>
      </c>
      <c r="AX268" s="57">
        <f t="shared" si="151"/>
        <v>3.9929273611873879</v>
      </c>
      <c r="AY268" s="57">
        <f t="shared" si="152"/>
        <v>15.48866261149789</v>
      </c>
      <c r="BA268" s="57">
        <f t="shared" si="153"/>
        <v>123361.56715651983</v>
      </c>
      <c r="BB268" s="57">
        <f t="shared" si="154"/>
        <v>105615.0108467329</v>
      </c>
    </row>
    <row r="269" spans="9:54" x14ac:dyDescent="0.25">
      <c r="I269" s="41">
        <v>264</v>
      </c>
      <c r="J269" s="57">
        <f t="shared" si="128"/>
        <v>19477.357683661732</v>
      </c>
      <c r="K269" s="57">
        <f t="shared" si="129"/>
        <v>2527.3905231586332</v>
      </c>
      <c r="M269" s="41">
        <v>264</v>
      </c>
      <c r="N269" s="57">
        <f t="shared" si="130"/>
        <v>-20365.849621436788</v>
      </c>
      <c r="O269" s="57">
        <f t="shared" si="131"/>
        <v>6519.1733662110437</v>
      </c>
      <c r="Q269" s="41">
        <v>264</v>
      </c>
      <c r="R269" s="57">
        <f t="shared" si="132"/>
        <v>-5522.6423163382669</v>
      </c>
      <c r="S269" s="41">
        <f t="shared" si="133"/>
        <v>-19972.609476841368</v>
      </c>
      <c r="U269" s="41">
        <v>263</v>
      </c>
      <c r="V269" s="41">
        <f t="shared" si="155"/>
        <v>131.5</v>
      </c>
      <c r="W269" s="57">
        <f t="shared" si="156"/>
        <v>-11711.588825371648</v>
      </c>
      <c r="X269" s="57">
        <f t="shared" si="157"/>
        <v>-109379.60386645136</v>
      </c>
      <c r="Y269" s="57">
        <f t="shared" si="158"/>
        <v>-684.80854387213321</v>
      </c>
      <c r="Z269" s="57">
        <f t="shared" si="159"/>
        <v>-4157.6556066731991</v>
      </c>
      <c r="AA269" s="57">
        <f t="shared" si="134"/>
        <v>30.907326086259364</v>
      </c>
      <c r="AB269" s="57">
        <f t="shared" si="135"/>
        <v>227.68312729049012</v>
      </c>
      <c r="AC269" s="57">
        <f t="shared" si="136"/>
        <v>9.2534086093453549</v>
      </c>
      <c r="AD269" s="57">
        <f t="shared" si="137"/>
        <v>34.105346743439952</v>
      </c>
      <c r="AE269" s="57">
        <f t="shared" si="138"/>
        <v>-0.86420287866971224</v>
      </c>
      <c r="AF269" s="57">
        <f t="shared" si="139"/>
        <v>12.447282735157403</v>
      </c>
      <c r="AG269" s="57">
        <f t="shared" si="140"/>
        <v>4.0800661353642207</v>
      </c>
      <c r="AH269" s="57">
        <f t="shared" si="141"/>
        <v>57.374644905079549</v>
      </c>
      <c r="AJ269" s="57">
        <f t="shared" si="142"/>
        <v>121105.18843471582</v>
      </c>
      <c r="AK269" s="57">
        <f t="shared" si="143"/>
        <v>119666.98617041607</v>
      </c>
      <c r="AL269" s="57">
        <f t="shared" si="144"/>
        <v>94617.94254024516</v>
      </c>
      <c r="AN269" s="41">
        <v>264</v>
      </c>
      <c r="AO269" s="57">
        <f t="shared" si="145"/>
        <v>4216.0365254926</v>
      </c>
      <c r="AP269" s="57">
        <f t="shared" si="146"/>
        <v>7541.0857847379493</v>
      </c>
      <c r="AR269" s="41">
        <v>264</v>
      </c>
      <c r="AS269" s="57">
        <f t="shared" si="147"/>
        <v>14634.150378563214</v>
      </c>
      <c r="AT269" s="57">
        <f t="shared" si="148"/>
        <v>-8480.8266337889563</v>
      </c>
      <c r="AV269" s="57">
        <f t="shared" si="149"/>
        <v>14.626710277295164</v>
      </c>
      <c r="AW269" s="57">
        <f t="shared" si="150"/>
        <v>108.86244564594035</v>
      </c>
      <c r="AX269" s="57">
        <f t="shared" si="151"/>
        <v>3.8113439429243345</v>
      </c>
      <c r="AY269" s="57">
        <f t="shared" si="152"/>
        <v>14.893407260872877</v>
      </c>
      <c r="BA269" s="57">
        <f t="shared" si="153"/>
        <v>125497.26315359889</v>
      </c>
      <c r="BB269" s="57">
        <f t="shared" si="154"/>
        <v>107743.26280976007</v>
      </c>
    </row>
    <row r="270" spans="9:54" x14ac:dyDescent="0.25">
      <c r="I270" s="41">
        <v>265</v>
      </c>
      <c r="J270" s="57">
        <f t="shared" si="128"/>
        <v>19564.221286261709</v>
      </c>
      <c r="K270" s="57">
        <f t="shared" si="129"/>
        <v>2519.0265095412724</v>
      </c>
      <c r="M270" s="41">
        <v>265</v>
      </c>
      <c r="N270" s="57">
        <f t="shared" si="130"/>
        <v>-20305.045099616804</v>
      </c>
      <c r="O270" s="57">
        <f t="shared" si="131"/>
        <v>6513.3185566788907</v>
      </c>
      <c r="Q270" s="41">
        <v>265</v>
      </c>
      <c r="R270" s="57">
        <f t="shared" si="132"/>
        <v>-5435.7787137382911</v>
      </c>
      <c r="S270" s="41">
        <f t="shared" si="133"/>
        <v>-19980.973490458728</v>
      </c>
      <c r="U270" s="41">
        <v>264</v>
      </c>
      <c r="V270" s="41">
        <f t="shared" si="155"/>
        <v>132</v>
      </c>
      <c r="W270" s="57">
        <f t="shared" si="156"/>
        <v>-12050.12968154693</v>
      </c>
      <c r="X270" s="57">
        <f t="shared" si="157"/>
        <v>-111429.97127887665</v>
      </c>
      <c r="Y270" s="57">
        <f t="shared" si="158"/>
        <v>-669.35488082900349</v>
      </c>
      <c r="Z270" s="57">
        <f t="shared" si="159"/>
        <v>-4043.8140430279541</v>
      </c>
      <c r="AA270" s="57">
        <f t="shared" si="134"/>
        <v>29.984916493890573</v>
      </c>
      <c r="AB270" s="57">
        <f t="shared" si="135"/>
        <v>219.77176226770703</v>
      </c>
      <c r="AC270" s="57">
        <f t="shared" si="136"/>
        <v>8.892088645276834</v>
      </c>
      <c r="AD270" s="57">
        <f t="shared" si="137"/>
        <v>32.996304779411929</v>
      </c>
      <c r="AE270" s="57">
        <f t="shared" si="138"/>
        <v>-0.7883823280887472</v>
      </c>
      <c r="AF270" s="57">
        <f t="shared" si="139"/>
        <v>12.042113848621721</v>
      </c>
      <c r="AG270" s="57">
        <f t="shared" si="140"/>
        <v>4.0193452202585354</v>
      </c>
      <c r="AH270" s="57">
        <f t="shared" si="141"/>
        <v>54.975633308404227</v>
      </c>
      <c r="AJ270" s="57">
        <f t="shared" si="142"/>
        <v>123172.84149112742</v>
      </c>
      <c r="AK270" s="57">
        <f t="shared" si="143"/>
        <v>121689.92712163579</v>
      </c>
      <c r="AL270" s="57">
        <f t="shared" si="144"/>
        <v>96687.350203486305</v>
      </c>
      <c r="AN270" s="41">
        <v>265</v>
      </c>
      <c r="AO270" s="57">
        <f t="shared" si="145"/>
        <v>4346.3319293925633</v>
      </c>
      <c r="AP270" s="57">
        <f t="shared" si="146"/>
        <v>7528.5397643119086</v>
      </c>
      <c r="AR270" s="41">
        <v>265</v>
      </c>
      <c r="AS270" s="57">
        <f t="shared" si="147"/>
        <v>14694.954900383196</v>
      </c>
      <c r="AT270" s="57">
        <f t="shared" si="148"/>
        <v>-8486.6814433211093</v>
      </c>
      <c r="AV270" s="57">
        <f t="shared" si="149"/>
        <v>14.215577724864481</v>
      </c>
      <c r="AW270" s="57">
        <f t="shared" si="150"/>
        <v>105.41122660271702</v>
      </c>
      <c r="AX270" s="57">
        <f t="shared" si="151"/>
        <v>3.6462872315794708</v>
      </c>
      <c r="AY270" s="57">
        <f t="shared" si="152"/>
        <v>14.346483728552117</v>
      </c>
      <c r="BA270" s="57">
        <f t="shared" si="153"/>
        <v>127574.46672330299</v>
      </c>
      <c r="BB270" s="57">
        <f t="shared" si="154"/>
        <v>109813.69815378687</v>
      </c>
    </row>
    <row r="271" spans="9:54" x14ac:dyDescent="0.25">
      <c r="I271" s="41">
        <v>266</v>
      </c>
      <c r="J271" s="57">
        <f t="shared" si="128"/>
        <v>19651.217631279371</v>
      </c>
      <c r="K271" s="57">
        <f t="shared" si="129"/>
        <v>2512.1797487008789</v>
      </c>
      <c r="M271" s="41">
        <v>266</v>
      </c>
      <c r="N271" s="57">
        <f t="shared" si="130"/>
        <v>-20244.147658104441</v>
      </c>
      <c r="O271" s="57">
        <f t="shared" si="131"/>
        <v>6508.5258240906151</v>
      </c>
      <c r="Q271" s="41">
        <v>266</v>
      </c>
      <c r="R271" s="57">
        <f t="shared" si="132"/>
        <v>-5348.7823687206283</v>
      </c>
      <c r="S271" s="41">
        <f t="shared" si="133"/>
        <v>-19987.820251299119</v>
      </c>
      <c r="U271" s="41">
        <v>265</v>
      </c>
      <c r="V271" s="41">
        <f t="shared" si="155"/>
        <v>132.5</v>
      </c>
      <c r="W271" s="57">
        <f t="shared" si="156"/>
        <v>-12381.059007399695</v>
      </c>
      <c r="X271" s="57">
        <f t="shared" si="157"/>
        <v>-113424.40683010717</v>
      </c>
      <c r="Y271" s="57">
        <f t="shared" si="158"/>
        <v>-654.36242258205823</v>
      </c>
      <c r="Z271" s="57">
        <f t="shared" si="159"/>
        <v>-3933.9281618941004</v>
      </c>
      <c r="AA271" s="57">
        <f t="shared" si="134"/>
        <v>29.127036390523685</v>
      </c>
      <c r="AB271" s="57">
        <f t="shared" si="135"/>
        <v>212.46636238423261</v>
      </c>
      <c r="AC271" s="57">
        <f t="shared" si="136"/>
        <v>8.5603337369488735</v>
      </c>
      <c r="AD271" s="57">
        <f t="shared" si="137"/>
        <v>31.967863656705752</v>
      </c>
      <c r="AE271" s="57">
        <f t="shared" si="138"/>
        <v>-0.72014915395276746</v>
      </c>
      <c r="AF271" s="57">
        <f t="shared" si="139"/>
        <v>11.666185922971454</v>
      </c>
      <c r="AG271" s="57">
        <f t="shared" si="140"/>
        <v>3.9582442669443068</v>
      </c>
      <c r="AH271" s="57">
        <f t="shared" si="141"/>
        <v>52.782106696626357</v>
      </c>
      <c r="AJ271" s="57">
        <f t="shared" si="142"/>
        <v>125184.84392950278</v>
      </c>
      <c r="AK271" s="57">
        <f t="shared" si="143"/>
        <v>123659.34037998314</v>
      </c>
      <c r="AL271" s="57">
        <f t="shared" si="144"/>
        <v>98700.779591293816</v>
      </c>
      <c r="AN271" s="41">
        <v>266</v>
      </c>
      <c r="AO271" s="57">
        <f t="shared" si="145"/>
        <v>4476.8264469190581</v>
      </c>
      <c r="AP271" s="57">
        <f t="shared" si="146"/>
        <v>7518.2696230513184</v>
      </c>
      <c r="AR271" s="41">
        <v>266</v>
      </c>
      <c r="AS271" s="57">
        <f t="shared" si="147"/>
        <v>14755.852341895561</v>
      </c>
      <c r="AT271" s="57">
        <f t="shared" si="148"/>
        <v>-8491.4741759093849</v>
      </c>
      <c r="AV271" s="57">
        <f t="shared" si="149"/>
        <v>13.832860553369295</v>
      </c>
      <c r="AW271" s="57">
        <f t="shared" si="150"/>
        <v>102.20763364152521</v>
      </c>
      <c r="AX271" s="57">
        <f t="shared" si="151"/>
        <v>3.4957469872139777</v>
      </c>
      <c r="AY271" s="57">
        <f t="shared" si="152"/>
        <v>13.842572466403835</v>
      </c>
      <c r="BA271" s="57">
        <f t="shared" si="153"/>
        <v>129595.25254377024</v>
      </c>
      <c r="BB271" s="57">
        <f t="shared" si="154"/>
        <v>111828.3255209846</v>
      </c>
    </row>
    <row r="272" spans="9:54" x14ac:dyDescent="0.25">
      <c r="I272" s="41">
        <v>267</v>
      </c>
      <c r="J272" s="57">
        <f t="shared" si="128"/>
        <v>19738.32021878528</v>
      </c>
      <c r="K272" s="57">
        <f t="shared" si="129"/>
        <v>2506.852326227131</v>
      </c>
      <c r="M272" s="41">
        <v>267</v>
      </c>
      <c r="N272" s="57">
        <f t="shared" si="130"/>
        <v>-20183.175846850307</v>
      </c>
      <c r="O272" s="57">
        <f t="shared" si="131"/>
        <v>6504.7966283589922</v>
      </c>
      <c r="Q272" s="41">
        <v>267</v>
      </c>
      <c r="R272" s="57">
        <f t="shared" si="132"/>
        <v>-5261.6797812147215</v>
      </c>
      <c r="S272" s="41">
        <f t="shared" si="133"/>
        <v>-19993.14767377287</v>
      </c>
      <c r="U272" s="41">
        <v>266</v>
      </c>
      <c r="V272" s="41">
        <f t="shared" si="155"/>
        <v>133</v>
      </c>
      <c r="W272" s="57">
        <f t="shared" si="156"/>
        <v>-12704.599339141909</v>
      </c>
      <c r="X272" s="57">
        <f t="shared" si="157"/>
        <v>-115364.81261575618</v>
      </c>
      <c r="Y272" s="57">
        <f t="shared" si="158"/>
        <v>-639.79890438679638</v>
      </c>
      <c r="Z272" s="57">
        <f t="shared" si="159"/>
        <v>-3827.6949807019842</v>
      </c>
      <c r="AA272" s="57">
        <f t="shared" si="134"/>
        <v>28.327710618282893</v>
      </c>
      <c r="AB272" s="57">
        <f t="shared" si="135"/>
        <v>205.70372302526135</v>
      </c>
      <c r="AC272" s="57">
        <f t="shared" si="136"/>
        <v>8.2549075899147617</v>
      </c>
      <c r="AD272" s="57">
        <f t="shared" si="137"/>
        <v>31.012080706990602</v>
      </c>
      <c r="AE272" s="57">
        <f t="shared" si="138"/>
        <v>-0.65855417575632069</v>
      </c>
      <c r="AF272" s="57">
        <f t="shared" si="139"/>
        <v>11.316653420280304</v>
      </c>
      <c r="AG272" s="57">
        <f t="shared" si="140"/>
        <v>3.8974344822695373</v>
      </c>
      <c r="AH272" s="57">
        <f t="shared" si="141"/>
        <v>50.770359920978628</v>
      </c>
      <c r="AJ272" s="57">
        <f t="shared" si="142"/>
        <v>127143.04148099762</v>
      </c>
      <c r="AK272" s="57">
        <f t="shared" si="143"/>
        <v>125576.90517362699</v>
      </c>
      <c r="AL272" s="57">
        <f t="shared" si="144"/>
        <v>100660.10362786517</v>
      </c>
      <c r="AN272" s="41">
        <v>267</v>
      </c>
      <c r="AO272" s="57">
        <f t="shared" si="145"/>
        <v>4607.4803281779177</v>
      </c>
      <c r="AP272" s="57">
        <f t="shared" si="146"/>
        <v>7510.2784893406961</v>
      </c>
      <c r="AR272" s="41">
        <v>267</v>
      </c>
      <c r="AS272" s="57">
        <f t="shared" si="147"/>
        <v>14816.824153149695</v>
      </c>
      <c r="AT272" s="57">
        <f t="shared" si="148"/>
        <v>-8495.2033716410078</v>
      </c>
      <c r="AV272" s="57">
        <f t="shared" si="149"/>
        <v>13.475904015454425</v>
      </c>
      <c r="AW272" s="57">
        <f t="shared" si="150"/>
        <v>99.227532244611567</v>
      </c>
      <c r="AX272" s="57">
        <f t="shared" si="151"/>
        <v>3.3580187064004914</v>
      </c>
      <c r="AY272" s="57">
        <f t="shared" si="152"/>
        <v>13.377096732400281</v>
      </c>
      <c r="BA272" s="57">
        <f t="shared" si="153"/>
        <v>131561.53391512568</v>
      </c>
      <c r="BB272" s="57">
        <f t="shared" si="154"/>
        <v>113789.00073492761</v>
      </c>
    </row>
    <row r="273" spans="9:54" x14ac:dyDescent="0.25">
      <c r="I273" s="41">
        <v>268</v>
      </c>
      <c r="J273" s="57">
        <f t="shared" si="128"/>
        <v>19825.502516487493</v>
      </c>
      <c r="K273" s="57">
        <f t="shared" si="129"/>
        <v>2503.0458649045213</v>
      </c>
      <c r="M273" s="41">
        <v>268</v>
      </c>
      <c r="N273" s="57">
        <f t="shared" si="130"/>
        <v>-20122.148238458754</v>
      </c>
      <c r="O273" s="57">
        <f t="shared" si="131"/>
        <v>6502.1321054331656</v>
      </c>
      <c r="Q273" s="41">
        <v>268</v>
      </c>
      <c r="R273" s="57">
        <f t="shared" si="132"/>
        <v>-5174.4974835125086</v>
      </c>
      <c r="S273" s="41">
        <f t="shared" si="133"/>
        <v>-19996.954135095479</v>
      </c>
      <c r="U273" s="41">
        <v>267</v>
      </c>
      <c r="V273" s="41">
        <f t="shared" si="155"/>
        <v>133.5</v>
      </c>
      <c r="W273" s="57">
        <f t="shared" si="156"/>
        <v>-13020.957827508022</v>
      </c>
      <c r="X273" s="57">
        <f t="shared" si="157"/>
        <v>-117252.94714072901</v>
      </c>
      <c r="Y273" s="57">
        <f t="shared" si="158"/>
        <v>-625.63504907765491</v>
      </c>
      <c r="Z273" s="57">
        <f t="shared" si="159"/>
        <v>-3724.8431191893533</v>
      </c>
      <c r="AA273" s="57">
        <f t="shared" si="134"/>
        <v>27.581664715990126</v>
      </c>
      <c r="AB273" s="57">
        <f t="shared" si="135"/>
        <v>199.42908928474446</v>
      </c>
      <c r="AC273" s="57">
        <f t="shared" si="136"/>
        <v>7.9730209893244268</v>
      </c>
      <c r="AD273" s="57">
        <f t="shared" si="137"/>
        <v>30.122017393587416</v>
      </c>
      <c r="AE273" s="57">
        <f t="shared" si="138"/>
        <v>-0.60279017674996538</v>
      </c>
      <c r="AF273" s="57">
        <f t="shared" si="139"/>
        <v>10.991024929073419</v>
      </c>
      <c r="AG273" s="57">
        <f t="shared" si="140"/>
        <v>3.8374083923358695</v>
      </c>
      <c r="AH273" s="57">
        <f t="shared" si="141"/>
        <v>48.920132225756561</v>
      </c>
      <c r="AJ273" s="57">
        <f t="shared" si="142"/>
        <v>129049.14364746319</v>
      </c>
      <c r="AK273" s="57">
        <f t="shared" si="143"/>
        <v>127444.18223538724</v>
      </c>
      <c r="AL273" s="57">
        <f t="shared" si="144"/>
        <v>102567.05593627704</v>
      </c>
      <c r="AN273" s="41">
        <v>268</v>
      </c>
      <c r="AO273" s="57">
        <f t="shared" si="145"/>
        <v>4738.2537747312381</v>
      </c>
      <c r="AP273" s="57">
        <f t="shared" si="146"/>
        <v>7504.5687973567829</v>
      </c>
      <c r="AR273" s="41">
        <v>268</v>
      </c>
      <c r="AS273" s="57">
        <f t="shared" si="147"/>
        <v>14877.851761541244</v>
      </c>
      <c r="AT273" s="57">
        <f t="shared" si="148"/>
        <v>-8497.8678945668344</v>
      </c>
      <c r="AV273" s="57">
        <f t="shared" si="149"/>
        <v>13.142376783604785</v>
      </c>
      <c r="AW273" s="57">
        <f t="shared" si="150"/>
        <v>96.449815748000049</v>
      </c>
      <c r="AX273" s="57">
        <f t="shared" si="151"/>
        <v>3.2316487274750068</v>
      </c>
      <c r="AY273" s="57">
        <f t="shared" si="152"/>
        <v>12.946098988327037</v>
      </c>
      <c r="BA273" s="57">
        <f t="shared" si="153"/>
        <v>133475.07987796556</v>
      </c>
      <c r="BB273" s="57">
        <f t="shared" si="154"/>
        <v>115697.44257912655</v>
      </c>
    </row>
    <row r="274" spans="9:54" x14ac:dyDescent="0.25">
      <c r="I274" s="41">
        <v>269</v>
      </c>
      <c r="J274" s="57">
        <f t="shared" si="128"/>
        <v>19912.737967813584</v>
      </c>
      <c r="K274" s="57">
        <f t="shared" si="129"/>
        <v>2500.7615242180436</v>
      </c>
      <c r="M274" s="41">
        <v>269</v>
      </c>
      <c r="N274" s="57">
        <f t="shared" si="130"/>
        <v>-20061.083422530493</v>
      </c>
      <c r="O274" s="57">
        <f t="shared" si="131"/>
        <v>6500.5330669526302</v>
      </c>
      <c r="Q274" s="41">
        <v>269</v>
      </c>
      <c r="R274" s="57">
        <f t="shared" si="132"/>
        <v>-5087.2620321864179</v>
      </c>
      <c r="S274" s="41">
        <f t="shared" si="133"/>
        <v>-19999.238475781956</v>
      </c>
      <c r="U274" s="41">
        <v>268</v>
      </c>
      <c r="V274" s="41">
        <f t="shared" si="155"/>
        <v>134</v>
      </c>
      <c r="W274" s="57">
        <f t="shared" si="156"/>
        <v>-13330.327643957351</v>
      </c>
      <c r="X274" s="57">
        <f t="shared" si="157"/>
        <v>-119090.44006416309</v>
      </c>
      <c r="Y274" s="57">
        <f t="shared" si="158"/>
        <v>-611.84421671965981</v>
      </c>
      <c r="Z274" s="57">
        <f t="shared" si="159"/>
        <v>-3625.1285745469809</v>
      </c>
      <c r="AA274" s="57">
        <f t="shared" si="134"/>
        <v>26.884228895739405</v>
      </c>
      <c r="AB274" s="57">
        <f t="shared" si="135"/>
        <v>193.59480127662044</v>
      </c>
      <c r="AC274" s="57">
        <f t="shared" si="136"/>
        <v>7.7122584957175917</v>
      </c>
      <c r="AD274" s="57">
        <f t="shared" si="137"/>
        <v>29.291587148213022</v>
      </c>
      <c r="AE274" s="57">
        <f t="shared" si="138"/>
        <v>-0.55216734328299999</v>
      </c>
      <c r="AF274" s="57">
        <f t="shared" si="139"/>
        <v>10.687110479854955</v>
      </c>
      <c r="AG274" s="57">
        <f t="shared" si="140"/>
        <v>3.7785237811724786</v>
      </c>
      <c r="AH274" s="57">
        <f t="shared" si="141"/>
        <v>47.214013660128543</v>
      </c>
      <c r="AJ274" s="57">
        <f t="shared" si="142"/>
        <v>130904.7373340324</v>
      </c>
      <c r="AK274" s="57">
        <f t="shared" si="143"/>
        <v>129262.62509053513</v>
      </c>
      <c r="AL274" s="57">
        <f t="shared" si="144"/>
        <v>104423.2448806625</v>
      </c>
      <c r="AN274" s="41">
        <v>269</v>
      </c>
      <c r="AO274" s="57">
        <f t="shared" si="145"/>
        <v>4869.1069517203741</v>
      </c>
      <c r="AP274" s="57">
        <f t="shared" si="146"/>
        <v>7501.1422863270654</v>
      </c>
      <c r="AR274" s="41">
        <v>269</v>
      </c>
      <c r="AS274" s="57">
        <f t="shared" si="147"/>
        <v>14938.916577469508</v>
      </c>
      <c r="AT274" s="57">
        <f t="shared" si="148"/>
        <v>-8499.4669330473698</v>
      </c>
      <c r="AV274" s="57">
        <f t="shared" si="149"/>
        <v>12.830223361751086</v>
      </c>
      <c r="AW274" s="57">
        <f t="shared" si="150"/>
        <v>93.855949010592141</v>
      </c>
      <c r="AX274" s="57">
        <f t="shared" si="151"/>
        <v>3.1153906003812462</v>
      </c>
      <c r="AY274" s="57">
        <f t="shared" si="152"/>
        <v>12.546140977831772</v>
      </c>
      <c r="BA274" s="57">
        <f t="shared" si="153"/>
        <v>135337.53000603986</v>
      </c>
      <c r="BB274" s="57">
        <f t="shared" si="154"/>
        <v>117555.24649477949</v>
      </c>
    </row>
    <row r="275" spans="9:54" x14ac:dyDescent="0.25">
      <c r="I275" s="41">
        <v>270</v>
      </c>
      <c r="J275" s="57">
        <f t="shared" si="128"/>
        <v>20000</v>
      </c>
      <c r="K275" s="57">
        <f t="shared" si="129"/>
        <v>2500</v>
      </c>
      <c r="M275" s="41">
        <v>270</v>
      </c>
      <c r="N275" s="57">
        <f t="shared" si="130"/>
        <v>-20000</v>
      </c>
      <c r="O275" s="57">
        <f t="shared" si="131"/>
        <v>6500</v>
      </c>
      <c r="Q275" s="41">
        <v>270</v>
      </c>
      <c r="R275" s="57">
        <f t="shared" si="132"/>
        <v>-5000.0000000000009</v>
      </c>
      <c r="S275" s="41">
        <f t="shared" si="133"/>
        <v>-20000</v>
      </c>
      <c r="U275" s="41">
        <v>269</v>
      </c>
      <c r="V275" s="41">
        <f t="shared" si="155"/>
        <v>134.5</v>
      </c>
      <c r="W275" s="57">
        <f t="shared" si="156"/>
        <v>-13632.889223705213</v>
      </c>
      <c r="X275" s="57">
        <f t="shared" si="157"/>
        <v>-120878.80500127701</v>
      </c>
      <c r="Y275" s="57">
        <f t="shared" si="158"/>
        <v>-598.40210227179011</v>
      </c>
      <c r="Z275" s="57">
        <f t="shared" si="159"/>
        <v>-3528.3311739086707</v>
      </c>
      <c r="AA275" s="57">
        <f t="shared" si="134"/>
        <v>26.231256734854924</v>
      </c>
      <c r="AB275" s="57">
        <f t="shared" si="135"/>
        <v>188.15919090526521</v>
      </c>
      <c r="AC275" s="57">
        <f t="shared" si="136"/>
        <v>7.4705189472671822</v>
      </c>
      <c r="AD275" s="57">
        <f t="shared" si="137"/>
        <v>28.515429905843309</v>
      </c>
      <c r="AE275" s="57">
        <f t="shared" si="138"/>
        <v>-0.5060935023612213</v>
      </c>
      <c r="AF275" s="57">
        <f t="shared" si="139"/>
        <v>10.402977918108858</v>
      </c>
      <c r="AG275" s="57">
        <f t="shared" si="140"/>
        <v>3.7210364844125698</v>
      </c>
      <c r="AH275" s="57">
        <f t="shared" si="141"/>
        <v>45.63696882081166</v>
      </c>
      <c r="AJ275" s="57">
        <f t="shared" si="142"/>
        <v>132711.29873183343</v>
      </c>
      <c r="AK275" s="57">
        <f t="shared" si="143"/>
        <v>131033.58996150529</v>
      </c>
      <c r="AL275" s="57">
        <f t="shared" si="144"/>
        <v>106230.16579506599</v>
      </c>
      <c r="AN275" s="41">
        <v>270</v>
      </c>
      <c r="AO275" s="57">
        <f t="shared" si="145"/>
        <v>4999.9999999999982</v>
      </c>
      <c r="AP275" s="57">
        <f t="shared" si="146"/>
        <v>7500</v>
      </c>
      <c r="AR275" s="41">
        <v>270</v>
      </c>
      <c r="AS275" s="57">
        <f t="shared" si="147"/>
        <v>15000</v>
      </c>
      <c r="AT275" s="57">
        <f t="shared" si="148"/>
        <v>-8500</v>
      </c>
      <c r="AV275" s="57">
        <f t="shared" si="149"/>
        <v>12.537624665421534</v>
      </c>
      <c r="AW275" s="57">
        <f t="shared" si="150"/>
        <v>91.429591870521904</v>
      </c>
      <c r="AX275" s="57">
        <f t="shared" si="151"/>
        <v>3.0081701401148582</v>
      </c>
      <c r="AY275" s="57">
        <f t="shared" si="152"/>
        <v>12.174222389979466</v>
      </c>
      <c r="BA275" s="57">
        <f t="shared" si="153"/>
        <v>137150.40725203091</v>
      </c>
      <c r="BB275" s="57">
        <f t="shared" si="154"/>
        <v>119363.89652579608</v>
      </c>
    </row>
    <row r="276" spans="9:54" x14ac:dyDescent="0.25">
      <c r="I276" s="41">
        <v>271</v>
      </c>
      <c r="J276" s="57">
        <f t="shared" si="128"/>
        <v>20087.262032186416</v>
      </c>
      <c r="K276" s="57">
        <f t="shared" si="129"/>
        <v>2500.7615242180436</v>
      </c>
      <c r="M276" s="41">
        <v>271</v>
      </c>
      <c r="N276" s="57">
        <f t="shared" si="130"/>
        <v>-19938.91657746951</v>
      </c>
      <c r="O276" s="57">
        <f t="shared" si="131"/>
        <v>6500.5330669526302</v>
      </c>
      <c r="Q276" s="41">
        <v>271</v>
      </c>
      <c r="R276" s="57">
        <f t="shared" si="132"/>
        <v>-4912.737967813584</v>
      </c>
      <c r="S276" s="41">
        <f t="shared" si="133"/>
        <v>-19999.238475781956</v>
      </c>
      <c r="U276" s="41">
        <v>270</v>
      </c>
      <c r="V276" s="41">
        <f t="shared" si="155"/>
        <v>135</v>
      </c>
      <c r="W276" s="57">
        <f t="shared" si="156"/>
        <v>-13928.811367749251</v>
      </c>
      <c r="X276" s="57">
        <f t="shared" si="157"/>
        <v>-122619.45068936818</v>
      </c>
      <c r="Y276" s="57">
        <f t="shared" si="158"/>
        <v>-585.28647390436265</v>
      </c>
      <c r="Z276" s="57">
        <f t="shared" si="159"/>
        <v>-3434.2515784560383</v>
      </c>
      <c r="AA276" s="57">
        <f t="shared" si="134"/>
        <v>25.619056171646694</v>
      </c>
      <c r="AB276" s="57">
        <f t="shared" si="135"/>
        <v>183.08567743971358</v>
      </c>
      <c r="AC276" s="57">
        <f t="shared" si="136"/>
        <v>7.2459668524705885</v>
      </c>
      <c r="AD276" s="57">
        <f t="shared" si="137"/>
        <v>27.788808052764647</v>
      </c>
      <c r="AE276" s="57">
        <f t="shared" si="138"/>
        <v>-0.4640581181079601</v>
      </c>
      <c r="AF276" s="57">
        <f t="shared" si="139"/>
        <v>10.136916580798768</v>
      </c>
      <c r="AG276" s="57">
        <f t="shared" si="140"/>
        <v>3.665125026343854</v>
      </c>
      <c r="AH276" s="57">
        <f t="shared" si="141"/>
        <v>44.175951960155544</v>
      </c>
      <c r="AJ276" s="57">
        <f t="shared" si="142"/>
        <v>134470.20372012243</v>
      </c>
      <c r="AK276" s="57">
        <f t="shared" si="143"/>
        <v>132758.34449313584</v>
      </c>
      <c r="AL276" s="57">
        <f t="shared" si="144"/>
        <v>107989.21167932563</v>
      </c>
      <c r="AN276" s="41">
        <v>271</v>
      </c>
      <c r="AO276" s="57">
        <f t="shared" si="145"/>
        <v>5130.8930482796231</v>
      </c>
      <c r="AP276" s="57">
        <f t="shared" si="146"/>
        <v>7501.1422863270654</v>
      </c>
      <c r="AR276" s="41">
        <v>271</v>
      </c>
      <c r="AS276" s="57">
        <f t="shared" si="147"/>
        <v>15061.083422530492</v>
      </c>
      <c r="AT276" s="57">
        <f t="shared" si="148"/>
        <v>-8499.4669330473698</v>
      </c>
      <c r="AV276" s="57">
        <f t="shared" si="149"/>
        <v>12.262965178910493</v>
      </c>
      <c r="AW276" s="57">
        <f t="shared" si="150"/>
        <v>89.156286623462734</v>
      </c>
      <c r="AX276" s="57">
        <f t="shared" si="151"/>
        <v>2.9090572320297197</v>
      </c>
      <c r="AY276" s="57">
        <f t="shared" si="152"/>
        <v>11.827714222531871</v>
      </c>
      <c r="BA276" s="57">
        <f t="shared" si="153"/>
        <v>138915.12915388041</v>
      </c>
      <c r="BB276" s="57">
        <f t="shared" si="154"/>
        <v>121124.77577943966</v>
      </c>
    </row>
    <row r="277" spans="9:54" x14ac:dyDescent="0.25">
      <c r="I277" s="41">
        <v>272</v>
      </c>
      <c r="J277" s="57">
        <f t="shared" si="128"/>
        <v>20174.497483512507</v>
      </c>
      <c r="K277" s="57">
        <f t="shared" si="129"/>
        <v>2503.0458649045213</v>
      </c>
      <c r="M277" s="41">
        <v>272</v>
      </c>
      <c r="N277" s="57">
        <f t="shared" si="130"/>
        <v>-19877.851761541246</v>
      </c>
      <c r="O277" s="57">
        <f t="shared" si="131"/>
        <v>6502.1321054331647</v>
      </c>
      <c r="Q277" s="41">
        <v>272</v>
      </c>
      <c r="R277" s="57">
        <f t="shared" si="132"/>
        <v>-4825.5025164874933</v>
      </c>
      <c r="S277" s="41">
        <f t="shared" si="133"/>
        <v>-19996.954135095479</v>
      </c>
      <c r="U277" s="41">
        <v>271</v>
      </c>
      <c r="V277" s="41">
        <f t="shared" si="155"/>
        <v>135.5</v>
      </c>
      <c r="W277" s="57">
        <f t="shared" si="156"/>
        <v>-14218.252222679976</v>
      </c>
      <c r="X277" s="57">
        <f t="shared" si="157"/>
        <v>-124313.69076891623</v>
      </c>
      <c r="Y277" s="57">
        <f t="shared" si="158"/>
        <v>-572.47694581853932</v>
      </c>
      <c r="Z277" s="57">
        <f t="shared" si="159"/>
        <v>-3342.7087397361815</v>
      </c>
      <c r="AA277" s="57">
        <f t="shared" si="134"/>
        <v>25.044330793184251</v>
      </c>
      <c r="AB277" s="57">
        <f t="shared" si="135"/>
        <v>178.34202144465098</v>
      </c>
      <c r="AC277" s="57">
        <f t="shared" si="136"/>
        <v>7.0369924360588785</v>
      </c>
      <c r="AD277" s="57">
        <f t="shared" si="137"/>
        <v>27.107519661541026</v>
      </c>
      <c r="AE277" s="57">
        <f t="shared" si="138"/>
        <v>-0.42561925392106131</v>
      </c>
      <c r="AF277" s="57">
        <f t="shared" si="139"/>
        <v>9.8874068980830341</v>
      </c>
      <c r="AG277" s="57">
        <f t="shared" si="140"/>
        <v>3.610909238301053</v>
      </c>
      <c r="AH277" s="57">
        <f t="shared" si="141"/>
        <v>42.819593816180991</v>
      </c>
      <c r="AJ277" s="57">
        <f t="shared" si="142"/>
        <v>136182.73700913202</v>
      </c>
      <c r="AK277" s="57">
        <f t="shared" si="143"/>
        <v>134438.07546721501</v>
      </c>
      <c r="AL277" s="57">
        <f t="shared" si="144"/>
        <v>109701.68259221545</v>
      </c>
      <c r="AN277" s="41">
        <v>272</v>
      </c>
      <c r="AO277" s="57">
        <f t="shared" si="145"/>
        <v>5261.7462252687592</v>
      </c>
      <c r="AP277" s="57">
        <f t="shared" si="146"/>
        <v>7504.5687973567819</v>
      </c>
      <c r="AR277" s="41">
        <v>272</v>
      </c>
      <c r="AS277" s="57">
        <f t="shared" si="147"/>
        <v>15122.148238458754</v>
      </c>
      <c r="AT277" s="57">
        <f t="shared" si="148"/>
        <v>-8497.8678945668362</v>
      </c>
      <c r="AV277" s="57">
        <f t="shared" si="149"/>
        <v>12.004805443228847</v>
      </c>
      <c r="AW277" s="57">
        <f t="shared" si="150"/>
        <v>87.023197212767428</v>
      </c>
      <c r="AX277" s="57">
        <f t="shared" si="151"/>
        <v>2.8172429295165342</v>
      </c>
      <c r="AY277" s="57">
        <f t="shared" si="152"/>
        <v>11.504303856078497</v>
      </c>
      <c r="BA277" s="57">
        <f t="shared" si="153"/>
        <v>140633.01765286757</v>
      </c>
      <c r="BB277" s="57">
        <f t="shared" si="154"/>
        <v>122839.17562344966</v>
      </c>
    </row>
    <row r="278" spans="9:54" x14ac:dyDescent="0.25">
      <c r="I278" s="41">
        <v>273</v>
      </c>
      <c r="J278" s="57">
        <f t="shared" si="128"/>
        <v>20261.67978121472</v>
      </c>
      <c r="K278" s="57">
        <f t="shared" si="129"/>
        <v>2506.852326227131</v>
      </c>
      <c r="M278" s="41">
        <v>273</v>
      </c>
      <c r="N278" s="57">
        <f t="shared" si="130"/>
        <v>-19816.824153149697</v>
      </c>
      <c r="O278" s="57">
        <f t="shared" si="131"/>
        <v>6504.7966283589922</v>
      </c>
      <c r="Q278" s="41">
        <v>273</v>
      </c>
      <c r="R278" s="57">
        <f t="shared" si="132"/>
        <v>-4738.3202187852803</v>
      </c>
      <c r="S278" s="41">
        <f t="shared" si="133"/>
        <v>-19993.14767377287</v>
      </c>
      <c r="U278" s="41">
        <v>272</v>
      </c>
      <c r="V278" s="41">
        <f t="shared" si="155"/>
        <v>136</v>
      </c>
      <c r="W278" s="57">
        <f t="shared" si="156"/>
        <v>-14501.360154240097</v>
      </c>
      <c r="X278" s="57">
        <f t="shared" si="157"/>
        <v>-125962.75238610373</v>
      </c>
      <c r="Y278" s="57">
        <f t="shared" si="158"/>
        <v>-559.95478042194725</v>
      </c>
      <c r="Z278" s="57">
        <f t="shared" si="159"/>
        <v>-3253.5377290138558</v>
      </c>
      <c r="AA278" s="57">
        <f t="shared" si="134"/>
        <v>24.504129743203951</v>
      </c>
      <c r="AB278" s="57">
        <f t="shared" si="135"/>
        <v>173.89970574000057</v>
      </c>
      <c r="AC278" s="57">
        <f t="shared" si="136"/>
        <v>6.8421786078270603</v>
      </c>
      <c r="AD278" s="57">
        <f t="shared" si="137"/>
        <v>26.467825767897807</v>
      </c>
      <c r="AE278" s="57">
        <f t="shared" si="138"/>
        <v>-0.39039289022170548</v>
      </c>
      <c r="AF278" s="57">
        <f t="shared" si="139"/>
        <v>9.653094829885827</v>
      </c>
      <c r="AG278" s="57">
        <f t="shared" si="140"/>
        <v>3.5584644023215248</v>
      </c>
      <c r="AH278" s="57">
        <f t="shared" si="141"/>
        <v>41.557945172024475</v>
      </c>
      <c r="AJ278" s="57">
        <f t="shared" si="142"/>
        <v>137850.10020659043</v>
      </c>
      <c r="AK278" s="57">
        <f t="shared" si="143"/>
        <v>136073.89564702826</v>
      </c>
      <c r="AL278" s="57">
        <f t="shared" si="144"/>
        <v>111368.79393205419</v>
      </c>
      <c r="AN278" s="41">
        <v>273</v>
      </c>
      <c r="AO278" s="57">
        <f t="shared" si="145"/>
        <v>5392.5196718220795</v>
      </c>
      <c r="AP278" s="57">
        <f t="shared" si="146"/>
        <v>7510.2784893406961</v>
      </c>
      <c r="AR278" s="41">
        <v>273</v>
      </c>
      <c r="AS278" s="57">
        <f t="shared" si="147"/>
        <v>15183.175846850303</v>
      </c>
      <c r="AT278" s="57">
        <f t="shared" si="148"/>
        <v>-8495.2033716410078</v>
      </c>
      <c r="AV278" s="57">
        <f t="shared" si="149"/>
        <v>11.761858891702371</v>
      </c>
      <c r="AW278" s="57">
        <f t="shared" si="150"/>
        <v>85.018890448564193</v>
      </c>
      <c r="AX278" s="57">
        <f t="shared" si="151"/>
        <v>2.7320207315747012</v>
      </c>
      <c r="AY278" s="57">
        <f t="shared" si="152"/>
        <v>11.201949521628249</v>
      </c>
      <c r="BA278" s="57">
        <f t="shared" si="153"/>
        <v>142305.30773000486</v>
      </c>
      <c r="BB278" s="57">
        <f t="shared" si="154"/>
        <v>124508.30380248552</v>
      </c>
    </row>
    <row r="279" spans="9:54" x14ac:dyDescent="0.25">
      <c r="I279" s="41">
        <v>274</v>
      </c>
      <c r="J279" s="57">
        <f t="shared" si="128"/>
        <v>20348.782368720626</v>
      </c>
      <c r="K279" s="57">
        <f t="shared" si="129"/>
        <v>2512.179748700878</v>
      </c>
      <c r="M279" s="41">
        <v>274</v>
      </c>
      <c r="N279" s="57">
        <f t="shared" si="130"/>
        <v>-19755.852341895563</v>
      </c>
      <c r="O279" s="57">
        <f t="shared" si="131"/>
        <v>6508.5258240906151</v>
      </c>
      <c r="Q279" s="41">
        <v>274</v>
      </c>
      <c r="R279" s="57">
        <f t="shared" si="132"/>
        <v>-4651.2176312793736</v>
      </c>
      <c r="S279" s="41">
        <f t="shared" si="133"/>
        <v>-19987.820251299123</v>
      </c>
      <c r="U279" s="41">
        <v>273</v>
      </c>
      <c r="V279" s="41">
        <f t="shared" si="155"/>
        <v>136.5</v>
      </c>
      <c r="W279" s="57">
        <f t="shared" si="156"/>
        <v>-14778.274528233171</v>
      </c>
      <c r="X279" s="57">
        <f t="shared" si="157"/>
        <v>-127567.78378739316</v>
      </c>
      <c r="Y279" s="57">
        <f t="shared" si="158"/>
        <v>-547.70271555034526</v>
      </c>
      <c r="Z279" s="57">
        <f t="shared" si="159"/>
        <v>-3166.5878761438557</v>
      </c>
      <c r="AA279" s="57">
        <f t="shared" si="134"/>
        <v>23.995804863117041</v>
      </c>
      <c r="AB279" s="57">
        <f t="shared" si="135"/>
        <v>169.73341893411578</v>
      </c>
      <c r="AC279" s="57">
        <f t="shared" si="136"/>
        <v>6.6602735060093385</v>
      </c>
      <c r="AD279" s="57">
        <f t="shared" si="137"/>
        <v>25.866389120146891</v>
      </c>
      <c r="AE279" s="57">
        <f t="shared" si="138"/>
        <v>-0.35804412507132494</v>
      </c>
      <c r="AF279" s="57">
        <f t="shared" si="139"/>
        <v>9.4327702692290867</v>
      </c>
      <c r="AG279" s="57">
        <f t="shared" si="140"/>
        <v>3.5078320447346214</v>
      </c>
      <c r="AH279" s="57">
        <f t="shared" si="141"/>
        <v>40.382265606683134</v>
      </c>
      <c r="AJ279" s="57">
        <f t="shared" si="142"/>
        <v>139473.41896002673</v>
      </c>
      <c r="AK279" s="57">
        <f t="shared" si="143"/>
        <v>137666.84986981234</v>
      </c>
      <c r="AL279" s="57">
        <f t="shared" si="144"/>
        <v>112991.68376280968</v>
      </c>
      <c r="AN279" s="41">
        <v>274</v>
      </c>
      <c r="AO279" s="57">
        <f t="shared" si="145"/>
        <v>5523.1735530809392</v>
      </c>
      <c r="AP279" s="57">
        <f t="shared" si="146"/>
        <v>7518.2696230513175</v>
      </c>
      <c r="AR279" s="41">
        <v>274</v>
      </c>
      <c r="AS279" s="57">
        <f t="shared" si="147"/>
        <v>15244.147658104439</v>
      </c>
      <c r="AT279" s="57">
        <f t="shared" si="148"/>
        <v>-8491.4741759093849</v>
      </c>
      <c r="AV279" s="57">
        <f t="shared" si="149"/>
        <v>11.532972252207861</v>
      </c>
      <c r="AW279" s="57">
        <f t="shared" si="150"/>
        <v>83.133151586689849</v>
      </c>
      <c r="AX279" s="57">
        <f t="shared" si="151"/>
        <v>2.6527711852365452</v>
      </c>
      <c r="AY279" s="57">
        <f t="shared" si="152"/>
        <v>10.9188423513668</v>
      </c>
      <c r="BA279" s="57">
        <f t="shared" si="153"/>
        <v>143933.1550316432</v>
      </c>
      <c r="BB279" s="57">
        <f t="shared" si="154"/>
        <v>126133.29162608886</v>
      </c>
    </row>
    <row r="280" spans="9:54" x14ac:dyDescent="0.25">
      <c r="I280" s="41">
        <v>275</v>
      </c>
      <c r="J280" s="57">
        <f t="shared" si="128"/>
        <v>20435.778713738291</v>
      </c>
      <c r="K280" s="57">
        <f t="shared" si="129"/>
        <v>2519.0265095412724</v>
      </c>
      <c r="M280" s="41">
        <v>275</v>
      </c>
      <c r="N280" s="57">
        <f t="shared" si="130"/>
        <v>-19694.954900383196</v>
      </c>
      <c r="O280" s="57">
        <f t="shared" si="131"/>
        <v>6513.3185566788907</v>
      </c>
      <c r="Q280" s="41">
        <v>275</v>
      </c>
      <c r="R280" s="57">
        <f t="shared" si="132"/>
        <v>-4564.2212862617107</v>
      </c>
      <c r="S280" s="41">
        <f t="shared" si="133"/>
        <v>-19980.973490458728</v>
      </c>
      <c r="U280" s="41">
        <v>274</v>
      </c>
      <c r="V280" s="41">
        <f t="shared" si="155"/>
        <v>137</v>
      </c>
      <c r="W280" s="57">
        <f t="shared" si="156"/>
        <v>-15049.126410400453</v>
      </c>
      <c r="X280" s="57">
        <f t="shared" si="157"/>
        <v>-129129.86104809832</v>
      </c>
      <c r="Y280" s="57">
        <f t="shared" si="158"/>
        <v>-535.70481311878677</v>
      </c>
      <c r="Z280" s="57">
        <f t="shared" si="159"/>
        <v>-3081.721166676798</v>
      </c>
      <c r="AA280" s="57">
        <f t="shared" si="134"/>
        <v>23.516973915741122</v>
      </c>
      <c r="AB280" s="57">
        <f t="shared" si="135"/>
        <v>165.82062230039304</v>
      </c>
      <c r="AC280" s="57">
        <f t="shared" si="136"/>
        <v>6.4901675569304258</v>
      </c>
      <c r="AD280" s="57">
        <f t="shared" si="137"/>
        <v>25.300222353591842</v>
      </c>
      <c r="AE280" s="57">
        <f t="shared" si="138"/>
        <v>-0.32827988883082826</v>
      </c>
      <c r="AF280" s="57">
        <f t="shared" si="139"/>
        <v>9.2253487170155406</v>
      </c>
      <c r="AG280" s="57">
        <f t="shared" si="140"/>
        <v>3.4590282056047417</v>
      </c>
      <c r="AH280" s="57">
        <f t="shared" si="141"/>
        <v>39.284848487779179</v>
      </c>
      <c r="AJ280" s="57">
        <f t="shared" si="142"/>
        <v>141053.74930201212</v>
      </c>
      <c r="AK280" s="57">
        <f t="shared" si="143"/>
        <v>139217.92048642063</v>
      </c>
      <c r="AL280" s="57">
        <f t="shared" si="144"/>
        <v>114571.41931769214</v>
      </c>
      <c r="AN280" s="41">
        <v>275</v>
      </c>
      <c r="AO280" s="57">
        <f t="shared" si="145"/>
        <v>5653.6680706074339</v>
      </c>
      <c r="AP280" s="57">
        <f t="shared" si="146"/>
        <v>7528.5397643119086</v>
      </c>
      <c r="AR280" s="41">
        <v>275</v>
      </c>
      <c r="AS280" s="57">
        <f t="shared" si="147"/>
        <v>15305.045099616802</v>
      </c>
      <c r="AT280" s="57">
        <f t="shared" si="148"/>
        <v>-8486.6814433211093</v>
      </c>
      <c r="AV280" s="57">
        <f t="shared" si="149"/>
        <v>11.31710889152304</v>
      </c>
      <c r="AW280" s="57">
        <f t="shared" si="150"/>
        <v>81.356828153632975</v>
      </c>
      <c r="AX280" s="57">
        <f t="shared" si="151"/>
        <v>2.5789491505137434</v>
      </c>
      <c r="AY280" s="57">
        <f t="shared" si="152"/>
        <v>10.653374588373467</v>
      </c>
      <c r="BA280" s="57">
        <f t="shared" si="153"/>
        <v>145517.6426264676</v>
      </c>
      <c r="BB280" s="57">
        <f t="shared" si="154"/>
        <v>127715.20035551142</v>
      </c>
    </row>
    <row r="281" spans="9:54" x14ac:dyDescent="0.25">
      <c r="I281" s="41">
        <v>276</v>
      </c>
      <c r="J281" s="57">
        <f t="shared" si="128"/>
        <v>20522.642316338264</v>
      </c>
      <c r="K281" s="57">
        <f t="shared" si="129"/>
        <v>2527.3905231586332</v>
      </c>
      <c r="M281" s="41">
        <v>276</v>
      </c>
      <c r="N281" s="57">
        <f t="shared" si="130"/>
        <v>-19634.150378563216</v>
      </c>
      <c r="O281" s="57">
        <f t="shared" si="131"/>
        <v>6519.1733662110437</v>
      </c>
      <c r="Q281" s="41">
        <v>276</v>
      </c>
      <c r="R281" s="57">
        <f t="shared" si="132"/>
        <v>-4477.3576836617349</v>
      </c>
      <c r="S281" s="41">
        <f t="shared" si="133"/>
        <v>-19972.609476841368</v>
      </c>
      <c r="U281" s="41">
        <v>275</v>
      </c>
      <c r="V281" s="41">
        <f t="shared" si="155"/>
        <v>137.5</v>
      </c>
      <c r="W281" s="57">
        <f t="shared" si="156"/>
        <v>-15314.039195220379</v>
      </c>
      <c r="X281" s="57">
        <f t="shared" si="157"/>
        <v>-130649.99405364918</v>
      </c>
      <c r="Y281" s="57">
        <f t="shared" si="158"/>
        <v>-523.94632616091621</v>
      </c>
      <c r="Z281" s="57">
        <f t="shared" si="159"/>
        <v>-2998.8108555266017</v>
      </c>
      <c r="AA281" s="57">
        <f t="shared" si="134"/>
        <v>23.065488937006673</v>
      </c>
      <c r="AB281" s="57">
        <f t="shared" si="135"/>
        <v>162.14118477087655</v>
      </c>
      <c r="AC281" s="57">
        <f t="shared" si="136"/>
        <v>6.330874214743166</v>
      </c>
      <c r="AD281" s="57">
        <f t="shared" si="137"/>
        <v>24.766643948210397</v>
      </c>
      <c r="AE281" s="57">
        <f t="shared" si="138"/>
        <v>-0.300842883204125</v>
      </c>
      <c r="AF281" s="57">
        <f t="shared" si="139"/>
        <v>9.029855668144636</v>
      </c>
      <c r="AG281" s="57">
        <f t="shared" si="140"/>
        <v>3.4120497951495588</v>
      </c>
      <c r="AH281" s="57">
        <f t="shared" si="141"/>
        <v>38.258875213763417</v>
      </c>
      <c r="AJ281" s="57">
        <f t="shared" si="142"/>
        <v>142592.08330515714</v>
      </c>
      <c r="AK281" s="57">
        <f t="shared" si="143"/>
        <v>140728.03223222971</v>
      </c>
      <c r="AL281" s="57">
        <f t="shared" si="144"/>
        <v>116109.00279103956</v>
      </c>
      <c r="AN281" s="41">
        <v>276</v>
      </c>
      <c r="AO281" s="57">
        <f t="shared" si="145"/>
        <v>5783.9634745073972</v>
      </c>
      <c r="AP281" s="57">
        <f t="shared" si="146"/>
        <v>7541.0857847379493</v>
      </c>
      <c r="AR281" s="41">
        <v>276</v>
      </c>
      <c r="AS281" s="57">
        <f t="shared" si="147"/>
        <v>15365.849621436786</v>
      </c>
      <c r="AT281" s="57">
        <f t="shared" si="148"/>
        <v>-8480.8266337889563</v>
      </c>
      <c r="AV281" s="57">
        <f t="shared" si="149"/>
        <v>11.113334599299252</v>
      </c>
      <c r="AW281" s="57">
        <f t="shared" si="150"/>
        <v>79.681697113442524</v>
      </c>
      <c r="AX281" s="57">
        <f t="shared" si="151"/>
        <v>2.5100732110188244</v>
      </c>
      <c r="AY281" s="57">
        <f t="shared" si="152"/>
        <v>10.404112827315574</v>
      </c>
      <c r="BA281" s="57">
        <f t="shared" si="153"/>
        <v>147059.78701280983</v>
      </c>
      <c r="BB281" s="57">
        <f t="shared" si="154"/>
        <v>129255.02689648644</v>
      </c>
    </row>
    <row r="282" spans="9:54" x14ac:dyDescent="0.25">
      <c r="I282" s="41">
        <v>277</v>
      </c>
      <c r="J282" s="57">
        <f t="shared" si="128"/>
        <v>20609.346717025739</v>
      </c>
      <c r="K282" s="57">
        <f t="shared" si="129"/>
        <v>2537.2692417933904</v>
      </c>
      <c r="M282" s="41">
        <v>277</v>
      </c>
      <c r="N282" s="57">
        <f t="shared" si="130"/>
        <v>-19573.457298081983</v>
      </c>
      <c r="O282" s="57">
        <f t="shared" si="131"/>
        <v>6526.0884692553736</v>
      </c>
      <c r="Q282" s="41">
        <v>277</v>
      </c>
      <c r="R282" s="57">
        <f t="shared" si="132"/>
        <v>-4390.6532829742619</v>
      </c>
      <c r="S282" s="41">
        <f t="shared" si="133"/>
        <v>-19962.73075820661</v>
      </c>
      <c r="U282" s="41">
        <v>276</v>
      </c>
      <c r="V282" s="41">
        <f t="shared" si="155"/>
        <v>138</v>
      </c>
      <c r="W282" s="57">
        <f t="shared" si="156"/>
        <v>-15573.129172183711</v>
      </c>
      <c r="X282" s="57">
        <f t="shared" si="157"/>
        <v>-132129.13183331612</v>
      </c>
      <c r="Y282" s="57">
        <f t="shared" si="158"/>
        <v>-512.41358169241289</v>
      </c>
      <c r="Z282" s="57">
        <f t="shared" si="159"/>
        <v>-2917.7402631411633</v>
      </c>
      <c r="AA282" s="57">
        <f t="shared" si="134"/>
        <v>22.63940892217602</v>
      </c>
      <c r="AB282" s="57">
        <f t="shared" si="135"/>
        <v>158.67707391174258</v>
      </c>
      <c r="AC282" s="57">
        <f t="shared" si="136"/>
        <v>6.1815137163226623</v>
      </c>
      <c r="AD282" s="57">
        <f t="shared" si="137"/>
        <v>24.263240645717001</v>
      </c>
      <c r="AE282" s="57">
        <f t="shared" si="138"/>
        <v>-0.2755065157630382</v>
      </c>
      <c r="AF282" s="57">
        <f t="shared" si="139"/>
        <v>8.8454132552899161</v>
      </c>
      <c r="AG282" s="57">
        <f t="shared" si="140"/>
        <v>3.3668794925053476</v>
      </c>
      <c r="AH282" s="57">
        <f t="shared" si="141"/>
        <v>37.298293203685382</v>
      </c>
      <c r="AJ282" s="57">
        <f t="shared" si="142"/>
        <v>144089.35413702999</v>
      </c>
      <c r="AK282" s="57">
        <f t="shared" si="143"/>
        <v>142198.0566007086</v>
      </c>
      <c r="AL282" s="57">
        <f t="shared" si="144"/>
        <v>117605.37651195217</v>
      </c>
      <c r="AN282" s="41">
        <v>277</v>
      </c>
      <c r="AO282" s="57">
        <f t="shared" si="145"/>
        <v>5914.0200755386077</v>
      </c>
      <c r="AP282" s="57">
        <f t="shared" si="146"/>
        <v>7555.9038626900847</v>
      </c>
      <c r="AR282" s="41">
        <v>277</v>
      </c>
      <c r="AS282" s="57">
        <f t="shared" si="147"/>
        <v>15426.542701918017</v>
      </c>
      <c r="AT282" s="57">
        <f t="shared" si="148"/>
        <v>-8473.9115307446264</v>
      </c>
      <c r="AV282" s="57">
        <f t="shared" si="149"/>
        <v>10.920805404984497</v>
      </c>
      <c r="AW282" s="57">
        <f t="shared" si="150"/>
        <v>78.10035141996859</v>
      </c>
      <c r="AX282" s="57">
        <f t="shared" si="151"/>
        <v>2.4457168241265528</v>
      </c>
      <c r="AY282" s="57">
        <f t="shared" si="152"/>
        <v>10.16977538708171</v>
      </c>
      <c r="BA282" s="57">
        <f t="shared" si="153"/>
        <v>148560.5434762564</v>
      </c>
      <c r="BB282" s="57">
        <f t="shared" si="154"/>
        <v>130753.70888839712</v>
      </c>
    </row>
    <row r="283" spans="9:54" x14ac:dyDescent="0.25">
      <c r="I283" s="41">
        <v>278</v>
      </c>
      <c r="J283" s="57">
        <f t="shared" si="128"/>
        <v>20695.865504800327</v>
      </c>
      <c r="K283" s="57">
        <f t="shared" si="129"/>
        <v>2548.6596562921486</v>
      </c>
      <c r="M283" s="41">
        <v>278</v>
      </c>
      <c r="N283" s="57">
        <f t="shared" si="130"/>
        <v>-19512.89414663977</v>
      </c>
      <c r="O283" s="57">
        <f t="shared" si="131"/>
        <v>6534.0617594045034</v>
      </c>
      <c r="Q283" s="41">
        <v>278</v>
      </c>
      <c r="R283" s="57">
        <f t="shared" si="132"/>
        <v>-4304.1344951996725</v>
      </c>
      <c r="S283" s="41">
        <f t="shared" si="133"/>
        <v>-19951.340343707852</v>
      </c>
      <c r="U283" s="41">
        <v>277</v>
      </c>
      <c r="V283" s="41">
        <f t="shared" si="155"/>
        <v>138.5</v>
      </c>
      <c r="W283" s="57">
        <f t="shared" si="156"/>
        <v>-15826.506036914647</v>
      </c>
      <c r="X283" s="57">
        <f t="shared" si="157"/>
        <v>-133568.16733064773</v>
      </c>
      <c r="Y283" s="57">
        <f t="shared" si="158"/>
        <v>-501.09387723132488</v>
      </c>
      <c r="Z283" s="57">
        <f t="shared" si="159"/>
        <v>-2838.4017261852919</v>
      </c>
      <c r="AA283" s="57">
        <f t="shared" si="134"/>
        <v>22.23697618594338</v>
      </c>
      <c r="AB283" s="57">
        <f t="shared" si="135"/>
        <v>155.41209314949538</v>
      </c>
      <c r="AC283" s="57">
        <f t="shared" si="136"/>
        <v>6.0412993193683286</v>
      </c>
      <c r="AD283" s="57">
        <f t="shared" si="137"/>
        <v>23.787835252509975</v>
      </c>
      <c r="AE283" s="57">
        <f t="shared" si="138"/>
        <v>-0.25207064799121537</v>
      </c>
      <c r="AF283" s="57">
        <f t="shared" si="139"/>
        <v>8.6712287809789483</v>
      </c>
      <c r="AG283" s="57">
        <f t="shared" si="140"/>
        <v>3.3234895283879151</v>
      </c>
      <c r="AH283" s="57">
        <f t="shared" si="141"/>
        <v>36.397713277020785</v>
      </c>
      <c r="AJ283" s="57">
        <f t="shared" si="142"/>
        <v>145546.44059145075</v>
      </c>
      <c r="AK283" s="57">
        <f t="shared" si="143"/>
        <v>143628.8157806113</v>
      </c>
      <c r="AL283" s="57">
        <f t="shared" si="144"/>
        <v>119061.42757885875</v>
      </c>
      <c r="AN283" s="41">
        <v>278</v>
      </c>
      <c r="AO283" s="57">
        <f t="shared" si="145"/>
        <v>6043.7982572004912</v>
      </c>
      <c r="AP283" s="57">
        <f t="shared" si="146"/>
        <v>7572.9894844382225</v>
      </c>
      <c r="AR283" s="41">
        <v>278</v>
      </c>
      <c r="AS283" s="57">
        <f t="shared" si="147"/>
        <v>15487.10585336023</v>
      </c>
      <c r="AT283" s="57">
        <f t="shared" si="148"/>
        <v>-8465.9382405954966</v>
      </c>
      <c r="AV283" s="57">
        <f t="shared" si="149"/>
        <v>10.738757096748166</v>
      </c>
      <c r="AW283" s="57">
        <f t="shared" si="150"/>
        <v>76.606102744501428</v>
      </c>
      <c r="AX283" s="57">
        <f t="shared" si="151"/>
        <v>2.3855008894301863</v>
      </c>
      <c r="AY283" s="57">
        <f t="shared" si="152"/>
        <v>9.9492130944842589</v>
      </c>
      <c r="BA283" s="57">
        <f t="shared" si="153"/>
        <v>150020.81088200057</v>
      </c>
      <c r="BB283" s="57">
        <f t="shared" si="154"/>
        <v>132212.12926658947</v>
      </c>
    </row>
    <row r="284" spans="9:54" x14ac:dyDescent="0.25">
      <c r="I284" s="41">
        <v>279</v>
      </c>
      <c r="J284" s="57">
        <f t="shared" si="128"/>
        <v>20782.172325201154</v>
      </c>
      <c r="K284" s="57">
        <f t="shared" si="129"/>
        <v>2561.5582970243113</v>
      </c>
      <c r="M284" s="41">
        <v>279</v>
      </c>
      <c r="N284" s="57">
        <f t="shared" si="130"/>
        <v>-19452.479372359194</v>
      </c>
      <c r="O284" s="57">
        <f t="shared" si="131"/>
        <v>6543.0908079170176</v>
      </c>
      <c r="Q284" s="41">
        <v>279</v>
      </c>
      <c r="R284" s="57">
        <f t="shared" si="132"/>
        <v>-4217.8276747988466</v>
      </c>
      <c r="S284" s="41">
        <f t="shared" si="133"/>
        <v>-19938.441702975688</v>
      </c>
      <c r="U284" s="41">
        <v>278</v>
      </c>
      <c r="V284" s="41">
        <f t="shared" si="155"/>
        <v>139</v>
      </c>
      <c r="W284" s="57">
        <f t="shared" si="156"/>
        <v>-16074.273353507066</v>
      </c>
      <c r="X284" s="57">
        <f t="shared" si="157"/>
        <v>-134967.94168209669</v>
      </c>
      <c r="Y284" s="57">
        <f t="shared" si="158"/>
        <v>-489.97538913835319</v>
      </c>
      <c r="Z284" s="57">
        <f t="shared" si="159"/>
        <v>-2760.6956796105442</v>
      </c>
      <c r="AA284" s="57">
        <f t="shared" si="134"/>
        <v>21.856595845191766</v>
      </c>
      <c r="AB284" s="57">
        <f t="shared" si="135"/>
        <v>152.33165739877163</v>
      </c>
      <c r="AC284" s="57">
        <f t="shared" si="136"/>
        <v>5.9095255957110773</v>
      </c>
      <c r="AD284" s="57">
        <f t="shared" si="137"/>
        <v>23.338458953512752</v>
      </c>
      <c r="AE284" s="57">
        <f t="shared" si="138"/>
        <v>-0.23035801138485154</v>
      </c>
      <c r="AF284" s="57">
        <f t="shared" si="139"/>
        <v>8.5065848357720153</v>
      </c>
      <c r="AG284" s="57">
        <f t="shared" si="140"/>
        <v>3.281844609392162</v>
      </c>
      <c r="AH284" s="57">
        <f t="shared" si="141"/>
        <v>35.552322950794597</v>
      </c>
      <c r="AJ284" s="57">
        <f t="shared" si="142"/>
        <v>146964.17116126246</v>
      </c>
      <c r="AK284" s="57">
        <f t="shared" si="143"/>
        <v>145021.08620902951</v>
      </c>
      <c r="AL284" s="57">
        <f t="shared" si="144"/>
        <v>120477.99202239033</v>
      </c>
      <c r="AN284" s="41">
        <v>279</v>
      </c>
      <c r="AO284" s="57">
        <f t="shared" si="145"/>
        <v>6173.2584878017296</v>
      </c>
      <c r="AP284" s="57">
        <f t="shared" si="146"/>
        <v>7592.3374455364665</v>
      </c>
      <c r="AR284" s="41">
        <v>279</v>
      </c>
      <c r="AS284" s="57">
        <f t="shared" si="147"/>
        <v>15547.520627640808</v>
      </c>
      <c r="AT284" s="57">
        <f t="shared" si="148"/>
        <v>-8456.9091920829815</v>
      </c>
      <c r="AV284" s="57">
        <f t="shared" si="149"/>
        <v>10.56649617166978</v>
      </c>
      <c r="AW284" s="57">
        <f t="shared" si="150"/>
        <v>75.192897760973807</v>
      </c>
      <c r="AX284" s="57">
        <f t="shared" si="151"/>
        <v>2.3290874798035963</v>
      </c>
      <c r="AY284" s="57">
        <f t="shared" si="152"/>
        <v>9.7413928977184483</v>
      </c>
      <c r="BA284" s="57">
        <f t="shared" si="153"/>
        <v>151441.43597359044</v>
      </c>
      <c r="BB284" s="57">
        <f t="shared" si="154"/>
        <v>133631.1203632199</v>
      </c>
    </row>
    <row r="285" spans="9:54" x14ac:dyDescent="0.25">
      <c r="I285" s="41">
        <v>280</v>
      </c>
      <c r="J285" s="57">
        <f t="shared" si="128"/>
        <v>20868.240888334651</v>
      </c>
      <c r="K285" s="57">
        <f t="shared" si="129"/>
        <v>2575.961234938959</v>
      </c>
      <c r="M285" s="41">
        <v>280</v>
      </c>
      <c r="N285" s="57">
        <f t="shared" si="130"/>
        <v>-19392.231378165747</v>
      </c>
      <c r="O285" s="57">
        <f t="shared" si="131"/>
        <v>6553.1728644572713</v>
      </c>
      <c r="Q285" s="41">
        <v>280</v>
      </c>
      <c r="R285" s="57">
        <f t="shared" si="132"/>
        <v>-4131.7591116653502</v>
      </c>
      <c r="S285" s="41">
        <f t="shared" si="133"/>
        <v>-19924.038765061043</v>
      </c>
      <c r="U285" s="41">
        <v>279</v>
      </c>
      <c r="V285" s="41">
        <f t="shared" si="155"/>
        <v>139.5</v>
      </c>
      <c r="W285" s="57">
        <f t="shared" si="156"/>
        <v>-16316.528973595592</v>
      </c>
      <c r="X285" s="57">
        <f t="shared" si="157"/>
        <v>-136329.24806472711</v>
      </c>
      <c r="Y285" s="57">
        <f t="shared" si="158"/>
        <v>-479.04709121575729</v>
      </c>
      <c r="Z285" s="57">
        <f t="shared" si="159"/>
        <v>-2684.5298509111585</v>
      </c>
      <c r="AA285" s="57">
        <f t="shared" si="134"/>
        <v>21.496817963372404</v>
      </c>
      <c r="AB285" s="57">
        <f t="shared" si="135"/>
        <v>149.4226007255894</v>
      </c>
      <c r="AC285" s="57">
        <f t="shared" si="136"/>
        <v>5.7855584335771937</v>
      </c>
      <c r="AD285" s="57">
        <f t="shared" si="137"/>
        <v>22.913327420166205</v>
      </c>
      <c r="AE285" s="57">
        <f t="shared" si="138"/>
        <v>-0.2102111747036699</v>
      </c>
      <c r="AF285" s="57">
        <f t="shared" si="139"/>
        <v>8.3508307541154156</v>
      </c>
      <c r="AG285" s="57">
        <f t="shared" si="140"/>
        <v>3.241904179540358</v>
      </c>
      <c r="AH285" s="57">
        <f t="shared" si="141"/>
        <v>34.757812869943358</v>
      </c>
      <c r="AJ285" s="57">
        <f t="shared" si="142"/>
        <v>148343.32770824179</v>
      </c>
      <c r="AK285" s="57">
        <f t="shared" si="143"/>
        <v>146375.6017852388</v>
      </c>
      <c r="AL285" s="57">
        <f t="shared" si="144"/>
        <v>121855.85855412253</v>
      </c>
      <c r="AN285" s="41">
        <v>280</v>
      </c>
      <c r="AO285" s="57">
        <f t="shared" si="145"/>
        <v>6302.3613325019751</v>
      </c>
      <c r="AP285" s="57">
        <f t="shared" si="146"/>
        <v>7613.9418524084394</v>
      </c>
      <c r="AR285" s="41">
        <v>280</v>
      </c>
      <c r="AS285" s="57">
        <f t="shared" si="147"/>
        <v>15607.768621834255</v>
      </c>
      <c r="AT285" s="57">
        <f t="shared" si="148"/>
        <v>-8446.8271355427278</v>
      </c>
      <c r="AV285" s="57">
        <f t="shared" si="149"/>
        <v>10.403391994606258</v>
      </c>
      <c r="AW285" s="57">
        <f t="shared" si="150"/>
        <v>73.855245843095318</v>
      </c>
      <c r="AX285" s="57">
        <f t="shared" si="151"/>
        <v>2.2761745303522631</v>
      </c>
      <c r="AY285" s="57">
        <f t="shared" si="152"/>
        <v>9.5453838382691245</v>
      </c>
      <c r="BA285" s="57">
        <f t="shared" si="153"/>
        <v>152823.21723912848</v>
      </c>
      <c r="BB285" s="57">
        <f t="shared" si="154"/>
        <v>135011.46760257325</v>
      </c>
    </row>
    <row r="286" spans="9:54" x14ac:dyDescent="0.25">
      <c r="I286" s="41">
        <v>281</v>
      </c>
      <c r="J286" s="57">
        <f t="shared" si="128"/>
        <v>20954.04497688272</v>
      </c>
      <c r="K286" s="57">
        <f t="shared" si="129"/>
        <v>2591.8640827616791</v>
      </c>
      <c r="M286" s="41">
        <v>281</v>
      </c>
      <c r="N286" s="57">
        <f t="shared" si="130"/>
        <v>-19332.168516182093</v>
      </c>
      <c r="O286" s="57">
        <f t="shared" si="131"/>
        <v>6564.3048579331753</v>
      </c>
      <c r="Q286" s="41">
        <v>281</v>
      </c>
      <c r="R286" s="57">
        <f t="shared" si="132"/>
        <v>-4045.9550231172789</v>
      </c>
      <c r="S286" s="41">
        <f t="shared" si="133"/>
        <v>-19908.13591723832</v>
      </c>
      <c r="U286" s="41">
        <v>280</v>
      </c>
      <c r="V286" s="41">
        <f t="shared" si="155"/>
        <v>140</v>
      </c>
      <c r="W286" s="57">
        <f t="shared" si="156"/>
        <v>-16553.365416958048</v>
      </c>
      <c r="X286" s="57">
        <f t="shared" si="157"/>
        <v>-137652.83516509199</v>
      </c>
      <c r="Y286" s="57">
        <f t="shared" si="158"/>
        <v>-468.29868223407107</v>
      </c>
      <c r="Z286" s="57">
        <f t="shared" si="159"/>
        <v>-2609.8185505483639</v>
      </c>
      <c r="AA286" s="57">
        <f t="shared" si="134"/>
        <v>21.156321969932005</v>
      </c>
      <c r="AB286" s="57">
        <f t="shared" si="135"/>
        <v>146.67301085546825</v>
      </c>
      <c r="AC286" s="57">
        <f t="shared" si="136"/>
        <v>5.6688264672498319</v>
      </c>
      <c r="AD286" s="57">
        <f t="shared" si="137"/>
        <v>22.510820122693438</v>
      </c>
      <c r="AE286" s="57">
        <f t="shared" si="138"/>
        <v>-0.19148996793606732</v>
      </c>
      <c r="AF286" s="57">
        <f t="shared" si="139"/>
        <v>8.2033752027401245</v>
      </c>
      <c r="AG286" s="57">
        <f t="shared" si="140"/>
        <v>3.2036241683206632</v>
      </c>
      <c r="AH286" s="57">
        <f t="shared" si="141"/>
        <v>34.010314126409497</v>
      </c>
      <c r="AJ286" s="57">
        <f t="shared" si="142"/>
        <v>149684.64877792256</v>
      </c>
      <c r="AK286" s="57">
        <f t="shared" si="143"/>
        <v>147693.05678412525</v>
      </c>
      <c r="AL286" s="57">
        <f t="shared" si="144"/>
        <v>123195.77195055434</v>
      </c>
      <c r="AN286" s="41">
        <v>281</v>
      </c>
      <c r="AO286" s="57">
        <f t="shared" si="145"/>
        <v>6431.0674653240821</v>
      </c>
      <c r="AP286" s="57">
        <f t="shared" si="146"/>
        <v>7637.7961241425191</v>
      </c>
      <c r="AR286" s="41">
        <v>281</v>
      </c>
      <c r="AS286" s="57">
        <f t="shared" si="147"/>
        <v>15667.831483817905</v>
      </c>
      <c r="AT286" s="57">
        <f t="shared" si="148"/>
        <v>-8435.6951420668247</v>
      </c>
      <c r="AV286" s="57">
        <f t="shared" si="149"/>
        <v>10.248869981874886</v>
      </c>
      <c r="AW286" s="57">
        <f t="shared" si="150"/>
        <v>72.588156406453962</v>
      </c>
      <c r="AX286" s="57">
        <f t="shared" si="151"/>
        <v>2.2264913204226922</v>
      </c>
      <c r="AY286" s="57">
        <f t="shared" si="152"/>
        <v>9.3603449971712447</v>
      </c>
      <c r="BA286" s="57">
        <f t="shared" si="153"/>
        <v>154166.90839715788</v>
      </c>
      <c r="BB286" s="57">
        <f t="shared" si="154"/>
        <v>136353.91283888099</v>
      </c>
    </row>
    <row r="287" spans="9:54" x14ac:dyDescent="0.25">
      <c r="I287" s="41">
        <v>282</v>
      </c>
      <c r="J287" s="57">
        <f t="shared" si="128"/>
        <v>21039.558454088794</v>
      </c>
      <c r="K287" s="57">
        <f t="shared" si="129"/>
        <v>2609.2619963309708</v>
      </c>
      <c r="M287" s="41">
        <v>282</v>
      </c>
      <c r="N287" s="57">
        <f t="shared" si="130"/>
        <v>-19272.309082137846</v>
      </c>
      <c r="O287" s="57">
        <f t="shared" si="131"/>
        <v>6576.4833974316798</v>
      </c>
      <c r="Q287" s="41">
        <v>282</v>
      </c>
      <c r="R287" s="57">
        <f t="shared" si="132"/>
        <v>-3960.441545911207</v>
      </c>
      <c r="S287" s="41">
        <f t="shared" si="133"/>
        <v>-19890.73800366903</v>
      </c>
      <c r="U287" s="41">
        <v>281</v>
      </c>
      <c r="V287" s="41">
        <f t="shared" si="155"/>
        <v>140.5</v>
      </c>
      <c r="W287" s="57">
        <f t="shared" si="156"/>
        <v>-16784.87021782884</v>
      </c>
      <c r="X287" s="57">
        <f t="shared" si="157"/>
        <v>-138939.41031400923</v>
      </c>
      <c r="Y287" s="57">
        <f t="shared" si="158"/>
        <v>-457.72052124910505</v>
      </c>
      <c r="Z287" s="57">
        <f t="shared" si="159"/>
        <v>-2536.4820451206297</v>
      </c>
      <c r="AA287" s="57">
        <f t="shared" si="134"/>
        <v>20.833903029794559</v>
      </c>
      <c r="AB287" s="57">
        <f t="shared" si="135"/>
        <v>144.07208627317453</v>
      </c>
      <c r="AC287" s="57">
        <f t="shared" si="136"/>
        <v>5.5588137040361687</v>
      </c>
      <c r="AD287" s="57">
        <f t="shared" si="137"/>
        <v>22.129462358955053</v>
      </c>
      <c r="AE287" s="57">
        <f t="shared" si="138"/>
        <v>-0.17406928632219876</v>
      </c>
      <c r="AF287" s="57">
        <f t="shared" si="139"/>
        <v>8.0636797314916393</v>
      </c>
      <c r="AG287" s="57">
        <f t="shared" si="140"/>
        <v>3.1669583396416763</v>
      </c>
      <c r="AH287" s="57">
        <f t="shared" si="141"/>
        <v>33.306344647767915</v>
      </c>
      <c r="AJ287" s="57">
        <f t="shared" si="142"/>
        <v>150988.83260048495</v>
      </c>
      <c r="AK287" s="57">
        <f t="shared" si="143"/>
        <v>148974.10850278987</v>
      </c>
      <c r="AL287" s="57">
        <f t="shared" si="144"/>
        <v>124498.43611481796</v>
      </c>
      <c r="AN287" s="41">
        <v>282</v>
      </c>
      <c r="AO287" s="57">
        <f t="shared" si="145"/>
        <v>6559.3376811331891</v>
      </c>
      <c r="AP287" s="57">
        <f t="shared" si="146"/>
        <v>7663.8929944964566</v>
      </c>
      <c r="AR287" s="41">
        <v>282</v>
      </c>
      <c r="AS287" s="57">
        <f t="shared" si="147"/>
        <v>15727.690917862155</v>
      </c>
      <c r="AT287" s="57">
        <f t="shared" si="148"/>
        <v>-8423.5166025683211</v>
      </c>
      <c r="AV287" s="57">
        <f t="shared" si="149"/>
        <v>10.102405657194488</v>
      </c>
      <c r="AW287" s="57">
        <f t="shared" si="150"/>
        <v>71.387084433887594</v>
      </c>
      <c r="AX287" s="57">
        <f t="shared" si="151"/>
        <v>2.1797946152444267</v>
      </c>
      <c r="AY287" s="57">
        <f t="shared" si="152"/>
        <v>9.185515101072335</v>
      </c>
      <c r="BA287" s="57">
        <f t="shared" si="153"/>
        <v>155473.22154709647</v>
      </c>
      <c r="BB287" s="57">
        <f t="shared" si="154"/>
        <v>137659.15737802823</v>
      </c>
    </row>
    <row r="288" spans="9:54" x14ac:dyDescent="0.25">
      <c r="I288" s="41">
        <v>283</v>
      </c>
      <c r="J288" s="57">
        <f t="shared" si="128"/>
        <v>21124.755271719325</v>
      </c>
      <c r="K288" s="57">
        <f t="shared" si="129"/>
        <v>2628.1496760738237</v>
      </c>
      <c r="M288" s="41">
        <v>283</v>
      </c>
      <c r="N288" s="57">
        <f t="shared" si="130"/>
        <v>-19212.671309796471</v>
      </c>
      <c r="O288" s="57">
        <f t="shared" si="131"/>
        <v>6589.7047732516767</v>
      </c>
      <c r="Q288" s="41">
        <v>283</v>
      </c>
      <c r="R288" s="57">
        <f t="shared" si="132"/>
        <v>-3875.2447282806752</v>
      </c>
      <c r="S288" s="41">
        <f t="shared" si="133"/>
        <v>-19871.850323926177</v>
      </c>
      <c r="U288" s="41">
        <v>282</v>
      </c>
      <c r="V288" s="41">
        <f t="shared" si="155"/>
        <v>141</v>
      </c>
      <c r="W288" s="57">
        <f t="shared" si="156"/>
        <v>-17011.126240574667</v>
      </c>
      <c r="X288" s="57">
        <f t="shared" si="157"/>
        <v>-140189.64232578539</v>
      </c>
      <c r="Y288" s="57">
        <f t="shared" si="158"/>
        <v>-447.30356973420777</v>
      </c>
      <c r="Z288" s="57">
        <f t="shared" si="159"/>
        <v>-2464.4460019840426</v>
      </c>
      <c r="AA288" s="57">
        <f t="shared" si="134"/>
        <v>20.528460088941642</v>
      </c>
      <c r="AB288" s="57">
        <f t="shared" si="135"/>
        <v>141.61001241227905</v>
      </c>
      <c r="AC288" s="57">
        <f t="shared" si="136"/>
        <v>5.4550531596279175</v>
      </c>
      <c r="AD288" s="57">
        <f t="shared" si="137"/>
        <v>21.76790959499003</v>
      </c>
      <c r="AE288" s="57">
        <f t="shared" si="138"/>
        <v>-0.15783721192208147</v>
      </c>
      <c r="AF288" s="57">
        <f t="shared" si="139"/>
        <v>7.9312531449419392</v>
      </c>
      <c r="AG288" s="57">
        <f t="shared" si="140"/>
        <v>3.1318593298339548</v>
      </c>
      <c r="AH288" s="57">
        <f t="shared" si="141"/>
        <v>32.642763173374824</v>
      </c>
      <c r="AJ288" s="57">
        <f t="shared" si="142"/>
        <v>152256.53981328412</v>
      </c>
      <c r="AK288" s="57">
        <f t="shared" si="143"/>
        <v>150219.37966952575</v>
      </c>
      <c r="AL288" s="57">
        <f t="shared" si="144"/>
        <v>125764.51685282736</v>
      </c>
      <c r="AN288" s="41">
        <v>283</v>
      </c>
      <c r="AO288" s="57">
        <f t="shared" si="145"/>
        <v>6687.1329075789872</v>
      </c>
      <c r="AP288" s="57">
        <f t="shared" si="146"/>
        <v>7692.224514110736</v>
      </c>
      <c r="AR288" s="41">
        <v>283</v>
      </c>
      <c r="AS288" s="57">
        <f t="shared" si="147"/>
        <v>15787.328690203527</v>
      </c>
      <c r="AT288" s="57">
        <f t="shared" si="148"/>
        <v>-8410.2952267483233</v>
      </c>
      <c r="AV288" s="57">
        <f t="shared" si="149"/>
        <v>9.9635194527538395</v>
      </c>
      <c r="AW288" s="57">
        <f t="shared" si="150"/>
        <v>70.247882969685975</v>
      </c>
      <c r="AX288" s="57">
        <f t="shared" si="151"/>
        <v>2.1358653586480103</v>
      </c>
      <c r="AY288" s="57">
        <f t="shared" si="152"/>
        <v>9.020203529286265</v>
      </c>
      <c r="BA288" s="57">
        <f t="shared" si="153"/>
        <v>156742.83002288721</v>
      </c>
      <c r="BB288" s="57">
        <f t="shared" si="154"/>
        <v>138927.86471893892</v>
      </c>
    </row>
    <row r="289" spans="9:54" x14ac:dyDescent="0.25">
      <c r="I289" s="41">
        <v>284</v>
      </c>
      <c r="J289" s="57">
        <f t="shared" si="128"/>
        <v>21209.609477998336</v>
      </c>
      <c r="K289" s="57">
        <f t="shared" si="129"/>
        <v>2648.5213686200168</v>
      </c>
      <c r="M289" s="41">
        <v>284</v>
      </c>
      <c r="N289" s="57">
        <f t="shared" si="130"/>
        <v>-19153.273365401164</v>
      </c>
      <c r="O289" s="57">
        <f t="shared" si="131"/>
        <v>6603.9649580340119</v>
      </c>
      <c r="Q289" s="41">
        <v>284</v>
      </c>
      <c r="R289" s="57">
        <f t="shared" si="132"/>
        <v>-3790.3905220016627</v>
      </c>
      <c r="S289" s="41">
        <f t="shared" si="133"/>
        <v>-19851.478631379985</v>
      </c>
      <c r="U289" s="41">
        <v>283</v>
      </c>
      <c r="V289" s="41">
        <f t="shared" si="155"/>
        <v>141.5</v>
      </c>
      <c r="W289" s="57">
        <f t="shared" si="156"/>
        <v>-17232.211967930652</v>
      </c>
      <c r="X289" s="57">
        <f t="shared" si="157"/>
        <v>-141404.16407522588</v>
      </c>
      <c r="Y289" s="57">
        <f t="shared" si="158"/>
        <v>-437.03933968973695</v>
      </c>
      <c r="Z289" s="57">
        <f t="shared" si="159"/>
        <v>-2393.6409957779033</v>
      </c>
      <c r="AA289" s="57">
        <f t="shared" si="134"/>
        <v>20.238985364538443</v>
      </c>
      <c r="AB289" s="57">
        <f t="shared" si="135"/>
        <v>139.27785403833897</v>
      </c>
      <c r="AC289" s="57">
        <f t="shared" si="136"/>
        <v>5.3571213460517617</v>
      </c>
      <c r="AD289" s="57">
        <f t="shared" si="137"/>
        <v>21.424933779665579</v>
      </c>
      <c r="AE289" s="57">
        <f t="shared" si="138"/>
        <v>-0.14269340152295384</v>
      </c>
      <c r="AF289" s="57">
        <f t="shared" si="139"/>
        <v>7.8056465763676268</v>
      </c>
      <c r="AG289" s="57">
        <f t="shared" si="140"/>
        <v>3.0982794428631255</v>
      </c>
      <c r="AH289" s="57">
        <f t="shared" si="141"/>
        <v>32.016729604860153</v>
      </c>
      <c r="AJ289" s="57">
        <f t="shared" si="142"/>
        <v>153488.39593587103</v>
      </c>
      <c r="AK289" s="57">
        <f t="shared" si="143"/>
        <v>151429.4606406177</v>
      </c>
      <c r="AL289" s="57">
        <f t="shared" si="144"/>
        <v>126994.64439567919</v>
      </c>
      <c r="AN289" s="41">
        <v>284</v>
      </c>
      <c r="AO289" s="57">
        <f t="shared" si="145"/>
        <v>6814.4142169975057</v>
      </c>
      <c r="AP289" s="57">
        <f t="shared" si="146"/>
        <v>7722.7820529300252</v>
      </c>
      <c r="AR289" s="41">
        <v>284</v>
      </c>
      <c r="AS289" s="57">
        <f t="shared" si="147"/>
        <v>15846.726634598836</v>
      </c>
      <c r="AT289" s="57">
        <f t="shared" si="148"/>
        <v>-8396.0350419659881</v>
      </c>
      <c r="AV289" s="57">
        <f t="shared" si="149"/>
        <v>9.8317721490380894</v>
      </c>
      <c r="AW289" s="57">
        <f t="shared" si="150"/>
        <v>69.166761569497552</v>
      </c>
      <c r="AX289" s="57">
        <f t="shared" si="151"/>
        <v>2.094505828108419</v>
      </c>
      <c r="AY289" s="57">
        <f t="shared" si="152"/>
        <v>8.8637825079480557</v>
      </c>
      <c r="BA289" s="57">
        <f t="shared" si="153"/>
        <v>157976.37098331249</v>
      </c>
      <c r="BB289" s="57">
        <f t="shared" si="154"/>
        <v>140160.66304568751</v>
      </c>
    </row>
    <row r="290" spans="9:54" x14ac:dyDescent="0.25">
      <c r="I290" s="41">
        <v>285</v>
      </c>
      <c r="J290" s="57">
        <f t="shared" si="128"/>
        <v>21294.095225512607</v>
      </c>
      <c r="K290" s="57">
        <f t="shared" si="129"/>
        <v>2670.370868554659</v>
      </c>
      <c r="M290" s="41">
        <v>285</v>
      </c>
      <c r="N290" s="57">
        <f t="shared" si="130"/>
        <v>-19094.133342141176</v>
      </c>
      <c r="O290" s="57">
        <f t="shared" si="131"/>
        <v>6619.2596079882615</v>
      </c>
      <c r="Q290" s="41">
        <v>285</v>
      </c>
      <c r="R290" s="57">
        <f t="shared" si="132"/>
        <v>-3705.9047744873942</v>
      </c>
      <c r="S290" s="41">
        <f t="shared" si="133"/>
        <v>-19829.629131445341</v>
      </c>
      <c r="U290" s="41">
        <v>284</v>
      </c>
      <c r="V290" s="41">
        <f t="shared" si="155"/>
        <v>142</v>
      </c>
      <c r="W290" s="57">
        <f t="shared" si="156"/>
        <v>-17448.201764604953</v>
      </c>
      <c r="X290" s="57">
        <f t="shared" si="157"/>
        <v>-142583.57484136004</v>
      </c>
      <c r="Y290" s="57">
        <f t="shared" si="158"/>
        <v>-426.91984700746775</v>
      </c>
      <c r="Z290" s="57">
        <f t="shared" si="159"/>
        <v>-2324.0020687587339</v>
      </c>
      <c r="AA290" s="57">
        <f t="shared" si="134"/>
        <v>19.964555083362235</v>
      </c>
      <c r="AB290" s="57">
        <f t="shared" si="135"/>
        <v>137.06746142002132</v>
      </c>
      <c r="AC290" s="57">
        <f t="shared" si="136"/>
        <v>5.264633483162501</v>
      </c>
      <c r="AD290" s="57">
        <f t="shared" si="137"/>
        <v>21.099411350890655</v>
      </c>
      <c r="AE290" s="57">
        <f t="shared" si="138"/>
        <v>-0.12854769876381769</v>
      </c>
      <c r="AF290" s="57">
        <f t="shared" si="139"/>
        <v>7.686449164730722</v>
      </c>
      <c r="AG290" s="57">
        <f t="shared" si="140"/>
        <v>3.0661712556807434</v>
      </c>
      <c r="AH290" s="57">
        <f t="shared" si="141"/>
        <v>31.425670733252737</v>
      </c>
      <c r="AJ290" s="57">
        <f t="shared" si="142"/>
        <v>154684.99362434834</v>
      </c>
      <c r="AK290" s="57">
        <f t="shared" si="143"/>
        <v>152604.9114072122</v>
      </c>
      <c r="AL290" s="57">
        <f t="shared" si="144"/>
        <v>128189.41569596622</v>
      </c>
      <c r="AN290" s="41">
        <v>285</v>
      </c>
      <c r="AO290" s="57">
        <f t="shared" si="145"/>
        <v>6941.1428382689082</v>
      </c>
      <c r="AP290" s="57">
        <f t="shared" si="146"/>
        <v>7755.5563028319884</v>
      </c>
      <c r="AR290" s="41">
        <v>285</v>
      </c>
      <c r="AS290" s="57">
        <f t="shared" si="147"/>
        <v>15905.866657858824</v>
      </c>
      <c r="AT290" s="57">
        <f t="shared" si="148"/>
        <v>-8380.7403920117395</v>
      </c>
      <c r="AV290" s="57">
        <f t="shared" si="149"/>
        <v>9.7067608640656999</v>
      </c>
      <c r="AW290" s="57">
        <f t="shared" si="150"/>
        <v>68.140249857407696</v>
      </c>
      <c r="AX290" s="57">
        <f t="shared" si="151"/>
        <v>2.0555371792171075</v>
      </c>
      <c r="AY290" s="57">
        <f t="shared" si="152"/>
        <v>8.7156803137395098</v>
      </c>
      <c r="BA290" s="57">
        <f t="shared" si="153"/>
        <v>159174.44776799739</v>
      </c>
      <c r="BB290" s="57">
        <f t="shared" si="154"/>
        <v>141358.14749735733</v>
      </c>
    </row>
    <row r="291" spans="9:54" x14ac:dyDescent="0.25">
      <c r="I291" s="41">
        <v>286</v>
      </c>
      <c r="J291" s="57">
        <f t="shared" si="128"/>
        <v>21378.186779084997</v>
      </c>
      <c r="K291" s="57">
        <f t="shared" si="129"/>
        <v>2693.6915203084063</v>
      </c>
      <c r="M291" s="41">
        <v>286</v>
      </c>
      <c r="N291" s="57">
        <f t="shared" si="130"/>
        <v>-19035.269254640501</v>
      </c>
      <c r="O291" s="57">
        <f t="shared" si="131"/>
        <v>6635.5840642158837</v>
      </c>
      <c r="Q291" s="41">
        <v>286</v>
      </c>
      <c r="R291" s="57">
        <f t="shared" si="132"/>
        <v>-3621.8132209150031</v>
      </c>
      <c r="S291" s="41">
        <f t="shared" si="133"/>
        <v>-19806.308479691594</v>
      </c>
      <c r="U291" s="41">
        <v>285</v>
      </c>
      <c r="V291" s="41">
        <f t="shared" si="155"/>
        <v>142.5</v>
      </c>
      <c r="W291" s="57">
        <f t="shared" si="156"/>
        <v>-17659.166118723268</v>
      </c>
      <c r="X291" s="57">
        <f t="shared" si="157"/>
        <v>-143728.44244306188</v>
      </c>
      <c r="Y291" s="57">
        <f t="shared" si="158"/>
        <v>-416.93756946578662</v>
      </c>
      <c r="Z291" s="57">
        <f t="shared" si="159"/>
        <v>-2255.4683380487231</v>
      </c>
      <c r="AA291" s="57">
        <f t="shared" si="134"/>
        <v>19.704321301767585</v>
      </c>
      <c r="AB291" s="57">
        <f t="shared" si="135"/>
        <v>134.97138828163676</v>
      </c>
      <c r="AC291" s="57">
        <f t="shared" si="136"/>
        <v>5.1772393263541883</v>
      </c>
      <c r="AD291" s="57">
        <f t="shared" si="137"/>
        <v>20.790312696017136</v>
      </c>
      <c r="AE291" s="57">
        <f t="shared" si="138"/>
        <v>-0.11531893568624996</v>
      </c>
      <c r="AF291" s="57">
        <f t="shared" si="139"/>
        <v>7.5732842509822929</v>
      </c>
      <c r="AG291" s="57">
        <f t="shared" si="140"/>
        <v>3.0354880749520046</v>
      </c>
      <c r="AH291" s="57">
        <f t="shared" si="141"/>
        <v>30.867250518588584</v>
      </c>
      <c r="AJ291" s="57">
        <f t="shared" si="142"/>
        <v>155846.89472848689</v>
      </c>
      <c r="AK291" s="57">
        <f t="shared" si="143"/>
        <v>153746.2634317645</v>
      </c>
      <c r="AL291" s="57">
        <f t="shared" si="144"/>
        <v>129349.39652212578</v>
      </c>
      <c r="AN291" s="41">
        <v>286</v>
      </c>
      <c r="AO291" s="57">
        <f t="shared" si="145"/>
        <v>7067.2801686274952</v>
      </c>
      <c r="AP291" s="57">
        <f t="shared" si="146"/>
        <v>7790.5372804626095</v>
      </c>
      <c r="AR291" s="41">
        <v>286</v>
      </c>
      <c r="AS291" s="57">
        <f t="shared" si="147"/>
        <v>15964.730745359499</v>
      </c>
      <c r="AT291" s="57">
        <f t="shared" si="148"/>
        <v>-8364.4159357841163</v>
      </c>
      <c r="AV291" s="57">
        <f t="shared" si="149"/>
        <v>9.5881155167034446</v>
      </c>
      <c r="AW291" s="57">
        <f t="shared" si="150"/>
        <v>67.165165476806308</v>
      </c>
      <c r="AX291" s="57">
        <f t="shared" si="151"/>
        <v>2.018797319444197</v>
      </c>
      <c r="AY291" s="57">
        <f t="shared" si="152"/>
        <v>8.575375339242445</v>
      </c>
      <c r="BA291" s="57">
        <f t="shared" si="153"/>
        <v>160337.63204437162</v>
      </c>
      <c r="BB291" s="57">
        <f t="shared" si="154"/>
        <v>142520.8822392294</v>
      </c>
    </row>
    <row r="292" spans="9:54" x14ac:dyDescent="0.25">
      <c r="I292" s="41">
        <v>287</v>
      </c>
      <c r="J292" s="57">
        <f t="shared" si="128"/>
        <v>21461.858523613682</v>
      </c>
      <c r="K292" s="57">
        <f t="shared" si="129"/>
        <v>2718.4762201848225</v>
      </c>
      <c r="M292" s="41">
        <v>287</v>
      </c>
      <c r="N292" s="57">
        <f t="shared" si="130"/>
        <v>-18976.699033470421</v>
      </c>
      <c r="O292" s="57">
        <f t="shared" si="131"/>
        <v>6652.9333541293763</v>
      </c>
      <c r="Q292" s="41">
        <v>287</v>
      </c>
      <c r="R292" s="57">
        <f t="shared" si="132"/>
        <v>-3538.1414763863168</v>
      </c>
      <c r="S292" s="41">
        <f t="shared" si="133"/>
        <v>-19781.523779815179</v>
      </c>
      <c r="U292" s="41">
        <v>286</v>
      </c>
      <c r="V292" s="41">
        <f t="shared" si="155"/>
        <v>143</v>
      </c>
      <c r="W292" s="57">
        <f t="shared" si="156"/>
        <v>-17865.171863293439</v>
      </c>
      <c r="X292" s="57">
        <f t="shared" si="157"/>
        <v>-144839.30518855105</v>
      </c>
      <c r="Y292" s="57">
        <f t="shared" si="158"/>
        <v>-407.08540881490285</v>
      </c>
      <c r="Z292" s="57">
        <f t="shared" si="159"/>
        <v>-2187.9826439079047</v>
      </c>
      <c r="AA292" s="57">
        <f t="shared" si="134"/>
        <v>19.457504665101922</v>
      </c>
      <c r="AB292" s="57">
        <f t="shared" si="135"/>
        <v>132.98281985690977</v>
      </c>
      <c r="AC292" s="57">
        <f t="shared" si="136"/>
        <v>5.0946195208789256</v>
      </c>
      <c r="AD292" s="57">
        <f t="shared" si="137"/>
        <v>20.49669286627714</v>
      </c>
      <c r="AE292" s="57">
        <f t="shared" si="138"/>
        <v>-0.10293389486367421</v>
      </c>
      <c r="AF292" s="57">
        <f t="shared" si="139"/>
        <v>7.4658060229760954</v>
      </c>
      <c r="AG292" s="57">
        <f t="shared" si="140"/>
        <v>3.0061842773968159</v>
      </c>
      <c r="AH292" s="57">
        <f t="shared" si="141"/>
        <v>30.339344238346477</v>
      </c>
      <c r="AJ292" s="57">
        <f t="shared" si="142"/>
        <v>156974.63217210368</v>
      </c>
      <c r="AK292" s="57">
        <f t="shared" si="143"/>
        <v>154854.02133120899</v>
      </c>
      <c r="AL292" s="57">
        <f t="shared" si="144"/>
        <v>130475.12337192013</v>
      </c>
      <c r="AN292" s="41">
        <v>287</v>
      </c>
      <c r="AO292" s="57">
        <f t="shared" si="145"/>
        <v>7192.7877854205253</v>
      </c>
      <c r="AP292" s="57">
        <f t="shared" si="146"/>
        <v>7827.7143302772338</v>
      </c>
      <c r="AR292" s="41">
        <v>287</v>
      </c>
      <c r="AS292" s="57">
        <f t="shared" si="147"/>
        <v>16023.300966529579</v>
      </c>
      <c r="AT292" s="57">
        <f t="shared" si="148"/>
        <v>-8347.0666458706237</v>
      </c>
      <c r="AV292" s="57">
        <f t="shared" si="149"/>
        <v>9.4754957003235649</v>
      </c>
      <c r="AW292" s="57">
        <f t="shared" si="150"/>
        <v>66.238585833164549</v>
      </c>
      <c r="AX292" s="57">
        <f t="shared" si="151"/>
        <v>1.9841390613662888</v>
      </c>
      <c r="AY292" s="57">
        <f t="shared" si="152"/>
        <v>8.4423908961454988</v>
      </c>
      <c r="BA292" s="57">
        <f t="shared" si="153"/>
        <v>161466.46576765316</v>
      </c>
      <c r="BB292" s="57">
        <f t="shared" si="154"/>
        <v>143649.40235594625</v>
      </c>
    </row>
    <row r="293" spans="9:54" x14ac:dyDescent="0.25">
      <c r="I293" s="41">
        <v>288</v>
      </c>
      <c r="J293" s="57">
        <f t="shared" si="128"/>
        <v>21545.084971874738</v>
      </c>
      <c r="K293" s="57">
        <f t="shared" si="129"/>
        <v>2744.717418524232</v>
      </c>
      <c r="M293" s="41">
        <v>288</v>
      </c>
      <c r="N293" s="57">
        <f t="shared" si="130"/>
        <v>-18918.440519687683</v>
      </c>
      <c r="O293" s="57">
        <f t="shared" si="131"/>
        <v>6671.3021929669621</v>
      </c>
      <c r="Q293" s="41">
        <v>288</v>
      </c>
      <c r="R293" s="57">
        <f t="shared" si="132"/>
        <v>-3454.9150281252641</v>
      </c>
      <c r="S293" s="41">
        <f t="shared" si="133"/>
        <v>-19755.282581475767</v>
      </c>
      <c r="U293" s="41">
        <v>287</v>
      </c>
      <c r="V293" s="41">
        <f t="shared" si="155"/>
        <v>143.5</v>
      </c>
      <c r="W293" s="57">
        <f t="shared" si="156"/>
        <v>-18066.282379617754</v>
      </c>
      <c r="X293" s="57">
        <f t="shared" si="157"/>
        <v>-145916.67365802289</v>
      </c>
      <c r="Y293" s="57">
        <f t="shared" si="158"/>
        <v>-397.35665648235187</v>
      </c>
      <c r="Z293" s="57">
        <f t="shared" si="159"/>
        <v>-2121.49123397945</v>
      </c>
      <c r="AA293" s="57">
        <f t="shared" si="134"/>
        <v>19.223387985192677</v>
      </c>
      <c r="AB293" s="57">
        <f t="shared" si="135"/>
        <v>131.09550963173299</v>
      </c>
      <c r="AC293" s="57">
        <f t="shared" si="136"/>
        <v>5.0164824076744017</v>
      </c>
      <c r="AD293" s="57">
        <f t="shared" si="137"/>
        <v>20.217683375917957</v>
      </c>
      <c r="AE293" s="57">
        <f t="shared" si="138"/>
        <v>-9.1326408099538667E-2</v>
      </c>
      <c r="AF293" s="57">
        <f t="shared" si="139"/>
        <v>7.363696549034108</v>
      </c>
      <c r="AG293" s="57">
        <f t="shared" si="140"/>
        <v>2.9782155590164967</v>
      </c>
      <c r="AH293" s="57">
        <f t="shared" si="141"/>
        <v>29.840015935306543</v>
      </c>
      <c r="AJ293" s="57">
        <f t="shared" si="142"/>
        <v>158068.71167469257</v>
      </c>
      <c r="AK293" s="57">
        <f t="shared" si="143"/>
        <v>155928.66442196505</v>
      </c>
      <c r="AL293" s="57">
        <f t="shared" si="144"/>
        <v>131567.10522355189</v>
      </c>
      <c r="AN293" s="41">
        <v>288</v>
      </c>
      <c r="AO293" s="57">
        <f t="shared" si="145"/>
        <v>7317.6274578121047</v>
      </c>
      <c r="AP293" s="57">
        <f t="shared" si="146"/>
        <v>7867.0761277863476</v>
      </c>
      <c r="AR293" s="41">
        <v>288</v>
      </c>
      <c r="AS293" s="57">
        <f t="shared" si="147"/>
        <v>16081.559480312315</v>
      </c>
      <c r="AT293" s="57">
        <f t="shared" si="148"/>
        <v>-8328.697807033037</v>
      </c>
      <c r="AV293" s="57">
        <f t="shared" si="149"/>
        <v>9.3685879126875093</v>
      </c>
      <c r="AW293" s="57">
        <f t="shared" si="150"/>
        <v>65.357823119107081</v>
      </c>
      <c r="AX293" s="57">
        <f t="shared" si="151"/>
        <v>1.9514285139138066</v>
      </c>
      <c r="AY293" s="57">
        <f t="shared" si="152"/>
        <v>8.316290652367293</v>
      </c>
      <c r="BA293" s="57">
        <f t="shared" si="153"/>
        <v>162561.46297317487</v>
      </c>
      <c r="BB293" s="57">
        <f t="shared" si="154"/>
        <v>144744.21558476987</v>
      </c>
    </row>
    <row r="294" spans="9:54" x14ac:dyDescent="0.25">
      <c r="I294" s="41">
        <v>289</v>
      </c>
      <c r="J294" s="57">
        <f t="shared" si="128"/>
        <v>21627.840772285781</v>
      </c>
      <c r="K294" s="57">
        <f t="shared" si="129"/>
        <v>2772.4071220034148</v>
      </c>
      <c r="M294" s="41">
        <v>289</v>
      </c>
      <c r="N294" s="57">
        <f t="shared" si="130"/>
        <v>-18860.511459399953</v>
      </c>
      <c r="O294" s="57">
        <f t="shared" si="131"/>
        <v>6690.6849854023912</v>
      </c>
      <c r="Q294" s="41">
        <v>289</v>
      </c>
      <c r="R294" s="57">
        <f t="shared" si="132"/>
        <v>-3372.1592277142181</v>
      </c>
      <c r="S294" s="41">
        <f t="shared" si="133"/>
        <v>-19727.592877996583</v>
      </c>
      <c r="U294" s="41">
        <v>288</v>
      </c>
      <c r="V294" s="41">
        <f t="shared" si="155"/>
        <v>144</v>
      </c>
      <c r="W294" s="57">
        <f t="shared" si="156"/>
        <v>-18262.557784360779</v>
      </c>
      <c r="X294" s="57">
        <f t="shared" si="157"/>
        <v>-146961.03233630865</v>
      </c>
      <c r="Y294" s="57">
        <f t="shared" si="158"/>
        <v>-387.74496248975555</v>
      </c>
      <c r="Z294" s="57">
        <f t="shared" si="159"/>
        <v>-2055.9434791635836</v>
      </c>
      <c r="AA294" s="57">
        <f t="shared" si="134"/>
        <v>19.001310531952708</v>
      </c>
      <c r="AB294" s="57">
        <f t="shared" si="135"/>
        <v>129.3037235845828</v>
      </c>
      <c r="AC294" s="57">
        <f t="shared" si="136"/>
        <v>4.9425612175317388</v>
      </c>
      <c r="AD294" s="57">
        <f t="shared" si="137"/>
        <v>19.952484942274204</v>
      </c>
      <c r="AE294" s="57">
        <f t="shared" si="138"/>
        <v>-8.0436571639898743E-2</v>
      </c>
      <c r="AF294" s="57">
        <f t="shared" si="139"/>
        <v>7.2666631491666323</v>
      </c>
      <c r="AG294" s="57">
        <f t="shared" si="140"/>
        <v>2.9515391130685438</v>
      </c>
      <c r="AH294" s="57">
        <f t="shared" si="141"/>
        <v>29.367498688737303</v>
      </c>
      <c r="AJ294" s="57">
        <f t="shared" si="142"/>
        <v>159129.61333013957</v>
      </c>
      <c r="AK294" s="57">
        <f t="shared" si="143"/>
        <v>156970.64814012975</v>
      </c>
      <c r="AL294" s="57">
        <f t="shared" si="144"/>
        <v>132625.82514068595</v>
      </c>
      <c r="AN294" s="41">
        <v>289</v>
      </c>
      <c r="AO294" s="57">
        <f t="shared" si="145"/>
        <v>7441.7611584286724</v>
      </c>
      <c r="AP294" s="57">
        <f t="shared" si="146"/>
        <v>7908.6106830051231</v>
      </c>
      <c r="AR294" s="41">
        <v>289</v>
      </c>
      <c r="AS294" s="57">
        <f t="shared" si="147"/>
        <v>16139.488540600047</v>
      </c>
      <c r="AT294" s="57">
        <f t="shared" si="148"/>
        <v>-8309.3150145976088</v>
      </c>
      <c r="AV294" s="57">
        <f t="shared" si="149"/>
        <v>9.2671030959654974</v>
      </c>
      <c r="AW294" s="57">
        <f t="shared" si="150"/>
        <v>64.520402188903859</v>
      </c>
      <c r="AX294" s="57">
        <f t="shared" si="151"/>
        <v>1.9205436770268245</v>
      </c>
      <c r="AY294" s="57">
        <f t="shared" si="152"/>
        <v>8.1966746155007897</v>
      </c>
      <c r="BA294" s="57">
        <f t="shared" si="153"/>
        <v>163623.11141801925</v>
      </c>
      <c r="BB294" s="57">
        <f t="shared" si="154"/>
        <v>145805.8039048803</v>
      </c>
    </row>
    <row r="295" spans="9:54" x14ac:dyDescent="0.25">
      <c r="I295" s="41">
        <v>290</v>
      </c>
      <c r="J295" s="57">
        <f t="shared" si="128"/>
        <v>21710.100716628342</v>
      </c>
      <c r="K295" s="57">
        <f t="shared" si="129"/>
        <v>2801.5368960704573</v>
      </c>
      <c r="M295" s="41">
        <v>290</v>
      </c>
      <c r="N295" s="57">
        <f t="shared" si="130"/>
        <v>-18802.929498360161</v>
      </c>
      <c r="O295" s="57">
        <f t="shared" si="131"/>
        <v>6711.0758272493204</v>
      </c>
      <c r="Q295" s="41">
        <v>290</v>
      </c>
      <c r="R295" s="57">
        <f t="shared" si="132"/>
        <v>-3289.8992833716593</v>
      </c>
      <c r="S295" s="41">
        <f t="shared" si="133"/>
        <v>-19698.463103929542</v>
      </c>
      <c r="U295" s="41">
        <v>289</v>
      </c>
      <c r="V295" s="41">
        <f t="shared" si="155"/>
        <v>144.5</v>
      </c>
      <c r="W295" s="57">
        <f t="shared" si="156"/>
        <v>-18454.055101789163</v>
      </c>
      <c r="X295" s="57">
        <f t="shared" si="157"/>
        <v>-147972.84111044236</v>
      </c>
      <c r="Y295" s="57">
        <f t="shared" si="158"/>
        <v>-378.24430722377917</v>
      </c>
      <c r="Z295" s="57">
        <f t="shared" si="159"/>
        <v>-1991.2916173712922</v>
      </c>
      <c r="AA295" s="57">
        <f t="shared" si="134"/>
        <v>18.790662949853431</v>
      </c>
      <c r="AB295" s="57">
        <f t="shared" si="135"/>
        <v>127.60219091615156</v>
      </c>
      <c r="AC295" s="57">
        <f t="shared" si="136"/>
        <v>4.8726116002914841</v>
      </c>
      <c r="AD295" s="57">
        <f t="shared" si="137"/>
        <v>19.700361044361458</v>
      </c>
      <c r="AE295" s="57">
        <f t="shared" si="138"/>
        <v>-7.0210061091553866E-2</v>
      </c>
      <c r="AF295" s="57">
        <f t="shared" si="139"/>
        <v>7.17443606043574</v>
      </c>
      <c r="AG295" s="57">
        <f t="shared" si="140"/>
        <v>2.9261137524362697</v>
      </c>
      <c r="AH295" s="57">
        <f t="shared" si="141"/>
        <v>28.920177309370867</v>
      </c>
      <c r="AJ295" s="57">
        <f t="shared" si="142"/>
        <v>160157.79305648629</v>
      </c>
      <c r="AK295" s="57">
        <f t="shared" si="143"/>
        <v>157980.40534868042</v>
      </c>
      <c r="AL295" s="57">
        <f t="shared" si="144"/>
        <v>133651.74174572111</v>
      </c>
      <c r="AN295" s="41">
        <v>290</v>
      </c>
      <c r="AO295" s="57">
        <f t="shared" si="145"/>
        <v>7565.1510749425106</v>
      </c>
      <c r="AP295" s="57">
        <f t="shared" si="146"/>
        <v>7952.3053441056863</v>
      </c>
      <c r="AR295" s="41">
        <v>290</v>
      </c>
      <c r="AS295" s="57">
        <f t="shared" si="147"/>
        <v>16197.070501639839</v>
      </c>
      <c r="AT295" s="57">
        <f t="shared" si="148"/>
        <v>-8288.9241727506796</v>
      </c>
      <c r="AV295" s="57">
        <f t="shared" si="149"/>
        <v>9.1707744475075117</v>
      </c>
      <c r="AW295" s="57">
        <f t="shared" si="150"/>
        <v>63.724040913476557</v>
      </c>
      <c r="AX295" s="57">
        <f t="shared" si="151"/>
        <v>1.8913732107097181</v>
      </c>
      <c r="AY295" s="57">
        <f t="shared" si="152"/>
        <v>8.0831755885069256</v>
      </c>
      <c r="BA295" s="57">
        <f t="shared" si="153"/>
        <v>164651.8740868966</v>
      </c>
      <c r="BB295" s="57">
        <f t="shared" si="154"/>
        <v>146834.62499678112</v>
      </c>
    </row>
    <row r="296" spans="9:54" x14ac:dyDescent="0.25">
      <c r="I296" s="41">
        <v>291</v>
      </c>
      <c r="J296" s="57">
        <f t="shared" si="128"/>
        <v>21791.839747726499</v>
      </c>
      <c r="K296" s="57">
        <f t="shared" si="129"/>
        <v>2832.0978675139895</v>
      </c>
      <c r="M296" s="41">
        <v>291</v>
      </c>
      <c r="N296" s="57">
        <f t="shared" si="130"/>
        <v>-18745.712176591453</v>
      </c>
      <c r="O296" s="57">
        <f t="shared" si="131"/>
        <v>6732.4685072597931</v>
      </c>
      <c r="Q296" s="41">
        <v>291</v>
      </c>
      <c r="R296" s="57">
        <f t="shared" si="132"/>
        <v>-3208.160252273502</v>
      </c>
      <c r="S296" s="41">
        <f t="shared" si="133"/>
        <v>-19667.902132486011</v>
      </c>
      <c r="U296" s="41">
        <v>290</v>
      </c>
      <c r="V296" s="41">
        <f t="shared" si="155"/>
        <v>145</v>
      </c>
      <c r="W296" s="57">
        <f t="shared" si="156"/>
        <v>-18640.828422532322</v>
      </c>
      <c r="X296" s="57">
        <f t="shared" si="157"/>
        <v>-148952.53664526349</v>
      </c>
      <c r="Y296" s="57">
        <f t="shared" si="158"/>
        <v>-368.84897574885247</v>
      </c>
      <c r="Z296" s="57">
        <f t="shared" si="159"/>
        <v>-1927.4905219132165</v>
      </c>
      <c r="AA296" s="57">
        <f t="shared" si="134"/>
        <v>18.590882722448601</v>
      </c>
      <c r="AB296" s="57">
        <f t="shared" si="135"/>
        <v>125.98606041172579</v>
      </c>
      <c r="AC296" s="57">
        <f t="shared" si="136"/>
        <v>4.806409443919593</v>
      </c>
      <c r="AD296" s="57">
        <f t="shared" si="137"/>
        <v>19.460632195413218</v>
      </c>
      <c r="AE296" s="57">
        <f t="shared" si="138"/>
        <v>-6.0597531910502905E-2</v>
      </c>
      <c r="AF296" s="57">
        <f t="shared" si="139"/>
        <v>7.0867663592279602</v>
      </c>
      <c r="AG296" s="57">
        <f t="shared" si="140"/>
        <v>2.9018999887418699</v>
      </c>
      <c r="AH296" s="57">
        <f t="shared" si="141"/>
        <v>28.49657312166914</v>
      </c>
      <c r="AJ296" s="57">
        <f t="shared" si="142"/>
        <v>161153.68392909016</v>
      </c>
      <c r="AK296" s="57">
        <f t="shared" si="143"/>
        <v>158958.34754218109</v>
      </c>
      <c r="AL296" s="57">
        <f t="shared" si="144"/>
        <v>134645.29057398785</v>
      </c>
      <c r="AN296" s="41">
        <v>291</v>
      </c>
      <c r="AO296" s="57">
        <f t="shared" si="145"/>
        <v>7687.7596215897465</v>
      </c>
      <c r="AP296" s="57">
        <f t="shared" si="146"/>
        <v>7998.1468012709847</v>
      </c>
      <c r="AR296" s="41">
        <v>291</v>
      </c>
      <c r="AS296" s="57">
        <f t="shared" si="147"/>
        <v>16254.287823408547</v>
      </c>
      <c r="AT296" s="57">
        <f t="shared" si="148"/>
        <v>-8267.5314927402069</v>
      </c>
      <c r="AV296" s="57">
        <f t="shared" si="149"/>
        <v>9.0793554676156258</v>
      </c>
      <c r="AW296" s="57">
        <f t="shared" si="150"/>
        <v>62.966632700605373</v>
      </c>
      <c r="AX296" s="57">
        <f t="shared" si="151"/>
        <v>1.8638153540820157</v>
      </c>
      <c r="AY296" s="57">
        <f t="shared" si="152"/>
        <v>7.9754560348100867</v>
      </c>
      <c r="BA296" s="57">
        <f t="shared" si="153"/>
        <v>165648.19057544842</v>
      </c>
      <c r="BB296" s="57">
        <f t="shared" si="154"/>
        <v>147831.11358425257</v>
      </c>
    </row>
    <row r="297" spans="9:54" x14ac:dyDescent="0.25">
      <c r="I297" s="41">
        <v>292</v>
      </c>
      <c r="J297" s="57">
        <f t="shared" si="128"/>
        <v>21873.032967079558</v>
      </c>
      <c r="K297" s="57">
        <f t="shared" si="129"/>
        <v>2864.0807271660633</v>
      </c>
      <c r="M297" s="41">
        <v>292</v>
      </c>
      <c r="N297" s="57">
        <f t="shared" si="130"/>
        <v>-18688.876923044307</v>
      </c>
      <c r="O297" s="57">
        <f t="shared" si="131"/>
        <v>6754.8565090162447</v>
      </c>
      <c r="Q297" s="41">
        <v>292</v>
      </c>
      <c r="R297" s="57">
        <f t="shared" si="132"/>
        <v>-3126.96703292044</v>
      </c>
      <c r="S297" s="41">
        <f t="shared" si="133"/>
        <v>-19635.919272833937</v>
      </c>
      <c r="U297" s="41">
        <v>291</v>
      </c>
      <c r="V297" s="41">
        <f t="shared" si="155"/>
        <v>145.5</v>
      </c>
      <c r="W297" s="57">
        <f t="shared" si="156"/>
        <v>-18822.929050066439</v>
      </c>
      <c r="X297" s="57">
        <f t="shared" si="157"/>
        <v>-149900.53364866864</v>
      </c>
      <c r="Y297" s="57">
        <f t="shared" si="158"/>
        <v>-359.55353438762819</v>
      </c>
      <c r="Z297" s="57">
        <f t="shared" si="159"/>
        <v>-1864.4974917073537</v>
      </c>
      <c r="AA297" s="57">
        <f t="shared" si="134"/>
        <v>18.401450118678078</v>
      </c>
      <c r="AB297" s="57">
        <f t="shared" si="135"/>
        <v>124.45086170659229</v>
      </c>
      <c r="AC297" s="57">
        <f t="shared" si="136"/>
        <v>4.7437489451124053</v>
      </c>
      <c r="AD297" s="57">
        <f t="shared" si="137"/>
        <v>19.232670839778478</v>
      </c>
      <c r="AE297" s="57">
        <f t="shared" si="138"/>
        <v>-5.1554093535897981E-2</v>
      </c>
      <c r="AF297" s="57">
        <f t="shared" si="139"/>
        <v>7.003424108486211</v>
      </c>
      <c r="AG297" s="57">
        <f t="shared" si="140"/>
        <v>2.8788600779640969</v>
      </c>
      <c r="AH297" s="57">
        <f t="shared" si="141"/>
        <v>28.095330549015429</v>
      </c>
      <c r="AJ297" s="57">
        <f t="shared" si="142"/>
        <v>162117.69740812434</v>
      </c>
      <c r="AK297" s="57">
        <f t="shared" si="143"/>
        <v>159904.86595832597</v>
      </c>
      <c r="AL297" s="57">
        <f t="shared" si="144"/>
        <v>135606.8853201</v>
      </c>
      <c r="AN297" s="41">
        <v>292</v>
      </c>
      <c r="AO297" s="57">
        <f t="shared" si="145"/>
        <v>7809.549450619339</v>
      </c>
      <c r="AP297" s="57">
        <f t="shared" si="146"/>
        <v>8046.121090749094</v>
      </c>
      <c r="AR297" s="41">
        <v>292</v>
      </c>
      <c r="AS297" s="57">
        <f t="shared" si="147"/>
        <v>16311.123076955691</v>
      </c>
      <c r="AT297" s="57">
        <f t="shared" si="148"/>
        <v>-8245.1434909837553</v>
      </c>
      <c r="AV297" s="57">
        <f t="shared" si="149"/>
        <v>8.9926182153085961</v>
      </c>
      <c r="AW297" s="57">
        <f t="shared" si="150"/>
        <v>62.246230910006012</v>
      </c>
      <c r="AX297" s="57">
        <f t="shared" si="151"/>
        <v>1.8377769738288754</v>
      </c>
      <c r="AY297" s="57">
        <f t="shared" si="152"/>
        <v>7.8732052993061616</v>
      </c>
      <c r="BA297" s="57">
        <f t="shared" si="153"/>
        <v>166612.47836263705</v>
      </c>
      <c r="BB297" s="57">
        <f t="shared" si="154"/>
        <v>148795.68266987716</v>
      </c>
    </row>
    <row r="298" spans="9:54" x14ac:dyDescent="0.25">
      <c r="I298" s="41">
        <v>293</v>
      </c>
      <c r="J298" s="57">
        <f t="shared" si="128"/>
        <v>21953.655642446367</v>
      </c>
      <c r="K298" s="57">
        <f t="shared" si="129"/>
        <v>2897.4757327377974</v>
      </c>
      <c r="M298" s="41">
        <v>293</v>
      </c>
      <c r="N298" s="57">
        <f t="shared" si="130"/>
        <v>-18632.441050287543</v>
      </c>
      <c r="O298" s="57">
        <f t="shared" si="131"/>
        <v>6778.2330129164584</v>
      </c>
      <c r="Q298" s="41">
        <v>293</v>
      </c>
      <c r="R298" s="57">
        <f t="shared" si="132"/>
        <v>-3046.3443575536326</v>
      </c>
      <c r="S298" s="41">
        <f t="shared" si="133"/>
        <v>-19602.524267262204</v>
      </c>
      <c r="U298" s="41">
        <v>292</v>
      </c>
      <c r="V298" s="41">
        <f t="shared" si="155"/>
        <v>146</v>
      </c>
      <c r="W298" s="57">
        <f t="shared" si="156"/>
        <v>-19000.405635995416</v>
      </c>
      <c r="X298" s="57">
        <f t="shared" si="157"/>
        <v>-150817.22603680898</v>
      </c>
      <c r="Y298" s="57">
        <f t="shared" si="158"/>
        <v>-350.35280932828914</v>
      </c>
      <c r="Z298" s="57">
        <f t="shared" si="159"/>
        <v>-1802.2720608540576</v>
      </c>
      <c r="AA298" s="57">
        <f t="shared" si="134"/>
        <v>18.221884563645524</v>
      </c>
      <c r="AB298" s="57">
        <f t="shared" si="135"/>
        <v>122.99247083085559</v>
      </c>
      <c r="AC298" s="57">
        <f t="shared" si="136"/>
        <v>4.6844408987488029</v>
      </c>
      <c r="AD298" s="57">
        <f t="shared" si="137"/>
        <v>19.01589679720669</v>
      </c>
      <c r="AE298" s="57">
        <f t="shared" si="138"/>
        <v>-4.3038847078486743E-2</v>
      </c>
      <c r="AF298" s="57">
        <f t="shared" si="139"/>
        <v>6.9241967024064923</v>
      </c>
      <c r="AG298" s="57">
        <f t="shared" si="140"/>
        <v>2.8569580402853276</v>
      </c>
      <c r="AH298" s="57">
        <f t="shared" si="141"/>
        <v>27.715205260731221</v>
      </c>
      <c r="AJ298" s="57">
        <f t="shared" si="142"/>
        <v>163050.22447013756</v>
      </c>
      <c r="AK298" s="57">
        <f t="shared" si="143"/>
        <v>160820.33260463882</v>
      </c>
      <c r="AL298" s="57">
        <f t="shared" si="144"/>
        <v>136536.91898642681</v>
      </c>
      <c r="AN298" s="41">
        <v>293</v>
      </c>
      <c r="AO298" s="57">
        <f t="shared" si="145"/>
        <v>7930.4834636695514</v>
      </c>
      <c r="AP298" s="57">
        <f t="shared" si="146"/>
        <v>8096.2135991066962</v>
      </c>
      <c r="AR298" s="41">
        <v>293</v>
      </c>
      <c r="AS298" s="57">
        <f t="shared" si="147"/>
        <v>16367.558949712457</v>
      </c>
      <c r="AT298" s="57">
        <f t="shared" si="148"/>
        <v>-8221.7669870835416</v>
      </c>
      <c r="AV298" s="57">
        <f t="shared" si="149"/>
        <v>8.9103517470804245</v>
      </c>
      <c r="AW298" s="57">
        <f t="shared" si="150"/>
        <v>61.561034930892809</v>
      </c>
      <c r="AX298" s="57">
        <f t="shared" si="151"/>
        <v>1.8131727246094542</v>
      </c>
      <c r="AY298" s="57">
        <f t="shared" si="152"/>
        <v>7.7761371396183678</v>
      </c>
      <c r="BA298" s="57">
        <f t="shared" si="153"/>
        <v>167545.13398256162</v>
      </c>
      <c r="BB298" s="57">
        <f t="shared" si="154"/>
        <v>149728.72467393178</v>
      </c>
    </row>
    <row r="299" spans="9:54" x14ac:dyDescent="0.25">
      <c r="I299" s="41">
        <v>294</v>
      </c>
      <c r="J299" s="57">
        <f t="shared" si="128"/>
        <v>22033.683215379002</v>
      </c>
      <c r="K299" s="57">
        <f t="shared" si="129"/>
        <v>2932.2727117869963</v>
      </c>
      <c r="M299" s="41">
        <v>294</v>
      </c>
      <c r="N299" s="57">
        <f t="shared" si="130"/>
        <v>-18576.421749234698</v>
      </c>
      <c r="O299" s="57">
        <f t="shared" si="131"/>
        <v>6802.5908982508972</v>
      </c>
      <c r="Q299" s="41">
        <v>294</v>
      </c>
      <c r="R299" s="57">
        <f t="shared" si="132"/>
        <v>-2966.3167846209972</v>
      </c>
      <c r="S299" s="41">
        <f t="shared" si="133"/>
        <v>-19567.727288213006</v>
      </c>
      <c r="U299" s="41">
        <v>293</v>
      </c>
      <c r="V299" s="41">
        <f t="shared" si="155"/>
        <v>146.5</v>
      </c>
      <c r="W299" s="57">
        <f t="shared" si="156"/>
        <v>-19173.304305089103</v>
      </c>
      <c r="X299" s="57">
        <f t="shared" si="157"/>
        <v>-151702.98800838215</v>
      </c>
      <c r="Y299" s="57">
        <f t="shared" si="158"/>
        <v>-341.24186704646638</v>
      </c>
      <c r="Z299" s="57">
        <f t="shared" si="159"/>
        <v>-1740.7758254386299</v>
      </c>
      <c r="AA299" s="57">
        <f t="shared" si="134"/>
        <v>18.051741384204547</v>
      </c>
      <c r="AB299" s="57">
        <f t="shared" si="135"/>
        <v>121.60707949914914</v>
      </c>
      <c r="AC299" s="57">
        <f t="shared" si="136"/>
        <v>4.6283111782611188</v>
      </c>
      <c r="AD299" s="57">
        <f t="shared" si="137"/>
        <v>18.809773188217903</v>
      </c>
      <c r="AE299" s="57">
        <f t="shared" si="138"/>
        <v>-3.50144779991136E-2</v>
      </c>
      <c r="AF299" s="57">
        <f t="shared" si="139"/>
        <v>6.8488873848806993</v>
      </c>
      <c r="AG299" s="57">
        <f t="shared" si="140"/>
        <v>2.8361596602867345</v>
      </c>
      <c r="AH299" s="57">
        <f t="shared" si="141"/>
        <v>27.35505367586174</v>
      </c>
      <c r="AJ299" s="57">
        <f t="shared" si="142"/>
        <v>163951.63665232557</v>
      </c>
      <c r="AK299" s="57">
        <f t="shared" si="143"/>
        <v>161705.10120775711</v>
      </c>
      <c r="AL299" s="57">
        <f t="shared" si="144"/>
        <v>137435.76494255246</v>
      </c>
      <c r="AN299" s="41">
        <v>294</v>
      </c>
      <c r="AO299" s="57">
        <f t="shared" si="145"/>
        <v>8050.5248230685047</v>
      </c>
      <c r="AP299" s="57">
        <f t="shared" si="146"/>
        <v>8148.4090676804944</v>
      </c>
      <c r="AR299" s="41">
        <v>294</v>
      </c>
      <c r="AS299" s="57">
        <f t="shared" si="147"/>
        <v>16423.578250765302</v>
      </c>
      <c r="AT299" s="57">
        <f t="shared" si="148"/>
        <v>-8197.4091017491028</v>
      </c>
      <c r="AV299" s="57">
        <f t="shared" si="149"/>
        <v>8.8323607170489282</v>
      </c>
      <c r="AW299" s="57">
        <f t="shared" si="150"/>
        <v>60.909377721685274</v>
      </c>
      <c r="AX299" s="57">
        <f t="shared" si="151"/>
        <v>1.7899243066068775</v>
      </c>
      <c r="AY299" s="57">
        <f t="shared" si="152"/>
        <v>7.6839875285035246</v>
      </c>
      <c r="BA299" s="57">
        <f t="shared" si="153"/>
        <v>168446.53410488812</v>
      </c>
      <c r="BB299" s="57">
        <f t="shared" si="154"/>
        <v>150630.61248536347</v>
      </c>
    </row>
    <row r="300" spans="9:54" x14ac:dyDescent="0.25">
      <c r="I300" s="41">
        <v>295</v>
      </c>
      <c r="J300" s="57">
        <f t="shared" si="128"/>
        <v>22113.091308703497</v>
      </c>
      <c r="K300" s="57">
        <f t="shared" si="129"/>
        <v>2968.46106481675</v>
      </c>
      <c r="M300" s="41">
        <v>295</v>
      </c>
      <c r="N300" s="57">
        <f t="shared" si="130"/>
        <v>-18520.83608390755</v>
      </c>
      <c r="O300" s="57">
        <f t="shared" si="131"/>
        <v>6827.9227453717249</v>
      </c>
      <c r="Q300" s="41">
        <v>295</v>
      </c>
      <c r="R300" s="57">
        <f t="shared" si="132"/>
        <v>-2886.9086912965022</v>
      </c>
      <c r="S300" s="41">
        <f t="shared" si="133"/>
        <v>-19531.538935183249</v>
      </c>
      <c r="U300" s="41">
        <v>294</v>
      </c>
      <c r="V300" s="41">
        <f t="shared" si="155"/>
        <v>147</v>
      </c>
      <c r="W300" s="57">
        <f t="shared" si="156"/>
        <v>-19341.668770939312</v>
      </c>
      <c r="X300" s="57">
        <f t="shared" si="157"/>
        <v>-152558.17503616406</v>
      </c>
      <c r="Y300" s="57">
        <f t="shared" si="158"/>
        <v>-332.21599635436411</v>
      </c>
      <c r="Z300" s="57">
        <f t="shared" si="159"/>
        <v>-1679.9722856890553</v>
      </c>
      <c r="AA300" s="57">
        <f t="shared" si="134"/>
        <v>17.890608886218313</v>
      </c>
      <c r="AB300" s="57">
        <f t="shared" si="135"/>
        <v>120.29116768582941</v>
      </c>
      <c r="AC300" s="57">
        <f t="shared" si="136"/>
        <v>4.5751993829883357</v>
      </c>
      <c r="AD300" s="57">
        <f t="shared" si="137"/>
        <v>18.613802783287799</v>
      </c>
      <c r="AE300" s="57">
        <f t="shared" si="138"/>
        <v>-2.7446896487741675E-2</v>
      </c>
      <c r="AF300" s="57">
        <f t="shared" si="139"/>
        <v>6.7773139211697409</v>
      </c>
      <c r="AG300" s="57">
        <f t="shared" si="140"/>
        <v>2.8164324723398346</v>
      </c>
      <c r="AH300" s="57">
        <f t="shared" si="141"/>
        <v>27.01382364880017</v>
      </c>
      <c r="AJ300" s="57">
        <f t="shared" si="142"/>
        <v>164822.28701722846</v>
      </c>
      <c r="AK300" s="57">
        <f t="shared" si="143"/>
        <v>162559.50809194555</v>
      </c>
      <c r="AL300" s="57">
        <f t="shared" si="144"/>
        <v>138303.77790362519</v>
      </c>
      <c r="AN300" s="41">
        <v>295</v>
      </c>
      <c r="AO300" s="57">
        <f t="shared" si="145"/>
        <v>8169.6369630552472</v>
      </c>
      <c r="AP300" s="57">
        <f t="shared" si="146"/>
        <v>8202.6915972251263</v>
      </c>
      <c r="AR300" s="41">
        <v>295</v>
      </c>
      <c r="AS300" s="57">
        <f t="shared" si="147"/>
        <v>16479.16391609245</v>
      </c>
      <c r="AT300" s="57">
        <f t="shared" si="148"/>
        <v>-8172.0772546282751</v>
      </c>
      <c r="AV300" s="57">
        <f t="shared" si="149"/>
        <v>8.7584641197824737</v>
      </c>
      <c r="AW300" s="57">
        <f t="shared" si="150"/>
        <v>60.289714638732363</v>
      </c>
      <c r="AX300" s="57">
        <f t="shared" si="151"/>
        <v>1.7679598075954106</v>
      </c>
      <c r="AY300" s="57">
        <f t="shared" si="152"/>
        <v>7.5965126938393395</v>
      </c>
      <c r="BA300" s="57">
        <f t="shared" si="153"/>
        <v>169317.03653207468</v>
      </c>
      <c r="BB300" s="57">
        <f t="shared" si="154"/>
        <v>151501.70043262266</v>
      </c>
    </row>
    <row r="301" spans="9:54" x14ac:dyDescent="0.25">
      <c r="I301" s="41">
        <v>296</v>
      </c>
      <c r="J301" s="57">
        <f t="shared" si="128"/>
        <v>22191.855733945387</v>
      </c>
      <c r="K301" s="57">
        <f t="shared" si="129"/>
        <v>3006.0297685041651</v>
      </c>
      <c r="M301" s="41">
        <v>296</v>
      </c>
      <c r="N301" s="57">
        <f t="shared" si="130"/>
        <v>-18465.700986238229</v>
      </c>
      <c r="O301" s="57">
        <f t="shared" si="131"/>
        <v>6854.2208379529147</v>
      </c>
      <c r="Q301" s="41">
        <v>296</v>
      </c>
      <c r="R301" s="57">
        <f t="shared" si="132"/>
        <v>-2808.1442660546131</v>
      </c>
      <c r="S301" s="41">
        <f t="shared" si="133"/>
        <v>-19493.970231495834</v>
      </c>
      <c r="U301" s="41">
        <v>295</v>
      </c>
      <c r="V301" s="41">
        <f t="shared" si="155"/>
        <v>147.5</v>
      </c>
      <c r="W301" s="57">
        <f t="shared" si="156"/>
        <v>-19505.540443005717</v>
      </c>
      <c r="X301" s="57">
        <f t="shared" si="157"/>
        <v>-153383.12478304785</v>
      </c>
      <c r="Y301" s="57">
        <f t="shared" si="158"/>
        <v>-323.27069191125497</v>
      </c>
      <c r="Z301" s="57">
        <f t="shared" si="159"/>
        <v>-1619.8267018461406</v>
      </c>
      <c r="AA301" s="57">
        <f t="shared" si="134"/>
        <v>17.738105725946394</v>
      </c>
      <c r="AB301" s="57">
        <f t="shared" si="135"/>
        <v>119.04147908969173</v>
      </c>
      <c r="AC301" s="57">
        <f t="shared" si="136"/>
        <v>4.5249576319426987</v>
      </c>
      <c r="AD301" s="57">
        <f t="shared" si="137"/>
        <v>18.42752472626227</v>
      </c>
      <c r="AE301" s="57">
        <f t="shared" si="138"/>
        <v>-2.0304919321563111E-2</v>
      </c>
      <c r="AF301" s="57">
        <f t="shared" si="139"/>
        <v>6.7093074050200254</v>
      </c>
      <c r="AG301" s="57">
        <f t="shared" si="140"/>
        <v>2.7977457350357486</v>
      </c>
      <c r="AH301" s="57">
        <f t="shared" si="141"/>
        <v>26.690546187086269</v>
      </c>
      <c r="AJ301" s="57">
        <f t="shared" si="142"/>
        <v>165662.51104474938</v>
      </c>
      <c r="AK301" s="57">
        <f t="shared" si="143"/>
        <v>163383.8729927972</v>
      </c>
      <c r="AL301" s="57">
        <f t="shared" si="144"/>
        <v>139141.29483465455</v>
      </c>
      <c r="AN301" s="41">
        <v>296</v>
      </c>
      <c r="AO301" s="57">
        <f t="shared" si="145"/>
        <v>8287.783600918081</v>
      </c>
      <c r="AP301" s="57">
        <f t="shared" si="146"/>
        <v>8259.0446527562472</v>
      </c>
      <c r="AR301" s="41">
        <v>296</v>
      </c>
      <c r="AS301" s="57">
        <f t="shared" si="147"/>
        <v>16534.299013761771</v>
      </c>
      <c r="AT301" s="57">
        <f t="shared" si="148"/>
        <v>-8145.7791620470853</v>
      </c>
      <c r="AV301" s="57">
        <f t="shared" si="149"/>
        <v>8.6884941595525991</v>
      </c>
      <c r="AW301" s="57">
        <f t="shared" si="150"/>
        <v>59.700613404030868</v>
      </c>
      <c r="AX301" s="57">
        <f t="shared" si="151"/>
        <v>1.7472131187369102</v>
      </c>
      <c r="AY301" s="57">
        <f t="shared" si="152"/>
        <v>7.5134873672923046</v>
      </c>
      <c r="BA301" s="57">
        <f t="shared" si="153"/>
        <v>170156.98112069117</v>
      </c>
      <c r="BB301" s="57">
        <f t="shared" si="154"/>
        <v>152342.32518130165</v>
      </c>
    </row>
    <row r="302" spans="9:54" x14ac:dyDescent="0.25">
      <c r="I302" s="41">
        <v>297</v>
      </c>
      <c r="J302" s="57">
        <f t="shared" si="128"/>
        <v>22269.952498697734</v>
      </c>
      <c r="K302" s="57">
        <f t="shared" si="129"/>
        <v>3044.9673790581601</v>
      </c>
      <c r="M302" s="41">
        <v>297</v>
      </c>
      <c r="N302" s="57">
        <f t="shared" si="130"/>
        <v>-18411.033250911587</v>
      </c>
      <c r="O302" s="57">
        <f t="shared" si="131"/>
        <v>6881.4771653407124</v>
      </c>
      <c r="Q302" s="41">
        <v>297</v>
      </c>
      <c r="R302" s="57">
        <f t="shared" si="132"/>
        <v>-2730.0475013022669</v>
      </c>
      <c r="S302" s="41">
        <f t="shared" si="133"/>
        <v>-19455.032620941842</v>
      </c>
      <c r="U302" s="41">
        <v>296</v>
      </c>
      <c r="V302" s="41">
        <f t="shared" si="155"/>
        <v>148</v>
      </c>
      <c r="W302" s="57">
        <f t="shared" si="156"/>
        <v>-19664.958525745602</v>
      </c>
      <c r="X302" s="57">
        <f t="shared" si="157"/>
        <v>-154178.15794908471</v>
      </c>
      <c r="Y302" s="57">
        <f t="shared" si="158"/>
        <v>-314.40163904828177</v>
      </c>
      <c r="Z302" s="57">
        <f t="shared" si="159"/>
        <v>-1560.3059623012948</v>
      </c>
      <c r="AA302" s="57">
        <f t="shared" si="134"/>
        <v>17.593878542815617</v>
      </c>
      <c r="AB302" s="57">
        <f t="shared" si="135"/>
        <v>117.85499914609017</v>
      </c>
      <c r="AC302" s="57">
        <f t="shared" si="136"/>
        <v>4.4774494862671705</v>
      </c>
      <c r="AD302" s="57">
        <f t="shared" si="137"/>
        <v>18.250511588960347</v>
      </c>
      <c r="AE302" s="57">
        <f t="shared" si="138"/>
        <v>-1.3559987878315022E-2</v>
      </c>
      <c r="AF302" s="57">
        <f t="shared" si="139"/>
        <v>6.6447111857658436</v>
      </c>
      <c r="AG302" s="57">
        <f t="shared" si="140"/>
        <v>2.7800703976948444</v>
      </c>
      <c r="AH302" s="57">
        <f t="shared" si="141"/>
        <v>26.384328072982097</v>
      </c>
      <c r="AJ302" s="57">
        <f t="shared" si="142"/>
        <v>166472.62745766435</v>
      </c>
      <c r="AK302" s="57">
        <f t="shared" si="143"/>
        <v>164178.49981146763</v>
      </c>
      <c r="AL302" s="57">
        <f t="shared" si="144"/>
        <v>139948.63578707087</v>
      </c>
      <c r="AN302" s="41">
        <v>297</v>
      </c>
      <c r="AO302" s="57">
        <f t="shared" si="145"/>
        <v>8404.9287480465991</v>
      </c>
      <c r="AP302" s="57">
        <f t="shared" si="146"/>
        <v>8317.451068587241</v>
      </c>
      <c r="AR302" s="41">
        <v>297</v>
      </c>
      <c r="AS302" s="57">
        <f t="shared" si="147"/>
        <v>16588.966749088413</v>
      </c>
      <c r="AT302" s="57">
        <f t="shared" si="148"/>
        <v>-8118.5228346592876</v>
      </c>
      <c r="AV302" s="57">
        <f t="shared" si="149"/>
        <v>8.6222952318692627</v>
      </c>
      <c r="AW302" s="57">
        <f t="shared" si="150"/>
        <v>59.140745081659233</v>
      </c>
      <c r="AX302" s="57">
        <f t="shared" si="151"/>
        <v>1.7276234148626535</v>
      </c>
      <c r="AY302" s="57">
        <f t="shared" si="152"/>
        <v>7.4347032167226477</v>
      </c>
      <c r="BA302" s="57">
        <f t="shared" si="153"/>
        <v>170966.69063335759</v>
      </c>
      <c r="BB302" s="57">
        <f t="shared" si="154"/>
        <v>153152.8065647957</v>
      </c>
    </row>
    <row r="303" spans="9:54" x14ac:dyDescent="0.25">
      <c r="I303" s="41">
        <v>298</v>
      </c>
      <c r="J303" s="57">
        <f t="shared" si="128"/>
        <v>22347.357813929451</v>
      </c>
      <c r="K303" s="57">
        <f t="shared" si="129"/>
        <v>3085.2620357053647</v>
      </c>
      <c r="M303" s="41">
        <v>298</v>
      </c>
      <c r="N303" s="57">
        <f t="shared" si="130"/>
        <v>-18356.849530249383</v>
      </c>
      <c r="O303" s="57">
        <f t="shared" si="131"/>
        <v>6909.6834249937547</v>
      </c>
      <c r="Q303" s="41">
        <v>298</v>
      </c>
      <c r="R303" s="57">
        <f t="shared" si="132"/>
        <v>-2652.6421860705477</v>
      </c>
      <c r="S303" s="41">
        <f t="shared" si="133"/>
        <v>-19414.737964294636</v>
      </c>
      <c r="U303" s="41">
        <v>297</v>
      </c>
      <c r="V303" s="41">
        <f t="shared" si="155"/>
        <v>148.5</v>
      </c>
      <c r="W303" s="57">
        <f t="shared" si="156"/>
        <v>-19819.960110451888</v>
      </c>
      <c r="X303" s="57">
        <f t="shared" si="157"/>
        <v>-154943.57905534207</v>
      </c>
      <c r="Y303" s="57">
        <f t="shared" si="158"/>
        <v>-305.60469977687399</v>
      </c>
      <c r="Z303" s="57">
        <f t="shared" si="159"/>
        <v>-1501.3784627282498</v>
      </c>
      <c r="AA303" s="57">
        <f t="shared" si="134"/>
        <v>17.457599824961861</v>
      </c>
      <c r="AB303" s="57">
        <f t="shared" si="135"/>
        <v>116.72893529010568</v>
      </c>
      <c r="AC303" s="57">
        <f t="shared" si="136"/>
        <v>4.4325489850773492</v>
      </c>
      <c r="AD303" s="57">
        <f t="shared" si="137"/>
        <v>18.082366719526014</v>
      </c>
      <c r="AE303" s="57">
        <f t="shared" si="138"/>
        <v>-7.185917737383171E-3</v>
      </c>
      <c r="AF303" s="57">
        <f t="shared" si="139"/>
        <v>6.5833799019550359</v>
      </c>
      <c r="AG303" s="57">
        <f t="shared" si="140"/>
        <v>2.7633790613634561</v>
      </c>
      <c r="AH303" s="57">
        <f t="shared" si="141"/>
        <v>26.094345278369445</v>
      </c>
      <c r="AJ303" s="57">
        <f t="shared" si="142"/>
        <v>167252.93898615698</v>
      </c>
      <c r="AK303" s="57">
        <f t="shared" si="143"/>
        <v>164943.67731425082</v>
      </c>
      <c r="AL303" s="57">
        <f t="shared" si="144"/>
        <v>140726.10467320611</v>
      </c>
      <c r="AN303" s="41">
        <v>298</v>
      </c>
      <c r="AO303" s="57">
        <f t="shared" si="145"/>
        <v>8521.0367208941789</v>
      </c>
      <c r="AP303" s="57">
        <f t="shared" si="146"/>
        <v>8377.8930535580475</v>
      </c>
      <c r="AR303" s="41">
        <v>298</v>
      </c>
      <c r="AS303" s="57">
        <f t="shared" si="147"/>
        <v>16643.150469750617</v>
      </c>
      <c r="AT303" s="57">
        <f t="shared" si="148"/>
        <v>-8090.3165750062453</v>
      </c>
      <c r="AV303" s="57">
        <f t="shared" si="149"/>
        <v>8.5597230049606008</v>
      </c>
      <c r="AW303" s="57">
        <f t="shared" si="150"/>
        <v>58.608875949513653</v>
      </c>
      <c r="AX303" s="57">
        <f t="shared" si="151"/>
        <v>1.709134691297838</v>
      </c>
      <c r="AY303" s="57">
        <f t="shared" si="152"/>
        <v>7.3599674407415376</v>
      </c>
      <c r="BA303" s="57">
        <f t="shared" si="153"/>
        <v>171746.47152714294</v>
      </c>
      <c r="BB303" s="57">
        <f t="shared" si="154"/>
        <v>153933.44835356309</v>
      </c>
    </row>
    <row r="304" spans="9:54" x14ac:dyDescent="0.25">
      <c r="I304" s="41">
        <v>299</v>
      </c>
      <c r="J304" s="57">
        <f t="shared" si="128"/>
        <v>22424.048101231681</v>
      </c>
      <c r="K304" s="57">
        <f t="shared" si="129"/>
        <v>3126.9014643030196</v>
      </c>
      <c r="M304" s="41">
        <v>299</v>
      </c>
      <c r="N304" s="57">
        <f t="shared" si="130"/>
        <v>-18303.166329137821</v>
      </c>
      <c r="O304" s="57">
        <f t="shared" si="131"/>
        <v>6938.831025012114</v>
      </c>
      <c r="Q304" s="41">
        <v>299</v>
      </c>
      <c r="R304" s="57">
        <f t="shared" si="132"/>
        <v>-2575.9518987683173</v>
      </c>
      <c r="S304" s="41">
        <f t="shared" si="133"/>
        <v>-19373.09853569698</v>
      </c>
      <c r="U304" s="41">
        <v>298</v>
      </c>
      <c r="V304" s="41">
        <f t="shared" si="155"/>
        <v>149</v>
      </c>
      <c r="W304" s="57">
        <f t="shared" si="156"/>
        <v>-19970.580260362203</v>
      </c>
      <c r="X304" s="57">
        <f t="shared" si="157"/>
        <v>-155679.67716979492</v>
      </c>
      <c r="Y304" s="57">
        <f t="shared" si="158"/>
        <v>-296.87589986439303</v>
      </c>
      <c r="Z304" s="57">
        <f t="shared" si="159"/>
        <v>-1443.013995083197</v>
      </c>
      <c r="AA304" s="57">
        <f t="shared" si="134"/>
        <v>17.328965982492679</v>
      </c>
      <c r="AB304" s="57">
        <f t="shared" si="135"/>
        <v>115.66069921344805</v>
      </c>
      <c r="AC304" s="57">
        <f t="shared" si="136"/>
        <v>4.3901397814347956</v>
      </c>
      <c r="AD304" s="57">
        <f t="shared" si="137"/>
        <v>17.922721851882173</v>
      </c>
      <c r="AE304" s="57">
        <f t="shared" si="138"/>
        <v>-1.1586759406354286E-3</v>
      </c>
      <c r="AF304" s="57">
        <f t="shared" si="139"/>
        <v>6.5251786097473072</v>
      </c>
      <c r="AG304" s="57">
        <f t="shared" si="140"/>
        <v>2.7476459361990733</v>
      </c>
      <c r="AH304" s="57">
        <f t="shared" si="141"/>
        <v>25.819837077713412</v>
      </c>
      <c r="AJ304" s="57">
        <f t="shared" si="142"/>
        <v>168003.73307634727</v>
      </c>
      <c r="AK304" s="57">
        <f t="shared" si="143"/>
        <v>165679.67978182642</v>
      </c>
      <c r="AL304" s="57">
        <f t="shared" si="144"/>
        <v>141473.98998377641</v>
      </c>
      <c r="AN304" s="41">
        <v>299</v>
      </c>
      <c r="AO304" s="57">
        <f t="shared" si="145"/>
        <v>8636.0721518475239</v>
      </c>
      <c r="AP304" s="57">
        <f t="shared" si="146"/>
        <v>8440.3521964545289</v>
      </c>
      <c r="AR304" s="41">
        <v>299</v>
      </c>
      <c r="AS304" s="57">
        <f t="shared" si="147"/>
        <v>16696.833670862179</v>
      </c>
      <c r="AT304" s="57">
        <f t="shared" si="148"/>
        <v>-8061.168974987886</v>
      </c>
      <c r="AV304" s="57">
        <f t="shared" si="149"/>
        <v>8.5006435904122366</v>
      </c>
      <c r="AW304" s="57">
        <f t="shared" si="150"/>
        <v>58.103860167404918</v>
      </c>
      <c r="AX304" s="57">
        <f t="shared" si="151"/>
        <v>1.6916953503872105</v>
      </c>
      <c r="AY304" s="57">
        <f t="shared" si="152"/>
        <v>7.2891015067002458</v>
      </c>
      <c r="BA304" s="57">
        <f t="shared" si="153"/>
        <v>172496.61468366446</v>
      </c>
      <c r="BB304" s="57">
        <f t="shared" si="154"/>
        <v>154684.53896799139</v>
      </c>
    </row>
    <row r="305" spans="9:54" x14ac:dyDescent="0.25">
      <c r="I305" s="41">
        <v>300</v>
      </c>
      <c r="J305" s="57">
        <f t="shared" si="128"/>
        <v>22500</v>
      </c>
      <c r="K305" s="57">
        <f t="shared" si="129"/>
        <v>3169.8729810778068</v>
      </c>
      <c r="M305" s="41">
        <v>300</v>
      </c>
      <c r="N305" s="57">
        <f t="shared" si="130"/>
        <v>-18250</v>
      </c>
      <c r="O305" s="57">
        <f t="shared" si="131"/>
        <v>6968.911086754465</v>
      </c>
      <c r="Q305" s="41">
        <v>300</v>
      </c>
      <c r="R305" s="57">
        <f t="shared" si="132"/>
        <v>-2499.9999999999995</v>
      </c>
      <c r="S305" s="41">
        <f t="shared" si="133"/>
        <v>-19330.127018922194</v>
      </c>
      <c r="U305" s="41">
        <v>299</v>
      </c>
      <c r="V305" s="41">
        <f t="shared" si="155"/>
        <v>149.5</v>
      </c>
      <c r="W305" s="57">
        <f t="shared" si="156"/>
        <v>-20116.852089546588</v>
      </c>
      <c r="X305" s="57">
        <f t="shared" si="157"/>
        <v>-156386.72657993485</v>
      </c>
      <c r="Y305" s="57">
        <f t="shared" si="158"/>
        <v>-288.21141687314667</v>
      </c>
      <c r="Z305" s="57">
        <f t="shared" si="159"/>
        <v>-1385.183645476473</v>
      </c>
      <c r="AA305" s="57">
        <f t="shared" si="134"/>
        <v>17.207695606501627</v>
      </c>
      <c r="AB305" s="57">
        <f t="shared" si="135"/>
        <v>114.64789089116604</v>
      </c>
      <c r="AC305" s="57">
        <f t="shared" si="136"/>
        <v>4.3501143669518036</v>
      </c>
      <c r="AD305" s="57">
        <f t="shared" si="137"/>
        <v>17.771234947765173</v>
      </c>
      <c r="AE305" s="57">
        <f t="shared" si="138"/>
        <v>4.5438174731783658E-3</v>
      </c>
      <c r="AF305" s="57">
        <f t="shared" si="139"/>
        <v>6.4699819958070579</v>
      </c>
      <c r="AG305" s="57">
        <f t="shared" si="140"/>
        <v>2.7328467967424555</v>
      </c>
      <c r="AH305" s="57">
        <f t="shared" si="141"/>
        <v>25.560100776739528</v>
      </c>
      <c r="AJ305" s="57">
        <f t="shared" si="142"/>
        <v>168725.28254728421</v>
      </c>
      <c r="AK305" s="57">
        <f t="shared" si="143"/>
        <v>166386.76761208154</v>
      </c>
      <c r="AL305" s="57">
        <f t="shared" si="144"/>
        <v>142192.56545293247</v>
      </c>
      <c r="AN305" s="41">
        <v>300</v>
      </c>
      <c r="AO305" s="57">
        <f t="shared" si="145"/>
        <v>8750</v>
      </c>
      <c r="AP305" s="57">
        <f t="shared" si="146"/>
        <v>8504.8094716167107</v>
      </c>
      <c r="AR305" s="41">
        <v>300</v>
      </c>
      <c r="AS305" s="57">
        <f t="shared" si="147"/>
        <v>16750</v>
      </c>
      <c r="AT305" s="57">
        <f t="shared" si="148"/>
        <v>-8031.088913245535</v>
      </c>
      <c r="AV305" s="57">
        <f t="shared" si="149"/>
        <v>8.4449327935199481</v>
      </c>
      <c r="AW305" s="57">
        <f t="shared" si="150"/>
        <v>57.624633155016376</v>
      </c>
      <c r="AX305" s="57">
        <f t="shared" si="151"/>
        <v>1.6752578318142419</v>
      </c>
      <c r="AY305" s="57">
        <f t="shared" si="152"/>
        <v>7.2219400158378955</v>
      </c>
      <c r="BA305" s="57">
        <f t="shared" si="153"/>
        <v>173217.39608559385</v>
      </c>
      <c r="BB305" s="57">
        <f t="shared" si="154"/>
        <v>155406.35213937378</v>
      </c>
    </row>
    <row r="306" spans="9:54" x14ac:dyDescent="0.25">
      <c r="I306" s="41">
        <v>301</v>
      </c>
      <c r="J306" s="57">
        <f t="shared" si="128"/>
        <v>22575.190374550271</v>
      </c>
      <c r="K306" s="57">
        <f t="shared" si="129"/>
        <v>3214.1634964894383</v>
      </c>
      <c r="M306" s="41">
        <v>301</v>
      </c>
      <c r="N306" s="57">
        <f t="shared" si="130"/>
        <v>-18197.366737814809</v>
      </c>
      <c r="O306" s="57">
        <f t="shared" si="131"/>
        <v>6999.9144475426074</v>
      </c>
      <c r="Q306" s="41">
        <v>301</v>
      </c>
      <c r="R306" s="57">
        <f t="shared" si="132"/>
        <v>-2424.8096254497291</v>
      </c>
      <c r="S306" s="41">
        <f t="shared" si="133"/>
        <v>-19285.83650351056</v>
      </c>
      <c r="U306" s="41">
        <v>300</v>
      </c>
      <c r="V306" s="41">
        <f t="shared" si="155"/>
        <v>150</v>
      </c>
      <c r="W306" s="57">
        <f t="shared" si="156"/>
        <v>-20258.806836032349</v>
      </c>
      <c r="X306" s="57">
        <f t="shared" si="157"/>
        <v>-157064.98741631169</v>
      </c>
      <c r="Y306" s="57">
        <f t="shared" si="158"/>
        <v>-279.60756906989587</v>
      </c>
      <c r="Z306" s="57">
        <f t="shared" si="159"/>
        <v>-1327.8597000308901</v>
      </c>
      <c r="AA306" s="57">
        <f t="shared" si="134"/>
        <v>17.093527894534166</v>
      </c>
      <c r="AB306" s="57">
        <f t="shared" si="135"/>
        <v>113.68828418287676</v>
      </c>
      <c r="AC306" s="57">
        <f t="shared" si="136"/>
        <v>4.3123733750266009</v>
      </c>
      <c r="AD306" s="57">
        <f t="shared" si="137"/>
        <v>17.627588246369154</v>
      </c>
      <c r="AE306" s="57">
        <f t="shared" si="138"/>
        <v>9.9418665861160712E-3</v>
      </c>
      <c r="AF306" s="57">
        <f t="shared" si="139"/>
        <v>6.4176736656852755</v>
      </c>
      <c r="AG306" s="57">
        <f t="shared" si="140"/>
        <v>2.7189589362540754</v>
      </c>
      <c r="AH306" s="57">
        <f t="shared" si="141"/>
        <v>25.314486985460949</v>
      </c>
      <c r="AJ306" s="57">
        <f t="shared" si="142"/>
        <v>169417.84620042774</v>
      </c>
      <c r="AK306" s="57">
        <f t="shared" si="143"/>
        <v>167065.1878800331</v>
      </c>
      <c r="AL306" s="57">
        <f t="shared" si="144"/>
        <v>142882.09067499029</v>
      </c>
      <c r="AN306" s="41">
        <v>301</v>
      </c>
      <c r="AO306" s="57">
        <f t="shared" si="145"/>
        <v>8862.7855618254071</v>
      </c>
      <c r="AP306" s="57">
        <f t="shared" si="146"/>
        <v>8571.2452447341566</v>
      </c>
      <c r="AR306" s="41">
        <v>301</v>
      </c>
      <c r="AS306" s="57">
        <f t="shared" si="147"/>
        <v>16802.633262185191</v>
      </c>
      <c r="AT306" s="57">
        <f t="shared" si="148"/>
        <v>-8000.0855524573926</v>
      </c>
      <c r="AV306" s="57">
        <f t="shared" si="149"/>
        <v>8.3924754350667641</v>
      </c>
      <c r="AW306" s="57">
        <f t="shared" si="150"/>
        <v>57.170205603951608</v>
      </c>
      <c r="AX306" s="57">
        <f t="shared" si="151"/>
        <v>1.6597782816006088</v>
      </c>
      <c r="AY306" s="57">
        <f t="shared" si="152"/>
        <v>7.1583296814097688</v>
      </c>
      <c r="BA306" s="57">
        <f t="shared" si="153"/>
        <v>173909.07744380538</v>
      </c>
      <c r="BB306" s="57">
        <f t="shared" si="154"/>
        <v>156099.14752305241</v>
      </c>
    </row>
    <row r="307" spans="9:54" x14ac:dyDescent="0.25">
      <c r="I307" s="41">
        <v>302</v>
      </c>
      <c r="J307" s="57">
        <f t="shared" si="128"/>
        <v>22649.596321166024</v>
      </c>
      <c r="K307" s="57">
        <f t="shared" si="129"/>
        <v>3259.7595192178687</v>
      </c>
      <c r="M307" s="41">
        <v>302</v>
      </c>
      <c r="N307" s="57">
        <f t="shared" si="130"/>
        <v>-18145.282575183785</v>
      </c>
      <c r="O307" s="57">
        <f t="shared" si="131"/>
        <v>7031.831663452509</v>
      </c>
      <c r="Q307" s="41">
        <v>302</v>
      </c>
      <c r="R307" s="57">
        <f t="shared" si="132"/>
        <v>-2350.4036788339768</v>
      </c>
      <c r="S307" s="41">
        <f t="shared" si="133"/>
        <v>-19240.240480782129</v>
      </c>
      <c r="U307" s="41">
        <v>301</v>
      </c>
      <c r="V307" s="41">
        <f t="shared" si="155"/>
        <v>150.5</v>
      </c>
      <c r="W307" s="57">
        <f t="shared" si="156"/>
        <v>-20396.473929580479</v>
      </c>
      <c r="X307" s="57">
        <f t="shared" si="157"/>
        <v>-157714.70623080427</v>
      </c>
      <c r="Y307" s="57">
        <f t="shared" si="158"/>
        <v>-271.06080512262878</v>
      </c>
      <c r="Z307" s="57">
        <f t="shared" si="159"/>
        <v>-1271.0155579394516</v>
      </c>
      <c r="AA307" s="57">
        <f t="shared" si="134"/>
        <v>16.986221225523149</v>
      </c>
      <c r="AB307" s="57">
        <f t="shared" si="135"/>
        <v>112.77981383784547</v>
      </c>
      <c r="AC307" s="57">
        <f t="shared" si="136"/>
        <v>4.2768249539935681</v>
      </c>
      <c r="AD307" s="57">
        <f t="shared" si="137"/>
        <v>17.491486499697043</v>
      </c>
      <c r="AE307" s="57">
        <f t="shared" si="138"/>
        <v>1.5054157904106361E-2</v>
      </c>
      <c r="AF307" s="57">
        <f t="shared" si="139"/>
        <v>6.3681454997833198</v>
      </c>
      <c r="AG307" s="57">
        <f t="shared" si="140"/>
        <v>2.7059611210361476</v>
      </c>
      <c r="AH307" s="57">
        <f t="shared" si="141"/>
        <v>25.082395373573316</v>
      </c>
      <c r="AJ307" s="57">
        <f t="shared" si="142"/>
        <v>170081.66938525217</v>
      </c>
      <c r="AK307" s="57">
        <f t="shared" si="143"/>
        <v>167715.17485803665</v>
      </c>
      <c r="AL307" s="57">
        <f t="shared" si="144"/>
        <v>143542.8116765483</v>
      </c>
      <c r="AN307" s="41">
        <v>302</v>
      </c>
      <c r="AO307" s="57">
        <f t="shared" si="145"/>
        <v>8974.3944817490355</v>
      </c>
      <c r="AP307" s="57">
        <f t="shared" si="146"/>
        <v>8639.639278826804</v>
      </c>
      <c r="AR307" s="41">
        <v>302</v>
      </c>
      <c r="AS307" s="57">
        <f t="shared" si="147"/>
        <v>16854.717424816215</v>
      </c>
      <c r="AT307" s="57">
        <f t="shared" si="148"/>
        <v>-7968.168336547491</v>
      </c>
      <c r="AV307" s="57">
        <f t="shared" si="149"/>
        <v>8.3431647372386415</v>
      </c>
      <c r="AW307" s="57">
        <f t="shared" si="150"/>
        <v>56.739658057372715</v>
      </c>
      <c r="AX307" s="57">
        <f t="shared" si="151"/>
        <v>1.6452162553506855</v>
      </c>
      <c r="AY307" s="57">
        <f t="shared" si="152"/>
        <v>7.0981284074190718</v>
      </c>
      <c r="BA307" s="57">
        <f t="shared" si="153"/>
        <v>174571.90677897999</v>
      </c>
      <c r="BB307" s="57">
        <f t="shared" si="154"/>
        <v>156763.17126738766</v>
      </c>
    </row>
    <row r="308" spans="9:54" x14ac:dyDescent="0.25">
      <c r="I308" s="41">
        <v>303</v>
      </c>
      <c r="J308" s="57">
        <f t="shared" si="128"/>
        <v>22723.195175075132</v>
      </c>
      <c r="K308" s="57">
        <f t="shared" si="129"/>
        <v>3306.6471602728789</v>
      </c>
      <c r="M308" s="41">
        <v>303</v>
      </c>
      <c r="N308" s="57">
        <f t="shared" si="130"/>
        <v>-18093.763377447405</v>
      </c>
      <c r="O308" s="57">
        <f t="shared" si="131"/>
        <v>7064.6530121910146</v>
      </c>
      <c r="Q308" s="41">
        <v>303</v>
      </c>
      <c r="R308" s="57">
        <f t="shared" si="132"/>
        <v>-2276.8048249248668</v>
      </c>
      <c r="S308" s="41">
        <f t="shared" si="133"/>
        <v>-19193.352839727122</v>
      </c>
      <c r="U308" s="41">
        <v>302</v>
      </c>
      <c r="V308" s="41">
        <f t="shared" si="155"/>
        <v>151</v>
      </c>
      <c r="W308" s="57">
        <f t="shared" si="156"/>
        <v>-20529.881054488604</v>
      </c>
      <c r="X308" s="57">
        <f t="shared" si="157"/>
        <v>-158336.11653304426</v>
      </c>
      <c r="Y308" s="57">
        <f t="shared" si="158"/>
        <v>-262.56769450986718</v>
      </c>
      <c r="Z308" s="57">
        <f t="shared" si="159"/>
        <v>-1214.6256510205289</v>
      </c>
      <c r="AA308" s="57">
        <f t="shared" si="134"/>
        <v>16.885551869229516</v>
      </c>
      <c r="AB308" s="57">
        <f t="shared" si="135"/>
        <v>111.92056375447558</v>
      </c>
      <c r="AC308" s="57">
        <f t="shared" si="136"/>
        <v>4.2433842025788771</v>
      </c>
      <c r="AD308" s="57">
        <f t="shared" si="137"/>
        <v>17.362655374371389</v>
      </c>
      <c r="AE308" s="57">
        <f t="shared" si="138"/>
        <v>1.9897902043500594E-2</v>
      </c>
      <c r="AF308" s="57">
        <f t="shared" si="139"/>
        <v>6.3212970699443165</v>
      </c>
      <c r="AG308" s="57">
        <f t="shared" si="140"/>
        <v>2.6938335454587028</v>
      </c>
      <c r="AH308" s="57">
        <f t="shared" si="141"/>
        <v>24.86327085427941</v>
      </c>
      <c r="AJ308" s="57">
        <f t="shared" si="142"/>
        <v>170716.98452424828</v>
      </c>
      <c r="AK308" s="57">
        <f t="shared" si="143"/>
        <v>168336.95049916572</v>
      </c>
      <c r="AL308" s="57">
        <f t="shared" si="144"/>
        <v>144174.96144733665</v>
      </c>
      <c r="AN308" s="41">
        <v>303</v>
      </c>
      <c r="AO308" s="57">
        <f t="shared" si="145"/>
        <v>9084.7927626127002</v>
      </c>
      <c r="AP308" s="57">
        <f t="shared" si="146"/>
        <v>8709.9707404093169</v>
      </c>
      <c r="AR308" s="41">
        <v>303</v>
      </c>
      <c r="AS308" s="57">
        <f t="shared" si="147"/>
        <v>16906.236622552595</v>
      </c>
      <c r="AT308" s="57">
        <f t="shared" si="148"/>
        <v>-7935.3469878089854</v>
      </c>
      <c r="AV308" s="57">
        <f t="shared" si="149"/>
        <v>8.2969017672627743</v>
      </c>
      <c r="AW308" s="57">
        <f t="shared" si="150"/>
        <v>56.332135998754616</v>
      </c>
      <c r="AX308" s="57">
        <f t="shared" si="151"/>
        <v>1.6315344518856629</v>
      </c>
      <c r="AY308" s="57">
        <f t="shared" si="152"/>
        <v>7.0412044571258505</v>
      </c>
      <c r="BA308" s="57">
        <f t="shared" si="153"/>
        <v>175206.11896110661</v>
      </c>
      <c r="BB308" s="57">
        <f t="shared" si="154"/>
        <v>157398.65654185691</v>
      </c>
    </row>
    <row r="309" spans="9:54" x14ac:dyDescent="0.25">
      <c r="I309" s="41">
        <v>304</v>
      </c>
      <c r="J309" s="57">
        <f t="shared" si="128"/>
        <v>22795.964517353732</v>
      </c>
      <c r="K309" s="57">
        <f t="shared" si="129"/>
        <v>3354.8121372247897</v>
      </c>
      <c r="M309" s="41">
        <v>304</v>
      </c>
      <c r="N309" s="57">
        <f t="shared" si="130"/>
        <v>-18042.824837852389</v>
      </c>
      <c r="O309" s="57">
        <f t="shared" si="131"/>
        <v>7098.3684960573528</v>
      </c>
      <c r="Q309" s="41">
        <v>304</v>
      </c>
      <c r="R309" s="57">
        <f t="shared" si="132"/>
        <v>-2204.035482646269</v>
      </c>
      <c r="S309" s="41">
        <f t="shared" si="133"/>
        <v>-19145.187862775208</v>
      </c>
      <c r="U309" s="41">
        <v>303</v>
      </c>
      <c r="V309" s="41">
        <f t="shared" si="155"/>
        <v>151.5</v>
      </c>
      <c r="W309" s="57">
        <f t="shared" si="156"/>
        <v>-20659.054207759884</v>
      </c>
      <c r="X309" s="57">
        <f t="shared" si="157"/>
        <v>-158929.43928808524</v>
      </c>
      <c r="Y309" s="57">
        <f t="shared" si="158"/>
        <v>-254.12491857525242</v>
      </c>
      <c r="Z309" s="57">
        <f t="shared" si="159"/>
        <v>-1158.6653691432912</v>
      </c>
      <c r="AA309" s="57">
        <f t="shared" si="134"/>
        <v>16.79131281698405</v>
      </c>
      <c r="AB309" s="57">
        <f t="shared" si="135"/>
        <v>111.10875636311751</v>
      </c>
      <c r="AC309" s="57">
        <f t="shared" si="136"/>
        <v>4.21197266100432</v>
      </c>
      <c r="AD309" s="57">
        <f t="shared" si="137"/>
        <v>17.240840002960681</v>
      </c>
      <c r="AE309" s="57">
        <f t="shared" si="138"/>
        <v>2.4488960712214496E-2</v>
      </c>
      <c r="AF309" s="57">
        <f t="shared" si="139"/>
        <v>6.277035110546719</v>
      </c>
      <c r="AG309" s="57">
        <f t="shared" si="140"/>
        <v>2.6825577882453899</v>
      </c>
      <c r="AH309" s="57">
        <f t="shared" si="141"/>
        <v>24.656600149497709</v>
      </c>
      <c r="AJ309" s="57">
        <f t="shared" si="142"/>
        <v>171324.01160028914</v>
      </c>
      <c r="AK309" s="57">
        <f t="shared" si="143"/>
        <v>168930.72488637359</v>
      </c>
      <c r="AL309" s="57">
        <f t="shared" si="144"/>
        <v>144778.76043282103</v>
      </c>
      <c r="AN309" s="41">
        <v>304</v>
      </c>
      <c r="AO309" s="57">
        <f t="shared" si="145"/>
        <v>9193.9467760305961</v>
      </c>
      <c r="AP309" s="57">
        <f t="shared" si="146"/>
        <v>8782.2182058371836</v>
      </c>
      <c r="AR309" s="41">
        <v>304</v>
      </c>
      <c r="AS309" s="57">
        <f t="shared" si="147"/>
        <v>16957.175162147611</v>
      </c>
      <c r="AT309" s="57">
        <f t="shared" si="148"/>
        <v>-7901.6315039426472</v>
      </c>
      <c r="AV309" s="57">
        <f t="shared" si="149"/>
        <v>8.2535949331128631</v>
      </c>
      <c r="AW309" s="57">
        <f t="shared" si="150"/>
        <v>55.946845398267278</v>
      </c>
      <c r="AX309" s="57">
        <f t="shared" si="151"/>
        <v>1.6186984739092609</v>
      </c>
      <c r="AY309" s="57">
        <f t="shared" si="152"/>
        <v>6.9874357018451194</v>
      </c>
      <c r="BA309" s="57">
        <f t="shared" si="153"/>
        <v>175811.93620998686</v>
      </c>
      <c r="BB309" s="57">
        <f t="shared" si="154"/>
        <v>158005.82402726894</v>
      </c>
    </row>
    <row r="310" spans="9:54" x14ac:dyDescent="0.25">
      <c r="I310" s="41">
        <v>305</v>
      </c>
      <c r="J310" s="57">
        <f t="shared" si="128"/>
        <v>22867.882181755231</v>
      </c>
      <c r="K310" s="57">
        <f t="shared" si="129"/>
        <v>3404.2397785550411</v>
      </c>
      <c r="M310" s="41">
        <v>305</v>
      </c>
      <c r="N310" s="57">
        <f t="shared" si="130"/>
        <v>-17992.482472771339</v>
      </c>
      <c r="O310" s="57">
        <f t="shared" si="131"/>
        <v>7132.9678449885287</v>
      </c>
      <c r="Q310" s="41">
        <v>305</v>
      </c>
      <c r="R310" s="57">
        <f t="shared" si="132"/>
        <v>-2132.1178182447698</v>
      </c>
      <c r="S310" s="41">
        <f t="shared" si="133"/>
        <v>-19095.760221444958</v>
      </c>
      <c r="U310" s="41">
        <v>304</v>
      </c>
      <c r="V310" s="41">
        <f t="shared" si="155"/>
        <v>152</v>
      </c>
      <c r="W310" s="57">
        <f t="shared" si="156"/>
        <v>-20784.017752945387</v>
      </c>
      <c r="X310" s="57">
        <f t="shared" si="157"/>
        <v>-159494.8833781115</v>
      </c>
      <c r="Y310" s="57">
        <f t="shared" si="158"/>
        <v>-245.72926216676041</v>
      </c>
      <c r="Z310" s="57">
        <f t="shared" si="159"/>
        <v>-1103.1109909617323</v>
      </c>
      <c r="AA310" s="57">
        <f t="shared" si="134"/>
        <v>16.70331272206332</v>
      </c>
      <c r="AB310" s="57">
        <f t="shared" si="135"/>
        <v>110.34274301698778</v>
      </c>
      <c r="AC310" s="57">
        <f t="shared" si="136"/>
        <v>4.1825178519067689</v>
      </c>
      <c r="AD310" s="57">
        <f t="shared" si="137"/>
        <v>17.125803669884831</v>
      </c>
      <c r="AE310" s="57">
        <f t="shared" si="138"/>
        <v>2.8841960650183299E-2</v>
      </c>
      <c r="AF310" s="57">
        <f t="shared" si="139"/>
        <v>6.2352730386953716</v>
      </c>
      <c r="AG310" s="57">
        <f t="shared" si="140"/>
        <v>2.6721167704467907</v>
      </c>
      <c r="AH310" s="57">
        <f t="shared" si="141"/>
        <v>24.461908695354524</v>
      </c>
      <c r="AJ310" s="57">
        <f t="shared" si="142"/>
        <v>171902.95860904088</v>
      </c>
      <c r="AK310" s="57">
        <f t="shared" si="143"/>
        <v>169496.69664980657</v>
      </c>
      <c r="AL310" s="57">
        <f t="shared" si="144"/>
        <v>145354.41699129523</v>
      </c>
      <c r="AN310" s="41">
        <v>305</v>
      </c>
      <c r="AO310" s="57">
        <f t="shared" si="145"/>
        <v>9301.8232726328461</v>
      </c>
      <c r="AP310" s="57">
        <f t="shared" si="146"/>
        <v>8856.3596678325612</v>
      </c>
      <c r="AR310" s="41">
        <v>305</v>
      </c>
      <c r="AS310" s="57">
        <f t="shared" si="147"/>
        <v>17007.517527228661</v>
      </c>
      <c r="AT310" s="57">
        <f t="shared" si="148"/>
        <v>-7867.0321550114713</v>
      </c>
      <c r="AV310" s="57">
        <f t="shared" si="149"/>
        <v>8.2131595262844925</v>
      </c>
      <c r="AW310" s="57">
        <f t="shared" si="150"/>
        <v>55.583048671346972</v>
      </c>
      <c r="AX310" s="57">
        <f t="shared" si="151"/>
        <v>1.6066766127750844</v>
      </c>
      <c r="AY310" s="57">
        <f t="shared" si="152"/>
        <v>6.9367089417060939</v>
      </c>
      <c r="BA310" s="57">
        <f t="shared" si="153"/>
        <v>176389.56855955211</v>
      </c>
      <c r="BB310" s="57">
        <f t="shared" si="154"/>
        <v>158584.88237079658</v>
      </c>
    </row>
    <row r="311" spans="9:54" x14ac:dyDescent="0.25">
      <c r="I311" s="41">
        <v>306</v>
      </c>
      <c r="J311" s="57">
        <f t="shared" si="128"/>
        <v>22938.926261462366</v>
      </c>
      <c r="K311" s="57">
        <f t="shared" si="129"/>
        <v>3454.9150281252623</v>
      </c>
      <c r="M311" s="41">
        <v>306</v>
      </c>
      <c r="N311" s="57">
        <f t="shared" si="130"/>
        <v>-17942.751616976344</v>
      </c>
      <c r="O311" s="57">
        <f t="shared" si="131"/>
        <v>7168.4405196876833</v>
      </c>
      <c r="Q311" s="41">
        <v>306</v>
      </c>
      <c r="R311" s="57">
        <f t="shared" si="132"/>
        <v>-2061.0737385376356</v>
      </c>
      <c r="S311" s="41">
        <f t="shared" si="133"/>
        <v>-19045.084971874738</v>
      </c>
      <c r="U311" s="41">
        <v>305</v>
      </c>
      <c r="V311" s="41">
        <f t="shared" si="155"/>
        <v>152.5</v>
      </c>
      <c r="W311" s="57">
        <f t="shared" si="156"/>
        <v>-20904.794469938508</v>
      </c>
      <c r="X311" s="57">
        <f t="shared" si="157"/>
        <v>-160032.64603071523</v>
      </c>
      <c r="Y311" s="57">
        <f t="shared" si="158"/>
        <v>-237.37760580572873</v>
      </c>
      <c r="Z311" s="57">
        <f t="shared" si="159"/>
        <v>-1047.9396194532385</v>
      </c>
      <c r="AA311" s="57">
        <f t="shared" si="134"/>
        <v>16.621374939384474</v>
      </c>
      <c r="AB311" s="57">
        <f t="shared" si="135"/>
        <v>109.62099528981942</v>
      </c>
      <c r="AC311" s="57">
        <f t="shared" si="136"/>
        <v>4.1549528659541055</v>
      </c>
      <c r="AD311" s="57">
        <f t="shared" si="137"/>
        <v>17.017326618711188</v>
      </c>
      <c r="AE311" s="57">
        <f t="shared" si="138"/>
        <v>3.2970395981850795E-2</v>
      </c>
      <c r="AF311" s="57">
        <f t="shared" si="139"/>
        <v>6.1959305187348823</v>
      </c>
      <c r="AG311" s="57">
        <f t="shared" si="140"/>
        <v>2.6624947154269774</v>
      </c>
      <c r="AH311" s="57">
        <f t="shared" si="141"/>
        <v>24.278757851981446</v>
      </c>
      <c r="AJ311" s="57">
        <f t="shared" si="142"/>
        <v>172454.02197884757</v>
      </c>
      <c r="AK311" s="57">
        <f t="shared" si="143"/>
        <v>170035.05335441671</v>
      </c>
      <c r="AL311" s="57">
        <f t="shared" si="144"/>
        <v>145902.12781793735</v>
      </c>
      <c r="AN311" s="41">
        <v>306</v>
      </c>
      <c r="AO311" s="57">
        <f t="shared" si="145"/>
        <v>9408.3893921935469</v>
      </c>
      <c r="AP311" s="57">
        <f t="shared" si="146"/>
        <v>8932.3725421878935</v>
      </c>
      <c r="AR311" s="41">
        <v>306</v>
      </c>
      <c r="AS311" s="57">
        <f t="shared" si="147"/>
        <v>17057.248383023656</v>
      </c>
      <c r="AT311" s="57">
        <f t="shared" si="148"/>
        <v>-7831.5594803123167</v>
      </c>
      <c r="AV311" s="57">
        <f t="shared" si="149"/>
        <v>8.1755173072274498</v>
      </c>
      <c r="AW311" s="57">
        <f t="shared" si="150"/>
        <v>55.240061009344309</v>
      </c>
      <c r="AX311" s="57">
        <f t="shared" si="151"/>
        <v>1.5954396547940888</v>
      </c>
      <c r="AY311" s="57">
        <f t="shared" si="152"/>
        <v>6.8889192910475963</v>
      </c>
      <c r="BA311" s="57">
        <f t="shared" si="153"/>
        <v>176939.21428853302</v>
      </c>
      <c r="BB311" s="57">
        <f t="shared" si="154"/>
        <v>159136.02860827453</v>
      </c>
    </row>
    <row r="312" spans="9:54" x14ac:dyDescent="0.25">
      <c r="I312" s="41">
        <v>307</v>
      </c>
      <c r="J312" s="57">
        <f t="shared" si="128"/>
        <v>23009.075115760239</v>
      </c>
      <c r="K312" s="57">
        <f t="shared" si="129"/>
        <v>3506.8224497635347</v>
      </c>
      <c r="M312" s="41">
        <v>307</v>
      </c>
      <c r="N312" s="57">
        <f t="shared" si="130"/>
        <v>-17893.647418967834</v>
      </c>
      <c r="O312" s="57">
        <f t="shared" si="131"/>
        <v>7204.7757148344745</v>
      </c>
      <c r="Q312" s="41">
        <v>307</v>
      </c>
      <c r="R312" s="57">
        <f t="shared" si="132"/>
        <v>-1990.9248842397601</v>
      </c>
      <c r="S312" s="41">
        <f t="shared" si="133"/>
        <v>-18993.177550236465</v>
      </c>
      <c r="U312" s="41">
        <v>306</v>
      </c>
      <c r="V312" s="41">
        <f t="shared" si="155"/>
        <v>153</v>
      </c>
      <c r="W312" s="57">
        <f t="shared" si="156"/>
        <v>-21021.405600973947</v>
      </c>
      <c r="X312" s="57">
        <f t="shared" si="157"/>
        <v>-160542.9132160306</v>
      </c>
      <c r="Y312" s="57">
        <f t="shared" si="158"/>
        <v>-229.06691833603651</v>
      </c>
      <c r="Z312" s="57">
        <f t="shared" si="159"/>
        <v>-993.12912180832882</v>
      </c>
      <c r="AA312" s="57">
        <f t="shared" si="134"/>
        <v>16.545336655384425</v>
      </c>
      <c r="AB312" s="57">
        <f t="shared" si="135"/>
        <v>108.94209709086461</v>
      </c>
      <c r="AC312" s="57">
        <f t="shared" si="136"/>
        <v>4.12921598765762</v>
      </c>
      <c r="AD312" s="57">
        <f t="shared" si="137"/>
        <v>16.915204969176408</v>
      </c>
      <c r="AE312" s="57">
        <f t="shared" si="138"/>
        <v>3.6886720250563686E-2</v>
      </c>
      <c r="AF312" s="57">
        <f t="shared" si="139"/>
        <v>6.1589330668613984</v>
      </c>
      <c r="AG312" s="57">
        <f t="shared" si="140"/>
        <v>2.653677111109761</v>
      </c>
      <c r="AH312" s="57">
        <f t="shared" si="141"/>
        <v>24.106742386082285</v>
      </c>
      <c r="AJ312" s="57">
        <f t="shared" si="142"/>
        <v>172977.38696029031</v>
      </c>
      <c r="AK312" s="57">
        <f t="shared" si="143"/>
        <v>170545.97185982508</v>
      </c>
      <c r="AL312" s="57">
        <f t="shared" si="144"/>
        <v>146422.0783380701</v>
      </c>
      <c r="AN312" s="41">
        <v>307</v>
      </c>
      <c r="AO312" s="57">
        <f t="shared" si="145"/>
        <v>9513.6126736403603</v>
      </c>
      <c r="AP312" s="57">
        <f t="shared" si="146"/>
        <v>9010.233674645302</v>
      </c>
      <c r="AR312" s="41">
        <v>307</v>
      </c>
      <c r="AS312" s="57">
        <f t="shared" si="147"/>
        <v>17106.352581032166</v>
      </c>
      <c r="AT312" s="57">
        <f t="shared" si="148"/>
        <v>-7795.2242851655255</v>
      </c>
      <c r="AV312" s="57">
        <f t="shared" si="149"/>
        <v>8.140596129526287</v>
      </c>
      <c r="AW312" s="57">
        <f t="shared" si="150"/>
        <v>54.917247046742972</v>
      </c>
      <c r="AX312" s="57">
        <f t="shared" si="151"/>
        <v>1.5849607068401905</v>
      </c>
      <c r="AY312" s="57">
        <f t="shared" si="152"/>
        <v>6.8439696220015538</v>
      </c>
      <c r="BA312" s="57">
        <f t="shared" si="153"/>
        <v>177461.06031978186</v>
      </c>
      <c r="BB312" s="57">
        <f t="shared" si="154"/>
        <v>159659.44855597962</v>
      </c>
    </row>
    <row r="313" spans="9:54" x14ac:dyDescent="0.25">
      <c r="I313" s="41">
        <v>308</v>
      </c>
      <c r="J313" s="57">
        <f t="shared" si="128"/>
        <v>23078.307376628294</v>
      </c>
      <c r="K313" s="57">
        <f t="shared" si="129"/>
        <v>3559.9462319663912</v>
      </c>
      <c r="M313" s="41">
        <v>308</v>
      </c>
      <c r="N313" s="57">
        <f t="shared" si="130"/>
        <v>-17845.184836360197</v>
      </c>
      <c r="O313" s="57">
        <f t="shared" si="131"/>
        <v>7241.9623623764737</v>
      </c>
      <c r="Q313" s="41">
        <v>308</v>
      </c>
      <c r="R313" s="57">
        <f t="shared" si="132"/>
        <v>-1921.6926233717072</v>
      </c>
      <c r="S313" s="41">
        <f t="shared" si="133"/>
        <v>-18940.053768033609</v>
      </c>
      <c r="U313" s="41">
        <v>307</v>
      </c>
      <c r="V313" s="41">
        <f t="shared" si="155"/>
        <v>153.5</v>
      </c>
      <c r="W313" s="57">
        <f t="shared" si="156"/>
        <v>-21133.870893060044</v>
      </c>
      <c r="X313" s="57">
        <f t="shared" si="157"/>
        <v>-161025.86001479841</v>
      </c>
      <c r="Y313" s="57">
        <f t="shared" si="158"/>
        <v>-220.79425000834431</v>
      </c>
      <c r="Z313" s="57">
        <f t="shared" si="159"/>
        <v>-938.65807326289655</v>
      </c>
      <c r="AA313" s="57">
        <f t="shared" si="134"/>
        <v>16.475048099994329</v>
      </c>
      <c r="AB313" s="57">
        <f t="shared" si="135"/>
        <v>108.30473751837643</v>
      </c>
      <c r="AC313" s="57">
        <f t="shared" si="136"/>
        <v>4.1052503574224533</v>
      </c>
      <c r="AD313" s="57">
        <f t="shared" si="137"/>
        <v>16.819249733615575</v>
      </c>
      <c r="AE313" s="57">
        <f t="shared" si="138"/>
        <v>4.0602429246667508E-2</v>
      </c>
      <c r="AF313" s="57">
        <f t="shared" si="139"/>
        <v>6.124211692092171</v>
      </c>
      <c r="AG313" s="57">
        <f t="shared" si="140"/>
        <v>2.6456506746678157</v>
      </c>
      <c r="AH313" s="57">
        <f t="shared" si="141"/>
        <v>23.945488198574843</v>
      </c>
      <c r="AJ313" s="57">
        <f t="shared" si="142"/>
        <v>173473.22798741702</v>
      </c>
      <c r="AK313" s="57">
        <f t="shared" si="143"/>
        <v>171029.61865420724</v>
      </c>
      <c r="AL313" s="57">
        <f t="shared" si="144"/>
        <v>146914.44307165797</v>
      </c>
      <c r="AN313" s="41">
        <v>308</v>
      </c>
      <c r="AO313" s="57">
        <f t="shared" si="145"/>
        <v>9617.4610649424394</v>
      </c>
      <c r="AP313" s="57">
        <f t="shared" si="146"/>
        <v>9089.9193479495862</v>
      </c>
      <c r="AR313" s="41">
        <v>308</v>
      </c>
      <c r="AS313" s="57">
        <f t="shared" si="147"/>
        <v>17154.815163639803</v>
      </c>
      <c r="AT313" s="57">
        <f t="shared" si="148"/>
        <v>-7758.0376376235263</v>
      </c>
      <c r="AV313" s="57">
        <f t="shared" si="149"/>
        <v>8.1083295993690143</v>
      </c>
      <c r="AW313" s="57">
        <f t="shared" si="150"/>
        <v>54.614017833515653</v>
      </c>
      <c r="AX313" s="57">
        <f t="shared" si="151"/>
        <v>1.5752150392883784</v>
      </c>
      <c r="AY313" s="57">
        <f t="shared" si="152"/>
        <v>6.8017700605781952</v>
      </c>
      <c r="BA313" s="57">
        <f t="shared" si="153"/>
        <v>177955.28259033093</v>
      </c>
      <c r="BB313" s="57">
        <f t="shared" si="154"/>
        <v>160155.31717390404</v>
      </c>
    </row>
    <row r="314" spans="9:54" x14ac:dyDescent="0.25">
      <c r="I314" s="41">
        <v>309</v>
      </c>
      <c r="J314" s="57">
        <f t="shared" si="128"/>
        <v>23146.601955249189</v>
      </c>
      <c r="K314" s="57">
        <f t="shared" si="129"/>
        <v>3614.2701927151461</v>
      </c>
      <c r="M314" s="41">
        <v>309</v>
      </c>
      <c r="N314" s="57">
        <f t="shared" si="130"/>
        <v>-17797.37863132557</v>
      </c>
      <c r="O314" s="57">
        <f t="shared" si="131"/>
        <v>7279.989134900602</v>
      </c>
      <c r="Q314" s="41">
        <v>309</v>
      </c>
      <c r="R314" s="57">
        <f t="shared" si="132"/>
        <v>-1853.3980447508125</v>
      </c>
      <c r="S314" s="41">
        <f t="shared" si="133"/>
        <v>-18885.729807284853</v>
      </c>
      <c r="U314" s="41">
        <v>308</v>
      </c>
      <c r="V314" s="41">
        <f t="shared" si="155"/>
        <v>154</v>
      </c>
      <c r="W314" s="57">
        <f t="shared" si="156"/>
        <v>-21242.208637051717</v>
      </c>
      <c r="X314" s="57">
        <f t="shared" si="157"/>
        <v>-161481.65095924007</v>
      </c>
      <c r="Y314" s="57">
        <f t="shared" si="158"/>
        <v>-212.55672595834713</v>
      </c>
      <c r="Z314" s="57">
        <f t="shared" si="159"/>
        <v>-884.50570450370833</v>
      </c>
      <c r="AA314" s="57">
        <f t="shared" si="134"/>
        <v>16.410371833538562</v>
      </c>
      <c r="AB314" s="57">
        <f t="shared" si="135"/>
        <v>107.70770438187085</v>
      </c>
      <c r="AC314" s="57">
        <f t="shared" si="136"/>
        <v>4.0830036663467633</v>
      </c>
      <c r="AD314" s="57">
        <f t="shared" si="137"/>
        <v>16.729285923646128</v>
      </c>
      <c r="AE314" s="57">
        <f t="shared" si="138"/>
        <v>4.4128135604114535E-2</v>
      </c>
      <c r="AF314" s="57">
        <f t="shared" si="139"/>
        <v>6.0917025702758307</v>
      </c>
      <c r="AG314" s="57">
        <f t="shared" si="140"/>
        <v>2.6384033197901973</v>
      </c>
      <c r="AH314" s="57">
        <f t="shared" si="141"/>
        <v>23.794650272966894</v>
      </c>
      <c r="AJ314" s="57">
        <f t="shared" si="142"/>
        <v>173941.70901245205</v>
      </c>
      <c r="AK314" s="57">
        <f t="shared" si="143"/>
        <v>171486.15016380945</v>
      </c>
      <c r="AL314" s="57">
        <f t="shared" si="144"/>
        <v>147379.38597088182</v>
      </c>
      <c r="AN314" s="41">
        <v>309</v>
      </c>
      <c r="AO314" s="57">
        <f t="shared" si="145"/>
        <v>9719.9029328737815</v>
      </c>
      <c r="AP314" s="57">
        <f t="shared" si="146"/>
        <v>9171.405289072718</v>
      </c>
      <c r="AR314" s="41">
        <v>309</v>
      </c>
      <c r="AS314" s="57">
        <f t="shared" si="147"/>
        <v>17202.62136867443</v>
      </c>
      <c r="AT314" s="57">
        <f t="shared" si="148"/>
        <v>-7720.010865099398</v>
      </c>
      <c r="AV314" s="57">
        <f t="shared" si="149"/>
        <v>8.0786567672379661</v>
      </c>
      <c r="AW314" s="57">
        <f t="shared" si="150"/>
        <v>54.329828084751227</v>
      </c>
      <c r="AX314" s="57">
        <f t="shared" si="151"/>
        <v>1.5661799445595235</v>
      </c>
      <c r="AY314" s="57">
        <f t="shared" si="152"/>
        <v>6.7622375302307809</v>
      </c>
      <c r="BA314" s="57">
        <f t="shared" si="153"/>
        <v>178422.04639407538</v>
      </c>
      <c r="BB314" s="57">
        <f t="shared" si="154"/>
        <v>160623.79890234518</v>
      </c>
    </row>
    <row r="315" spans="9:54" x14ac:dyDescent="0.25">
      <c r="I315" s="41">
        <v>310</v>
      </c>
      <c r="J315" s="57">
        <f t="shared" si="128"/>
        <v>23213.938048432698</v>
      </c>
      <c r="K315" s="57">
        <f t="shared" si="129"/>
        <v>3669.7777844051093</v>
      </c>
      <c r="M315" s="41">
        <v>310</v>
      </c>
      <c r="N315" s="57">
        <f t="shared" si="130"/>
        <v>-17750.243366097115</v>
      </c>
      <c r="O315" s="57">
        <f t="shared" si="131"/>
        <v>7318.8444490835764</v>
      </c>
      <c r="Q315" s="41">
        <v>310</v>
      </c>
      <c r="R315" s="57">
        <f t="shared" si="132"/>
        <v>-1786.0619515673038</v>
      </c>
      <c r="S315" s="41">
        <f t="shared" si="133"/>
        <v>-18830.222215594891</v>
      </c>
      <c r="U315" s="41">
        <v>309</v>
      </c>
      <c r="V315" s="41">
        <f t="shared" si="155"/>
        <v>154.5</v>
      </c>
      <c r="W315" s="57">
        <f t="shared" si="156"/>
        <v>-21346.435703551699</v>
      </c>
      <c r="X315" s="57">
        <f t="shared" si="157"/>
        <v>-161910.44034844419</v>
      </c>
      <c r="Y315" s="57">
        <f t="shared" si="158"/>
        <v>-204.35154004157783</v>
      </c>
      <c r="Z315" s="57">
        <f t="shared" si="159"/>
        <v>-830.65185231277292</v>
      </c>
      <c r="AA315" s="57">
        <f t="shared" si="134"/>
        <v>16.351182102204717</v>
      </c>
      <c r="AB315" s="57">
        <f t="shared" si="135"/>
        <v>107.1498783315369</v>
      </c>
      <c r="AC315" s="57">
        <f t="shared" si="136"/>
        <v>4.0624278806950969</v>
      </c>
      <c r="AD315" s="57">
        <f t="shared" si="137"/>
        <v>16.645151738998258</v>
      </c>
      <c r="AE315" s="57">
        <f t="shared" si="138"/>
        <v>4.7473636021441522E-2</v>
      </c>
      <c r="AF315" s="57">
        <f t="shared" si="139"/>
        <v>6.0613467482031975</v>
      </c>
      <c r="AG315" s="57">
        <f t="shared" si="140"/>
        <v>2.6319241266260001</v>
      </c>
      <c r="AH315" s="57">
        <f t="shared" si="141"/>
        <v>23.653910823037005</v>
      </c>
      <c r="AJ315" s="57">
        <f t="shared" si="142"/>
        <v>174382.98381562837</v>
      </c>
      <c r="AK315" s="57">
        <f t="shared" si="143"/>
        <v>171915.71303955838</v>
      </c>
      <c r="AL315" s="57">
        <f t="shared" si="144"/>
        <v>147817.06073246122</v>
      </c>
      <c r="AN315" s="41">
        <v>310</v>
      </c>
      <c r="AO315" s="57">
        <f t="shared" si="145"/>
        <v>9820.9070726490445</v>
      </c>
      <c r="AP315" s="57">
        <f t="shared" si="146"/>
        <v>9254.6666766076632</v>
      </c>
      <c r="AR315" s="41">
        <v>310</v>
      </c>
      <c r="AS315" s="57">
        <f t="shared" si="147"/>
        <v>17249.756633902885</v>
      </c>
      <c r="AT315" s="57">
        <f t="shared" si="148"/>
        <v>-7681.1555509164236</v>
      </c>
      <c r="AV315" s="57">
        <f t="shared" si="149"/>
        <v>8.051521849105665</v>
      </c>
      <c r="AW315" s="57">
        <f t="shared" si="150"/>
        <v>54.064173682832674</v>
      </c>
      <c r="AX315" s="57">
        <f t="shared" si="151"/>
        <v>1.5578346097565148</v>
      </c>
      <c r="AY315" s="57">
        <f t="shared" si="152"/>
        <v>6.7252953384657523</v>
      </c>
      <c r="BA315" s="57">
        <f t="shared" si="153"/>
        <v>178861.50669879143</v>
      </c>
      <c r="BB315" s="57">
        <f t="shared" si="154"/>
        <v>161065.04797346654</v>
      </c>
    </row>
    <row r="316" spans="9:54" x14ac:dyDescent="0.25">
      <c r="I316" s="41">
        <v>311</v>
      </c>
      <c r="J316" s="57">
        <f t="shared" si="128"/>
        <v>23280.295144952535</v>
      </c>
      <c r="K316" s="57">
        <f t="shared" si="129"/>
        <v>3726.4520988861386</v>
      </c>
      <c r="M316" s="41">
        <v>311</v>
      </c>
      <c r="N316" s="57">
        <f t="shared" si="130"/>
        <v>-17703.793398533224</v>
      </c>
      <c r="O316" s="57">
        <f t="shared" si="131"/>
        <v>7358.516469220297</v>
      </c>
      <c r="Q316" s="41">
        <v>311</v>
      </c>
      <c r="R316" s="57">
        <f t="shared" si="132"/>
        <v>-1719.7048550474647</v>
      </c>
      <c r="S316" s="41">
        <f t="shared" si="133"/>
        <v>-18773.54790111386</v>
      </c>
      <c r="U316" s="41">
        <v>310</v>
      </c>
      <c r="V316" s="41">
        <f t="shared" si="155"/>
        <v>155</v>
      </c>
      <c r="W316" s="57">
        <f t="shared" si="156"/>
        <v>-21446.567575809713</v>
      </c>
      <c r="X316" s="57">
        <f t="shared" si="157"/>
        <v>-162312.37253980915</v>
      </c>
      <c r="Y316" s="57">
        <f t="shared" si="158"/>
        <v>-196.17594899047549</v>
      </c>
      <c r="Z316" s="57">
        <f t="shared" si="159"/>
        <v>-777.07691314700446</v>
      </c>
      <c r="AA316" s="57">
        <f t="shared" si="134"/>
        <v>16.297364256449374</v>
      </c>
      <c r="AB316" s="57">
        <f t="shared" si="135"/>
        <v>106.63022754022191</v>
      </c>
      <c r="AC316" s="57">
        <f t="shared" si="136"/>
        <v>4.0434789933312043</v>
      </c>
      <c r="AD316" s="57">
        <f t="shared" si="137"/>
        <v>16.566697831286859</v>
      </c>
      <c r="AE316" s="57">
        <f t="shared" si="138"/>
        <v>5.0647971859374821E-2</v>
      </c>
      <c r="AF316" s="57">
        <f t="shared" si="139"/>
        <v>6.0330898752056514</v>
      </c>
      <c r="AG316" s="57">
        <f t="shared" si="140"/>
        <v>2.626203314475029</v>
      </c>
      <c r="AH316" s="57">
        <f t="shared" si="141"/>
        <v>23.522977620950808</v>
      </c>
      <c r="AJ316" s="57">
        <f t="shared" si="142"/>
        <v>174797.19629163132</v>
      </c>
      <c r="AK316" s="57">
        <f t="shared" si="143"/>
        <v>172318.44442209127</v>
      </c>
      <c r="AL316" s="57">
        <f t="shared" si="144"/>
        <v>148227.61108623855</v>
      </c>
      <c r="AN316" s="41">
        <v>311</v>
      </c>
      <c r="AO316" s="57">
        <f t="shared" si="145"/>
        <v>9920.442717428803</v>
      </c>
      <c r="AP316" s="57">
        <f t="shared" si="146"/>
        <v>9339.678148329207</v>
      </c>
      <c r="AR316" s="41">
        <v>311</v>
      </c>
      <c r="AS316" s="57">
        <f t="shared" si="147"/>
        <v>17296.206601466776</v>
      </c>
      <c r="AT316" s="57">
        <f t="shared" si="148"/>
        <v>-7641.483530779703</v>
      </c>
      <c r="AV316" s="57">
        <f t="shared" si="149"/>
        <v>8.0268739747254685</v>
      </c>
      <c r="AW316" s="57">
        <f t="shared" si="150"/>
        <v>53.816589410206099</v>
      </c>
      <c r="AX316" s="57">
        <f t="shared" si="151"/>
        <v>1.5501600020582955</v>
      </c>
      <c r="AY316" s="57">
        <f t="shared" si="152"/>
        <v>6.6908728025724988</v>
      </c>
      <c r="BA316" s="57">
        <f t="shared" si="153"/>
        <v>179273.80843904091</v>
      </c>
      <c r="BB316" s="57">
        <f t="shared" si="154"/>
        <v>161479.20869932996</v>
      </c>
    </row>
    <row r="317" spans="9:54" x14ac:dyDescent="0.25">
      <c r="I317" s="41">
        <v>312</v>
      </c>
      <c r="J317" s="57">
        <f t="shared" si="128"/>
        <v>23345.653031794289</v>
      </c>
      <c r="K317" s="57">
        <f t="shared" si="129"/>
        <v>3784.2758726130273</v>
      </c>
      <c r="M317" s="41">
        <v>312</v>
      </c>
      <c r="N317" s="57">
        <f t="shared" si="130"/>
        <v>-17658.042877743999</v>
      </c>
      <c r="O317" s="57">
        <f t="shared" si="131"/>
        <v>7398.9931108291185</v>
      </c>
      <c r="Q317" s="41">
        <v>312</v>
      </c>
      <c r="R317" s="57">
        <f t="shared" si="132"/>
        <v>-1654.3469682057112</v>
      </c>
      <c r="S317" s="41">
        <f t="shared" si="133"/>
        <v>-18715.724127386973</v>
      </c>
      <c r="U317" s="41">
        <v>311</v>
      </c>
      <c r="V317" s="41">
        <f t="shared" si="155"/>
        <v>155.5</v>
      </c>
      <c r="W317" s="57">
        <f t="shared" si="156"/>
        <v>-21542.618379772892</v>
      </c>
      <c r="X317" s="57">
        <f t="shared" si="157"/>
        <v>-162687.58221794013</v>
      </c>
      <c r="Y317" s="57">
        <f t="shared" si="158"/>
        <v>-188.0272668622508</v>
      </c>
      <c r="Z317" s="57">
        <f t="shared" si="159"/>
        <v>-723.76179937689346</v>
      </c>
      <c r="AA317" s="57">
        <f t="shared" si="134"/>
        <v>16.248814227353009</v>
      </c>
      <c r="AB317" s="57">
        <f t="shared" si="135"/>
        <v>106.14780288969753</v>
      </c>
      <c r="AC317" s="57">
        <f t="shared" si="136"/>
        <v>4.0261167997159619</v>
      </c>
      <c r="AD317" s="57">
        <f t="shared" si="137"/>
        <v>16.49378663633566</v>
      </c>
      <c r="AE317" s="57">
        <f t="shared" si="138"/>
        <v>5.3659483776955896E-2</v>
      </c>
      <c r="AF317" s="57">
        <f t="shared" si="139"/>
        <v>6.0068819599242103</v>
      </c>
      <c r="AG317" s="57">
        <f t="shared" si="140"/>
        <v>2.621232217275193</v>
      </c>
      <c r="AH317" s="57">
        <f t="shared" si="141"/>
        <v>23.401582489171723</v>
      </c>
      <c r="AJ317" s="57">
        <f t="shared" si="142"/>
        <v>175184.48071400495</v>
      </c>
      <c r="AK317" s="57">
        <f t="shared" si="143"/>
        <v>172694.47218641205</v>
      </c>
      <c r="AL317" s="57">
        <f t="shared" si="144"/>
        <v>148611.1710613964</v>
      </c>
      <c r="AN317" s="41">
        <v>312</v>
      </c>
      <c r="AO317" s="57">
        <f t="shared" si="145"/>
        <v>10018.479547691433</v>
      </c>
      <c r="AP317" s="57">
        <f t="shared" si="146"/>
        <v>9426.4138089195403</v>
      </c>
      <c r="AR317" s="41">
        <v>312</v>
      </c>
      <c r="AS317" s="57">
        <f t="shared" si="147"/>
        <v>17341.957122256001</v>
      </c>
      <c r="AT317" s="57">
        <f t="shared" si="148"/>
        <v>-7601.0068891708815</v>
      </c>
      <c r="AV317" s="57">
        <f t="shared" si="149"/>
        <v>8.0046669608854355</v>
      </c>
      <c r="AW317" s="57">
        <f t="shared" si="150"/>
        <v>53.586646893264408</v>
      </c>
      <c r="AX317" s="57">
        <f t="shared" si="151"/>
        <v>1.5431387656994624</v>
      </c>
      <c r="AY317" s="57">
        <f t="shared" si="152"/>
        <v>6.6589049110015335</v>
      </c>
      <c r="BA317" s="57">
        <f t="shared" si="153"/>
        <v>179659.08678636741</v>
      </c>
      <c r="BB317" s="57">
        <f t="shared" si="154"/>
        <v>161866.41573775996</v>
      </c>
    </row>
    <row r="318" spans="9:54" x14ac:dyDescent="0.25">
      <c r="I318" s="41">
        <v>313</v>
      </c>
      <c r="J318" s="57">
        <f t="shared" si="128"/>
        <v>23409.991800312491</v>
      </c>
      <c r="K318" s="57">
        <f t="shared" si="129"/>
        <v>3843.2314919041451</v>
      </c>
      <c r="M318" s="41">
        <v>313</v>
      </c>
      <c r="N318" s="57">
        <f t="shared" si="130"/>
        <v>-17613.005739781256</v>
      </c>
      <c r="O318" s="57">
        <f t="shared" si="131"/>
        <v>7440.2620443329015</v>
      </c>
      <c r="Q318" s="41">
        <v>313</v>
      </c>
      <c r="R318" s="57">
        <f t="shared" si="132"/>
        <v>-1590.0081996875097</v>
      </c>
      <c r="S318" s="41">
        <f t="shared" si="133"/>
        <v>-18656.768508095854</v>
      </c>
      <c r="U318" s="41">
        <v>312</v>
      </c>
      <c r="V318" s="41">
        <f t="shared" si="155"/>
        <v>156</v>
      </c>
      <c r="W318" s="57">
        <f t="shared" si="156"/>
        <v>-21634.600911425598</v>
      </c>
      <c r="X318" s="57">
        <f t="shared" si="157"/>
        <v>-163036.19464226734</v>
      </c>
      <c r="Y318" s="57">
        <f t="shared" si="158"/>
        <v>-179.90285974857429</v>
      </c>
      <c r="Z318" s="57">
        <f t="shared" si="159"/>
        <v>-670.68789793204473</v>
      </c>
      <c r="AA318" s="57">
        <f t="shared" si="134"/>
        <v>16.205438056505699</v>
      </c>
      <c r="AB318" s="57">
        <f t="shared" si="135"/>
        <v>105.70173361839703</v>
      </c>
      <c r="AC318" s="57">
        <f t="shared" si="136"/>
        <v>4.0103046963559512</v>
      </c>
      <c r="AD318" s="57">
        <f t="shared" si="137"/>
        <v>16.42629176937486</v>
      </c>
      <c r="AE318" s="57">
        <f t="shared" si="138"/>
        <v>5.6515860988993083E-2</v>
      </c>
      <c r="AF318" s="57">
        <f t="shared" si="139"/>
        <v>5.9826771501906482</v>
      </c>
      <c r="AG318" s="57">
        <f t="shared" si="140"/>
        <v>2.6170032619229735</v>
      </c>
      <c r="AH318" s="57">
        <f t="shared" si="141"/>
        <v>23.289479941498421</v>
      </c>
      <c r="AJ318" s="57">
        <f t="shared" si="142"/>
        <v>175544.96197874483</v>
      </c>
      <c r="AK318" s="57">
        <f t="shared" si="143"/>
        <v>173043.91516726688</v>
      </c>
      <c r="AL318" s="57">
        <f t="shared" si="144"/>
        <v>148967.8652315514</v>
      </c>
      <c r="AN318" s="41">
        <v>313</v>
      </c>
      <c r="AO318" s="57">
        <f t="shared" si="145"/>
        <v>10114.987700468735</v>
      </c>
      <c r="AP318" s="57">
        <f t="shared" si="146"/>
        <v>9514.8472378562183</v>
      </c>
      <c r="AR318" s="41">
        <v>313</v>
      </c>
      <c r="AS318" s="57">
        <f t="shared" si="147"/>
        <v>17386.994260218744</v>
      </c>
      <c r="AT318" s="57">
        <f t="shared" si="148"/>
        <v>-7559.7379556670985</v>
      </c>
      <c r="AV318" s="57">
        <f t="shared" si="149"/>
        <v>7.9848591077339233</v>
      </c>
      <c r="AW318" s="57">
        <f t="shared" si="150"/>
        <v>53.373952740015277</v>
      </c>
      <c r="AX318" s="57">
        <f t="shared" si="151"/>
        <v>1.5367551295038591</v>
      </c>
      <c r="AY318" s="57">
        <f t="shared" si="152"/>
        <v>6.6293320173178278</v>
      </c>
      <c r="BA318" s="57">
        <f t="shared" si="153"/>
        <v>180017.46739805615</v>
      </c>
      <c r="BB318" s="57">
        <f t="shared" si="154"/>
        <v>162226.79433727349</v>
      </c>
    </row>
    <row r="319" spans="9:54" x14ac:dyDescent="0.25">
      <c r="I319" s="41">
        <v>314</v>
      </c>
      <c r="J319" s="57">
        <f t="shared" si="128"/>
        <v>23473.291852294984</v>
      </c>
      <c r="K319" s="57">
        <f t="shared" si="129"/>
        <v>3903.3009983067413</v>
      </c>
      <c r="M319" s="41">
        <v>314</v>
      </c>
      <c r="N319" s="57">
        <f t="shared" si="130"/>
        <v>-17568.69570339351</v>
      </c>
      <c r="O319" s="57">
        <f t="shared" si="131"/>
        <v>7482.3106988147192</v>
      </c>
      <c r="Q319" s="41">
        <v>314</v>
      </c>
      <c r="R319" s="57">
        <f t="shared" si="132"/>
        <v>-1526.7081477050169</v>
      </c>
      <c r="S319" s="41">
        <f t="shared" si="133"/>
        <v>-18596.699001693258</v>
      </c>
      <c r="U319" s="41">
        <v>313</v>
      </c>
      <c r="V319" s="41">
        <f t="shared" si="155"/>
        <v>156.5</v>
      </c>
      <c r="W319" s="57">
        <f t="shared" si="156"/>
        <v>-21722.526661542823</v>
      </c>
      <c r="X319" s="57">
        <f t="shared" si="157"/>
        <v>-163358.32587453103</v>
      </c>
      <c r="Y319" s="57">
        <f t="shared" si="158"/>
        <v>-171.80014072032145</v>
      </c>
      <c r="Z319" s="57">
        <f t="shared" si="159"/>
        <v>-617.83703112284627</v>
      </c>
      <c r="AA319" s="57">
        <f t="shared" si="134"/>
        <v>16.167151475524975</v>
      </c>
      <c r="AB319" s="57">
        <f t="shared" si="135"/>
        <v>105.29122339274774</v>
      </c>
      <c r="AC319" s="57">
        <f t="shared" si="136"/>
        <v>3.9960094998377698</v>
      </c>
      <c r="AD319" s="57">
        <f t="shared" si="137"/>
        <v>16.364097478073404</v>
      </c>
      <c r="AE319" s="57">
        <f t="shared" si="138"/>
        <v>5.9224185658282913E-2</v>
      </c>
      <c r="AF319" s="57">
        <f t="shared" si="139"/>
        <v>5.9604335341935695</v>
      </c>
      <c r="AG319" s="57">
        <f t="shared" si="140"/>
        <v>2.6135099494537362</v>
      </c>
      <c r="AH319" s="57">
        <f t="shared" si="141"/>
        <v>23.186445960290907</v>
      </c>
      <c r="AJ319" s="57">
        <f t="shared" si="142"/>
        <v>175878.75582818576</v>
      </c>
      <c r="AK319" s="57">
        <f t="shared" si="143"/>
        <v>173366.88336622951</v>
      </c>
      <c r="AL319" s="57">
        <f t="shared" si="144"/>
        <v>149297.80893984868</v>
      </c>
      <c r="AN319" s="41">
        <v>314</v>
      </c>
      <c r="AO319" s="57">
        <f t="shared" si="145"/>
        <v>10209.937778442474</v>
      </c>
      <c r="AP319" s="57">
        <f t="shared" si="146"/>
        <v>9604.9514974601116</v>
      </c>
      <c r="AR319" s="41">
        <v>314</v>
      </c>
      <c r="AS319" s="57">
        <f t="shared" si="147"/>
        <v>17431.30429660649</v>
      </c>
      <c r="AT319" s="57">
        <f t="shared" si="148"/>
        <v>-7517.6893011852808</v>
      </c>
      <c r="AV319" s="57">
        <f t="shared" si="149"/>
        <v>7.9674130165103456</v>
      </c>
      <c r="AW319" s="57">
        <f t="shared" si="150"/>
        <v>53.178146856180859</v>
      </c>
      <c r="AX319" s="57">
        <f t="shared" si="151"/>
        <v>1.530994824064841</v>
      </c>
      <c r="AY319" s="57">
        <f t="shared" si="152"/>
        <v>6.6020995640089915</v>
      </c>
      <c r="BA319" s="57">
        <f t="shared" si="153"/>
        <v>180349.06664560887</v>
      </c>
      <c r="BB319" s="57">
        <f t="shared" si="154"/>
        <v>162560.4605621917</v>
      </c>
    </row>
    <row r="320" spans="9:54" x14ac:dyDescent="0.25">
      <c r="I320" s="41">
        <v>315</v>
      </c>
      <c r="J320" s="57">
        <f t="shared" si="128"/>
        <v>23535.533905932738</v>
      </c>
      <c r="K320" s="57">
        <f t="shared" si="129"/>
        <v>3964.4660940672616</v>
      </c>
      <c r="M320" s="41">
        <v>315</v>
      </c>
      <c r="N320" s="57">
        <f t="shared" si="130"/>
        <v>-17525.126265847084</v>
      </c>
      <c r="O320" s="57">
        <f t="shared" si="131"/>
        <v>7525.1262658470832</v>
      </c>
      <c r="Q320" s="41">
        <v>315</v>
      </c>
      <c r="R320" s="57">
        <f t="shared" si="132"/>
        <v>-1464.4660940672634</v>
      </c>
      <c r="S320" s="41">
        <f t="shared" si="133"/>
        <v>-18535.533905932738</v>
      </c>
      <c r="U320" s="41">
        <v>314</v>
      </c>
      <c r="V320" s="41">
        <f t="shared" si="155"/>
        <v>157</v>
      </c>
      <c r="W320" s="57">
        <f t="shared" si="156"/>
        <v>-21806.405837968541</v>
      </c>
      <c r="X320" s="57">
        <f t="shared" si="157"/>
        <v>-163654.08298716834</v>
      </c>
      <c r="Y320" s="57">
        <f t="shared" si="158"/>
        <v>-163.71656498255896</v>
      </c>
      <c r="Z320" s="57">
        <f t="shared" si="159"/>
        <v>-565.19141942647241</v>
      </c>
      <c r="AA320" s="57">
        <f t="shared" si="134"/>
        <v>16.133879531764858</v>
      </c>
      <c r="AB320" s="57">
        <f t="shared" si="135"/>
        <v>104.91554676854767</v>
      </c>
      <c r="AC320" s="57">
        <f t="shared" si="136"/>
        <v>3.9832012848038501</v>
      </c>
      <c r="AD320" s="57">
        <f t="shared" si="137"/>
        <v>16.307098148933839</v>
      </c>
      <c r="AE320" s="57">
        <f t="shared" si="138"/>
        <v>6.1790972875066047E-2</v>
      </c>
      <c r="AF320" s="57">
        <f t="shared" si="139"/>
        <v>5.9401129613108878</v>
      </c>
      <c r="AG320" s="57">
        <f t="shared" si="140"/>
        <v>2.6107468391040669</v>
      </c>
      <c r="AH320" s="57">
        <f t="shared" si="141"/>
        <v>23.092276898483753</v>
      </c>
      <c r="AJ320" s="57">
        <f t="shared" si="142"/>
        <v>176185.9690561863</v>
      </c>
      <c r="AK320" s="57">
        <f t="shared" si="143"/>
        <v>173663.47814139217</v>
      </c>
      <c r="AL320" s="57">
        <f t="shared" si="144"/>
        <v>149601.10850507236</v>
      </c>
      <c r="AN320" s="41">
        <v>315</v>
      </c>
      <c r="AO320" s="57">
        <f t="shared" si="145"/>
        <v>10303.300858899105</v>
      </c>
      <c r="AP320" s="57">
        <f t="shared" si="146"/>
        <v>9696.699141100893</v>
      </c>
      <c r="AR320" s="41">
        <v>315</v>
      </c>
      <c r="AS320" s="57">
        <f t="shared" si="147"/>
        <v>17474.873734152916</v>
      </c>
      <c r="AT320" s="57">
        <f t="shared" si="148"/>
        <v>-7474.8737341529168</v>
      </c>
      <c r="AV320" s="57">
        <f t="shared" si="149"/>
        <v>7.9522954272070132</v>
      </c>
      <c r="AW320" s="57">
        <f t="shared" si="150"/>
        <v>52.998900926077532</v>
      </c>
      <c r="AX320" s="57">
        <f t="shared" si="151"/>
        <v>1.5258450077748629</v>
      </c>
      <c r="AY320" s="57">
        <f t="shared" si="152"/>
        <v>6.5771578337416612</v>
      </c>
      <c r="BA320" s="57">
        <f t="shared" si="153"/>
        <v>180653.99182397246</v>
      </c>
      <c r="BB320" s="57">
        <f t="shared" si="154"/>
        <v>162867.52149894263</v>
      </c>
    </row>
    <row r="321" spans="9:54" x14ac:dyDescent="0.25">
      <c r="I321" s="41">
        <v>316</v>
      </c>
      <c r="J321" s="57">
        <f t="shared" si="128"/>
        <v>23596.699001693254</v>
      </c>
      <c r="K321" s="57">
        <f t="shared" si="129"/>
        <v>4026.7081477050119</v>
      </c>
      <c r="M321" s="41">
        <v>316</v>
      </c>
      <c r="N321" s="57">
        <f t="shared" si="130"/>
        <v>-17482.310698814723</v>
      </c>
      <c r="O321" s="57">
        <f t="shared" si="131"/>
        <v>7568.6957033935087</v>
      </c>
      <c r="Q321" s="41">
        <v>316</v>
      </c>
      <c r="R321" s="57">
        <f t="shared" si="132"/>
        <v>-1403.3009983067459</v>
      </c>
      <c r="S321" s="41">
        <f t="shared" si="133"/>
        <v>-18473.291852294988</v>
      </c>
      <c r="U321" s="41">
        <v>315</v>
      </c>
      <c r="V321" s="41">
        <f t="shared" si="155"/>
        <v>157.5</v>
      </c>
      <c r="W321" s="57">
        <f t="shared" si="156"/>
        <v>-21886.247385518353</v>
      </c>
      <c r="X321" s="57">
        <f t="shared" si="157"/>
        <v>-163923.5642535355</v>
      </c>
      <c r="Y321" s="57">
        <f t="shared" si="158"/>
        <v>-155.64962521667653</v>
      </c>
      <c r="Z321" s="57">
        <f t="shared" si="159"/>
        <v>-512.73364604219853</v>
      </c>
      <c r="AA321" s="57">
        <f t="shared" si="134"/>
        <v>16.105556257196486</v>
      </c>
      <c r="AB321" s="57">
        <f t="shared" si="135"/>
        <v>104.57404601274798</v>
      </c>
      <c r="AC321" s="57">
        <f t="shared" si="136"/>
        <v>3.9718532394230048</v>
      </c>
      <c r="AD321" s="57">
        <f t="shared" si="137"/>
        <v>16.255197863087748</v>
      </c>
      <c r="AE321" s="57">
        <f t="shared" si="138"/>
        <v>6.4222206622364747E-2</v>
      </c>
      <c r="AF321" s="57">
        <f t="shared" si="139"/>
        <v>5.9216808811741144</v>
      </c>
      <c r="AG321" s="57">
        <f t="shared" si="140"/>
        <v>2.6087095352765526</v>
      </c>
      <c r="AH321" s="57">
        <f t="shared" si="141"/>
        <v>23.006788496344345</v>
      </c>
      <c r="AJ321" s="57">
        <f t="shared" si="142"/>
        <v>176466.6996955144</v>
      </c>
      <c r="AK321" s="57">
        <f t="shared" si="143"/>
        <v>173933.7923804718</v>
      </c>
      <c r="AL321" s="57">
        <f t="shared" si="144"/>
        <v>149877.86140968866</v>
      </c>
      <c r="AN321" s="41">
        <v>316</v>
      </c>
      <c r="AO321" s="57">
        <f t="shared" si="145"/>
        <v>10395.048502539881</v>
      </c>
      <c r="AP321" s="57">
        <f t="shared" si="146"/>
        <v>9790.0622215575168</v>
      </c>
      <c r="AR321" s="41">
        <v>316</v>
      </c>
      <c r="AS321" s="57">
        <f t="shared" si="147"/>
        <v>17517.689301185277</v>
      </c>
      <c r="AT321" s="57">
        <f t="shared" si="148"/>
        <v>-7431.3042966064913</v>
      </c>
      <c r="AV321" s="57">
        <f t="shared" si="149"/>
        <v>7.939477074869564</v>
      </c>
      <c r="AW321" s="57">
        <f t="shared" si="150"/>
        <v>52.835917046201381</v>
      </c>
      <c r="AX321" s="57">
        <f t="shared" si="151"/>
        <v>1.5212942010049981</v>
      </c>
      <c r="AY321" s="57">
        <f t="shared" si="152"/>
        <v>6.5544617259403894</v>
      </c>
      <c r="BA321" s="57">
        <f t="shared" si="153"/>
        <v>180932.34134245967</v>
      </c>
      <c r="BB321" s="57">
        <f t="shared" si="154"/>
        <v>163148.07544446635</v>
      </c>
    </row>
    <row r="322" spans="9:54" x14ac:dyDescent="0.25">
      <c r="I322" s="41">
        <v>317</v>
      </c>
      <c r="J322" s="57">
        <f t="shared" si="128"/>
        <v>23656.768508095854</v>
      </c>
      <c r="K322" s="57">
        <f t="shared" si="129"/>
        <v>4090.0081996875087</v>
      </c>
      <c r="M322" s="41">
        <v>317</v>
      </c>
      <c r="N322" s="57">
        <f t="shared" si="130"/>
        <v>-17440.262044332903</v>
      </c>
      <c r="O322" s="57">
        <f t="shared" si="131"/>
        <v>7613.0057397812561</v>
      </c>
      <c r="Q322" s="41">
        <v>317</v>
      </c>
      <c r="R322" s="57">
        <f t="shared" si="132"/>
        <v>-1343.2314919041464</v>
      </c>
      <c r="S322" s="41">
        <f t="shared" si="133"/>
        <v>-18409.991800312491</v>
      </c>
      <c r="U322" s="41">
        <v>316</v>
      </c>
      <c r="V322" s="41">
        <f t="shared" si="155"/>
        <v>158</v>
      </c>
      <c r="W322" s="57">
        <f t="shared" si="156"/>
        <v>-21962.059003594542</v>
      </c>
      <c r="X322" s="57">
        <f t="shared" si="157"/>
        <v>-164166.859320805</v>
      </c>
      <c r="Y322" s="57">
        <f t="shared" si="158"/>
        <v>-147.59684708807828</v>
      </c>
      <c r="Z322" s="57">
        <f t="shared" si="159"/>
        <v>-460.44662303582453</v>
      </c>
      <c r="AA322" s="57">
        <f t="shared" si="134"/>
        <v>16.082124377816356</v>
      </c>
      <c r="AB322" s="57">
        <f t="shared" si="135"/>
        <v>104.26612825946671</v>
      </c>
      <c r="AC322" s="57">
        <f t="shared" si="136"/>
        <v>3.9619415370850808</v>
      </c>
      <c r="AD322" s="57">
        <f t="shared" si="137"/>
        <v>16.208309997985967</v>
      </c>
      <c r="AE322" s="57">
        <f t="shared" si="138"/>
        <v>6.6523372078249057E-2</v>
      </c>
      <c r="AF322" s="57">
        <f t="shared" si="139"/>
        <v>5.9051061996972649</v>
      </c>
      <c r="AG322" s="57">
        <f t="shared" si="140"/>
        <v>2.6073946774290291</v>
      </c>
      <c r="AH322" s="57">
        <f t="shared" si="141"/>
        <v>22.929815004148345</v>
      </c>
      <c r="AJ322" s="57">
        <f t="shared" si="142"/>
        <v>176721.03718824821</v>
      </c>
      <c r="AK322" s="57">
        <f t="shared" si="143"/>
        <v>174177.91065805865</v>
      </c>
      <c r="AL322" s="57">
        <f t="shared" si="144"/>
        <v>150128.15647064429</v>
      </c>
      <c r="AN322" s="41">
        <v>317</v>
      </c>
      <c r="AO322" s="57">
        <f t="shared" si="145"/>
        <v>10485.15276214378</v>
      </c>
      <c r="AP322" s="57">
        <f t="shared" si="146"/>
        <v>9885.0122995312631</v>
      </c>
      <c r="AR322" s="41">
        <v>317</v>
      </c>
      <c r="AS322" s="57">
        <f t="shared" si="147"/>
        <v>17559.737955667097</v>
      </c>
      <c r="AT322" s="57">
        <f t="shared" si="148"/>
        <v>-7386.9942602187439</v>
      </c>
      <c r="AV322" s="57">
        <f t="shared" si="149"/>
        <v>7.9289325634024665</v>
      </c>
      <c r="AW322" s="57">
        <f t="shared" si="150"/>
        <v>52.688926500824252</v>
      </c>
      <c r="AX322" s="57">
        <f t="shared" si="151"/>
        <v>1.5173322278215318</v>
      </c>
      <c r="AY322" s="57">
        <f t="shared" si="152"/>
        <v>6.5339705568108846</v>
      </c>
      <c r="BA322" s="57">
        <f t="shared" si="153"/>
        <v>181184.20489820422</v>
      </c>
      <c r="BB322" s="57">
        <f t="shared" si="154"/>
        <v>163402.21207754238</v>
      </c>
    </row>
    <row r="323" spans="9:54" x14ac:dyDescent="0.25">
      <c r="I323" s="41">
        <v>318</v>
      </c>
      <c r="J323" s="57">
        <f t="shared" si="128"/>
        <v>23715.724127386973</v>
      </c>
      <c r="K323" s="57">
        <f t="shared" si="129"/>
        <v>4154.3469682057093</v>
      </c>
      <c r="M323" s="41">
        <v>318</v>
      </c>
      <c r="N323" s="57">
        <f t="shared" si="130"/>
        <v>-17398.99311082912</v>
      </c>
      <c r="O323" s="57">
        <f t="shared" si="131"/>
        <v>7658.0428777439965</v>
      </c>
      <c r="Q323" s="41">
        <v>318</v>
      </c>
      <c r="R323" s="57">
        <f t="shared" si="132"/>
        <v>-1284.2758726130287</v>
      </c>
      <c r="S323" s="41">
        <f t="shared" si="133"/>
        <v>-18345.653031794289</v>
      </c>
      <c r="U323" s="41">
        <v>317</v>
      </c>
      <c r="V323" s="41">
        <f t="shared" si="155"/>
        <v>158.5</v>
      </c>
      <c r="W323" s="57">
        <f t="shared" si="156"/>
        <v>-22033.847161591355</v>
      </c>
      <c r="X323" s="57">
        <f t="shared" si="157"/>
        <v>-164384.04936629048</v>
      </c>
      <c r="Y323" s="57">
        <f t="shared" si="158"/>
        <v>-139.55578489917011</v>
      </c>
      <c r="Z323" s="57">
        <f t="shared" si="159"/>
        <v>-408.3135589060912</v>
      </c>
      <c r="AA323" s="57">
        <f t="shared" si="134"/>
        <v>16.0635350612854</v>
      </c>
      <c r="AB323" s="57">
        <f t="shared" si="135"/>
        <v>103.99126297720507</v>
      </c>
      <c r="AC323" s="57">
        <f t="shared" si="136"/>
        <v>3.9534452232072379</v>
      </c>
      <c r="AD323" s="57">
        <f t="shared" si="137"/>
        <v>16.166356871887903</v>
      </c>
      <c r="AE323" s="57">
        <f t="shared" si="138"/>
        <v>6.8699484563825006E-2</v>
      </c>
      <c r="AF323" s="57">
        <f t="shared" si="139"/>
        <v>5.8903611509544866</v>
      </c>
      <c r="AG323" s="57">
        <f t="shared" si="140"/>
        <v>2.6067999329142042</v>
      </c>
      <c r="AH323" s="57">
        <f t="shared" si="141"/>
        <v>22.861208403029838</v>
      </c>
      <c r="AJ323" s="57">
        <f t="shared" si="142"/>
        <v>176949.06253992251</v>
      </c>
      <c r="AK323" s="57">
        <f t="shared" si="143"/>
        <v>174395.90937766156</v>
      </c>
      <c r="AL323" s="57">
        <f t="shared" si="144"/>
        <v>150352.07399365917</v>
      </c>
      <c r="AN323" s="41">
        <v>318</v>
      </c>
      <c r="AO323" s="57">
        <f t="shared" si="145"/>
        <v>10573.586191080456</v>
      </c>
      <c r="AP323" s="57">
        <f t="shared" si="146"/>
        <v>9981.5204523085631</v>
      </c>
      <c r="AR323" s="41">
        <v>318</v>
      </c>
      <c r="AS323" s="57">
        <f t="shared" si="147"/>
        <v>17601.00688917088</v>
      </c>
      <c r="AT323" s="57">
        <f t="shared" si="148"/>
        <v>-7341.9571222560035</v>
      </c>
      <c r="AV323" s="57">
        <f t="shared" si="149"/>
        <v>7.9206402558945914</v>
      </c>
      <c r="AW323" s="57">
        <f t="shared" si="150"/>
        <v>52.557688670175388</v>
      </c>
      <c r="AX323" s="57">
        <f t="shared" si="151"/>
        <v>1.5139501647055404</v>
      </c>
      <c r="AY323" s="57">
        <f t="shared" si="152"/>
        <v>6.515647881157447</v>
      </c>
      <c r="BA323" s="57">
        <f t="shared" si="153"/>
        <v>181409.66363290578</v>
      </c>
      <c r="BB323" s="57">
        <f t="shared" si="154"/>
        <v>163630.01261377518</v>
      </c>
    </row>
    <row r="324" spans="9:54" x14ac:dyDescent="0.25">
      <c r="I324" s="41">
        <v>319</v>
      </c>
      <c r="J324" s="57">
        <f t="shared" si="128"/>
        <v>23773.54790111386</v>
      </c>
      <c r="K324" s="57">
        <f t="shared" si="129"/>
        <v>4219.7048550474628</v>
      </c>
      <c r="M324" s="41">
        <v>319</v>
      </c>
      <c r="N324" s="57">
        <f t="shared" si="130"/>
        <v>-17358.5164692203</v>
      </c>
      <c r="O324" s="57">
        <f t="shared" si="131"/>
        <v>7703.7933985332238</v>
      </c>
      <c r="Q324" s="41">
        <v>319</v>
      </c>
      <c r="R324" s="57">
        <f t="shared" si="132"/>
        <v>-1226.4520988861404</v>
      </c>
      <c r="S324" s="41">
        <f t="shared" si="133"/>
        <v>-18280.295144952535</v>
      </c>
      <c r="U324" s="41">
        <v>318</v>
      </c>
      <c r="V324" s="41">
        <f t="shared" si="155"/>
        <v>159</v>
      </c>
      <c r="W324" s="57">
        <f t="shared" si="156"/>
        <v>-22101.617112158277</v>
      </c>
      <c r="X324" s="57">
        <f t="shared" si="157"/>
        <v>-164575.20723787136</v>
      </c>
      <c r="Y324" s="57">
        <f t="shared" si="158"/>
        <v>-131.52401736852741</v>
      </c>
      <c r="Z324" s="57">
        <f t="shared" si="159"/>
        <v>-356.31792741748865</v>
      </c>
      <c r="AA324" s="57">
        <f t="shared" si="134"/>
        <v>16.049747700817505</v>
      </c>
      <c r="AB324" s="57">
        <f t="shared" si="135"/>
        <v>103.74897972705817</v>
      </c>
      <c r="AC324" s="57">
        <f t="shared" si="136"/>
        <v>3.9463461161835824</v>
      </c>
      <c r="AD324" s="57">
        <f t="shared" si="137"/>
        <v>16.129269428431403</v>
      </c>
      <c r="AE324" s="57">
        <f t="shared" si="138"/>
        <v>7.0755115408059538E-2</v>
      </c>
      <c r="AF324" s="57">
        <f t="shared" si="139"/>
        <v>5.8774211839265016</v>
      </c>
      <c r="AG324" s="57">
        <f t="shared" si="140"/>
        <v>2.6069239928012946</v>
      </c>
      <c r="AH324" s="57">
        <f t="shared" si="141"/>
        <v>22.80083771723633</v>
      </c>
      <c r="AJ324" s="57">
        <f t="shared" si="142"/>
        <v>177150.84845807304</v>
      </c>
      <c r="AK324" s="57">
        <f t="shared" si="143"/>
        <v>174587.85689913217</v>
      </c>
      <c r="AL324" s="57">
        <f t="shared" si="144"/>
        <v>150549.68591167181</v>
      </c>
      <c r="AN324" s="41">
        <v>319</v>
      </c>
      <c r="AO324" s="57">
        <f t="shared" si="145"/>
        <v>10660.321851670789</v>
      </c>
      <c r="AP324" s="57">
        <f t="shared" si="146"/>
        <v>10079.557282571193</v>
      </c>
      <c r="AR324" s="41">
        <v>319</v>
      </c>
      <c r="AS324" s="57">
        <f t="shared" si="147"/>
        <v>17641.4835307797</v>
      </c>
      <c r="AT324" s="57">
        <f t="shared" si="148"/>
        <v>-7296.2066014667762</v>
      </c>
      <c r="AV324" s="57">
        <f t="shared" si="149"/>
        <v>7.9145821806137651</v>
      </c>
      <c r="AW324" s="57">
        <f t="shared" si="150"/>
        <v>52.441990062920503</v>
      </c>
      <c r="AX324" s="57">
        <f t="shared" si="151"/>
        <v>1.5111402958108053</v>
      </c>
      <c r="AY324" s="57">
        <f t="shared" si="152"/>
        <v>6.4994613345434278</v>
      </c>
      <c r="BA324" s="57">
        <f t="shared" si="153"/>
        <v>181608.79027353955</v>
      </c>
      <c r="BB324" s="57">
        <f t="shared" si="154"/>
        <v>163831.54994489549</v>
      </c>
    </row>
    <row r="325" spans="9:54" x14ac:dyDescent="0.25">
      <c r="I325" s="41">
        <v>320</v>
      </c>
      <c r="J325" s="57">
        <f t="shared" si="128"/>
        <v>23830.222215594888</v>
      </c>
      <c r="K325" s="57">
        <f t="shared" si="129"/>
        <v>4286.0619515673025</v>
      </c>
      <c r="M325" s="41">
        <v>320</v>
      </c>
      <c r="N325" s="57">
        <f t="shared" si="130"/>
        <v>-17318.844449083579</v>
      </c>
      <c r="O325" s="57">
        <f t="shared" si="131"/>
        <v>7750.243366097111</v>
      </c>
      <c r="Q325" s="41">
        <v>320</v>
      </c>
      <c r="R325" s="57">
        <f t="shared" si="132"/>
        <v>-1169.7777844051111</v>
      </c>
      <c r="S325" s="41">
        <f t="shared" si="133"/>
        <v>-18213.938048432698</v>
      </c>
      <c r="U325" s="41">
        <v>319</v>
      </c>
      <c r="V325" s="41">
        <f t="shared" si="155"/>
        <v>159.5</v>
      </c>
      <c r="W325" s="57">
        <f t="shared" si="156"/>
        <v>-22165.372902379942</v>
      </c>
      <c r="X325" s="57">
        <f t="shared" si="157"/>
        <v>-164740.39757911421</v>
      </c>
      <c r="Y325" s="57">
        <f t="shared" si="158"/>
        <v>-123.49914351811866</v>
      </c>
      <c r="Z325" s="57">
        <f t="shared" si="159"/>
        <v>-304.44343755395954</v>
      </c>
      <c r="AA325" s="57">
        <f t="shared" si="134"/>
        <v>16.040729733629153</v>
      </c>
      <c r="AB325" s="57">
        <f t="shared" si="135"/>
        <v>103.53886619428954</v>
      </c>
      <c r="AC325" s="57">
        <f t="shared" si="136"/>
        <v>3.9406287216387565</v>
      </c>
      <c r="AD325" s="57">
        <f t="shared" si="137"/>
        <v>16.096986958899308</v>
      </c>
      <c r="AE325" s="57">
        <f t="shared" si="138"/>
        <v>7.269441496686177E-2</v>
      </c>
      <c r="AF325" s="57">
        <f t="shared" si="139"/>
        <v>5.8662648632617342</v>
      </c>
      <c r="AG325" s="57">
        <f t="shared" si="140"/>
        <v>2.6077665707195736</v>
      </c>
      <c r="AH325" s="57">
        <f t="shared" si="141"/>
        <v>22.748588411902887</v>
      </c>
      <c r="AJ325" s="57">
        <f t="shared" si="142"/>
        <v>177326.45947575927</v>
      </c>
      <c r="AK325" s="57">
        <f t="shared" si="143"/>
        <v>174753.81365198662</v>
      </c>
      <c r="AL325" s="57">
        <f t="shared" si="144"/>
        <v>150721.05590802155</v>
      </c>
      <c r="AN325" s="41">
        <v>320</v>
      </c>
      <c r="AO325" s="57">
        <f t="shared" si="145"/>
        <v>10745.333323392333</v>
      </c>
      <c r="AP325" s="57">
        <f t="shared" si="146"/>
        <v>10179.092927350954</v>
      </c>
      <c r="AR325" s="41">
        <v>320</v>
      </c>
      <c r="AS325" s="57">
        <f t="shared" si="147"/>
        <v>17681.155550916421</v>
      </c>
      <c r="AT325" s="57">
        <f t="shared" si="148"/>
        <v>-7249.756633902889</v>
      </c>
      <c r="AV325" s="57">
        <f t="shared" si="149"/>
        <v>7.9107439519442426</v>
      </c>
      <c r="AW325" s="57">
        <f t="shared" si="150"/>
        <v>52.341643465695292</v>
      </c>
      <c r="AX325" s="57">
        <f t="shared" si="151"/>
        <v>1.5088960743597195</v>
      </c>
      <c r="AY325" s="57">
        <f t="shared" si="152"/>
        <v>6.4853824945303185</v>
      </c>
      <c r="BA325" s="57">
        <f t="shared" si="153"/>
        <v>181781.64925762833</v>
      </c>
      <c r="BB325" s="57">
        <f t="shared" si="154"/>
        <v>164006.88876296152</v>
      </c>
    </row>
    <row r="326" spans="9:54" x14ac:dyDescent="0.25">
      <c r="I326" s="41">
        <v>321</v>
      </c>
      <c r="J326" s="57">
        <f t="shared" si="128"/>
        <v>23885.729807284853</v>
      </c>
      <c r="K326" s="57">
        <f t="shared" si="129"/>
        <v>4353.3980447508111</v>
      </c>
      <c r="M326" s="41">
        <v>321</v>
      </c>
      <c r="N326" s="57">
        <f t="shared" si="130"/>
        <v>-17279.989134900603</v>
      </c>
      <c r="O326" s="57">
        <f t="shared" si="131"/>
        <v>7797.3786313255678</v>
      </c>
      <c r="Q326" s="41">
        <v>321</v>
      </c>
      <c r="R326" s="57">
        <f t="shared" si="132"/>
        <v>-1114.270192715147</v>
      </c>
      <c r="S326" s="41">
        <f t="shared" si="133"/>
        <v>-18146.601955249189</v>
      </c>
      <c r="U326" s="41">
        <v>320</v>
      </c>
      <c r="V326" s="41">
        <f t="shared" si="155"/>
        <v>160</v>
      </c>
      <c r="W326" s="57">
        <f t="shared" si="156"/>
        <v>-22225.117382922301</v>
      </c>
      <c r="X326" s="57">
        <f t="shared" si="157"/>
        <v>-164879.67693961691</v>
      </c>
      <c r="Y326" s="57">
        <f t="shared" si="158"/>
        <v>-115.47877865130408</v>
      </c>
      <c r="Z326" s="57">
        <f t="shared" si="159"/>
        <v>-252.67400445681477</v>
      </c>
      <c r="AA326" s="57">
        <f t="shared" si="134"/>
        <v>16.036456492531627</v>
      </c>
      <c r="AB326" s="57">
        <f t="shared" si="135"/>
        <v>103.36056647797227</v>
      </c>
      <c r="AC326" s="57">
        <f t="shared" si="136"/>
        <v>3.9362801592657566</v>
      </c>
      <c r="AD326" s="57">
        <f t="shared" si="137"/>
        <v>16.069456860112467</v>
      </c>
      <c r="AE326" s="57">
        <f t="shared" si="138"/>
        <v>7.45211330035076E-2</v>
      </c>
      <c r="AF326" s="57">
        <f t="shared" si="139"/>
        <v>5.8568737833111912</v>
      </c>
      <c r="AG326" s="57">
        <f t="shared" si="140"/>
        <v>2.6093284047730161</v>
      </c>
      <c r="AH326" s="57">
        <f t="shared" si="141"/>
        <v>22.7043618712569</v>
      </c>
      <c r="AJ326" s="57">
        <f t="shared" si="142"/>
        <v>177475.95206057711</v>
      </c>
      <c r="AK326" s="57">
        <f t="shared" si="143"/>
        <v>174893.83223508071</v>
      </c>
      <c r="AL326" s="57">
        <f t="shared" si="144"/>
        <v>150866.23952488304</v>
      </c>
      <c r="AN326" s="41">
        <v>321</v>
      </c>
      <c r="AO326" s="57">
        <f t="shared" si="145"/>
        <v>10828.594710927278</v>
      </c>
      <c r="AP326" s="57">
        <f t="shared" si="146"/>
        <v>10280.097067126217</v>
      </c>
      <c r="AR326" s="41">
        <v>321</v>
      </c>
      <c r="AS326" s="57">
        <f t="shared" si="147"/>
        <v>17720.010865099397</v>
      </c>
      <c r="AT326" s="57">
        <f t="shared" si="148"/>
        <v>-7202.6213686744322</v>
      </c>
      <c r="AV326" s="57">
        <f t="shared" si="149"/>
        <v>7.909114705655286</v>
      </c>
      <c r="AW326" s="57">
        <f t="shared" si="150"/>
        <v>52.256487203396482</v>
      </c>
      <c r="AX326" s="57">
        <f t="shared" si="151"/>
        <v>1.50721208983406</v>
      </c>
      <c r="AY326" s="57">
        <f t="shared" si="152"/>
        <v>6.4733867598952139</v>
      </c>
      <c r="BA326" s="57">
        <f t="shared" si="153"/>
        <v>181928.29684360497</v>
      </c>
      <c r="BB326" s="57">
        <f t="shared" si="154"/>
        <v>164156.08566997637</v>
      </c>
    </row>
    <row r="327" spans="9:54" x14ac:dyDescent="0.25">
      <c r="I327" s="41">
        <v>322</v>
      </c>
      <c r="J327" s="57">
        <f t="shared" ref="J327:J390" si="160">$F$8*COS(I327*PI()/180)+$E$7</f>
        <v>23940.053768033609</v>
      </c>
      <c r="K327" s="57">
        <f t="shared" ref="K327:K390" si="161">$F$8*SIN(I327*PI()/180)+$G$7</f>
        <v>4421.6926233717058</v>
      </c>
      <c r="M327" s="41">
        <v>322</v>
      </c>
      <c r="N327" s="57">
        <f t="shared" ref="N327:N390" si="162">$F$19*COS(M327*PI()/180)+$E$18</f>
        <v>-17241.962362376475</v>
      </c>
      <c r="O327" s="57">
        <f t="shared" ref="O327:O390" si="163">$F$19*SIN(M327*PI()/180)+$G$18</f>
        <v>7845.1848363601939</v>
      </c>
      <c r="Q327" s="41">
        <v>322</v>
      </c>
      <c r="R327" s="57">
        <f t="shared" ref="R327:R390" si="164">$F$30*COS(Q327*PI()/180)+$E$29</f>
        <v>-1059.9462319663921</v>
      </c>
      <c r="S327" s="41">
        <f t="shared" ref="S327:S390" si="165">$F$30*SIN(Q327*PI()/180)+$G$29</f>
        <v>-18078.307376628294</v>
      </c>
      <c r="U327" s="41">
        <v>321</v>
      </c>
      <c r="V327" s="41">
        <f t="shared" si="155"/>
        <v>160.5</v>
      </c>
      <c r="W327" s="57">
        <f t="shared" si="156"/>
        <v>-22280.852215186387</v>
      </c>
      <c r="X327" s="57">
        <f t="shared" si="157"/>
        <v>-164993.09387103558</v>
      </c>
      <c r="Y327" s="57">
        <f t="shared" si="158"/>
        <v>-107.46055040503828</v>
      </c>
      <c r="Z327" s="57">
        <f t="shared" si="159"/>
        <v>-200.99372121782864</v>
      </c>
      <c r="AA327" s="57">
        <f t="shared" ref="AA327:AA390" si="166">AC327+AE327+AG327+AV327+AX327</f>
        <v>16.036911089504351</v>
      </c>
      <c r="AB327" s="57">
        <f t="shared" ref="AB327:AB390" si="167">AD327+AF327+AH327+AW327+AY327</f>
        <v>103.21377962557136</v>
      </c>
      <c r="AC327" s="57">
        <f t="shared" ref="AC327:AC390" si="168">(($E$7-W327)/(AJ327^2+$F$12^2)^(3/2))*$E$11</f>
        <v>3.9332901016373616</v>
      </c>
      <c r="AD327" s="57">
        <f t="shared" ref="AD327:AD390" si="169">(($G$7-X327)/(AJ327^2+$F$12^2)^(3/2))*$E$11</f>
        <v>16.046634426163674</v>
      </c>
      <c r="AE327" s="57">
        <f t="shared" ref="AE327:AE390" si="170">(($E$18-W327)/(AK327^2+$F$23^2)^(3/2))*$E$22</f>
        <v>7.6238636610107352E-2</v>
      </c>
      <c r="AF327" s="57">
        <f t="shared" ref="AF327:AF390" si="171">(($G$18-X327)/(AK327^2+$F$23^2)^(3/2))*$E$22</f>
        <v>5.8492324948032914</v>
      </c>
      <c r="AG327" s="57">
        <f t="shared" ref="AG327:AG390" si="172">(($E$29-W327)/(AL327^2+$F$34^2)^(3/2))*$E$33</f>
        <v>2.6116112625867105</v>
      </c>
      <c r="AH327" s="57">
        <f t="shared" ref="AH327:AH390" si="173">(($G$29-X327)/(AL327^2+$F$34^2)^(3/2))*$E$33</f>
        <v>22.668074952899378</v>
      </c>
      <c r="AJ327" s="57">
        <f t="shared" ref="AJ327:AJ390" si="174">SQRT(($E$7-W327)^2+($G$7-X327)^2)</f>
        <v>177599.3747096096</v>
      </c>
      <c r="AK327" s="57">
        <f t="shared" ref="AK327:AK390" si="175">SQRT(($E$18-W327)^2+($G$18-X327)^2)</f>
        <v>175007.95750303639</v>
      </c>
      <c r="AL327" s="57">
        <f t="shared" ref="AL327:AL390" si="176">SQRT(($E$29-W327)^2+($G$29-X327)^2)</f>
        <v>150985.28425740174</v>
      </c>
      <c r="AN327" s="41">
        <v>322</v>
      </c>
      <c r="AO327" s="57">
        <f t="shared" ref="AO327:AO390" si="177">$F$41*COS(AN327*PI()/180)+$E$40</f>
        <v>10910.080652050412</v>
      </c>
      <c r="AP327" s="57">
        <f t="shared" ref="AP327:AP390" si="178">$F$41*SIN(AN327*PI()/180)+$G$40</f>
        <v>10382.538935057559</v>
      </c>
      <c r="AR327" s="41">
        <v>322</v>
      </c>
      <c r="AS327" s="57">
        <f t="shared" ref="AS327:AS390" si="179">$F$52*COS(AR327*PI()/180)+$E$51</f>
        <v>17758.037637623525</v>
      </c>
      <c r="AT327" s="57">
        <f t="shared" ref="AT327:AT390" si="180">$F$52*SIN(AR327*PI()/180)+$G$51</f>
        <v>-7154.8151636398061</v>
      </c>
      <c r="AV327" s="57">
        <f t="shared" ref="AV327:AV390" si="181">(($E$40-W327)/(BA327^2+$F$45^2)^(3/2))*$E$44</f>
        <v>7.9096870479985855</v>
      </c>
      <c r="AW327" s="57">
        <f t="shared" ref="AW327:AW390" si="182">(($G$40-X327)/(BA327^2+$F$45^2)^(3/2))*$E$44</f>
        <v>52.186384504821334</v>
      </c>
      <c r="AX327" s="57">
        <f t="shared" ref="AX327:AX390" si="183">(($E$51-W327)/(BB327^2+$F$56^2)^(3/2))*$E$55</f>
        <v>1.5060840406715843</v>
      </c>
      <c r="AY327" s="57">
        <f t="shared" ref="AY327:AY390" si="184">(($G$51-X327)/(BB327^2+$F$56^2)^(3/2))*$E$55</f>
        <v>6.4634532468836881</v>
      </c>
      <c r="BA327" s="57">
        <f t="shared" ref="BA327:BA390" si="185">SQRT(($E$40-W327)^2+($G$40-X327)^2)</f>
        <v>182048.78120672566</v>
      </c>
      <c r="BB327" s="57">
        <f t="shared" ref="BB327:BB390" si="186">SQRT(($E$51-W327)^2+($G$51-X327)^2)</f>
        <v>164279.18927337258</v>
      </c>
    </row>
    <row r="328" spans="9:54" x14ac:dyDescent="0.25">
      <c r="I328" s="41">
        <v>323</v>
      </c>
      <c r="J328" s="57">
        <f t="shared" si="160"/>
        <v>23993.177550236465</v>
      </c>
      <c r="K328" s="57">
        <f t="shared" si="161"/>
        <v>4490.9248842397592</v>
      </c>
      <c r="M328" s="41">
        <v>323</v>
      </c>
      <c r="N328" s="57">
        <f t="shared" si="162"/>
        <v>-17204.775714834475</v>
      </c>
      <c r="O328" s="57">
        <f t="shared" si="163"/>
        <v>7893.6474189678311</v>
      </c>
      <c r="Q328" s="41">
        <v>323</v>
      </c>
      <c r="R328" s="57">
        <f t="shared" si="164"/>
        <v>-1006.822449763536</v>
      </c>
      <c r="S328" s="41">
        <f t="shared" si="165"/>
        <v>-18009.075115760243</v>
      </c>
      <c r="U328" s="41">
        <v>322</v>
      </c>
      <c r="V328" s="41">
        <f t="shared" ref="V328:V391" si="187">V327+0.5</f>
        <v>161</v>
      </c>
      <c r="W328" s="57">
        <f t="shared" ref="W328:W391" si="188">W327+Y327*$F$3+((1/2)*AA327)*$F$3^2</f>
        <v>-22332.577876502721</v>
      </c>
      <c r="X328" s="57">
        <f t="shared" ref="X328:X391" si="189">X327+Z327*$F$3+((1/2)*AB327)*$F$3^2</f>
        <v>-165080.68900919132</v>
      </c>
      <c r="Y328" s="57">
        <f t="shared" ref="Y328:Y391" si="190">Y327+AA327*$F$3</f>
        <v>-99.442094860286105</v>
      </c>
      <c r="Z328" s="57">
        <f t="shared" ref="Z328:Z391" si="191">Z327+AB327*$F$3</f>
        <v>-149.38683140504295</v>
      </c>
      <c r="AA328" s="57">
        <f t="shared" si="166"/>
        <v>16.042084330323206</v>
      </c>
      <c r="AB328" s="57">
        <f t="shared" si="167"/>
        <v>103.09825840130632</v>
      </c>
      <c r="AC328" s="57">
        <f t="shared" si="168"/>
        <v>3.9316507244811678</v>
      </c>
      <c r="AD328" s="57">
        <f t="shared" si="169"/>
        <v>16.028482672468478</v>
      </c>
      <c r="AE328" s="57">
        <f t="shared" si="170"/>
        <v>7.784992582485846E-2</v>
      </c>
      <c r="AF328" s="57">
        <f t="shared" si="171"/>
        <v>5.8433284436215294</v>
      </c>
      <c r="AG328" s="57">
        <f t="shared" si="172"/>
        <v>2.6146179495577817</v>
      </c>
      <c r="AH328" s="57">
        <f t="shared" si="173"/>
        <v>22.639659614476699</v>
      </c>
      <c r="AJ328" s="57">
        <f t="shared" si="174"/>
        <v>177696.76803070272</v>
      </c>
      <c r="AK328" s="57">
        <f t="shared" si="175"/>
        <v>175096.22663976261</v>
      </c>
      <c r="AL328" s="57">
        <f t="shared" si="176"/>
        <v>151078.22963391725</v>
      </c>
      <c r="AN328" s="41">
        <v>323</v>
      </c>
      <c r="AO328" s="57">
        <f t="shared" si="177"/>
        <v>10989.766325354696</v>
      </c>
      <c r="AP328" s="57">
        <f t="shared" si="178"/>
        <v>10486.387326359638</v>
      </c>
      <c r="AR328" s="41">
        <v>323</v>
      </c>
      <c r="AS328" s="57">
        <f t="shared" si="179"/>
        <v>17795.224285165525</v>
      </c>
      <c r="AT328" s="57">
        <f t="shared" si="180"/>
        <v>-7106.3525810321689</v>
      </c>
      <c r="AV328" s="57">
        <f t="shared" si="181"/>
        <v>7.9124570182320486</v>
      </c>
      <c r="AW328" s="57">
        <f t="shared" si="182"/>
        <v>52.131222969048252</v>
      </c>
      <c r="AX328" s="57">
        <f t="shared" si="183"/>
        <v>1.5055087122273503</v>
      </c>
      <c r="AY328" s="57">
        <f t="shared" si="184"/>
        <v>6.4555647016913547</v>
      </c>
      <c r="BA328" s="57">
        <f t="shared" si="185"/>
        <v>182143.14252093097</v>
      </c>
      <c r="BB328" s="57">
        <f t="shared" si="186"/>
        <v>164376.24026775453</v>
      </c>
    </row>
    <row r="329" spans="9:54" x14ac:dyDescent="0.25">
      <c r="I329" s="41">
        <v>324</v>
      </c>
      <c r="J329" s="57">
        <f t="shared" si="160"/>
        <v>24045.084971874738</v>
      </c>
      <c r="K329" s="57">
        <f t="shared" si="161"/>
        <v>4561.0737385376333</v>
      </c>
      <c r="M329" s="41">
        <v>324</v>
      </c>
      <c r="N329" s="57">
        <f t="shared" si="162"/>
        <v>-17168.440519687683</v>
      </c>
      <c r="O329" s="57">
        <f t="shared" si="163"/>
        <v>7942.751616976343</v>
      </c>
      <c r="Q329" s="41">
        <v>324</v>
      </c>
      <c r="R329" s="57">
        <f t="shared" si="164"/>
        <v>-954.91502812526323</v>
      </c>
      <c r="S329" s="41">
        <f t="shared" si="165"/>
        <v>-17938.926261462366</v>
      </c>
      <c r="U329" s="41">
        <v>323</v>
      </c>
      <c r="V329" s="41">
        <f t="shared" si="187"/>
        <v>161.5</v>
      </c>
      <c r="W329" s="57">
        <f t="shared" si="188"/>
        <v>-22380.293663391574</v>
      </c>
      <c r="X329" s="57">
        <f t="shared" si="189"/>
        <v>-165142.49514259369</v>
      </c>
      <c r="Y329" s="57">
        <f t="shared" si="190"/>
        <v>-91.421052695124501</v>
      </c>
      <c r="Z329" s="57">
        <f t="shared" si="191"/>
        <v>-97.837702204389785</v>
      </c>
      <c r="AA329" s="57">
        <f t="shared" si="166"/>
        <v>16.051974659553093</v>
      </c>
      <c r="AB329" s="57">
        <f t="shared" si="167"/>
        <v>103.01380827902547</v>
      </c>
      <c r="AC329" s="57">
        <f t="shared" si="168"/>
        <v>3.9313566680046095</v>
      </c>
      <c r="AD329" s="57">
        <f t="shared" si="169"/>
        <v>16.014972190862188</v>
      </c>
      <c r="AE329" s="57">
        <f t="shared" si="170"/>
        <v>7.9357647076990598E-2</v>
      </c>
      <c r="AF329" s="57">
        <f t="shared" si="171"/>
        <v>5.8391519212404965</v>
      </c>
      <c r="AG329" s="57">
        <f t="shared" si="172"/>
        <v>2.6183523203988641</v>
      </c>
      <c r="AH329" s="57">
        <f t="shared" si="173"/>
        <v>22.619062609691902</v>
      </c>
      <c r="AJ329" s="57">
        <f t="shared" si="174"/>
        <v>177768.1648103951</v>
      </c>
      <c r="AK329" s="57">
        <f t="shared" si="175"/>
        <v>175158.66921936075</v>
      </c>
      <c r="AL329" s="57">
        <f t="shared" si="176"/>
        <v>151145.10728260275</v>
      </c>
      <c r="AN329" s="41">
        <v>324</v>
      </c>
      <c r="AO329" s="57">
        <f t="shared" si="177"/>
        <v>11067.627457812105</v>
      </c>
      <c r="AP329" s="57">
        <f t="shared" si="178"/>
        <v>10591.610607806449</v>
      </c>
      <c r="AR329" s="41">
        <v>324</v>
      </c>
      <c r="AS329" s="57">
        <f t="shared" si="179"/>
        <v>17831.559480312317</v>
      </c>
      <c r="AT329" s="57">
        <f t="shared" si="180"/>
        <v>-7057.248383023657</v>
      </c>
      <c r="AV329" s="57">
        <f t="shared" si="181"/>
        <v>7.9174240642668652</v>
      </c>
      <c r="AW329" s="57">
        <f t="shared" si="182"/>
        <v>52.090914128726631</v>
      </c>
      <c r="AX329" s="57">
        <f t="shared" si="183"/>
        <v>1.5054839598057619</v>
      </c>
      <c r="AY329" s="57">
        <f t="shared" si="184"/>
        <v>6.4497074285042491</v>
      </c>
      <c r="BA329" s="57">
        <f t="shared" si="185"/>
        <v>182211.41302699168</v>
      </c>
      <c r="BB329" s="57">
        <f t="shared" si="186"/>
        <v>164447.27150322997</v>
      </c>
    </row>
    <row r="330" spans="9:54" x14ac:dyDescent="0.25">
      <c r="I330" s="41">
        <v>325</v>
      </c>
      <c r="J330" s="57">
        <f t="shared" si="160"/>
        <v>24095.760221444958</v>
      </c>
      <c r="K330" s="57">
        <f t="shared" si="161"/>
        <v>4632.1178182447675</v>
      </c>
      <c r="M330" s="41">
        <v>325</v>
      </c>
      <c r="N330" s="57">
        <f t="shared" si="162"/>
        <v>-17132.967844988529</v>
      </c>
      <c r="O330" s="57">
        <f t="shared" si="163"/>
        <v>7992.4824727713376</v>
      </c>
      <c r="Q330" s="41">
        <v>325</v>
      </c>
      <c r="R330" s="57">
        <f t="shared" si="164"/>
        <v>-904.23977855504199</v>
      </c>
      <c r="S330" s="41">
        <f t="shared" si="165"/>
        <v>-17867.882181755231</v>
      </c>
      <c r="U330" s="41">
        <v>324</v>
      </c>
      <c r="V330" s="41">
        <f t="shared" si="187"/>
        <v>162</v>
      </c>
      <c r="W330" s="57">
        <f t="shared" si="188"/>
        <v>-22423.997692906691</v>
      </c>
      <c r="X330" s="57">
        <f t="shared" si="189"/>
        <v>-165178.53726766101</v>
      </c>
      <c r="Y330" s="57">
        <f t="shared" si="190"/>
        <v>-83.395065365347961</v>
      </c>
      <c r="Z330" s="57">
        <f t="shared" si="191"/>
        <v>-46.330798064877051</v>
      </c>
      <c r="AA330" s="57">
        <f t="shared" si="166"/>
        <v>16.066588135427494</v>
      </c>
      <c r="AB330" s="57">
        <f t="shared" si="167"/>
        <v>102.96028665202792</v>
      </c>
      <c r="AC330" s="57">
        <f t="shared" si="168"/>
        <v>3.9324050089436806</v>
      </c>
      <c r="AD330" s="57">
        <f t="shared" si="169"/>
        <v>16.006081034695942</v>
      </c>
      <c r="AE330" s="57">
        <f t="shared" si="170"/>
        <v>8.0764104570212394E-2</v>
      </c>
      <c r="AF330" s="57">
        <f t="shared" si="171"/>
        <v>5.8366960264622829</v>
      </c>
      <c r="AG330" s="57">
        <f t="shared" si="172"/>
        <v>2.6228192940761401</v>
      </c>
      <c r="AH330" s="57">
        <f t="shared" si="173"/>
        <v>22.606245251174883</v>
      </c>
      <c r="AJ330" s="57">
        <f t="shared" si="174"/>
        <v>177813.5900687761</v>
      </c>
      <c r="AK330" s="57">
        <f t="shared" si="175"/>
        <v>175195.30725465369</v>
      </c>
      <c r="AL330" s="57">
        <f t="shared" si="176"/>
        <v>151185.94098479085</v>
      </c>
      <c r="AN330" s="41">
        <v>325</v>
      </c>
      <c r="AO330" s="57">
        <f t="shared" si="177"/>
        <v>11143.640332167437</v>
      </c>
      <c r="AP330" s="57">
        <f t="shared" si="178"/>
        <v>10698.17672736715</v>
      </c>
      <c r="AR330" s="41">
        <v>325</v>
      </c>
      <c r="AS330" s="57">
        <f t="shared" si="179"/>
        <v>17867.032155011471</v>
      </c>
      <c r="AT330" s="57">
        <f t="shared" si="180"/>
        <v>-7007.5175272286624</v>
      </c>
      <c r="AV330" s="57">
        <f t="shared" si="181"/>
        <v>7.924591031225745</v>
      </c>
      <c r="AW330" s="57">
        <f t="shared" si="182"/>
        <v>52.065393107147031</v>
      </c>
      <c r="AX330" s="57">
        <f t="shared" si="183"/>
        <v>1.5060086966117168</v>
      </c>
      <c r="AY330" s="57">
        <f t="shared" si="184"/>
        <v>6.4458712325477734</v>
      </c>
      <c r="BA330" s="57">
        <f t="shared" si="185"/>
        <v>182253.6170872185</v>
      </c>
      <c r="BB330" s="57">
        <f t="shared" si="186"/>
        <v>164492.30804060763</v>
      </c>
    </row>
    <row r="331" spans="9:54" x14ac:dyDescent="0.25">
      <c r="I331" s="41">
        <v>326</v>
      </c>
      <c r="J331" s="57">
        <f t="shared" si="160"/>
        <v>24145.187862775208</v>
      </c>
      <c r="K331" s="57">
        <f t="shared" si="161"/>
        <v>4704.0354826462626</v>
      </c>
      <c r="M331" s="41">
        <v>326</v>
      </c>
      <c r="N331" s="57">
        <f t="shared" si="162"/>
        <v>-17098.368496057356</v>
      </c>
      <c r="O331" s="57">
        <f t="shared" si="163"/>
        <v>8042.824837852384</v>
      </c>
      <c r="Q331" s="41">
        <v>326</v>
      </c>
      <c r="R331" s="57">
        <f t="shared" si="164"/>
        <v>-854.81213722479333</v>
      </c>
      <c r="S331" s="41">
        <f t="shared" si="165"/>
        <v>-17795.964517353736</v>
      </c>
      <c r="U331" s="41">
        <v>325</v>
      </c>
      <c r="V331" s="41">
        <f t="shared" si="187"/>
        <v>162.5</v>
      </c>
      <c r="W331" s="57">
        <f t="shared" si="188"/>
        <v>-22463.686902072433</v>
      </c>
      <c r="X331" s="57">
        <f t="shared" si="189"/>
        <v>-165188.83263086196</v>
      </c>
      <c r="Y331" s="57">
        <f t="shared" si="190"/>
        <v>-75.36177129763422</v>
      </c>
      <c r="Z331" s="57">
        <f t="shared" si="191"/>
        <v>5.1493452611369079</v>
      </c>
      <c r="AA331" s="57">
        <f t="shared" si="166"/>
        <v>16.085938434358084</v>
      </c>
      <c r="AB331" s="57">
        <f t="shared" si="167"/>
        <v>102.93760225395948</v>
      </c>
      <c r="AC331" s="57">
        <f t="shared" si="168"/>
        <v>3.9347952430957358</v>
      </c>
      <c r="AD331" s="57">
        <f t="shared" si="169"/>
        <v>16.001794633110599</v>
      </c>
      <c r="AE331" s="57">
        <f t="shared" si="170"/>
        <v>8.2071269695819349E-2</v>
      </c>
      <c r="AF331" s="57">
        <f t="shared" si="171"/>
        <v>5.8359566381785752</v>
      </c>
      <c r="AG331" s="57">
        <f t="shared" si="172"/>
        <v>2.6280248722633921</v>
      </c>
      <c r="AH331" s="57">
        <f t="shared" si="173"/>
        <v>22.601183238304017</v>
      </c>
      <c r="AJ331" s="57">
        <f t="shared" si="174"/>
        <v>177833.06110149229</v>
      </c>
      <c r="AK331" s="57">
        <f t="shared" si="175"/>
        <v>175206.15523352943</v>
      </c>
      <c r="AL331" s="57">
        <f t="shared" si="176"/>
        <v>151200.74671520203</v>
      </c>
      <c r="AN331" s="41">
        <v>326</v>
      </c>
      <c r="AO331" s="57">
        <f t="shared" si="177"/>
        <v>11217.781794162811</v>
      </c>
      <c r="AP331" s="57">
        <f t="shared" si="178"/>
        <v>10806.053223969395</v>
      </c>
      <c r="AR331" s="41">
        <v>326</v>
      </c>
      <c r="AS331" s="57">
        <f t="shared" si="179"/>
        <v>17901.631503942644</v>
      </c>
      <c r="AT331" s="57">
        <f t="shared" si="180"/>
        <v>-6957.175162147616</v>
      </c>
      <c r="AV331" s="57">
        <f t="shared" si="181"/>
        <v>7.9339641627924058</v>
      </c>
      <c r="AW331" s="57">
        <f t="shared" si="182"/>
        <v>52.054618366654111</v>
      </c>
      <c r="AX331" s="57">
        <f t="shared" si="183"/>
        <v>1.5070828865107286</v>
      </c>
      <c r="AY331" s="57">
        <f t="shared" si="184"/>
        <v>6.4440493777121706</v>
      </c>
      <c r="BA331" s="57">
        <f t="shared" si="185"/>
        <v>182269.77122695866</v>
      </c>
      <c r="BB331" s="57">
        <f t="shared" si="186"/>
        <v>164511.36719368305</v>
      </c>
    </row>
    <row r="332" spans="9:54" x14ac:dyDescent="0.25">
      <c r="I332" s="41">
        <v>327</v>
      </c>
      <c r="J332" s="57">
        <f t="shared" si="160"/>
        <v>24193.352839727122</v>
      </c>
      <c r="K332" s="57">
        <f t="shared" si="161"/>
        <v>4776.804824924865</v>
      </c>
      <c r="M332" s="41">
        <v>327</v>
      </c>
      <c r="N332" s="57">
        <f t="shared" si="162"/>
        <v>-17064.653012191015</v>
      </c>
      <c r="O332" s="57">
        <f t="shared" si="163"/>
        <v>8093.7633774474052</v>
      </c>
      <c r="Q332" s="41">
        <v>327</v>
      </c>
      <c r="R332" s="57">
        <f t="shared" si="164"/>
        <v>-806.64716027287977</v>
      </c>
      <c r="S332" s="41">
        <f t="shared" si="165"/>
        <v>-17723.195175075136</v>
      </c>
      <c r="U332" s="41">
        <v>326</v>
      </c>
      <c r="V332" s="41">
        <f t="shared" si="187"/>
        <v>163</v>
      </c>
      <c r="W332" s="57">
        <f t="shared" si="188"/>
        <v>-22499.357045416957</v>
      </c>
      <c r="X332" s="57">
        <f t="shared" si="189"/>
        <v>-165173.39075794964</v>
      </c>
      <c r="Y332" s="57">
        <f t="shared" si="190"/>
        <v>-67.318802080455185</v>
      </c>
      <c r="Z332" s="57">
        <f t="shared" si="191"/>
        <v>56.618146388116649</v>
      </c>
      <c r="AA332" s="57">
        <f t="shared" si="166"/>
        <v>16.110046885024143</v>
      </c>
      <c r="AB332" s="57">
        <f t="shared" si="167"/>
        <v>102.94571478646171</v>
      </c>
      <c r="AC332" s="57">
        <f t="shared" si="168"/>
        <v>3.9385292781782311</v>
      </c>
      <c r="AD332" s="57">
        <f t="shared" si="169"/>
        <v>16.002105733875648</v>
      </c>
      <c r="AE332" s="57">
        <f t="shared" si="170"/>
        <v>8.3280788548099297E-2</v>
      </c>
      <c r="AF332" s="57">
        <f t="shared" si="171"/>
        <v>5.8369323989612809</v>
      </c>
      <c r="AG332" s="57">
        <f t="shared" si="172"/>
        <v>2.6339761614498958</v>
      </c>
      <c r="AH332" s="57">
        <f t="shared" si="173"/>
        <v>22.603866548578935</v>
      </c>
      <c r="AJ332" s="57">
        <f t="shared" si="174"/>
        <v>177826.58750907131</v>
      </c>
      <c r="AK332" s="57">
        <f t="shared" si="175"/>
        <v>175191.22014324175</v>
      </c>
      <c r="AL332" s="57">
        <f t="shared" si="176"/>
        <v>151189.53266923878</v>
      </c>
      <c r="AN332" s="41">
        <v>327</v>
      </c>
      <c r="AO332" s="57">
        <f t="shared" si="177"/>
        <v>11290.029259590679</v>
      </c>
      <c r="AP332" s="57">
        <f t="shared" si="178"/>
        <v>10915.207237387298</v>
      </c>
      <c r="AR332" s="41">
        <v>327</v>
      </c>
      <c r="AS332" s="57">
        <f t="shared" si="179"/>
        <v>17935.346987808985</v>
      </c>
      <c r="AT332" s="57">
        <f t="shared" si="180"/>
        <v>-6906.2366225525948</v>
      </c>
      <c r="AV332" s="57">
        <f t="shared" si="181"/>
        <v>7.9455531153204237</v>
      </c>
      <c r="AW332" s="57">
        <f t="shared" si="182"/>
        <v>52.058571546612121</v>
      </c>
      <c r="AX332" s="57">
        <f t="shared" si="183"/>
        <v>1.508707541527494</v>
      </c>
      <c r="AY332" s="57">
        <f t="shared" si="184"/>
        <v>6.444238558433713</v>
      </c>
      <c r="BA332" s="57">
        <f t="shared" si="185"/>
        <v>182259.88416304928</v>
      </c>
      <c r="BB332" s="57">
        <f t="shared" si="186"/>
        <v>164504.45855878343</v>
      </c>
    </row>
    <row r="333" spans="9:54" x14ac:dyDescent="0.25">
      <c r="I333" s="41">
        <v>328</v>
      </c>
      <c r="J333" s="57">
        <f t="shared" si="160"/>
        <v>24240.240480782126</v>
      </c>
      <c r="K333" s="57">
        <f t="shared" si="161"/>
        <v>4850.4036788339708</v>
      </c>
      <c r="M333" s="41">
        <v>328</v>
      </c>
      <c r="N333" s="57">
        <f t="shared" si="162"/>
        <v>-17031.831663452511</v>
      </c>
      <c r="O333" s="57">
        <f t="shared" si="163"/>
        <v>8145.28257518378</v>
      </c>
      <c r="Q333" s="41">
        <v>328</v>
      </c>
      <c r="R333" s="57">
        <f t="shared" si="164"/>
        <v>-759.75951921787328</v>
      </c>
      <c r="S333" s="41">
        <f t="shared" si="165"/>
        <v>-17649.596321166027</v>
      </c>
      <c r="U333" s="41">
        <v>327</v>
      </c>
      <c r="V333" s="41">
        <f t="shared" si="187"/>
        <v>163.5</v>
      </c>
      <c r="W333" s="57">
        <f t="shared" si="188"/>
        <v>-22531.002690596553</v>
      </c>
      <c r="X333" s="57">
        <f t="shared" si="189"/>
        <v>-165132.2134704073</v>
      </c>
      <c r="Y333" s="57">
        <f t="shared" si="190"/>
        <v>-59.263778637943112</v>
      </c>
      <c r="Z333" s="57">
        <f t="shared" si="191"/>
        <v>108.0910037813475</v>
      </c>
      <c r="AA333" s="57">
        <f t="shared" si="166"/>
        <v>16.138942532204148</v>
      </c>
      <c r="AB333" s="57">
        <f t="shared" si="167"/>
        <v>102.98463475081101</v>
      </c>
      <c r="AC333" s="57">
        <f t="shared" si="168"/>
        <v>3.9436114369349609</v>
      </c>
      <c r="AD333" s="57">
        <f t="shared" si="169"/>
        <v>16.007014374382877</v>
      </c>
      <c r="AE333" s="57">
        <f t="shared" si="170"/>
        <v>8.4393987597108477E-2</v>
      </c>
      <c r="AF333" s="57">
        <f t="shared" si="171"/>
        <v>5.8396247093645179</v>
      </c>
      <c r="AG333" s="57">
        <f t="shared" si="172"/>
        <v>2.6406813988630655</v>
      </c>
      <c r="AH333" s="57">
        <f t="shared" si="173"/>
        <v>22.614299391676887</v>
      </c>
      <c r="AJ333" s="57">
        <f t="shared" si="174"/>
        <v>177794.17121368126</v>
      </c>
      <c r="AK333" s="57">
        <f t="shared" si="175"/>
        <v>175150.50148276516</v>
      </c>
      <c r="AL333" s="57">
        <f t="shared" si="176"/>
        <v>151152.29927745607</v>
      </c>
      <c r="AN333" s="41">
        <v>328</v>
      </c>
      <c r="AO333" s="57">
        <f t="shared" si="177"/>
        <v>11360.360721173191</v>
      </c>
      <c r="AP333" s="57">
        <f t="shared" si="178"/>
        <v>11025.605518250957</v>
      </c>
      <c r="AR333" s="41">
        <v>328</v>
      </c>
      <c r="AS333" s="57">
        <f t="shared" si="179"/>
        <v>17968.168336547489</v>
      </c>
      <c r="AT333" s="57">
        <f t="shared" si="180"/>
        <v>-6854.71742481622</v>
      </c>
      <c r="AV333" s="57">
        <f t="shared" si="181"/>
        <v>7.9593709847580723</v>
      </c>
      <c r="AW333" s="57">
        <f t="shared" si="182"/>
        <v>52.077257389768533</v>
      </c>
      <c r="AX333" s="57">
        <f t="shared" si="183"/>
        <v>1.5108847240509393</v>
      </c>
      <c r="AY333" s="57">
        <f t="shared" si="184"/>
        <v>6.4464388856181873</v>
      </c>
      <c r="BA333" s="57">
        <f t="shared" si="185"/>
        <v>182223.95681934364</v>
      </c>
      <c r="BB333" s="57">
        <f t="shared" si="186"/>
        <v>164471.58403169119</v>
      </c>
    </row>
    <row r="334" spans="9:54" x14ac:dyDescent="0.25">
      <c r="I334" s="41">
        <v>329</v>
      </c>
      <c r="J334" s="57">
        <f t="shared" si="160"/>
        <v>24285.83650351056</v>
      </c>
      <c r="K334" s="57">
        <f t="shared" si="161"/>
        <v>4924.8096254497277</v>
      </c>
      <c r="M334" s="41">
        <v>329</v>
      </c>
      <c r="N334" s="57">
        <f t="shared" si="162"/>
        <v>-16999.914447542607</v>
      </c>
      <c r="O334" s="57">
        <f t="shared" si="163"/>
        <v>8197.3667378148093</v>
      </c>
      <c r="Q334" s="41">
        <v>329</v>
      </c>
      <c r="R334" s="57">
        <f t="shared" si="164"/>
        <v>-714.16349648943924</v>
      </c>
      <c r="S334" s="41">
        <f t="shared" si="165"/>
        <v>-17575.190374550271</v>
      </c>
      <c r="U334" s="41">
        <v>328</v>
      </c>
      <c r="V334" s="41">
        <f t="shared" si="187"/>
        <v>164</v>
      </c>
      <c r="W334" s="57">
        <f t="shared" si="188"/>
        <v>-22558.617212098998</v>
      </c>
      <c r="X334" s="57">
        <f t="shared" si="189"/>
        <v>-165065.29488917277</v>
      </c>
      <c r="Y334" s="57">
        <f t="shared" si="190"/>
        <v>-51.194307371841035</v>
      </c>
      <c r="Z334" s="57">
        <f t="shared" si="191"/>
        <v>159.58332115675302</v>
      </c>
      <c r="AA334" s="57">
        <f t="shared" si="166"/>
        <v>16.172662230720846</v>
      </c>
      <c r="AB334" s="57">
        <f t="shared" si="167"/>
        <v>103.0544234822645</v>
      </c>
      <c r="AC334" s="57">
        <f t="shared" si="168"/>
        <v>3.9500484704906502</v>
      </c>
      <c r="AD334" s="57">
        <f t="shared" si="169"/>
        <v>16.016527880585389</v>
      </c>
      <c r="AE334" s="57">
        <f t="shared" si="170"/>
        <v>8.5411877556913776E-2</v>
      </c>
      <c r="AF334" s="57">
        <f t="shared" si="171"/>
        <v>5.8440377328941686</v>
      </c>
      <c r="AG334" s="57">
        <f t="shared" si="172"/>
        <v>2.6481499823872072</v>
      </c>
      <c r="AH334" s="57">
        <f t="shared" si="173"/>
        <v>22.632500225807267</v>
      </c>
      <c r="AJ334" s="57">
        <f t="shared" si="174"/>
        <v>177735.80646339423</v>
      </c>
      <c r="AK334" s="57">
        <f t="shared" si="175"/>
        <v>175083.99126325361</v>
      </c>
      <c r="AL334" s="57">
        <f t="shared" si="176"/>
        <v>151089.03920726813</v>
      </c>
      <c r="AN334" s="41">
        <v>329</v>
      </c>
      <c r="AO334" s="57">
        <f t="shared" si="177"/>
        <v>11428.75475526584</v>
      </c>
      <c r="AP334" s="57">
        <f t="shared" si="178"/>
        <v>11137.214438174591</v>
      </c>
      <c r="AR334" s="41">
        <v>329</v>
      </c>
      <c r="AS334" s="57">
        <f t="shared" si="179"/>
        <v>18000.085552457393</v>
      </c>
      <c r="AT334" s="57">
        <f t="shared" si="180"/>
        <v>-6802.6332621851907</v>
      </c>
      <c r="AV334" s="57">
        <f t="shared" si="181"/>
        <v>7.9754343465340627</v>
      </c>
      <c r="AW334" s="57">
        <f t="shared" si="182"/>
        <v>52.110703756478948</v>
      </c>
      <c r="AX334" s="57">
        <f t="shared" si="183"/>
        <v>1.513617553752012</v>
      </c>
      <c r="AY334" s="57">
        <f t="shared" si="184"/>
        <v>6.4506538864987206</v>
      </c>
      <c r="BA334" s="57">
        <f t="shared" si="185"/>
        <v>182161.98232937561</v>
      </c>
      <c r="BB334" s="57">
        <f t="shared" si="186"/>
        <v>164412.7378120163</v>
      </c>
    </row>
    <row r="335" spans="9:54" x14ac:dyDescent="0.25">
      <c r="I335" s="41">
        <v>330</v>
      </c>
      <c r="J335" s="57">
        <f t="shared" si="160"/>
        <v>24330.12701892219</v>
      </c>
      <c r="K335" s="57">
        <f t="shared" si="161"/>
        <v>4999.9999999999982</v>
      </c>
      <c r="M335" s="41">
        <v>330</v>
      </c>
      <c r="N335" s="57">
        <f t="shared" si="162"/>
        <v>-16968.911086754466</v>
      </c>
      <c r="O335" s="57">
        <f t="shared" si="163"/>
        <v>8249.9999999999982</v>
      </c>
      <c r="Q335" s="41">
        <v>330</v>
      </c>
      <c r="R335" s="57">
        <f t="shared" si="164"/>
        <v>-669.87298107780771</v>
      </c>
      <c r="S335" s="41">
        <f t="shared" si="165"/>
        <v>-17500.000000000004</v>
      </c>
      <c r="U335" s="41">
        <v>329</v>
      </c>
      <c r="V335" s="41">
        <f t="shared" si="187"/>
        <v>164.5</v>
      </c>
      <c r="W335" s="57">
        <f t="shared" si="188"/>
        <v>-22582.192783006078</v>
      </c>
      <c r="X335" s="57">
        <f t="shared" si="189"/>
        <v>-164972.62142565913</v>
      </c>
      <c r="Y335" s="57">
        <f t="shared" si="190"/>
        <v>-43.107976256480612</v>
      </c>
      <c r="Z335" s="57">
        <f t="shared" si="191"/>
        <v>211.11053289788526</v>
      </c>
      <c r="AA335" s="57">
        <f t="shared" si="166"/>
        <v>16.211250770088103</v>
      </c>
      <c r="AB335" s="57">
        <f t="shared" si="167"/>
        <v>103.15519338733468</v>
      </c>
      <c r="AC335" s="57">
        <f t="shared" si="168"/>
        <v>3.9578495820328841</v>
      </c>
      <c r="AD335" s="57">
        <f t="shared" si="169"/>
        <v>16.030660893867463</v>
      </c>
      <c r="AE335" s="57">
        <f t="shared" si="170"/>
        <v>8.6335155470895097E-2</v>
      </c>
      <c r="AF335" s="57">
        <f t="shared" si="171"/>
        <v>5.8501784116785656</v>
      </c>
      <c r="AG335" s="57">
        <f t="shared" si="172"/>
        <v>2.6563925046858854</v>
      </c>
      <c r="AH335" s="57">
        <f t="shared" si="173"/>
        <v>22.658501836487172</v>
      </c>
      <c r="AJ335" s="57">
        <f t="shared" si="174"/>
        <v>177651.47982397396</v>
      </c>
      <c r="AK335" s="57">
        <f t="shared" si="175"/>
        <v>174991.67399660943</v>
      </c>
      <c r="AL335" s="57">
        <f t="shared" si="176"/>
        <v>150999.73735190026</v>
      </c>
      <c r="AN335" s="41">
        <v>330</v>
      </c>
      <c r="AO335" s="57">
        <f t="shared" si="177"/>
        <v>11495.190528383288</v>
      </c>
      <c r="AP335" s="57">
        <f t="shared" si="178"/>
        <v>11249.999999999996</v>
      </c>
      <c r="AR335" s="41">
        <v>330</v>
      </c>
      <c r="AS335" s="57">
        <f t="shared" si="179"/>
        <v>18031.088913245534</v>
      </c>
      <c r="AT335" s="57">
        <f t="shared" si="180"/>
        <v>-6750.0000000000018</v>
      </c>
      <c r="AV335" s="57">
        <f t="shared" si="181"/>
        <v>7.9937633086400322</v>
      </c>
      <c r="AW335" s="57">
        <f t="shared" si="182"/>
        <v>52.158961726878445</v>
      </c>
      <c r="AX335" s="57">
        <f t="shared" si="183"/>
        <v>1.5169102192584065</v>
      </c>
      <c r="AY335" s="57">
        <f t="shared" si="184"/>
        <v>6.4568905184230383</v>
      </c>
      <c r="BA335" s="57">
        <f t="shared" si="185"/>
        <v>182073.94602617514</v>
      </c>
      <c r="BB335" s="57">
        <f t="shared" si="186"/>
        <v>164327.90639503775</v>
      </c>
    </row>
    <row r="336" spans="9:54" x14ac:dyDescent="0.25">
      <c r="I336" s="41">
        <v>331</v>
      </c>
      <c r="J336" s="57">
        <f t="shared" si="160"/>
        <v>24373.09853569698</v>
      </c>
      <c r="K336" s="57">
        <f t="shared" si="161"/>
        <v>5075.951898768315</v>
      </c>
      <c r="M336" s="41">
        <v>331</v>
      </c>
      <c r="N336" s="57">
        <f t="shared" si="162"/>
        <v>-16938.831025012114</v>
      </c>
      <c r="O336" s="57">
        <f t="shared" si="163"/>
        <v>8303.1663291378209</v>
      </c>
      <c r="Q336" s="41">
        <v>331</v>
      </c>
      <c r="R336" s="57">
        <f t="shared" si="164"/>
        <v>-626.90146430302048</v>
      </c>
      <c r="S336" s="41">
        <f t="shared" si="165"/>
        <v>-17424.048101231685</v>
      </c>
      <c r="U336" s="41">
        <v>330</v>
      </c>
      <c r="V336" s="41">
        <f t="shared" si="187"/>
        <v>165</v>
      </c>
      <c r="W336" s="57">
        <f t="shared" si="188"/>
        <v>-22601.72036478806</v>
      </c>
      <c r="X336" s="57">
        <f t="shared" si="189"/>
        <v>-164854.17176003678</v>
      </c>
      <c r="Y336" s="57">
        <f t="shared" si="190"/>
        <v>-35.002350871436562</v>
      </c>
      <c r="Z336" s="57">
        <f t="shared" si="191"/>
        <v>262.68812959155258</v>
      </c>
      <c r="AA336" s="57">
        <f t="shared" si="166"/>
        <v>16.254761030665346</v>
      </c>
      <c r="AB336" s="57">
        <f t="shared" si="167"/>
        <v>103.28710838567889</v>
      </c>
      <c r="AC336" s="57">
        <f t="shared" si="168"/>
        <v>3.9670264609798473</v>
      </c>
      <c r="AD336" s="57">
        <f t="shared" si="169"/>
        <v>16.049435426027141</v>
      </c>
      <c r="AE336" s="57">
        <f t="shared" si="170"/>
        <v>8.7164205019355775E-2</v>
      </c>
      <c r="AF336" s="57">
        <f t="shared" si="171"/>
        <v>5.8580564929479095</v>
      </c>
      <c r="AG336" s="57">
        <f t="shared" si="172"/>
        <v>2.6654207917616954</v>
      </c>
      <c r="AH336" s="57">
        <f t="shared" si="173"/>
        <v>22.692351478351632</v>
      </c>
      <c r="AJ336" s="57">
        <f t="shared" si="174"/>
        <v>177541.17015815756</v>
      </c>
      <c r="AK336" s="57">
        <f t="shared" si="175"/>
        <v>174873.52667212096</v>
      </c>
      <c r="AL336" s="57">
        <f t="shared" si="176"/>
        <v>150884.37080654444</v>
      </c>
      <c r="AN336" s="41">
        <v>331</v>
      </c>
      <c r="AO336" s="57">
        <f t="shared" si="177"/>
        <v>11559.647803545469</v>
      </c>
      <c r="AP336" s="57">
        <f t="shared" si="178"/>
        <v>11363.927848152474</v>
      </c>
      <c r="AR336" s="41">
        <v>331</v>
      </c>
      <c r="AS336" s="57">
        <f t="shared" si="179"/>
        <v>18061.168974987886</v>
      </c>
      <c r="AT336" s="57">
        <f t="shared" si="180"/>
        <v>-6696.8336708621791</v>
      </c>
      <c r="AV336" s="57">
        <f t="shared" si="181"/>
        <v>8.0143815782352306</v>
      </c>
      <c r="AW336" s="57">
        <f t="shared" si="182"/>
        <v>52.222105791682296</v>
      </c>
      <c r="AX336" s="57">
        <f t="shared" si="183"/>
        <v>1.5207679946692187</v>
      </c>
      <c r="AY336" s="57">
        <f t="shared" si="184"/>
        <v>6.4651591966699167</v>
      </c>
      <c r="BA336" s="57">
        <f t="shared" si="185"/>
        <v>181959.82541919732</v>
      </c>
      <c r="BB336" s="57">
        <f t="shared" si="186"/>
        <v>164217.06855098545</v>
      </c>
    </row>
    <row r="337" spans="9:54" x14ac:dyDescent="0.25">
      <c r="I337" s="41">
        <v>332</v>
      </c>
      <c r="J337" s="57">
        <f t="shared" si="160"/>
        <v>24414.737964294633</v>
      </c>
      <c r="K337" s="57">
        <f t="shared" si="161"/>
        <v>5152.6421860705459</v>
      </c>
      <c r="M337" s="41">
        <v>332</v>
      </c>
      <c r="N337" s="57">
        <f t="shared" si="162"/>
        <v>-16909.683424993756</v>
      </c>
      <c r="O337" s="57">
        <f t="shared" si="163"/>
        <v>8356.849530249383</v>
      </c>
      <c r="Q337" s="41">
        <v>332</v>
      </c>
      <c r="R337" s="57">
        <f t="shared" si="164"/>
        <v>-585.26203570536563</v>
      </c>
      <c r="S337" s="41">
        <f t="shared" si="165"/>
        <v>-17347.357813929455</v>
      </c>
      <c r="U337" s="41">
        <v>331</v>
      </c>
      <c r="V337" s="41">
        <f t="shared" si="187"/>
        <v>165.5</v>
      </c>
      <c r="W337" s="57">
        <f t="shared" si="188"/>
        <v>-22617.189695094945</v>
      </c>
      <c r="X337" s="57">
        <f t="shared" si="189"/>
        <v>-164709.91680669278</v>
      </c>
      <c r="Y337" s="57">
        <f t="shared" si="190"/>
        <v>-26.874970356103887</v>
      </c>
      <c r="Z337" s="57">
        <f t="shared" si="191"/>
        <v>314.331683784392</v>
      </c>
      <c r="AA337" s="57">
        <f t="shared" si="166"/>
        <v>16.303254172357569</v>
      </c>
      <c r="AB337" s="57">
        <f t="shared" si="167"/>
        <v>103.45038455981539</v>
      </c>
      <c r="AC337" s="57">
        <f t="shared" si="168"/>
        <v>3.9775933278737221</v>
      </c>
      <c r="AD337" s="57">
        <f t="shared" si="169"/>
        <v>16.072880942753208</v>
      </c>
      <c r="AE337" s="57">
        <f t="shared" si="170"/>
        <v>8.7899095038347336E-2</v>
      </c>
      <c r="AF337" s="57">
        <f t="shared" si="171"/>
        <v>5.867684566508327</v>
      </c>
      <c r="AG337" s="57">
        <f t="shared" si="172"/>
        <v>2.675247946216496</v>
      </c>
      <c r="AH337" s="57">
        <f t="shared" si="173"/>
        <v>22.734111081114111</v>
      </c>
      <c r="AJ337" s="57">
        <f t="shared" si="174"/>
        <v>177404.84859235317</v>
      </c>
      <c r="AK337" s="57">
        <f t="shared" si="175"/>
        <v>174729.51872108394</v>
      </c>
      <c r="AL337" s="57">
        <f t="shared" si="176"/>
        <v>150742.90883162574</v>
      </c>
      <c r="AN337" s="41">
        <v>332</v>
      </c>
      <c r="AO337" s="57">
        <f t="shared" si="177"/>
        <v>11622.106946441952</v>
      </c>
      <c r="AP337" s="57">
        <f t="shared" si="178"/>
        <v>11478.963279105819</v>
      </c>
      <c r="AR337" s="41">
        <v>332</v>
      </c>
      <c r="AS337" s="57">
        <f t="shared" si="179"/>
        <v>18090.316575006244</v>
      </c>
      <c r="AT337" s="57">
        <f t="shared" si="180"/>
        <v>-6643.150469750618</v>
      </c>
      <c r="AV337" s="57">
        <f t="shared" si="181"/>
        <v>8.0373165421972992</v>
      </c>
      <c r="AW337" s="57">
        <f t="shared" si="182"/>
        <v>52.300234132941767</v>
      </c>
      <c r="AX337" s="57">
        <f t="shared" si="183"/>
        <v>1.5251972610317035</v>
      </c>
      <c r="AY337" s="57">
        <f t="shared" si="184"/>
        <v>6.4754738364979882</v>
      </c>
      <c r="BA337" s="57">
        <f t="shared" si="185"/>
        <v>181819.59015827556</v>
      </c>
      <c r="BB337" s="57">
        <f t="shared" si="186"/>
        <v>164080.195291685</v>
      </c>
    </row>
    <row r="338" spans="9:54" x14ac:dyDescent="0.25">
      <c r="I338" s="41">
        <v>333</v>
      </c>
      <c r="J338" s="57">
        <f t="shared" si="160"/>
        <v>24455.032620941838</v>
      </c>
      <c r="K338" s="57">
        <f t="shared" si="161"/>
        <v>5230.0475013022651</v>
      </c>
      <c r="M338" s="41">
        <v>333</v>
      </c>
      <c r="N338" s="57">
        <f t="shared" si="162"/>
        <v>-16881.477165340712</v>
      </c>
      <c r="O338" s="57">
        <f t="shared" si="163"/>
        <v>8411.0332509115851</v>
      </c>
      <c r="Q338" s="41">
        <v>333</v>
      </c>
      <c r="R338" s="57">
        <f t="shared" si="164"/>
        <v>-544.96737905816099</v>
      </c>
      <c r="S338" s="41">
        <f t="shared" si="165"/>
        <v>-17269.952498697734</v>
      </c>
      <c r="U338" s="41">
        <v>332</v>
      </c>
      <c r="V338" s="41">
        <f t="shared" si="187"/>
        <v>166</v>
      </c>
      <c r="W338" s="57">
        <f t="shared" si="188"/>
        <v>-22628.589273501453</v>
      </c>
      <c r="X338" s="57">
        <f t="shared" si="189"/>
        <v>-164539.81966673062</v>
      </c>
      <c r="Y338" s="57">
        <f t="shared" si="190"/>
        <v>-18.723343269925103</v>
      </c>
      <c r="Z338" s="57">
        <f t="shared" si="191"/>
        <v>366.05687606429967</v>
      </c>
      <c r="AA338" s="57">
        <f t="shared" si="166"/>
        <v>16.356799857137602</v>
      </c>
      <c r="AB338" s="57">
        <f t="shared" si="167"/>
        <v>103.645291017414</v>
      </c>
      <c r="AC338" s="57">
        <f t="shared" si="168"/>
        <v>3.9895669903225808</v>
      </c>
      <c r="AD338" s="57">
        <f t="shared" si="169"/>
        <v>16.101034476177048</v>
      </c>
      <c r="AE338" s="57">
        <f t="shared" si="170"/>
        <v>8.8539576222001454E-2</v>
      </c>
      <c r="AF338" s="57">
        <f t="shared" si="171"/>
        <v>5.8790781134747494</v>
      </c>
      <c r="AG338" s="57">
        <f t="shared" si="172"/>
        <v>2.68588839550875</v>
      </c>
      <c r="AH338" s="57">
        <f t="shared" si="173"/>
        <v>22.783857521320897</v>
      </c>
      <c r="AJ338" s="57">
        <f t="shared" si="174"/>
        <v>177242.4784706253</v>
      </c>
      <c r="AK338" s="57">
        <f t="shared" si="175"/>
        <v>174559.61196927429</v>
      </c>
      <c r="AL338" s="57">
        <f t="shared" si="176"/>
        <v>150575.31280303595</v>
      </c>
      <c r="AN338" s="41">
        <v>333</v>
      </c>
      <c r="AO338" s="57">
        <f t="shared" si="177"/>
        <v>11682.548931412759</v>
      </c>
      <c r="AP338" s="57">
        <f t="shared" si="178"/>
        <v>11595.071251953397</v>
      </c>
      <c r="AR338" s="41">
        <v>333</v>
      </c>
      <c r="AS338" s="57">
        <f t="shared" si="179"/>
        <v>18118.522834659288</v>
      </c>
      <c r="AT338" s="57">
        <f t="shared" si="180"/>
        <v>-6588.9667490884149</v>
      </c>
      <c r="AV338" s="57">
        <f t="shared" si="181"/>
        <v>8.0625993621406487</v>
      </c>
      <c r="AW338" s="57">
        <f t="shared" si="182"/>
        <v>52.39346899670263</v>
      </c>
      <c r="AX338" s="57">
        <f t="shared" si="183"/>
        <v>1.5302055329436226</v>
      </c>
      <c r="AY338" s="57">
        <f t="shared" si="184"/>
        <v>6.4878519097386844</v>
      </c>
      <c r="BA338" s="57">
        <f t="shared" si="185"/>
        <v>181653.20198445715</v>
      </c>
      <c r="BB338" s="57">
        <f t="shared" si="186"/>
        <v>163917.2498244367</v>
      </c>
    </row>
    <row r="339" spans="9:54" x14ac:dyDescent="0.25">
      <c r="I339" s="41">
        <v>334</v>
      </c>
      <c r="J339" s="57">
        <f t="shared" si="160"/>
        <v>24493.970231495834</v>
      </c>
      <c r="K339" s="57">
        <f t="shared" si="161"/>
        <v>5308.1442660546145</v>
      </c>
      <c r="M339" s="41">
        <v>334</v>
      </c>
      <c r="N339" s="57">
        <f t="shared" si="162"/>
        <v>-16854.220837952915</v>
      </c>
      <c r="O339" s="57">
        <f t="shared" si="163"/>
        <v>8465.7009862382311</v>
      </c>
      <c r="Q339" s="41">
        <v>334</v>
      </c>
      <c r="R339" s="57">
        <f t="shared" si="164"/>
        <v>-506.02976850416417</v>
      </c>
      <c r="S339" s="41">
        <f t="shared" si="165"/>
        <v>-17191.855733945384</v>
      </c>
      <c r="U339" s="41">
        <v>333</v>
      </c>
      <c r="V339" s="41">
        <f t="shared" si="187"/>
        <v>166.5</v>
      </c>
      <c r="W339" s="57">
        <f t="shared" si="188"/>
        <v>-22635.906345154275</v>
      </c>
      <c r="X339" s="57">
        <f t="shared" si="189"/>
        <v>-164343.83556732131</v>
      </c>
      <c r="Y339" s="57">
        <f t="shared" si="190"/>
        <v>-10.544943341356301</v>
      </c>
      <c r="Z339" s="57">
        <f t="shared" si="191"/>
        <v>417.87952157300668</v>
      </c>
      <c r="AA339" s="57">
        <f t="shared" si="166"/>
        <v>16.415476506922211</v>
      </c>
      <c r="AB339" s="57">
        <f t="shared" si="167"/>
        <v>103.87215097250476</v>
      </c>
      <c r="AC339" s="57">
        <f t="shared" si="168"/>
        <v>4.002966910402515</v>
      </c>
      <c r="AD339" s="57">
        <f t="shared" si="169"/>
        <v>16.133940767294575</v>
      </c>
      <c r="AE339" s="57">
        <f t="shared" si="170"/>
        <v>8.9085075963565477E-2</v>
      </c>
      <c r="AF339" s="57">
        <f t="shared" si="171"/>
        <v>5.8922555666085925</v>
      </c>
      <c r="AG339" s="57">
        <f t="shared" si="172"/>
        <v>2.6973579455387688</v>
      </c>
      <c r="AH339" s="57">
        <f t="shared" si="173"/>
        <v>22.841682962068692</v>
      </c>
      <c r="AJ339" s="57">
        <f t="shared" si="174"/>
        <v>177054.01529578856</v>
      </c>
      <c r="AK339" s="57">
        <f t="shared" si="175"/>
        <v>174363.76057709238</v>
      </c>
      <c r="AL339" s="57">
        <f t="shared" si="176"/>
        <v>150381.53614913687</v>
      </c>
      <c r="AN339" s="41">
        <v>334</v>
      </c>
      <c r="AO339" s="57">
        <f t="shared" si="177"/>
        <v>11740.955347243755</v>
      </c>
      <c r="AP339" s="57">
        <f t="shared" si="178"/>
        <v>11712.216399081923</v>
      </c>
      <c r="AR339" s="41">
        <v>334</v>
      </c>
      <c r="AS339" s="57">
        <f t="shared" si="179"/>
        <v>18145.779162047085</v>
      </c>
      <c r="AT339" s="57">
        <f t="shared" si="180"/>
        <v>-6534.2990137617699</v>
      </c>
      <c r="AV339" s="57">
        <f t="shared" si="181"/>
        <v>8.0902650845299373</v>
      </c>
      <c r="AW339" s="57">
        <f t="shared" si="182"/>
        <v>52.501957160177867</v>
      </c>
      <c r="AX339" s="57">
        <f t="shared" si="183"/>
        <v>1.5358014904874244</v>
      </c>
      <c r="AY339" s="57">
        <f t="shared" si="184"/>
        <v>6.5023145163550327</v>
      </c>
      <c r="BA339" s="57">
        <f t="shared" si="185"/>
        <v>181460.61466752648</v>
      </c>
      <c r="BB339" s="57">
        <f t="shared" si="186"/>
        <v>163728.1874929505</v>
      </c>
    </row>
    <row r="340" spans="9:54" x14ac:dyDescent="0.25">
      <c r="I340" s="41">
        <v>335</v>
      </c>
      <c r="J340" s="57">
        <f t="shared" si="160"/>
        <v>24531.538935183249</v>
      </c>
      <c r="K340" s="57">
        <f t="shared" si="161"/>
        <v>5386.9086912964995</v>
      </c>
      <c r="M340" s="41">
        <v>335</v>
      </c>
      <c r="N340" s="57">
        <f t="shared" si="162"/>
        <v>-16827.922745371725</v>
      </c>
      <c r="O340" s="57">
        <f t="shared" si="163"/>
        <v>8520.8360839075503</v>
      </c>
      <c r="Q340" s="41">
        <v>335</v>
      </c>
      <c r="R340" s="57">
        <f t="shared" si="164"/>
        <v>-468.46106481675179</v>
      </c>
      <c r="S340" s="41">
        <f t="shared" si="165"/>
        <v>-17113.091308703501</v>
      </c>
      <c r="U340" s="41">
        <v>334</v>
      </c>
      <c r="V340" s="41">
        <f t="shared" si="187"/>
        <v>167</v>
      </c>
      <c r="W340" s="57">
        <f t="shared" si="188"/>
        <v>-22639.126882261589</v>
      </c>
      <c r="X340" s="57">
        <f t="shared" si="189"/>
        <v>-164121.91178766324</v>
      </c>
      <c r="Y340" s="57">
        <f t="shared" si="190"/>
        <v>-2.337205087895196</v>
      </c>
      <c r="Z340" s="57">
        <f t="shared" si="191"/>
        <v>469.81559705925906</v>
      </c>
      <c r="AA340" s="57">
        <f t="shared" si="166"/>
        <v>16.479371598604111</v>
      </c>
      <c r="AB340" s="57">
        <f t="shared" si="167"/>
        <v>104.13134305362557</v>
      </c>
      <c r="AC340" s="57">
        <f t="shared" si="168"/>
        <v>4.0178152840223529</v>
      </c>
      <c r="AD340" s="57">
        <f t="shared" si="169"/>
        <v>16.171652439263916</v>
      </c>
      <c r="AE340" s="57">
        <f t="shared" si="170"/>
        <v>8.9534691272539824E-2</v>
      </c>
      <c r="AF340" s="57">
        <f t="shared" si="171"/>
        <v>5.9072383826931016</v>
      </c>
      <c r="AG340" s="57">
        <f t="shared" si="172"/>
        <v>2.7096738399334801</v>
      </c>
      <c r="AH340" s="57">
        <f t="shared" si="173"/>
        <v>22.907695263434224</v>
      </c>
      <c r="AJ340" s="57">
        <f t="shared" si="174"/>
        <v>176839.40665737959</v>
      </c>
      <c r="AK340" s="57">
        <f t="shared" si="175"/>
        <v>174141.9109671519</v>
      </c>
      <c r="AL340" s="57">
        <f t="shared" si="176"/>
        <v>150161.52427428318</v>
      </c>
      <c r="AN340" s="41">
        <v>335</v>
      </c>
      <c r="AO340" s="57">
        <f t="shared" si="177"/>
        <v>11797.308402774874</v>
      </c>
      <c r="AP340" s="57">
        <f t="shared" si="178"/>
        <v>11830.363036944749</v>
      </c>
      <c r="AR340" s="41">
        <v>335</v>
      </c>
      <c r="AS340" s="57">
        <f t="shared" si="179"/>
        <v>18172.077254628275</v>
      </c>
      <c r="AT340" s="57">
        <f t="shared" si="180"/>
        <v>-6479.1639160924497</v>
      </c>
      <c r="AV340" s="57">
        <f t="shared" si="181"/>
        <v>8.1203527666277306</v>
      </c>
      <c r="AW340" s="57">
        <f t="shared" si="182"/>
        <v>52.62587049673045</v>
      </c>
      <c r="AX340" s="57">
        <f t="shared" si="183"/>
        <v>1.5419950167480088</v>
      </c>
      <c r="AY340" s="57">
        <f t="shared" si="184"/>
        <v>6.5188864715038761</v>
      </c>
      <c r="BA340" s="57">
        <f t="shared" si="185"/>
        <v>181241.77392996673</v>
      </c>
      <c r="BB340" s="57">
        <f t="shared" si="186"/>
        <v>163512.95570510573</v>
      </c>
    </row>
    <row r="341" spans="9:54" x14ac:dyDescent="0.25">
      <c r="I341" s="41">
        <v>336</v>
      </c>
      <c r="J341" s="57">
        <f t="shared" si="160"/>
        <v>24567.727288213006</v>
      </c>
      <c r="K341" s="57">
        <f t="shared" si="161"/>
        <v>5466.316784620999</v>
      </c>
      <c r="M341" s="41">
        <v>336</v>
      </c>
      <c r="N341" s="57">
        <f t="shared" si="162"/>
        <v>-16802.590898250895</v>
      </c>
      <c r="O341" s="57">
        <f t="shared" si="163"/>
        <v>8576.4217492346997</v>
      </c>
      <c r="Q341" s="41">
        <v>336</v>
      </c>
      <c r="R341" s="57">
        <f t="shared" si="164"/>
        <v>-432.27271178699539</v>
      </c>
      <c r="S341" s="41">
        <f t="shared" si="165"/>
        <v>-17033.683215379002</v>
      </c>
      <c r="U341" s="41">
        <v>335</v>
      </c>
      <c r="V341" s="41">
        <f t="shared" si="187"/>
        <v>167.5</v>
      </c>
      <c r="W341" s="57">
        <f t="shared" si="188"/>
        <v>-22638.235563355713</v>
      </c>
      <c r="X341" s="57">
        <f t="shared" si="189"/>
        <v>-163873.9875712519</v>
      </c>
      <c r="Y341" s="57">
        <f t="shared" si="190"/>
        <v>5.9024807114068594</v>
      </c>
      <c r="Z341" s="57">
        <f t="shared" si="191"/>
        <v>521.88126858607188</v>
      </c>
      <c r="AA341" s="57">
        <f t="shared" si="166"/>
        <v>16.548581998336051</v>
      </c>
      <c r="AB341" s="57">
        <f t="shared" si="167"/>
        <v>104.42330284870265</v>
      </c>
      <c r="AC341" s="57">
        <f t="shared" si="168"/>
        <v>4.0341371328534361</v>
      </c>
      <c r="AD341" s="57">
        <f t="shared" si="169"/>
        <v>16.214230202820808</v>
      </c>
      <c r="AE341" s="57">
        <f t="shared" si="170"/>
        <v>8.9887179686493679E-2</v>
      </c>
      <c r="AF341" s="57">
        <f t="shared" si="171"/>
        <v>5.9240511274682683</v>
      </c>
      <c r="AG341" s="57">
        <f t="shared" si="172"/>
        <v>2.7228548254445131</v>
      </c>
      <c r="AH341" s="57">
        <f t="shared" si="173"/>
        <v>22.982018466955356</v>
      </c>
      <c r="AJ341" s="57">
        <f t="shared" si="174"/>
        <v>176598.59214622242</v>
      </c>
      <c r="AK341" s="57">
        <f t="shared" si="175"/>
        <v>173894.0017390353</v>
      </c>
      <c r="AL341" s="57">
        <f t="shared" si="176"/>
        <v>149915.21446855782</v>
      </c>
      <c r="AN341" s="41">
        <v>336</v>
      </c>
      <c r="AO341" s="57">
        <f t="shared" si="177"/>
        <v>11851.590932319508</v>
      </c>
      <c r="AP341" s="57">
        <f t="shared" si="178"/>
        <v>11949.475176931499</v>
      </c>
      <c r="AR341" s="41">
        <v>336</v>
      </c>
      <c r="AS341" s="57">
        <f t="shared" si="179"/>
        <v>18197.409101749105</v>
      </c>
      <c r="AT341" s="57">
        <f t="shared" si="180"/>
        <v>-6423.5782507653003</v>
      </c>
      <c r="AV341" s="57">
        <f t="shared" si="181"/>
        <v>8.1529056191370177</v>
      </c>
      <c r="AW341" s="57">
        <f t="shared" si="182"/>
        <v>52.765406642696661</v>
      </c>
      <c r="AX341" s="57">
        <f t="shared" si="183"/>
        <v>1.5487972412145901</v>
      </c>
      <c r="AY341" s="57">
        <f t="shared" si="184"/>
        <v>6.5375964087615612</v>
      </c>
      <c r="BA341" s="57">
        <f t="shared" si="185"/>
        <v>180996.61735705426</v>
      </c>
      <c r="BB341" s="57">
        <f t="shared" si="186"/>
        <v>163271.49384725111</v>
      </c>
    </row>
    <row r="342" spans="9:54" x14ac:dyDescent="0.25">
      <c r="I342" s="41">
        <v>337</v>
      </c>
      <c r="J342" s="57">
        <f t="shared" si="160"/>
        <v>24602.524267262201</v>
      </c>
      <c r="K342" s="57">
        <f t="shared" si="161"/>
        <v>5546.3443575536267</v>
      </c>
      <c r="M342" s="41">
        <v>337</v>
      </c>
      <c r="N342" s="57">
        <f t="shared" si="162"/>
        <v>-16778.233012916462</v>
      </c>
      <c r="O342" s="57">
        <f t="shared" si="163"/>
        <v>8632.441050287538</v>
      </c>
      <c r="Q342" s="41">
        <v>337</v>
      </c>
      <c r="R342" s="57">
        <f t="shared" si="164"/>
        <v>-397.47573273780017</v>
      </c>
      <c r="S342" s="41">
        <f t="shared" si="165"/>
        <v>-16953.655642446374</v>
      </c>
      <c r="U342" s="41">
        <v>336</v>
      </c>
      <c r="V342" s="41">
        <f t="shared" si="187"/>
        <v>168</v>
      </c>
      <c r="W342" s="57">
        <f t="shared" si="188"/>
        <v>-22633.21575025022</v>
      </c>
      <c r="X342" s="57">
        <f t="shared" si="189"/>
        <v>-163599.99402410278</v>
      </c>
      <c r="Y342" s="57">
        <f t="shared" si="190"/>
        <v>14.176771710574885</v>
      </c>
      <c r="Z342" s="57">
        <f t="shared" si="191"/>
        <v>574.0929200104232</v>
      </c>
      <c r="AA342" s="57">
        <f t="shared" si="166"/>
        <v>16.623214337475332</v>
      </c>
      <c r="AB342" s="57">
        <f t="shared" si="167"/>
        <v>104.74852469832977</v>
      </c>
      <c r="AC342" s="57">
        <f t="shared" si="168"/>
        <v>4.0519604095311719</v>
      </c>
      <c r="AD342" s="57">
        <f t="shared" si="169"/>
        <v>16.261743095291035</v>
      </c>
      <c r="AE342" s="57">
        <f t="shared" si="170"/>
        <v>9.0140948076114322E-2</v>
      </c>
      <c r="AF342" s="57">
        <f t="shared" si="171"/>
        <v>5.9427215737462529</v>
      </c>
      <c r="AG342" s="57">
        <f t="shared" si="172"/>
        <v>2.736921223922482</v>
      </c>
      <c r="AH342" s="57">
        <f t="shared" si="173"/>
        <v>23.064793358157011</v>
      </c>
      <c r="AJ342" s="57">
        <f t="shared" si="174"/>
        <v>176331.50325524757</v>
      </c>
      <c r="AK342" s="57">
        <f t="shared" si="175"/>
        <v>173619.96357088632</v>
      </c>
      <c r="AL342" s="57">
        <f t="shared" si="176"/>
        <v>149642.53580335458</v>
      </c>
      <c r="AN342" s="41">
        <v>337</v>
      </c>
      <c r="AO342" s="57">
        <f t="shared" si="177"/>
        <v>11903.786400893299</v>
      </c>
      <c r="AP342" s="57">
        <f t="shared" si="178"/>
        <v>12069.51653633044</v>
      </c>
      <c r="AR342" s="41">
        <v>337</v>
      </c>
      <c r="AS342" s="57">
        <f t="shared" si="179"/>
        <v>18221.766987083538</v>
      </c>
      <c r="AT342" s="57">
        <f t="shared" si="180"/>
        <v>-6367.558949712462</v>
      </c>
      <c r="AV342" s="57">
        <f t="shared" si="181"/>
        <v>8.1879711665257435</v>
      </c>
      <c r="AW342" s="57">
        <f t="shared" si="182"/>
        <v>52.920789770831576</v>
      </c>
      <c r="AX342" s="57">
        <f t="shared" si="183"/>
        <v>1.5562205894198207</v>
      </c>
      <c r="AY342" s="57">
        <f t="shared" si="184"/>
        <v>6.5584769003039076</v>
      </c>
      <c r="BA342" s="57">
        <f t="shared" si="185"/>
        <v>180725.07429272073</v>
      </c>
      <c r="BB342" s="57">
        <f t="shared" si="186"/>
        <v>163003.73318470444</v>
      </c>
    </row>
    <row r="343" spans="9:54" x14ac:dyDescent="0.25">
      <c r="I343" s="41">
        <v>338</v>
      </c>
      <c r="J343" s="57">
        <f t="shared" si="160"/>
        <v>24635.919272833937</v>
      </c>
      <c r="K343" s="57">
        <f t="shared" si="161"/>
        <v>5626.9670329204382</v>
      </c>
      <c r="M343" s="41">
        <v>338</v>
      </c>
      <c r="N343" s="57">
        <f t="shared" si="162"/>
        <v>-16754.856509016245</v>
      </c>
      <c r="O343" s="57">
        <f t="shared" si="163"/>
        <v>8688.8769230443067</v>
      </c>
      <c r="Q343" s="41">
        <v>338</v>
      </c>
      <c r="R343" s="57">
        <f t="shared" si="164"/>
        <v>-364.0807271660633</v>
      </c>
      <c r="S343" s="41">
        <f t="shared" si="165"/>
        <v>-16873.032967079562</v>
      </c>
      <c r="U343" s="41">
        <v>337</v>
      </c>
      <c r="V343" s="41">
        <f t="shared" si="187"/>
        <v>168.5</v>
      </c>
      <c r="W343" s="57">
        <f t="shared" si="188"/>
        <v>-22624.049462602747</v>
      </c>
      <c r="X343" s="57">
        <f t="shared" si="189"/>
        <v>-163299.85399851025</v>
      </c>
      <c r="Y343" s="57">
        <f t="shared" si="190"/>
        <v>22.488378879312549</v>
      </c>
      <c r="Z343" s="57">
        <f t="shared" si="191"/>
        <v>626.46718235958804</v>
      </c>
      <c r="AA343" s="57">
        <f t="shared" si="166"/>
        <v>16.703385432945449</v>
      </c>
      <c r="AB343" s="57">
        <f t="shared" si="167"/>
        <v>105.10756375116085</v>
      </c>
      <c r="AC343" s="57">
        <f t="shared" si="168"/>
        <v>4.0713161169505216</v>
      </c>
      <c r="AD343" s="57">
        <f t="shared" si="169"/>
        <v>16.314268754944074</v>
      </c>
      <c r="AE343" s="57">
        <f t="shared" si="170"/>
        <v>9.0294039220398109E-2</v>
      </c>
      <c r="AF343" s="57">
        <f t="shared" si="171"/>
        <v>5.9632808134301865</v>
      </c>
      <c r="AG343" s="57">
        <f t="shared" si="172"/>
        <v>2.7518950113828931</v>
      </c>
      <c r="AH343" s="57">
        <f t="shared" si="173"/>
        <v>23.156178111806213</v>
      </c>
      <c r="AJ343" s="57">
        <f t="shared" si="174"/>
        <v>176038.06326616646</v>
      </c>
      <c r="AK343" s="57">
        <f t="shared" si="175"/>
        <v>173319.71910745517</v>
      </c>
      <c r="AL343" s="57">
        <f t="shared" si="176"/>
        <v>149343.40901238236</v>
      </c>
      <c r="AN343" s="41">
        <v>338</v>
      </c>
      <c r="AO343" s="57">
        <f t="shared" si="177"/>
        <v>11953.878909250905</v>
      </c>
      <c r="AP343" s="57">
        <f t="shared" si="178"/>
        <v>12190.450549380657</v>
      </c>
      <c r="AR343" s="41">
        <v>338</v>
      </c>
      <c r="AS343" s="57">
        <f t="shared" si="179"/>
        <v>18245.143490983755</v>
      </c>
      <c r="AT343" s="57">
        <f t="shared" si="180"/>
        <v>-6311.1230769556933</v>
      </c>
      <c r="AV343" s="57">
        <f t="shared" si="181"/>
        <v>8.225601426165575</v>
      </c>
      <c r="AW343" s="57">
        <f t="shared" si="182"/>
        <v>53.092271476010964</v>
      </c>
      <c r="AX343" s="57">
        <f t="shared" si="183"/>
        <v>1.5642788392260627</v>
      </c>
      <c r="AY343" s="57">
        <f t="shared" si="184"/>
        <v>6.5815645949694286</v>
      </c>
      <c r="BA343" s="57">
        <f t="shared" si="185"/>
        <v>180427.06572075709</v>
      </c>
      <c r="BB343" s="57">
        <f t="shared" si="186"/>
        <v>162709.59674805307</v>
      </c>
    </row>
    <row r="344" spans="9:54" x14ac:dyDescent="0.25">
      <c r="I344" s="41">
        <v>339</v>
      </c>
      <c r="J344" s="57">
        <f t="shared" si="160"/>
        <v>24667.902132486008</v>
      </c>
      <c r="K344" s="57">
        <f t="shared" si="161"/>
        <v>5708.1602522734956</v>
      </c>
      <c r="M344" s="41">
        <v>339</v>
      </c>
      <c r="N344" s="57">
        <f t="shared" si="162"/>
        <v>-16732.468507259793</v>
      </c>
      <c r="O344" s="57">
        <f t="shared" si="163"/>
        <v>8745.7121765914471</v>
      </c>
      <c r="Q344" s="41">
        <v>339</v>
      </c>
      <c r="R344" s="57">
        <f t="shared" si="164"/>
        <v>-332.09786751399224</v>
      </c>
      <c r="S344" s="41">
        <f t="shared" si="165"/>
        <v>-16791.839747726503</v>
      </c>
      <c r="U344" s="41">
        <v>338</v>
      </c>
      <c r="V344" s="41">
        <f t="shared" si="187"/>
        <v>169</v>
      </c>
      <c r="W344" s="57">
        <f t="shared" si="188"/>
        <v>-22610.71734998397</v>
      </c>
      <c r="X344" s="57">
        <f t="shared" si="189"/>
        <v>-162973.48196186157</v>
      </c>
      <c r="Y344" s="57">
        <f t="shared" si="190"/>
        <v>30.840071595785275</v>
      </c>
      <c r="Z344" s="57">
        <f t="shared" si="191"/>
        <v>679.02096423516844</v>
      </c>
      <c r="AA344" s="57">
        <f t="shared" si="166"/>
        <v>16.789222755144309</v>
      </c>
      <c r="AB344" s="57">
        <f t="shared" si="167"/>
        <v>105.50103829730533</v>
      </c>
      <c r="AC344" s="57">
        <f t="shared" si="168"/>
        <v>4.0922384426019773</v>
      </c>
      <c r="AD344" s="57">
        <f t="shared" si="169"/>
        <v>16.371893732711523</v>
      </c>
      <c r="AE344" s="57">
        <f t="shared" si="170"/>
        <v>9.0344116005403263E-2</v>
      </c>
      <c r="AF344" s="57">
        <f t="shared" si="171"/>
        <v>5.9857633842732527</v>
      </c>
      <c r="AG344" s="57">
        <f t="shared" si="172"/>
        <v>2.7677999047388906</v>
      </c>
      <c r="AH344" s="57">
        <f t="shared" si="173"/>
        <v>23.256349025344797</v>
      </c>
      <c r="AJ344" s="57">
        <f t="shared" si="174"/>
        <v>175718.18712154232</v>
      </c>
      <c r="AK344" s="57">
        <f t="shared" si="175"/>
        <v>172993.18283415667</v>
      </c>
      <c r="AL344" s="57">
        <f t="shared" si="176"/>
        <v>149017.74635760131</v>
      </c>
      <c r="AN344" s="41">
        <v>339</v>
      </c>
      <c r="AO344" s="57">
        <f t="shared" si="177"/>
        <v>12001.853198729012</v>
      </c>
      <c r="AP344" s="57">
        <f t="shared" si="178"/>
        <v>12312.240378410244</v>
      </c>
      <c r="AR344" s="41">
        <v>339</v>
      </c>
      <c r="AS344" s="57">
        <f t="shared" si="179"/>
        <v>18267.531492740207</v>
      </c>
      <c r="AT344" s="57">
        <f t="shared" si="180"/>
        <v>-6254.2878234085529</v>
      </c>
      <c r="AV344" s="57">
        <f t="shared" si="181"/>
        <v>8.2658531075663042</v>
      </c>
      <c r="AW344" s="57">
        <f t="shared" si="182"/>
        <v>53.280131779687466</v>
      </c>
      <c r="AX344" s="57">
        <f t="shared" si="183"/>
        <v>1.5729871842317327</v>
      </c>
      <c r="AY344" s="57">
        <f t="shared" si="184"/>
        <v>6.6069003752882942</v>
      </c>
      <c r="BA344" s="57">
        <f t="shared" si="185"/>
        <v>180102.50413086926</v>
      </c>
      <c r="BB344" s="57">
        <f t="shared" si="186"/>
        <v>162388.99920479523</v>
      </c>
    </row>
    <row r="345" spans="9:54" x14ac:dyDescent="0.25">
      <c r="I345" s="41">
        <v>340</v>
      </c>
      <c r="J345" s="57">
        <f t="shared" si="160"/>
        <v>24698.463103929542</v>
      </c>
      <c r="K345" s="57">
        <f t="shared" si="161"/>
        <v>5789.8992833716566</v>
      </c>
      <c r="M345" s="41">
        <v>340</v>
      </c>
      <c r="N345" s="57">
        <f t="shared" si="162"/>
        <v>-16711.075827249319</v>
      </c>
      <c r="O345" s="57">
        <f t="shared" si="163"/>
        <v>8802.9294983601594</v>
      </c>
      <c r="Q345" s="41">
        <v>340</v>
      </c>
      <c r="R345" s="57">
        <f t="shared" si="164"/>
        <v>-301.53689607045817</v>
      </c>
      <c r="S345" s="41">
        <f t="shared" si="165"/>
        <v>-16710.100716628342</v>
      </c>
      <c r="U345" s="41">
        <v>339</v>
      </c>
      <c r="V345" s="41">
        <f t="shared" si="187"/>
        <v>169.5</v>
      </c>
      <c r="W345" s="57">
        <f t="shared" si="188"/>
        <v>-22593.198661341685</v>
      </c>
      <c r="X345" s="57">
        <f t="shared" si="189"/>
        <v>-162620.78384995682</v>
      </c>
      <c r="Y345" s="57">
        <f t="shared" si="190"/>
        <v>39.23468297335743</v>
      </c>
      <c r="Z345" s="57">
        <f t="shared" si="191"/>
        <v>731.77148338382108</v>
      </c>
      <c r="AA345" s="57">
        <f t="shared" si="166"/>
        <v>16.880864946945536</v>
      </c>
      <c r="AB345" s="57">
        <f t="shared" si="167"/>
        <v>105.92963239802523</v>
      </c>
      <c r="AC345" s="57">
        <f t="shared" si="168"/>
        <v>4.1147649090308782</v>
      </c>
      <c r="AD345" s="57">
        <f t="shared" si="169"/>
        <v>16.434713843597002</v>
      </c>
      <c r="AE345" s="57">
        <f t="shared" si="170"/>
        <v>9.0288443074188221E-2</v>
      </c>
      <c r="AF345" s="57">
        <f t="shared" si="171"/>
        <v>6.0102074123371523</v>
      </c>
      <c r="AG345" s="57">
        <f t="shared" si="172"/>
        <v>2.7846614568414463</v>
      </c>
      <c r="AH345" s="57">
        <f t="shared" si="173"/>
        <v>23.36550134677714</v>
      </c>
      <c r="AJ345" s="57">
        <f t="shared" si="174"/>
        <v>175371.78128173371</v>
      </c>
      <c r="AK345" s="57">
        <f t="shared" si="175"/>
        <v>172640.26093663869</v>
      </c>
      <c r="AL345" s="57">
        <f t="shared" si="176"/>
        <v>148665.45147953209</v>
      </c>
      <c r="AN345" s="41">
        <v>340</v>
      </c>
      <c r="AO345" s="57">
        <f t="shared" si="177"/>
        <v>12047.694655894313</v>
      </c>
      <c r="AP345" s="57">
        <f t="shared" si="178"/>
        <v>12434.848925057486</v>
      </c>
      <c r="AR345" s="41">
        <v>340</v>
      </c>
      <c r="AS345" s="57">
        <f t="shared" si="179"/>
        <v>18288.924172750681</v>
      </c>
      <c r="AT345" s="57">
        <f t="shared" si="180"/>
        <v>-6197.0705016398406</v>
      </c>
      <c r="AV345" s="57">
        <f t="shared" si="181"/>
        <v>8.3087878331597427</v>
      </c>
      <c r="AW345" s="57">
        <f t="shared" si="182"/>
        <v>53.484680260590636</v>
      </c>
      <c r="AX345" s="57">
        <f t="shared" si="183"/>
        <v>1.5823623048392816</v>
      </c>
      <c r="AY345" s="57">
        <f t="shared" si="184"/>
        <v>6.6345295347233009</v>
      </c>
      <c r="BA345" s="57">
        <f t="shared" si="185"/>
        <v>179751.29336902517</v>
      </c>
      <c r="BB345" s="57">
        <f t="shared" si="186"/>
        <v>162041.84671579718</v>
      </c>
    </row>
    <row r="346" spans="9:54" x14ac:dyDescent="0.25">
      <c r="I346" s="41">
        <v>341</v>
      </c>
      <c r="J346" s="57">
        <f t="shared" si="160"/>
        <v>24727.592877996583</v>
      </c>
      <c r="K346" s="57">
        <f t="shared" si="161"/>
        <v>5872.1592277142126</v>
      </c>
      <c r="M346" s="41">
        <v>341</v>
      </c>
      <c r="N346" s="57">
        <f t="shared" si="162"/>
        <v>-16690.684985402393</v>
      </c>
      <c r="O346" s="57">
        <f t="shared" si="163"/>
        <v>8860.5114593999479</v>
      </c>
      <c r="Q346" s="41">
        <v>341</v>
      </c>
      <c r="R346" s="57">
        <f t="shared" si="164"/>
        <v>-272.4071220034175</v>
      </c>
      <c r="S346" s="41">
        <f t="shared" si="165"/>
        <v>-16627.840772285788</v>
      </c>
      <c r="U346" s="41">
        <v>340</v>
      </c>
      <c r="V346" s="41">
        <f t="shared" si="187"/>
        <v>170</v>
      </c>
      <c r="W346" s="57">
        <f t="shared" si="188"/>
        <v>-22571.471211736636</v>
      </c>
      <c r="X346" s="57">
        <f t="shared" si="189"/>
        <v>-162241.65690421514</v>
      </c>
      <c r="Y346" s="57">
        <f t="shared" si="190"/>
        <v>47.675115446830198</v>
      </c>
      <c r="Z346" s="57">
        <f t="shared" si="191"/>
        <v>784.73629958283368</v>
      </c>
      <c r="AA346" s="57">
        <f t="shared" si="166"/>
        <v>16.978462397796225</v>
      </c>
      <c r="AB346" s="57">
        <f t="shared" si="167"/>
        <v>106.39409883265155</v>
      </c>
      <c r="AC346" s="57">
        <f t="shared" si="168"/>
        <v>4.1389365416540986</v>
      </c>
      <c r="AD346" s="57">
        <f t="shared" si="169"/>
        <v>16.502834560438703</v>
      </c>
      <c r="AE346" s="57">
        <f t="shared" si="170"/>
        <v>9.0123865727074398E-2</v>
      </c>
      <c r="AF346" s="57">
        <f t="shared" si="171"/>
        <v>6.036654771243124</v>
      </c>
      <c r="AG346" s="57">
        <f t="shared" si="172"/>
        <v>2.8025071605417491</v>
      </c>
      <c r="AH346" s="57">
        <f t="shared" si="173"/>
        <v>23.483850204214715</v>
      </c>
      <c r="AJ346" s="57">
        <f t="shared" si="174"/>
        <v>174998.74356611824</v>
      </c>
      <c r="AK346" s="57">
        <f t="shared" si="175"/>
        <v>172260.85114529694</v>
      </c>
      <c r="AL346" s="57">
        <f t="shared" si="176"/>
        <v>148286.41923130889</v>
      </c>
      <c r="AN346" s="41">
        <v>341</v>
      </c>
      <c r="AO346" s="57">
        <f t="shared" si="177"/>
        <v>12091.389316994875</v>
      </c>
      <c r="AP346" s="57">
        <f t="shared" si="178"/>
        <v>12558.238841571318</v>
      </c>
      <c r="AR346" s="41">
        <v>341</v>
      </c>
      <c r="AS346" s="57">
        <f t="shared" si="179"/>
        <v>18309.315014597607</v>
      </c>
      <c r="AT346" s="57">
        <f t="shared" si="180"/>
        <v>-6139.4885406000512</v>
      </c>
      <c r="AV346" s="57">
        <f t="shared" si="181"/>
        <v>8.3544723822706537</v>
      </c>
      <c r="AW346" s="57">
        <f t="shared" si="182"/>
        <v>53.706257320205133</v>
      </c>
      <c r="AX346" s="57">
        <f t="shared" si="183"/>
        <v>1.5924224476026481</v>
      </c>
      <c r="AY346" s="57">
        <f t="shared" si="184"/>
        <v>6.6645019765498903</v>
      </c>
      <c r="BA346" s="57">
        <f t="shared" si="185"/>
        <v>179373.32847146236</v>
      </c>
      <c r="BB346" s="57">
        <f t="shared" si="186"/>
        <v>161668.03677597272</v>
      </c>
    </row>
    <row r="347" spans="9:54" x14ac:dyDescent="0.25">
      <c r="I347" s="41">
        <v>342</v>
      </c>
      <c r="J347" s="57">
        <f t="shared" si="160"/>
        <v>24755.282581475767</v>
      </c>
      <c r="K347" s="57">
        <f t="shared" si="161"/>
        <v>5954.9150281252623</v>
      </c>
      <c r="M347" s="41">
        <v>342</v>
      </c>
      <c r="N347" s="57">
        <f t="shared" si="162"/>
        <v>-16671.302192966963</v>
      </c>
      <c r="O347" s="57">
        <f t="shared" si="163"/>
        <v>8918.4405196876833</v>
      </c>
      <c r="Q347" s="41">
        <v>342</v>
      </c>
      <c r="R347" s="57">
        <f t="shared" si="164"/>
        <v>-244.71741852423202</v>
      </c>
      <c r="S347" s="41">
        <f t="shared" si="165"/>
        <v>-16545.084971874738</v>
      </c>
      <c r="U347" s="41">
        <v>341</v>
      </c>
      <c r="V347" s="41">
        <f t="shared" si="187"/>
        <v>170.5</v>
      </c>
      <c r="W347" s="57">
        <f t="shared" si="188"/>
        <v>-22545.511346213498</v>
      </c>
      <c r="X347" s="57">
        <f t="shared" si="189"/>
        <v>-161835.98949206964</v>
      </c>
      <c r="Y347" s="57">
        <f t="shared" si="190"/>
        <v>56.164346645728308</v>
      </c>
      <c r="Z347" s="57">
        <f t="shared" si="191"/>
        <v>837.93334899915942</v>
      </c>
      <c r="AA347" s="57">
        <f t="shared" si="166"/>
        <v>17.082177877424158</v>
      </c>
      <c r="AB347" s="57">
        <f t="shared" si="167"/>
        <v>106.89526238653789</v>
      </c>
      <c r="AC347" s="57">
        <f t="shared" si="168"/>
        <v>4.1647980553357895</v>
      </c>
      <c r="AD347" s="57">
        <f t="shared" si="169"/>
        <v>16.576371453053412</v>
      </c>
      <c r="AE347" s="57">
        <f t="shared" si="170"/>
        <v>8.9846785839704443E-2</v>
      </c>
      <c r="AF347" s="57">
        <f t="shared" si="171"/>
        <v>6.0651512594565311</v>
      </c>
      <c r="AG347" s="57">
        <f t="shared" si="172"/>
        <v>2.8213665625720381</v>
      </c>
      <c r="AH347" s="57">
        <f t="shared" si="173"/>
        <v>23.611631645293137</v>
      </c>
      <c r="AJ347" s="57">
        <f t="shared" si="174"/>
        <v>174598.96297793151</v>
      </c>
      <c r="AK347" s="57">
        <f t="shared" si="175"/>
        <v>171854.84256410223</v>
      </c>
      <c r="AL347" s="57">
        <f t="shared" si="176"/>
        <v>147880.53549576865</v>
      </c>
      <c r="AN347" s="41">
        <v>342</v>
      </c>
      <c r="AO347" s="57">
        <f t="shared" si="177"/>
        <v>12132.923872213651</v>
      </c>
      <c r="AP347" s="57">
        <f t="shared" si="178"/>
        <v>12682.372542187893</v>
      </c>
      <c r="AR347" s="41">
        <v>342</v>
      </c>
      <c r="AS347" s="57">
        <f t="shared" si="179"/>
        <v>18328.697807033037</v>
      </c>
      <c r="AT347" s="57">
        <f t="shared" si="180"/>
        <v>-6081.5594803123167</v>
      </c>
      <c r="AV347" s="57">
        <f t="shared" si="181"/>
        <v>8.4029789601195617</v>
      </c>
      <c r="AW347" s="57">
        <f t="shared" si="182"/>
        <v>53.945235592732928</v>
      </c>
      <c r="AX347" s="57">
        <f t="shared" si="183"/>
        <v>1.603187513557065</v>
      </c>
      <c r="AY347" s="57">
        <f t="shared" si="184"/>
        <v>6.6968724360018816</v>
      </c>
      <c r="BA347" s="57">
        <f t="shared" si="185"/>
        <v>178968.49548164543</v>
      </c>
      <c r="BB347" s="57">
        <f t="shared" si="186"/>
        <v>161267.45803851818</v>
      </c>
    </row>
    <row r="348" spans="9:54" x14ac:dyDescent="0.25">
      <c r="I348" s="41">
        <v>343</v>
      </c>
      <c r="J348" s="57">
        <f t="shared" si="160"/>
        <v>24781.523779815179</v>
      </c>
      <c r="K348" s="57">
        <f t="shared" si="161"/>
        <v>6038.1414763863186</v>
      </c>
      <c r="M348" s="41">
        <v>343</v>
      </c>
      <c r="N348" s="57">
        <f t="shared" si="162"/>
        <v>-16652.933354129374</v>
      </c>
      <c r="O348" s="57">
        <f t="shared" si="163"/>
        <v>8976.6990334704224</v>
      </c>
      <c r="Q348" s="41">
        <v>343</v>
      </c>
      <c r="R348" s="57">
        <f t="shared" si="164"/>
        <v>-218.47622018482161</v>
      </c>
      <c r="S348" s="41">
        <f t="shared" si="165"/>
        <v>-16461.858523613682</v>
      </c>
      <c r="U348" s="41">
        <v>342</v>
      </c>
      <c r="V348" s="41">
        <f t="shared" si="187"/>
        <v>171</v>
      </c>
      <c r="W348" s="57">
        <f t="shared" si="188"/>
        <v>-22515.293900655954</v>
      </c>
      <c r="X348" s="57">
        <f t="shared" si="189"/>
        <v>-161403.66090977172</v>
      </c>
      <c r="Y348" s="57">
        <f t="shared" si="190"/>
        <v>64.70543558444038</v>
      </c>
      <c r="Z348" s="57">
        <f t="shared" si="191"/>
        <v>891.38098019242841</v>
      </c>
      <c r="AA348" s="57">
        <f t="shared" si="166"/>
        <v>17.192187234231138</v>
      </c>
      <c r="AB348" s="57">
        <f t="shared" si="167"/>
        <v>107.43402350706558</v>
      </c>
      <c r="AC348" s="57">
        <f t="shared" si="168"/>
        <v>4.1923980613083272</v>
      </c>
      <c r="AD348" s="57">
        <f t="shared" si="169"/>
        <v>16.655450676187865</v>
      </c>
      <c r="AE348" s="57">
        <f t="shared" si="170"/>
        <v>8.9453134530975378E-2</v>
      </c>
      <c r="AF348" s="57">
        <f t="shared" si="171"/>
        <v>6.0957467970104693</v>
      </c>
      <c r="AG348" s="57">
        <f t="shared" si="172"/>
        <v>2.8412713881338871</v>
      </c>
      <c r="AH348" s="57">
        <f t="shared" si="173"/>
        <v>23.749103795821075</v>
      </c>
      <c r="AJ348" s="57">
        <f t="shared" si="174"/>
        <v>174172.31951197726</v>
      </c>
      <c r="AK348" s="57">
        <f t="shared" si="175"/>
        <v>171422.11548303411</v>
      </c>
      <c r="AL348" s="57">
        <f t="shared" si="176"/>
        <v>147447.67698478597</v>
      </c>
      <c r="AN348" s="41">
        <v>343</v>
      </c>
      <c r="AO348" s="57">
        <f t="shared" si="177"/>
        <v>12172.285669722767</v>
      </c>
      <c r="AP348" s="57">
        <f t="shared" si="178"/>
        <v>12807.212214579478</v>
      </c>
      <c r="AR348" s="41">
        <v>343</v>
      </c>
      <c r="AS348" s="57">
        <f t="shared" si="179"/>
        <v>18347.066645870626</v>
      </c>
      <c r="AT348" s="57">
        <f t="shared" si="180"/>
        <v>-6023.3009665295767</v>
      </c>
      <c r="AV348" s="57">
        <f t="shared" si="181"/>
        <v>8.4543854939287257</v>
      </c>
      <c r="AW348" s="57">
        <f t="shared" si="182"/>
        <v>54.202021510514989</v>
      </c>
      <c r="AX348" s="57">
        <f t="shared" si="183"/>
        <v>1.6146791563292209</v>
      </c>
      <c r="AY348" s="57">
        <f t="shared" si="184"/>
        <v>6.7317007275311802</v>
      </c>
      <c r="BA348" s="57">
        <f t="shared" si="185"/>
        <v>178536.67124938002</v>
      </c>
      <c r="BB348" s="57">
        <f t="shared" si="186"/>
        <v>160839.9901219577</v>
      </c>
    </row>
    <row r="349" spans="9:54" x14ac:dyDescent="0.25">
      <c r="I349" s="41">
        <v>344</v>
      </c>
      <c r="J349" s="57">
        <f t="shared" si="160"/>
        <v>24806.308479691594</v>
      </c>
      <c r="K349" s="57">
        <f t="shared" si="161"/>
        <v>6121.8132209150008</v>
      </c>
      <c r="M349" s="41">
        <v>344</v>
      </c>
      <c r="N349" s="57">
        <f t="shared" si="162"/>
        <v>-16635.584064215884</v>
      </c>
      <c r="O349" s="57">
        <f t="shared" si="163"/>
        <v>9035.2692546405015</v>
      </c>
      <c r="Q349" s="41">
        <v>344</v>
      </c>
      <c r="R349" s="57">
        <f t="shared" si="164"/>
        <v>-193.69152030840633</v>
      </c>
      <c r="S349" s="41">
        <f t="shared" si="165"/>
        <v>-16378.186779084999</v>
      </c>
      <c r="U349" s="41">
        <v>343</v>
      </c>
      <c r="V349" s="41">
        <f t="shared" si="187"/>
        <v>171.5</v>
      </c>
      <c r="W349" s="57">
        <f t="shared" si="188"/>
        <v>-22480.792159459455</v>
      </c>
      <c r="X349" s="57">
        <f t="shared" si="189"/>
        <v>-160944.54116673709</v>
      </c>
      <c r="Y349" s="57">
        <f t="shared" si="190"/>
        <v>73.301529201555951</v>
      </c>
      <c r="Z349" s="57">
        <f t="shared" si="191"/>
        <v>945.09799194596121</v>
      </c>
      <c r="AA349" s="57">
        <f t="shared" si="166"/>
        <v>17.308680164086564</v>
      </c>
      <c r="AB349" s="57">
        <f t="shared" si="167"/>
        <v>108.01136235831157</v>
      </c>
      <c r="AC349" s="57">
        <f t="shared" si="168"/>
        <v>4.2217892962336681</v>
      </c>
      <c r="AD349" s="57">
        <f t="shared" si="169"/>
        <v>16.740209510155498</v>
      </c>
      <c r="AE349" s="57">
        <f t="shared" si="170"/>
        <v>8.8938341273116464E-2</v>
      </c>
      <c r="AF349" s="57">
        <f t="shared" si="171"/>
        <v>6.1284956432530384</v>
      </c>
      <c r="AG349" s="57">
        <f t="shared" si="172"/>
        <v>2.8622556771855701</v>
      </c>
      <c r="AH349" s="57">
        <f t="shared" si="173"/>
        <v>23.896548148287891</v>
      </c>
      <c r="AJ349" s="57">
        <f t="shared" si="174"/>
        <v>173718.68394438113</v>
      </c>
      <c r="AK349" s="57">
        <f t="shared" si="175"/>
        <v>170962.5411733363</v>
      </c>
      <c r="AL349" s="57">
        <f t="shared" si="176"/>
        <v>146987.71101997487</v>
      </c>
      <c r="AN349" s="41">
        <v>344</v>
      </c>
      <c r="AO349" s="57">
        <f t="shared" si="177"/>
        <v>12209.462719537391</v>
      </c>
      <c r="AP349" s="57">
        <f t="shared" si="178"/>
        <v>12932.719831372502</v>
      </c>
      <c r="AR349" s="41">
        <v>344</v>
      </c>
      <c r="AS349" s="57">
        <f t="shared" si="179"/>
        <v>18364.415935784116</v>
      </c>
      <c r="AT349" s="57">
        <f t="shared" si="180"/>
        <v>-5964.7307453594995</v>
      </c>
      <c r="AV349" s="57">
        <f t="shared" si="181"/>
        <v>8.5087759584621931</v>
      </c>
      <c r="AW349" s="57">
        <f t="shared" si="182"/>
        <v>54.477057037341297</v>
      </c>
      <c r="AX349" s="57">
        <f t="shared" si="183"/>
        <v>1.6269208909320156</v>
      </c>
      <c r="AY349" s="57">
        <f t="shared" si="184"/>
        <v>6.7690520192738459</v>
      </c>
      <c r="BA349" s="57">
        <f t="shared" si="185"/>
        <v>178077.72321120082</v>
      </c>
      <c r="BB349" s="57">
        <f t="shared" si="186"/>
        <v>160385.50339916869</v>
      </c>
    </row>
    <row r="350" spans="9:54" x14ac:dyDescent="0.25">
      <c r="I350" s="41">
        <v>345</v>
      </c>
      <c r="J350" s="57">
        <f t="shared" si="160"/>
        <v>24829.629131445341</v>
      </c>
      <c r="K350" s="57">
        <f t="shared" si="161"/>
        <v>6205.9047744873969</v>
      </c>
      <c r="M350" s="41">
        <v>345</v>
      </c>
      <c r="N350" s="57">
        <f t="shared" si="162"/>
        <v>-16619.259607988261</v>
      </c>
      <c r="O350" s="57">
        <f t="shared" si="163"/>
        <v>9094.1333421411782</v>
      </c>
      <c r="Q350" s="41">
        <v>345</v>
      </c>
      <c r="R350" s="57">
        <f t="shared" si="164"/>
        <v>-170.37086855465805</v>
      </c>
      <c r="S350" s="41">
        <f t="shared" si="165"/>
        <v>-16294.095225512603</v>
      </c>
      <c r="U350" s="41">
        <v>344</v>
      </c>
      <c r="V350" s="41">
        <f t="shared" si="187"/>
        <v>172</v>
      </c>
      <c r="W350" s="57">
        <f t="shared" si="188"/>
        <v>-22441.977809838168</v>
      </c>
      <c r="X350" s="57">
        <f t="shared" si="189"/>
        <v>-160458.49075046933</v>
      </c>
      <c r="Y350" s="57">
        <f t="shared" si="190"/>
        <v>81.955869283599228</v>
      </c>
      <c r="Z350" s="57">
        <f t="shared" si="191"/>
        <v>999.10367312511698</v>
      </c>
      <c r="AA350" s="57">
        <f t="shared" si="166"/>
        <v>17.431861055937443</v>
      </c>
      <c r="AB350" s="57">
        <f t="shared" si="167"/>
        <v>108.62834330893354</v>
      </c>
      <c r="AC350" s="57">
        <f t="shared" si="168"/>
        <v>4.2530288754327827</v>
      </c>
      <c r="AD350" s="57">
        <f t="shared" si="169"/>
        <v>16.830796958530804</v>
      </c>
      <c r="AE350" s="57">
        <f t="shared" si="170"/>
        <v>8.8297299091326165E-2</v>
      </c>
      <c r="AF350" s="57">
        <f t="shared" si="171"/>
        <v>6.1634566374080553</v>
      </c>
      <c r="AG350" s="57">
        <f t="shared" si="172"/>
        <v>2.8843559335362832</v>
      </c>
      <c r="AH350" s="57">
        <f t="shared" si="173"/>
        <v>24.054270992289577</v>
      </c>
      <c r="AJ350" s="57">
        <f t="shared" si="174"/>
        <v>173237.91760346893</v>
      </c>
      <c r="AK350" s="57">
        <f t="shared" si="175"/>
        <v>170475.98166472476</v>
      </c>
      <c r="AL350" s="57">
        <f t="shared" si="176"/>
        <v>146500.49529378137</v>
      </c>
      <c r="AN350" s="41">
        <v>345</v>
      </c>
      <c r="AO350" s="57">
        <f t="shared" si="177"/>
        <v>12244.443697168012</v>
      </c>
      <c r="AP350" s="57">
        <f t="shared" si="178"/>
        <v>13058.857161731095</v>
      </c>
      <c r="AR350" s="41">
        <v>345</v>
      </c>
      <c r="AS350" s="57">
        <f t="shared" si="179"/>
        <v>18380.740392011739</v>
      </c>
      <c r="AT350" s="57">
        <f t="shared" si="180"/>
        <v>-5905.8666578588227</v>
      </c>
      <c r="AV350" s="57">
        <f t="shared" si="181"/>
        <v>8.5662407336086002</v>
      </c>
      <c r="AW350" s="57">
        <f t="shared" si="182"/>
        <v>54.770821583614634</v>
      </c>
      <c r="AX350" s="57">
        <f t="shared" si="183"/>
        <v>1.6399382142684513</v>
      </c>
      <c r="AY350" s="57">
        <f t="shared" si="184"/>
        <v>6.8089971370904756</v>
      </c>
      <c r="BA350" s="57">
        <f t="shared" si="185"/>
        <v>177591.50915105199</v>
      </c>
      <c r="BB350" s="57">
        <f t="shared" si="186"/>
        <v>159903.85876746743</v>
      </c>
    </row>
    <row r="351" spans="9:54" x14ac:dyDescent="0.25">
      <c r="I351" s="41">
        <v>346</v>
      </c>
      <c r="J351" s="57">
        <f t="shared" si="160"/>
        <v>24851.478631379981</v>
      </c>
      <c r="K351" s="57">
        <f t="shared" si="161"/>
        <v>6290.3905220016604</v>
      </c>
      <c r="M351" s="41">
        <v>346</v>
      </c>
      <c r="N351" s="57">
        <f t="shared" si="162"/>
        <v>-16603.964958034012</v>
      </c>
      <c r="O351" s="57">
        <f t="shared" si="163"/>
        <v>9153.2733654011627</v>
      </c>
      <c r="Q351" s="41">
        <v>346</v>
      </c>
      <c r="R351" s="57">
        <f t="shared" si="164"/>
        <v>-148.52136862001771</v>
      </c>
      <c r="S351" s="41">
        <f t="shared" si="165"/>
        <v>-16209.60947799834</v>
      </c>
      <c r="U351" s="41">
        <v>345</v>
      </c>
      <c r="V351" s="41">
        <f t="shared" si="187"/>
        <v>172.5</v>
      </c>
      <c r="W351" s="57">
        <f t="shared" si="188"/>
        <v>-22398.820892564378</v>
      </c>
      <c r="X351" s="57">
        <f t="shared" si="189"/>
        <v>-159945.36037099315</v>
      </c>
      <c r="Y351" s="57">
        <f t="shared" si="190"/>
        <v>90.671799811567951</v>
      </c>
      <c r="Z351" s="57">
        <f t="shared" si="191"/>
        <v>1053.4178447795837</v>
      </c>
      <c r="AA351" s="57">
        <f t="shared" si="166"/>
        <v>17.561949921455181</v>
      </c>
      <c r="AB351" s="57">
        <f t="shared" si="167"/>
        <v>109.28611989234517</v>
      </c>
      <c r="AC351" s="57">
        <f t="shared" si="168"/>
        <v>4.286178572572453</v>
      </c>
      <c r="AD351" s="57">
        <f t="shared" si="169"/>
        <v>16.927374407826729</v>
      </c>
      <c r="AE351" s="57">
        <f t="shared" si="170"/>
        <v>8.7524325449485477E-2</v>
      </c>
      <c r="AF351" s="57">
        <f t="shared" si="171"/>
        <v>6.2006934639626134</v>
      </c>
      <c r="AG351" s="57">
        <f t="shared" si="172"/>
        <v>2.9076112879858673</v>
      </c>
      <c r="AH351" s="57">
        <f t="shared" si="173"/>
        <v>24.222605000548583</v>
      </c>
      <c r="AJ351" s="57">
        <f t="shared" si="174"/>
        <v>172729.87212075252</v>
      </c>
      <c r="AK351" s="57">
        <f t="shared" si="175"/>
        <v>169962.28950358761</v>
      </c>
      <c r="AL351" s="57">
        <f t="shared" si="176"/>
        <v>145985.87760988597</v>
      </c>
      <c r="AN351" s="41">
        <v>346</v>
      </c>
      <c r="AO351" s="57">
        <f t="shared" si="177"/>
        <v>12277.217947069974</v>
      </c>
      <c r="AP351" s="57">
        <f t="shared" si="178"/>
        <v>13185.585783002491</v>
      </c>
      <c r="AR351" s="41">
        <v>346</v>
      </c>
      <c r="AS351" s="57">
        <f t="shared" si="179"/>
        <v>18396.035041965988</v>
      </c>
      <c r="AT351" s="57">
        <f t="shared" si="180"/>
        <v>-5846.7266345988373</v>
      </c>
      <c r="AV351" s="57">
        <f t="shared" si="181"/>
        <v>8.6268769969425048</v>
      </c>
      <c r="AW351" s="57">
        <f t="shared" si="182"/>
        <v>55.083834119150737</v>
      </c>
      <c r="AX351" s="57">
        <f t="shared" si="183"/>
        <v>1.6537587385048704</v>
      </c>
      <c r="AY351" s="57">
        <f t="shared" si="184"/>
        <v>6.8516129008565132</v>
      </c>
      <c r="BA351" s="57">
        <f t="shared" si="185"/>
        <v>177077.8769401742</v>
      </c>
      <c r="BB351" s="57">
        <f t="shared" si="186"/>
        <v>159394.90739873418</v>
      </c>
    </row>
    <row r="352" spans="9:54" x14ac:dyDescent="0.25">
      <c r="I352" s="41">
        <v>347</v>
      </c>
      <c r="J352" s="57">
        <f t="shared" si="160"/>
        <v>24871.850323926177</v>
      </c>
      <c r="K352" s="57">
        <f t="shared" si="161"/>
        <v>6375.2447282806734</v>
      </c>
      <c r="M352" s="41">
        <v>347</v>
      </c>
      <c r="N352" s="57">
        <f t="shared" si="162"/>
        <v>-16589.704773251677</v>
      </c>
      <c r="O352" s="57">
        <f t="shared" si="163"/>
        <v>9212.6713097964712</v>
      </c>
      <c r="Q352" s="41">
        <v>347</v>
      </c>
      <c r="R352" s="57">
        <f t="shared" si="164"/>
        <v>-128.14967607382459</v>
      </c>
      <c r="S352" s="41">
        <f t="shared" si="165"/>
        <v>-16124.755271719327</v>
      </c>
      <c r="U352" s="41">
        <v>346</v>
      </c>
      <c r="V352" s="41">
        <f t="shared" si="187"/>
        <v>173</v>
      </c>
      <c r="W352" s="57">
        <f t="shared" si="188"/>
        <v>-22351.289748918411</v>
      </c>
      <c r="X352" s="57">
        <f t="shared" si="189"/>
        <v>-159404.99068361684</v>
      </c>
      <c r="Y352" s="57">
        <f t="shared" si="190"/>
        <v>99.452774772295541</v>
      </c>
      <c r="Z352" s="57">
        <f t="shared" si="191"/>
        <v>1108.0609047257562</v>
      </c>
      <c r="AA352" s="57">
        <f t="shared" si="166"/>
        <v>17.69918341683162</v>
      </c>
      <c r="AB352" s="57">
        <f t="shared" si="167"/>
        <v>109.98594028324212</v>
      </c>
      <c r="AC352" s="57">
        <f t="shared" si="168"/>
        <v>4.321305128394938</v>
      </c>
      <c r="AD352" s="57">
        <f t="shared" si="169"/>
        <v>17.030116354703043</v>
      </c>
      <c r="AE352" s="57">
        <f t="shared" si="170"/>
        <v>8.6613118360639438E-2</v>
      </c>
      <c r="AF352" s="57">
        <f t="shared" si="171"/>
        <v>6.2402749451498014</v>
      </c>
      <c r="AG352" s="57">
        <f t="shared" si="172"/>
        <v>2.9320636768952837</v>
      </c>
      <c r="AH352" s="57">
        <f t="shared" si="173"/>
        <v>24.40191098602498</v>
      </c>
      <c r="AJ352" s="57">
        <f t="shared" si="174"/>
        <v>172194.38916089881</v>
      </c>
      <c r="AK352" s="57">
        <f t="shared" si="175"/>
        <v>169421.30749111719</v>
      </c>
      <c r="AL352" s="57">
        <f t="shared" si="176"/>
        <v>145443.69560172205</v>
      </c>
      <c r="AN352" s="41">
        <v>347</v>
      </c>
      <c r="AO352" s="57">
        <f t="shared" si="177"/>
        <v>12307.775485889262</v>
      </c>
      <c r="AP352" s="57">
        <f t="shared" si="178"/>
        <v>13312.867092421009</v>
      </c>
      <c r="AR352" s="41">
        <v>347</v>
      </c>
      <c r="AS352" s="57">
        <f t="shared" si="179"/>
        <v>18410.295226748323</v>
      </c>
      <c r="AT352" s="57">
        <f t="shared" si="180"/>
        <v>-5787.3286902035288</v>
      </c>
      <c r="AV352" s="57">
        <f t="shared" si="181"/>
        <v>8.6907891545534692</v>
      </c>
      <c r="AW352" s="57">
        <f t="shared" si="182"/>
        <v>55.416655501341175</v>
      </c>
      <c r="AX352" s="57">
        <f t="shared" si="183"/>
        <v>1.6684123386272871</v>
      </c>
      <c r="AY352" s="57">
        <f t="shared" si="184"/>
        <v>6.8969824960231083</v>
      </c>
      <c r="BA352" s="57">
        <f t="shared" si="185"/>
        <v>176536.66425499765</v>
      </c>
      <c r="BB352" s="57">
        <f t="shared" si="186"/>
        <v>158858.49046845266</v>
      </c>
    </row>
    <row r="353" spans="9:54" x14ac:dyDescent="0.25">
      <c r="I353" s="41">
        <v>348</v>
      </c>
      <c r="J353" s="57">
        <f t="shared" si="160"/>
        <v>24890.73800366903</v>
      </c>
      <c r="K353" s="57">
        <f t="shared" si="161"/>
        <v>6460.4415459112006</v>
      </c>
      <c r="M353" s="41">
        <v>348</v>
      </c>
      <c r="N353" s="57">
        <f t="shared" si="162"/>
        <v>-16576.483397431679</v>
      </c>
      <c r="O353" s="57">
        <f t="shared" si="163"/>
        <v>9272.309082137841</v>
      </c>
      <c r="Q353" s="41">
        <v>348</v>
      </c>
      <c r="R353" s="57">
        <f t="shared" si="164"/>
        <v>-109.26199633097167</v>
      </c>
      <c r="S353" s="41">
        <f t="shared" si="165"/>
        <v>-16039.558454088799</v>
      </c>
      <c r="U353" s="41">
        <v>347</v>
      </c>
      <c r="V353" s="41">
        <f t="shared" si="187"/>
        <v>173.5</v>
      </c>
      <c r="W353" s="57">
        <f t="shared" si="188"/>
        <v>-22299.350963605157</v>
      </c>
      <c r="X353" s="57">
        <f t="shared" si="189"/>
        <v>-158837.21198871857</v>
      </c>
      <c r="Y353" s="57">
        <f t="shared" si="190"/>
        <v>108.30236648071136</v>
      </c>
      <c r="Z353" s="57">
        <f t="shared" si="191"/>
        <v>1163.0538748673773</v>
      </c>
      <c r="AA353" s="57">
        <f t="shared" si="166"/>
        <v>17.843815965854549</v>
      </c>
      <c r="AB353" s="57">
        <f t="shared" si="167"/>
        <v>110.72915334023386</v>
      </c>
      <c r="AC353" s="57">
        <f t="shared" si="168"/>
        <v>4.3584805914101423</v>
      </c>
      <c r="AD353" s="57">
        <f t="shared" si="169"/>
        <v>17.139211206949327</v>
      </c>
      <c r="AE353" s="57">
        <f t="shared" si="170"/>
        <v>8.555670719495459E-2</v>
      </c>
      <c r="AF353" s="57">
        <f t="shared" si="171"/>
        <v>6.2822753630801458</v>
      </c>
      <c r="AG353" s="57">
        <f t="shared" si="172"/>
        <v>2.9577580377399886</v>
      </c>
      <c r="AH353" s="57">
        <f t="shared" si="173"/>
        <v>24.592579847694061</v>
      </c>
      <c r="AJ353" s="57">
        <f t="shared" si="174"/>
        <v>171631.3001294407</v>
      </c>
      <c r="AK353" s="57">
        <f t="shared" si="175"/>
        <v>168852.86840020612</v>
      </c>
      <c r="AL353" s="57">
        <f t="shared" si="176"/>
        <v>144873.77642779093</v>
      </c>
      <c r="AN353" s="41">
        <v>348</v>
      </c>
      <c r="AO353" s="57">
        <f t="shared" si="177"/>
        <v>12336.107005503542</v>
      </c>
      <c r="AP353" s="57">
        <f t="shared" si="178"/>
        <v>13440.662318866802</v>
      </c>
      <c r="AR353" s="41">
        <v>348</v>
      </c>
      <c r="AS353" s="57">
        <f t="shared" si="179"/>
        <v>18423.516602568321</v>
      </c>
      <c r="AT353" s="57">
        <f t="shared" si="180"/>
        <v>-5727.690917862159</v>
      </c>
      <c r="AV353" s="57">
        <f t="shared" si="181"/>
        <v>8.7580893138399087</v>
      </c>
      <c r="AW353" s="57">
        <f t="shared" si="182"/>
        <v>55.769891038649803</v>
      </c>
      <c r="AX353" s="57">
        <f t="shared" si="183"/>
        <v>1.6839313156695572</v>
      </c>
      <c r="AY353" s="57">
        <f t="shared" si="184"/>
        <v>6.9451958838605199</v>
      </c>
      <c r="BA353" s="57">
        <f t="shared" si="185"/>
        <v>175967.69827171339</v>
      </c>
      <c r="BB353" s="57">
        <f t="shared" si="186"/>
        <v>158294.43886241908</v>
      </c>
    </row>
    <row r="354" spans="9:54" x14ac:dyDescent="0.25">
      <c r="I354" s="41">
        <v>349</v>
      </c>
      <c r="J354" s="57">
        <f t="shared" si="160"/>
        <v>24908.13591723832</v>
      </c>
      <c r="K354" s="57">
        <f t="shared" si="161"/>
        <v>6545.9550231172771</v>
      </c>
      <c r="M354" s="41">
        <v>349</v>
      </c>
      <c r="N354" s="57">
        <f t="shared" si="162"/>
        <v>-16564.304857933177</v>
      </c>
      <c r="O354" s="57">
        <f t="shared" si="163"/>
        <v>9332.1685161820933</v>
      </c>
      <c r="Q354" s="41">
        <v>349</v>
      </c>
      <c r="R354" s="57">
        <f t="shared" si="164"/>
        <v>-91.864082761680038</v>
      </c>
      <c r="S354" s="41">
        <f t="shared" si="165"/>
        <v>-15954.044976882724</v>
      </c>
      <c r="U354" s="41">
        <v>348</v>
      </c>
      <c r="V354" s="41">
        <f t="shared" si="187"/>
        <v>174</v>
      </c>
      <c r="W354" s="57">
        <f t="shared" si="188"/>
        <v>-22242.969303369067</v>
      </c>
      <c r="X354" s="57">
        <f t="shared" si="189"/>
        <v>-158241.84390711735</v>
      </c>
      <c r="Y354" s="57">
        <f t="shared" si="190"/>
        <v>117.22427446363864</v>
      </c>
      <c r="Z354" s="57">
        <f t="shared" si="191"/>
        <v>1218.4184515374943</v>
      </c>
      <c r="AA354" s="57">
        <f t="shared" si="166"/>
        <v>17.996120994539364</v>
      </c>
      <c r="AB354" s="57">
        <f t="shared" si="167"/>
        <v>111.51721527073784</v>
      </c>
      <c r="AC354" s="57">
        <f t="shared" si="168"/>
        <v>4.3977826938493578</v>
      </c>
      <c r="AD354" s="57">
        <f t="shared" si="169"/>
        <v>17.254862165270882</v>
      </c>
      <c r="AE354" s="57">
        <f t="shared" si="170"/>
        <v>8.4347397582337405E-2</v>
      </c>
      <c r="AF354" s="57">
        <f t="shared" si="171"/>
        <v>6.3267748143961873</v>
      </c>
      <c r="AG354" s="57">
        <f t="shared" si="172"/>
        <v>2.9847425233864473</v>
      </c>
      <c r="AH354" s="57">
        <f t="shared" si="173"/>
        <v>24.795034724925298</v>
      </c>
      <c r="AJ354" s="57">
        <f t="shared" si="174"/>
        <v>171040.42585686178</v>
      </c>
      <c r="AK354" s="57">
        <f t="shared" si="175"/>
        <v>168256.79466982215</v>
      </c>
      <c r="AL354" s="57">
        <f t="shared" si="176"/>
        <v>144275.9364423184</v>
      </c>
      <c r="AN354" s="41">
        <v>349</v>
      </c>
      <c r="AO354" s="57">
        <f t="shared" si="177"/>
        <v>12362.20387585748</v>
      </c>
      <c r="AP354" s="57">
        <f t="shared" si="178"/>
        <v>13568.932534675914</v>
      </c>
      <c r="AR354" s="41">
        <v>349</v>
      </c>
      <c r="AS354" s="57">
        <f t="shared" si="179"/>
        <v>18435.695142066823</v>
      </c>
      <c r="AT354" s="57">
        <f t="shared" si="180"/>
        <v>-5667.8314838179067</v>
      </c>
      <c r="AV354" s="57">
        <f t="shared" si="181"/>
        <v>8.8288978024200251</v>
      </c>
      <c r="AW354" s="57">
        <f t="shared" si="182"/>
        <v>56.144193311908474</v>
      </c>
      <c r="AX354" s="57">
        <f t="shared" si="183"/>
        <v>1.700350577301196</v>
      </c>
      <c r="AY354" s="57">
        <f t="shared" si="184"/>
        <v>6.9963502542369937</v>
      </c>
      <c r="BA354" s="57">
        <f t="shared" si="185"/>
        <v>175370.79533606023</v>
      </c>
      <c r="BB354" s="57">
        <f t="shared" si="186"/>
        <v>157702.5728597508</v>
      </c>
    </row>
    <row r="355" spans="9:54" x14ac:dyDescent="0.25">
      <c r="I355" s="41">
        <v>350</v>
      </c>
      <c r="J355" s="57">
        <f t="shared" si="160"/>
        <v>24924.038765061039</v>
      </c>
      <c r="K355" s="57">
        <f t="shared" si="161"/>
        <v>6631.7591116653439</v>
      </c>
      <c r="M355" s="41">
        <v>350</v>
      </c>
      <c r="N355" s="57">
        <f t="shared" si="162"/>
        <v>-16553.172864457272</v>
      </c>
      <c r="O355" s="57">
        <f t="shared" si="163"/>
        <v>9392.2313781657413</v>
      </c>
      <c r="Q355" s="41">
        <v>350</v>
      </c>
      <c r="R355" s="57">
        <f t="shared" si="164"/>
        <v>-75.961234938960843</v>
      </c>
      <c r="S355" s="41">
        <f t="shared" si="165"/>
        <v>-15868.240888334656</v>
      </c>
      <c r="U355" s="41">
        <v>349</v>
      </c>
      <c r="V355" s="41">
        <f t="shared" si="187"/>
        <v>174.5</v>
      </c>
      <c r="W355" s="57">
        <f t="shared" si="188"/>
        <v>-22182.107651012931</v>
      </c>
      <c r="X355" s="57">
        <f t="shared" si="189"/>
        <v>-157618.69502943975</v>
      </c>
      <c r="Y355" s="57">
        <f t="shared" si="190"/>
        <v>126.22233496090831</v>
      </c>
      <c r="Z355" s="57">
        <f t="shared" si="191"/>
        <v>1274.1770591728632</v>
      </c>
      <c r="AA355" s="57">
        <f t="shared" si="166"/>
        <v>18.156392288898772</v>
      </c>
      <c r="AB355" s="57">
        <f t="shared" si="167"/>
        <v>112.35169698158015</v>
      </c>
      <c r="AC355" s="57">
        <f t="shared" si="168"/>
        <v>4.4392952666115697</v>
      </c>
      <c r="AD355" s="57">
        <f t="shared" si="169"/>
        <v>17.377288193793444</v>
      </c>
      <c r="AE355" s="57">
        <f t="shared" si="170"/>
        <v>8.297670972026297E-2</v>
      </c>
      <c r="AF355" s="57">
        <f t="shared" si="171"/>
        <v>6.3738596006896469</v>
      </c>
      <c r="AG355" s="57">
        <f t="shared" si="172"/>
        <v>3.0130687370449247</v>
      </c>
      <c r="AH355" s="57">
        <f t="shared" si="173"/>
        <v>25.009733383087969</v>
      </c>
      <c r="AJ355" s="57">
        <f t="shared" si="174"/>
        <v>170421.57625754661</v>
      </c>
      <c r="AK355" s="57">
        <f t="shared" si="175"/>
        <v>167632.89807544622</v>
      </c>
      <c r="AL355" s="57">
        <f t="shared" si="176"/>
        <v>143649.98083964837</v>
      </c>
      <c r="AN355" s="41">
        <v>350</v>
      </c>
      <c r="AO355" s="57">
        <f t="shared" si="177"/>
        <v>12386.058147591561</v>
      </c>
      <c r="AP355" s="57">
        <f t="shared" si="178"/>
        <v>13697.638667498015</v>
      </c>
      <c r="AR355" s="41">
        <v>350</v>
      </c>
      <c r="AS355" s="57">
        <f t="shared" si="179"/>
        <v>18446.827135542728</v>
      </c>
      <c r="AT355" s="57">
        <f t="shared" si="180"/>
        <v>-5607.7686218342596</v>
      </c>
      <c r="AV355" s="57">
        <f t="shared" si="181"/>
        <v>8.9033437378317561</v>
      </c>
      <c r="AW355" s="57">
        <f t="shared" si="182"/>
        <v>56.540265278722075</v>
      </c>
      <c r="AX355" s="57">
        <f t="shared" si="183"/>
        <v>1.7177078376902553</v>
      </c>
      <c r="AY355" s="57">
        <f t="shared" si="184"/>
        <v>7.0505505252870115</v>
      </c>
      <c r="BA355" s="57">
        <f t="shared" si="185"/>
        <v>174745.76060671109</v>
      </c>
      <c r="BB355" s="57">
        <f t="shared" si="186"/>
        <v>157082.70179068303</v>
      </c>
    </row>
    <row r="356" spans="9:54" x14ac:dyDescent="0.25">
      <c r="I356" s="41">
        <v>351</v>
      </c>
      <c r="J356" s="57">
        <f t="shared" si="160"/>
        <v>24938.441702975688</v>
      </c>
      <c r="K356" s="57">
        <f t="shared" si="161"/>
        <v>6717.8276747988448</v>
      </c>
      <c r="M356" s="41">
        <v>351</v>
      </c>
      <c r="N356" s="57">
        <f t="shared" si="162"/>
        <v>-16543.090807917019</v>
      </c>
      <c r="O356" s="57">
        <f t="shared" si="163"/>
        <v>9452.4793723591902</v>
      </c>
      <c r="Q356" s="41">
        <v>351</v>
      </c>
      <c r="R356" s="57">
        <f t="shared" si="164"/>
        <v>-61.558297024311287</v>
      </c>
      <c r="S356" s="41">
        <f t="shared" si="165"/>
        <v>-15782.172325201156</v>
      </c>
      <c r="U356" s="41">
        <v>350</v>
      </c>
      <c r="V356" s="41">
        <f t="shared" si="187"/>
        <v>175</v>
      </c>
      <c r="W356" s="57">
        <f t="shared" si="188"/>
        <v>-22116.726934496368</v>
      </c>
      <c r="X356" s="57">
        <f t="shared" si="189"/>
        <v>-156967.56253773061</v>
      </c>
      <c r="Y356" s="57">
        <f t="shared" si="190"/>
        <v>135.30053110535769</v>
      </c>
      <c r="Z356" s="57">
        <f t="shared" si="191"/>
        <v>1330.3529076636532</v>
      </c>
      <c r="AA356" s="57">
        <f t="shared" si="166"/>
        <v>18.324945488913833</v>
      </c>
      <c r="AB356" s="57">
        <f t="shared" si="167"/>
        <v>113.23429218701504</v>
      </c>
      <c r="AC356" s="57">
        <f t="shared" si="168"/>
        <v>4.4831086974250045</v>
      </c>
      <c r="AD356" s="57">
        <f t="shared" si="169"/>
        <v>17.506725088204146</v>
      </c>
      <c r="AE356" s="57">
        <f t="shared" si="170"/>
        <v>8.1435309297646238E-2</v>
      </c>
      <c r="AF356" s="57">
        <f t="shared" si="171"/>
        <v>6.4236226583327936</v>
      </c>
      <c r="AG356" s="57">
        <f t="shared" si="172"/>
        <v>3.0427919900949383</v>
      </c>
      <c r="AH356" s="57">
        <f t="shared" si="173"/>
        <v>25.237170856100896</v>
      </c>
      <c r="AJ356" s="57">
        <f t="shared" si="174"/>
        <v>169774.5499619341</v>
      </c>
      <c r="AK356" s="57">
        <f t="shared" si="175"/>
        <v>166980.97937401794</v>
      </c>
      <c r="AL356" s="57">
        <f t="shared" si="176"/>
        <v>142995.70327060379</v>
      </c>
      <c r="AN356" s="41">
        <v>351</v>
      </c>
      <c r="AO356" s="57">
        <f t="shared" si="177"/>
        <v>12407.662554463532</v>
      </c>
      <c r="AP356" s="57">
        <f t="shared" si="178"/>
        <v>13826.741512198267</v>
      </c>
      <c r="AR356" s="41">
        <v>351</v>
      </c>
      <c r="AS356" s="57">
        <f t="shared" si="179"/>
        <v>18456.909192082981</v>
      </c>
      <c r="AT356" s="57">
        <f t="shared" si="180"/>
        <v>-5547.5206276408089</v>
      </c>
      <c r="AV356" s="57">
        <f t="shared" si="181"/>
        <v>8.9815656532787997</v>
      </c>
      <c r="AW356" s="57">
        <f t="shared" si="182"/>
        <v>56.958863689484652</v>
      </c>
      <c r="AX356" s="57">
        <f t="shared" si="183"/>
        <v>1.7360438388174455</v>
      </c>
      <c r="AY356" s="57">
        <f t="shared" si="184"/>
        <v>7.1079098948925639</v>
      </c>
      <c r="BA356" s="57">
        <f t="shared" si="185"/>
        <v>174092.38767047896</v>
      </c>
      <c r="BB356" s="57">
        <f t="shared" si="186"/>
        <v>156434.62366748939</v>
      </c>
    </row>
    <row r="357" spans="9:54" x14ac:dyDescent="0.25">
      <c r="I357" s="41">
        <v>352</v>
      </c>
      <c r="J357" s="57">
        <f t="shared" si="160"/>
        <v>24951.340343707852</v>
      </c>
      <c r="K357" s="57">
        <f t="shared" si="161"/>
        <v>6804.1344951996707</v>
      </c>
      <c r="M357" s="41">
        <v>352</v>
      </c>
      <c r="N357" s="57">
        <f t="shared" si="162"/>
        <v>-16534.061759404503</v>
      </c>
      <c r="O357" s="57">
        <f t="shared" si="163"/>
        <v>9512.89414663977</v>
      </c>
      <c r="Q357" s="41">
        <v>352</v>
      </c>
      <c r="R357" s="57">
        <f t="shared" si="164"/>
        <v>-48.659656292148611</v>
      </c>
      <c r="S357" s="41">
        <f t="shared" si="165"/>
        <v>-15695.865504800329</v>
      </c>
      <c r="U357" s="41">
        <v>351</v>
      </c>
      <c r="V357" s="41">
        <f t="shared" si="187"/>
        <v>175.5</v>
      </c>
      <c r="W357" s="57">
        <f t="shared" si="188"/>
        <v>-22046.786050757575</v>
      </c>
      <c r="X357" s="57">
        <f t="shared" si="189"/>
        <v>-156288.2317973754</v>
      </c>
      <c r="Y357" s="57">
        <f t="shared" si="190"/>
        <v>144.46300384981461</v>
      </c>
      <c r="Z357" s="57">
        <f t="shared" si="191"/>
        <v>1386.9700537571607</v>
      </c>
      <c r="AA357" s="57">
        <f t="shared" si="166"/>
        <v>18.502119733461001</v>
      </c>
      <c r="AB357" s="57">
        <f t="shared" si="167"/>
        <v>114.16682635531522</v>
      </c>
      <c r="AC357" s="57">
        <f t="shared" si="168"/>
        <v>4.5293204370095257</v>
      </c>
      <c r="AD357" s="57">
        <f t="shared" si="169"/>
        <v>17.643426651586832</v>
      </c>
      <c r="AE357" s="57">
        <f t="shared" si="170"/>
        <v>7.9712930130539539E-2</v>
      </c>
      <c r="AF357" s="57">
        <f t="shared" si="171"/>
        <v>6.4761640318434681</v>
      </c>
      <c r="AG357" s="57">
        <f t="shared" si="172"/>
        <v>3.0739715852546459</v>
      </c>
      <c r="AH357" s="57">
        <f t="shared" si="173"/>
        <v>25.477882375176666</v>
      </c>
      <c r="AJ357" s="57">
        <f t="shared" si="174"/>
        <v>169099.13392004394</v>
      </c>
      <c r="AK357" s="57">
        <f t="shared" si="175"/>
        <v>166300.827921677</v>
      </c>
      <c r="AL357" s="57">
        <f t="shared" si="176"/>
        <v>142312.88542886474</v>
      </c>
      <c r="AN357" s="41">
        <v>352</v>
      </c>
      <c r="AO357" s="57">
        <f t="shared" si="177"/>
        <v>12427.010515561777</v>
      </c>
      <c r="AP357" s="57">
        <f t="shared" si="178"/>
        <v>13956.201742799505</v>
      </c>
      <c r="AR357" s="41">
        <v>352</v>
      </c>
      <c r="AS357" s="57">
        <f t="shared" si="179"/>
        <v>18465.938240595497</v>
      </c>
      <c r="AT357" s="57">
        <f t="shared" si="180"/>
        <v>-5487.1058533602309</v>
      </c>
      <c r="AV357" s="57">
        <f t="shared" si="181"/>
        <v>9.0637121853492104</v>
      </c>
      <c r="AW357" s="57">
        <f t="shared" si="182"/>
        <v>57.400802847157728</v>
      </c>
      <c r="AX357" s="57">
        <f t="shared" si="183"/>
        <v>1.7554025957170805</v>
      </c>
      <c r="AY357" s="57">
        <f t="shared" si="184"/>
        <v>7.1685504495505201</v>
      </c>
      <c r="BA357" s="57">
        <f t="shared" si="185"/>
        <v>173410.45812737723</v>
      </c>
      <c r="BB357" s="57">
        <f t="shared" si="186"/>
        <v>155758.12478669288</v>
      </c>
    </row>
    <row r="358" spans="9:54" x14ac:dyDescent="0.25">
      <c r="I358" s="41">
        <v>353</v>
      </c>
      <c r="J358" s="57">
        <f t="shared" si="160"/>
        <v>24962.73075820661</v>
      </c>
      <c r="K358" s="57">
        <f t="shared" si="161"/>
        <v>6890.6532829742591</v>
      </c>
      <c r="M358" s="41">
        <v>353</v>
      </c>
      <c r="N358" s="57">
        <f t="shared" si="162"/>
        <v>-16526.088469255374</v>
      </c>
      <c r="O358" s="57">
        <f t="shared" si="163"/>
        <v>9573.4572980819812</v>
      </c>
      <c r="Q358" s="41">
        <v>353</v>
      </c>
      <c r="R358" s="57">
        <f t="shared" si="164"/>
        <v>-37.269241793390393</v>
      </c>
      <c r="S358" s="41">
        <f t="shared" si="165"/>
        <v>-15609.346717025741</v>
      </c>
      <c r="U358" s="41">
        <v>352</v>
      </c>
      <c r="V358" s="41">
        <f t="shared" si="187"/>
        <v>176</v>
      </c>
      <c r="W358" s="57">
        <f t="shared" si="188"/>
        <v>-21972.241783865986</v>
      </c>
      <c r="X358" s="57">
        <f t="shared" si="189"/>
        <v>-155580.47591720242</v>
      </c>
      <c r="Y358" s="57">
        <f t="shared" si="190"/>
        <v>153.71406371654513</v>
      </c>
      <c r="Z358" s="57">
        <f t="shared" si="191"/>
        <v>1444.0534669348183</v>
      </c>
      <c r="AA358" s="57">
        <f t="shared" si="166"/>
        <v>18.688279472882972</v>
      </c>
      <c r="AB358" s="57">
        <f t="shared" si="167"/>
        <v>115.15126658588187</v>
      </c>
      <c r="AC358" s="57">
        <f t="shared" si="168"/>
        <v>4.5780355586697201</v>
      </c>
      <c r="AD358" s="57">
        <f t="shared" si="169"/>
        <v>17.787665989304394</v>
      </c>
      <c r="AE358" s="57">
        <f t="shared" si="170"/>
        <v>7.779828747240744E-2</v>
      </c>
      <c r="AF358" s="57">
        <f t="shared" si="171"/>
        <v>6.5315913954391087</v>
      </c>
      <c r="AG358" s="57">
        <f t="shared" si="172"/>
        <v>3.1066711278800456</v>
      </c>
      <c r="AH358" s="57">
        <f t="shared" si="173"/>
        <v>25.732446617086048</v>
      </c>
      <c r="AJ358" s="57">
        <f t="shared" si="174"/>
        <v>168395.10297435772</v>
      </c>
      <c r="AK358" s="57">
        <f t="shared" si="175"/>
        <v>165592.22126241704</v>
      </c>
      <c r="AL358" s="57">
        <f t="shared" si="176"/>
        <v>141601.29660521168</v>
      </c>
      <c r="AN358" s="41">
        <v>353</v>
      </c>
      <c r="AO358" s="57">
        <f t="shared" si="177"/>
        <v>12444.096137309916</v>
      </c>
      <c r="AP358" s="57">
        <f t="shared" si="178"/>
        <v>14085.97992446139</v>
      </c>
      <c r="AR358" s="41">
        <v>353</v>
      </c>
      <c r="AS358" s="57">
        <f t="shared" si="179"/>
        <v>18473.911530744626</v>
      </c>
      <c r="AT358" s="57">
        <f t="shared" si="180"/>
        <v>-5426.5427019180188</v>
      </c>
      <c r="AV358" s="57">
        <f t="shared" si="181"/>
        <v>9.1499428303954033</v>
      </c>
      <c r="AW358" s="57">
        <f t="shared" si="182"/>
        <v>57.866958747109713</v>
      </c>
      <c r="AX358" s="57">
        <f t="shared" si="183"/>
        <v>1.7758316684653968</v>
      </c>
      <c r="AY358" s="57">
        <f t="shared" si="184"/>
        <v>7.2326038369426104</v>
      </c>
      <c r="BA358" s="57">
        <f t="shared" si="185"/>
        <v>172699.74114336882</v>
      </c>
      <c r="BB358" s="57">
        <f t="shared" si="186"/>
        <v>155052.9793005469</v>
      </c>
    </row>
    <row r="359" spans="9:54" x14ac:dyDescent="0.25">
      <c r="I359" s="41">
        <v>354</v>
      </c>
      <c r="J359" s="57">
        <f t="shared" si="160"/>
        <v>24972.609476841368</v>
      </c>
      <c r="K359" s="57">
        <f t="shared" si="161"/>
        <v>6977.3576836617331</v>
      </c>
      <c r="M359" s="41">
        <v>354</v>
      </c>
      <c r="N359" s="57">
        <f t="shared" si="162"/>
        <v>-16519.173366211042</v>
      </c>
      <c r="O359" s="57">
        <f t="shared" si="163"/>
        <v>9634.1503785632121</v>
      </c>
      <c r="Q359" s="41">
        <v>354</v>
      </c>
      <c r="R359" s="57">
        <f t="shared" si="164"/>
        <v>-27.390523158633187</v>
      </c>
      <c r="S359" s="41">
        <f t="shared" si="165"/>
        <v>-15522.642316338268</v>
      </c>
      <c r="U359" s="41">
        <v>353</v>
      </c>
      <c r="V359" s="41">
        <f t="shared" si="187"/>
        <v>176.5</v>
      </c>
      <c r="W359" s="57">
        <f t="shared" si="188"/>
        <v>-21893.048717073605</v>
      </c>
      <c r="X359" s="57">
        <f t="shared" si="189"/>
        <v>-154844.05527541178</v>
      </c>
      <c r="Y359" s="57">
        <f t="shared" si="190"/>
        <v>163.05820345298662</v>
      </c>
      <c r="Z359" s="57">
        <f t="shared" si="191"/>
        <v>1501.6291002277592</v>
      </c>
      <c r="AA359" s="57">
        <f t="shared" si="166"/>
        <v>18.883816468099635</v>
      </c>
      <c r="AB359" s="57">
        <f t="shared" si="167"/>
        <v>116.18973252115761</v>
      </c>
      <c r="AC359" s="57">
        <f t="shared" si="168"/>
        <v>4.6293673774886113</v>
      </c>
      <c r="AD359" s="57">
        <f t="shared" si="169"/>
        <v>17.939736935758113</v>
      </c>
      <c r="AE359" s="57">
        <f t="shared" si="170"/>
        <v>7.5678980807413213E-2</v>
      </c>
      <c r="AF359" s="57">
        <f t="shared" si="171"/>
        <v>6.5900206280422902</v>
      </c>
      <c r="AG359" s="57">
        <f t="shared" si="172"/>
        <v>3.1409588685390712</v>
      </c>
      <c r="AH359" s="57">
        <f t="shared" si="173"/>
        <v>26.001489309968871</v>
      </c>
      <c r="AJ359" s="57">
        <f t="shared" si="174"/>
        <v>167662.219399831</v>
      </c>
      <c r="AK359" s="57">
        <f t="shared" si="175"/>
        <v>164854.92468557993</v>
      </c>
      <c r="AL359" s="57">
        <f t="shared" si="176"/>
        <v>140860.69320726008</v>
      </c>
      <c r="AN359" s="41">
        <v>354</v>
      </c>
      <c r="AO359" s="57">
        <f t="shared" si="177"/>
        <v>12458.91421526205</v>
      </c>
      <c r="AP359" s="57">
        <f t="shared" si="178"/>
        <v>14216.0365254926</v>
      </c>
      <c r="AR359" s="41">
        <v>354</v>
      </c>
      <c r="AS359" s="57">
        <f t="shared" si="179"/>
        <v>18480.826633788958</v>
      </c>
      <c r="AT359" s="57">
        <f t="shared" si="180"/>
        <v>-5365.8496214367869</v>
      </c>
      <c r="AV359" s="57">
        <f t="shared" si="181"/>
        <v>9.240428777130596</v>
      </c>
      <c r="AW359" s="57">
        <f t="shared" si="182"/>
        <v>58.358273638015916</v>
      </c>
      <c r="AX359" s="57">
        <f t="shared" si="183"/>
        <v>1.7973824641339415</v>
      </c>
      <c r="AY359" s="57">
        <f t="shared" si="184"/>
        <v>7.3002120093724123</v>
      </c>
      <c r="BA359" s="57">
        <f t="shared" si="185"/>
        <v>171959.99296841118</v>
      </c>
      <c r="BB359" s="57">
        <f t="shared" si="186"/>
        <v>154318.9487555596</v>
      </c>
    </row>
    <row r="360" spans="9:54" x14ac:dyDescent="0.25">
      <c r="I360" s="41">
        <v>355</v>
      </c>
      <c r="J360" s="57">
        <f t="shared" si="160"/>
        <v>24980.973490458728</v>
      </c>
      <c r="K360" s="57">
        <f t="shared" si="161"/>
        <v>7064.2212862617089</v>
      </c>
      <c r="M360" s="41">
        <v>355</v>
      </c>
      <c r="N360" s="57">
        <f t="shared" si="162"/>
        <v>-16513.318556678889</v>
      </c>
      <c r="O360" s="57">
        <f t="shared" si="163"/>
        <v>9694.9549003831962</v>
      </c>
      <c r="Q360" s="41">
        <v>355</v>
      </c>
      <c r="R360" s="57">
        <f t="shared" si="164"/>
        <v>-19.026509541272389</v>
      </c>
      <c r="S360" s="41">
        <f t="shared" si="165"/>
        <v>-15435.778713738291</v>
      </c>
      <c r="U360" s="41">
        <v>354</v>
      </c>
      <c r="V360" s="41">
        <f t="shared" si="187"/>
        <v>177</v>
      </c>
      <c r="W360" s="57">
        <f t="shared" si="188"/>
        <v>-21809.1591382886</v>
      </c>
      <c r="X360" s="57">
        <f t="shared" si="189"/>
        <v>-154078.71700873275</v>
      </c>
      <c r="Y360" s="57">
        <f t="shared" si="190"/>
        <v>172.50011168703642</v>
      </c>
      <c r="Z360" s="57">
        <f t="shared" si="191"/>
        <v>1559.723966488338</v>
      </c>
      <c r="AA360" s="57">
        <f t="shared" si="166"/>
        <v>19.089151997699787</v>
      </c>
      <c r="AB360" s="57">
        <f t="shared" si="167"/>
        <v>117.2845084118559</v>
      </c>
      <c r="AC360" s="57">
        <f t="shared" si="168"/>
        <v>4.6834381361433648</v>
      </c>
      <c r="AD360" s="57">
        <f t="shared" si="169"/>
        <v>18.099955627540798</v>
      </c>
      <c r="AE360" s="57">
        <f t="shared" si="170"/>
        <v>7.3341384755839137E-2</v>
      </c>
      <c r="AF360" s="57">
        <f t="shared" si="171"/>
        <v>6.6515764477001316</v>
      </c>
      <c r="AG360" s="57">
        <f t="shared" si="172"/>
        <v>3.1769080804155907</v>
      </c>
      <c r="AH360" s="57">
        <f t="shared" si="173"/>
        <v>26.285687240144824</v>
      </c>
      <c r="AJ360" s="57">
        <f t="shared" si="174"/>
        <v>166900.23240858261</v>
      </c>
      <c r="AK360" s="57">
        <f t="shared" si="175"/>
        <v>164088.69074990958</v>
      </c>
      <c r="AL360" s="57">
        <f t="shared" si="176"/>
        <v>140090.81824206567</v>
      </c>
      <c r="AN360" s="41">
        <v>355</v>
      </c>
      <c r="AO360" s="57">
        <f t="shared" si="177"/>
        <v>12471.460235688091</v>
      </c>
      <c r="AP360" s="57">
        <f t="shared" si="178"/>
        <v>14346.331929392563</v>
      </c>
      <c r="AR360" s="41">
        <v>355</v>
      </c>
      <c r="AS360" s="57">
        <f t="shared" si="179"/>
        <v>18486.681443321111</v>
      </c>
      <c r="AT360" s="57">
        <f t="shared" si="180"/>
        <v>-5305.0450996168038</v>
      </c>
      <c r="AV360" s="57">
        <f t="shared" si="181"/>
        <v>9.3353538239979379</v>
      </c>
      <c r="AW360" s="57">
        <f t="shared" si="182"/>
        <v>58.875761050254951</v>
      </c>
      <c r="AX360" s="57">
        <f t="shared" si="183"/>
        <v>1.8201105723870563</v>
      </c>
      <c r="AY360" s="57">
        <f t="shared" si="184"/>
        <v>7.3715280462151913</v>
      </c>
      <c r="BA360" s="57">
        <f t="shared" si="185"/>
        <v>171190.95641715778</v>
      </c>
      <c r="BB360" s="57">
        <f t="shared" si="186"/>
        <v>153555.78159560674</v>
      </c>
    </row>
    <row r="361" spans="9:54" x14ac:dyDescent="0.25">
      <c r="I361" s="41">
        <v>356</v>
      </c>
      <c r="J361" s="57">
        <f t="shared" si="160"/>
        <v>24987.820251299123</v>
      </c>
      <c r="K361" s="57">
        <f t="shared" si="161"/>
        <v>7151.2176312793763</v>
      </c>
      <c r="M361" s="41">
        <v>356</v>
      </c>
      <c r="N361" s="57">
        <f t="shared" si="162"/>
        <v>-16508.525824090615</v>
      </c>
      <c r="O361" s="57">
        <f t="shared" si="163"/>
        <v>9755.8523418955629</v>
      </c>
      <c r="Q361" s="41">
        <v>356</v>
      </c>
      <c r="R361" s="57">
        <f t="shared" si="164"/>
        <v>-12.179748700878008</v>
      </c>
      <c r="S361" s="41">
        <f t="shared" si="165"/>
        <v>-15348.782368720624</v>
      </c>
      <c r="U361" s="41">
        <v>355</v>
      </c>
      <c r="V361" s="41">
        <f t="shared" si="187"/>
        <v>177.5</v>
      </c>
      <c r="W361" s="57">
        <f t="shared" si="188"/>
        <v>-21720.522938445371</v>
      </c>
      <c r="X361" s="57">
        <f t="shared" si="189"/>
        <v>-153284.19446193712</v>
      </c>
      <c r="Y361" s="57">
        <f t="shared" si="190"/>
        <v>182.04468768588632</v>
      </c>
      <c r="Z361" s="57">
        <f t="shared" si="191"/>
        <v>1618.3662206942658</v>
      </c>
      <c r="AA361" s="57">
        <f t="shared" si="166"/>
        <v>19.304739297370503</v>
      </c>
      <c r="AB361" s="57">
        <f t="shared" si="167"/>
        <v>118.43805647033423</v>
      </c>
      <c r="AC361" s="57">
        <f t="shared" si="168"/>
        <v>4.740379765348373</v>
      </c>
      <c r="AD361" s="57">
        <f t="shared" si="169"/>
        <v>18.268662239438498</v>
      </c>
      <c r="AE361" s="57">
        <f t="shared" si="170"/>
        <v>7.0770526511759829E-2</v>
      </c>
      <c r="AF361" s="57">
        <f t="shared" si="171"/>
        <v>6.7163931121786566</v>
      </c>
      <c r="AG361" s="57">
        <f t="shared" si="172"/>
        <v>3.2145974755693647</v>
      </c>
      <c r="AH361" s="57">
        <f t="shared" si="173"/>
        <v>26.585772709679212</v>
      </c>
      <c r="AJ361" s="57">
        <f t="shared" si="174"/>
        <v>166108.87761655412</v>
      </c>
      <c r="AK361" s="57">
        <f t="shared" si="175"/>
        <v>163293.25877165113</v>
      </c>
      <c r="AL361" s="57">
        <f t="shared" si="176"/>
        <v>139291.40075870411</v>
      </c>
      <c r="AN361" s="41">
        <v>356</v>
      </c>
      <c r="AO361" s="57">
        <f t="shared" si="177"/>
        <v>12481.730376948683</v>
      </c>
      <c r="AP361" s="57">
        <f t="shared" si="178"/>
        <v>14476.826446919064</v>
      </c>
      <c r="AR361" s="41">
        <v>356</v>
      </c>
      <c r="AS361" s="57">
        <f t="shared" si="179"/>
        <v>18491.474175909385</v>
      </c>
      <c r="AT361" s="57">
        <f t="shared" si="180"/>
        <v>-5244.1476581044362</v>
      </c>
      <c r="AV361" s="57">
        <f t="shared" si="181"/>
        <v>9.4349153910058519</v>
      </c>
      <c r="AW361" s="57">
        <f t="shared" si="182"/>
        <v>59.420511344390981</v>
      </c>
      <c r="AX361" s="57">
        <f t="shared" si="183"/>
        <v>1.8440761389351561</v>
      </c>
      <c r="AY361" s="57">
        <f t="shared" si="184"/>
        <v>7.4467170646468936</v>
      </c>
      <c r="BA361" s="57">
        <f t="shared" si="185"/>
        <v>170392.36030939606</v>
      </c>
      <c r="BB361" s="57">
        <f t="shared" si="186"/>
        <v>152763.21262692296</v>
      </c>
    </row>
    <row r="362" spans="9:54" x14ac:dyDescent="0.25">
      <c r="I362" s="41">
        <v>357</v>
      </c>
      <c r="J362" s="57">
        <f t="shared" si="160"/>
        <v>24993.14767377287</v>
      </c>
      <c r="K362" s="57">
        <f t="shared" si="161"/>
        <v>7238.3202187852785</v>
      </c>
      <c r="M362" s="41">
        <v>357</v>
      </c>
      <c r="N362" s="57">
        <f t="shared" si="162"/>
        <v>-16504.796628358992</v>
      </c>
      <c r="O362" s="57">
        <f t="shared" si="163"/>
        <v>9816.8241531496951</v>
      </c>
      <c r="Q362" s="41">
        <v>357</v>
      </c>
      <c r="R362" s="57">
        <f t="shared" si="164"/>
        <v>-6.8523262271310159</v>
      </c>
      <c r="S362" s="41">
        <f t="shared" si="165"/>
        <v>-15261.679781214722</v>
      </c>
      <c r="U362" s="41">
        <v>356</v>
      </c>
      <c r="V362" s="41">
        <f t="shared" si="187"/>
        <v>178</v>
      </c>
      <c r="W362" s="57">
        <f t="shared" si="188"/>
        <v>-21627.087502190258</v>
      </c>
      <c r="X362" s="57">
        <f t="shared" si="189"/>
        <v>-152460.20659453119</v>
      </c>
      <c r="Y362" s="57">
        <f t="shared" si="190"/>
        <v>191.69705733457158</v>
      </c>
      <c r="Z362" s="57">
        <f t="shared" si="191"/>
        <v>1677.585248929433</v>
      </c>
      <c r="AA362" s="57">
        <f t="shared" si="166"/>
        <v>19.531066259392666</v>
      </c>
      <c r="AB362" s="57">
        <f t="shared" si="167"/>
        <v>119.65303166583261</v>
      </c>
      <c r="AC362" s="57">
        <f t="shared" si="168"/>
        <v>4.8003347280667779</v>
      </c>
      <c r="AD362" s="57">
        <f t="shared" si="169"/>
        <v>18.446222901952066</v>
      </c>
      <c r="AE362" s="57">
        <f t="shared" si="170"/>
        <v>6.7949947988941661E-2</v>
      </c>
      <c r="AF362" s="57">
        <f t="shared" si="171"/>
        <v>6.7846151934121908</v>
      </c>
      <c r="AG362" s="57">
        <f t="shared" si="172"/>
        <v>3.2541116646184225</v>
      </c>
      <c r="AH362" s="57">
        <f t="shared" si="173"/>
        <v>26.90253850177902</v>
      </c>
      <c r="AJ362" s="57">
        <f t="shared" si="174"/>
        <v>165287.8764691473</v>
      </c>
      <c r="AK362" s="57">
        <f t="shared" si="175"/>
        <v>162468.35427392481</v>
      </c>
      <c r="AL362" s="57">
        <f t="shared" si="176"/>
        <v>138462.1552476224</v>
      </c>
      <c r="AN362" s="41">
        <v>357</v>
      </c>
      <c r="AO362" s="57">
        <f t="shared" si="177"/>
        <v>12489.721510659303</v>
      </c>
      <c r="AP362" s="57">
        <f t="shared" si="178"/>
        <v>14607.480328177917</v>
      </c>
      <c r="AR362" s="41">
        <v>357</v>
      </c>
      <c r="AS362" s="57">
        <f t="shared" si="179"/>
        <v>18495.203371641008</v>
      </c>
      <c r="AT362" s="57">
        <f t="shared" si="180"/>
        <v>-5183.1758468503049</v>
      </c>
      <c r="AV362" s="57">
        <f t="shared" si="181"/>
        <v>9.5393256370418893</v>
      </c>
      <c r="AW362" s="57">
        <f t="shared" si="182"/>
        <v>59.993697839470457</v>
      </c>
      <c r="AX362" s="57">
        <f t="shared" si="183"/>
        <v>1.8693442816766335</v>
      </c>
      <c r="AY362" s="57">
        <f t="shared" si="184"/>
        <v>7.5259572292188954</v>
      </c>
      <c r="BA362" s="57">
        <f t="shared" si="185"/>
        <v>169563.91886699354</v>
      </c>
      <c r="BB362" s="57">
        <f t="shared" si="186"/>
        <v>151940.96244197915</v>
      </c>
    </row>
    <row r="363" spans="9:54" x14ac:dyDescent="0.25">
      <c r="I363" s="41">
        <v>358</v>
      </c>
      <c r="J363" s="57">
        <f t="shared" si="160"/>
        <v>24996.954135095479</v>
      </c>
      <c r="K363" s="57">
        <f t="shared" si="161"/>
        <v>7325.502516487496</v>
      </c>
      <c r="M363" s="41">
        <v>358</v>
      </c>
      <c r="N363" s="57">
        <f t="shared" si="162"/>
        <v>-16502.132105433164</v>
      </c>
      <c r="O363" s="57">
        <f t="shared" si="163"/>
        <v>9877.8517615412475</v>
      </c>
      <c r="Q363" s="41">
        <v>358</v>
      </c>
      <c r="R363" s="57">
        <f t="shared" si="164"/>
        <v>-3.0458649045212951</v>
      </c>
      <c r="S363" s="41">
        <f t="shared" si="165"/>
        <v>-15174.497483512505</v>
      </c>
      <c r="U363" s="41">
        <v>357</v>
      </c>
      <c r="V363" s="41">
        <f t="shared" si="187"/>
        <v>178.5</v>
      </c>
      <c r="W363" s="57">
        <f t="shared" si="188"/>
        <v>-21528.797590240549</v>
      </c>
      <c r="X363" s="57">
        <f t="shared" si="189"/>
        <v>-151606.45734110824</v>
      </c>
      <c r="Y363" s="57">
        <f t="shared" si="190"/>
        <v>201.46259046426792</v>
      </c>
      <c r="Z363" s="57">
        <f t="shared" si="191"/>
        <v>1737.4117647623493</v>
      </c>
      <c r="AA363" s="57">
        <f t="shared" si="166"/>
        <v>19.768658423818454</v>
      </c>
      <c r="AB363" s="57">
        <f t="shared" si="167"/>
        <v>120.93229813710053</v>
      </c>
      <c r="AC363" s="57">
        <f t="shared" si="168"/>
        <v>4.8634569579493716</v>
      </c>
      <c r="AD363" s="57">
        <f t="shared" si="169"/>
        <v>18.633031821565091</v>
      </c>
      <c r="AE363" s="57">
        <f t="shared" si="170"/>
        <v>6.486155056504235E-2</v>
      </c>
      <c r="AF363" s="57">
        <f t="shared" si="171"/>
        <v>6.8563984345490452</v>
      </c>
      <c r="AG363" s="57">
        <f t="shared" si="172"/>
        <v>3.2955416650318958</v>
      </c>
      <c r="AH363" s="57">
        <f t="shared" si="173"/>
        <v>27.236843419623042</v>
      </c>
      <c r="AJ363" s="57">
        <f t="shared" si="174"/>
        <v>164436.935622533</v>
      </c>
      <c r="AK363" s="57">
        <f t="shared" si="175"/>
        <v>161613.68839431691</v>
      </c>
      <c r="AL363" s="57">
        <f t="shared" si="176"/>
        <v>137602.78099321673</v>
      </c>
      <c r="AN363" s="41">
        <v>358</v>
      </c>
      <c r="AO363" s="57">
        <f t="shared" si="177"/>
        <v>12495.431202643218</v>
      </c>
      <c r="AP363" s="57">
        <f t="shared" si="178"/>
        <v>14738.253774731244</v>
      </c>
      <c r="AR363" s="41">
        <v>358</v>
      </c>
      <c r="AS363" s="57">
        <f t="shared" si="179"/>
        <v>18497.867894566836</v>
      </c>
      <c r="AT363" s="57">
        <f t="shared" si="180"/>
        <v>-5122.1482384587525</v>
      </c>
      <c r="AV363" s="57">
        <f t="shared" si="181"/>
        <v>9.6488126951875302</v>
      </c>
      <c r="AW363" s="57">
        <f t="shared" si="182"/>
        <v>60.596583589016269</v>
      </c>
      <c r="AX363" s="57">
        <f t="shared" si="183"/>
        <v>1.8959855550846156</v>
      </c>
      <c r="AY363" s="57">
        <f t="shared" si="184"/>
        <v>7.6094408723470854</v>
      </c>
      <c r="BA363" s="57">
        <f t="shared" si="185"/>
        <v>168705.33106377663</v>
      </c>
      <c r="BB363" s="57">
        <f t="shared" si="186"/>
        <v>151088.73679893863</v>
      </c>
    </row>
    <row r="364" spans="9:54" x14ac:dyDescent="0.25">
      <c r="I364" s="41">
        <v>359</v>
      </c>
      <c r="J364" s="57">
        <f t="shared" si="160"/>
        <v>24999.238475781956</v>
      </c>
      <c r="K364" s="57">
        <f t="shared" si="161"/>
        <v>7412.7379678135776</v>
      </c>
      <c r="M364" s="41">
        <v>359</v>
      </c>
      <c r="N364" s="57">
        <f t="shared" si="162"/>
        <v>-16500.53306695263</v>
      </c>
      <c r="O364" s="57">
        <f t="shared" si="163"/>
        <v>9938.9165774695048</v>
      </c>
      <c r="Q364" s="41">
        <v>359</v>
      </c>
      <c r="R364" s="57">
        <f t="shared" si="164"/>
        <v>-0.76152421804363257</v>
      </c>
      <c r="S364" s="41">
        <f t="shared" si="165"/>
        <v>-15087.262032186421</v>
      </c>
      <c r="U364" s="41">
        <v>358</v>
      </c>
      <c r="V364" s="41">
        <f t="shared" si="187"/>
        <v>179</v>
      </c>
      <c r="W364" s="57">
        <f t="shared" si="188"/>
        <v>-21425.595212705437</v>
      </c>
      <c r="X364" s="57">
        <f t="shared" si="189"/>
        <v>-150722.63492145992</v>
      </c>
      <c r="Y364" s="57">
        <f t="shared" si="190"/>
        <v>211.34691967617715</v>
      </c>
      <c r="Z364" s="57">
        <f t="shared" si="191"/>
        <v>1797.8779138308996</v>
      </c>
      <c r="AA364" s="57">
        <f t="shared" si="166"/>
        <v>20.018082297459991</v>
      </c>
      <c r="AB364" s="57">
        <f t="shared" si="167"/>
        <v>122.27894742328959</v>
      </c>
      <c r="AC364" s="57">
        <f t="shared" si="168"/>
        <v>4.9299129039926184</v>
      </c>
      <c r="AD364" s="57">
        <f t="shared" si="169"/>
        <v>18.829513627936507</v>
      </c>
      <c r="AE364" s="57">
        <f t="shared" si="170"/>
        <v>6.1485419978454768E-2</v>
      </c>
      <c r="AF364" s="57">
        <f t="shared" si="171"/>
        <v>6.9319106995568367</v>
      </c>
      <c r="AG364" s="57">
        <f t="shared" si="172"/>
        <v>3.3389854639384717</v>
      </c>
      <c r="AH364" s="57">
        <f t="shared" si="173"/>
        <v>27.589618474199618</v>
      </c>
      <c r="AJ364" s="57">
        <f t="shared" si="174"/>
        <v>163555.74627696976</v>
      </c>
      <c r="AK364" s="57">
        <f t="shared" si="175"/>
        <v>160728.95724730927</v>
      </c>
      <c r="AL364" s="57">
        <f t="shared" si="176"/>
        <v>136712.96137570697</v>
      </c>
      <c r="AN364" s="41">
        <v>359</v>
      </c>
      <c r="AO364" s="57">
        <f t="shared" si="177"/>
        <v>12498.857713672935</v>
      </c>
      <c r="AP364" s="57">
        <f t="shared" si="178"/>
        <v>14869.106951720367</v>
      </c>
      <c r="AR364" s="41">
        <v>359</v>
      </c>
      <c r="AS364" s="57">
        <f t="shared" si="179"/>
        <v>18499.46693304737</v>
      </c>
      <c r="AT364" s="57">
        <f t="shared" si="180"/>
        <v>-5061.0834225304952</v>
      </c>
      <c r="AV364" s="57">
        <f t="shared" si="181"/>
        <v>9.7636220403106222</v>
      </c>
      <c r="AW364" s="57">
        <f t="shared" si="182"/>
        <v>61.230528882072491</v>
      </c>
      <c r="AX364" s="57">
        <f t="shared" si="183"/>
        <v>1.9240764692398202</v>
      </c>
      <c r="AY364" s="57">
        <f t="shared" si="184"/>
        <v>7.6973757395241531</v>
      </c>
      <c r="BA364" s="57">
        <f t="shared" si="185"/>
        <v>167816.27992437815</v>
      </c>
      <c r="BB364" s="57">
        <f t="shared" si="186"/>
        <v>150206.22595303087</v>
      </c>
    </row>
    <row r="365" spans="9:54" x14ac:dyDescent="0.25">
      <c r="I365" s="41">
        <v>360</v>
      </c>
      <c r="J365" s="57">
        <f t="shared" si="160"/>
        <v>25000</v>
      </c>
      <c r="K365" s="57">
        <f t="shared" si="161"/>
        <v>7499.9999999999991</v>
      </c>
      <c r="M365" s="41">
        <v>360</v>
      </c>
      <c r="N365" s="57">
        <f t="shared" si="162"/>
        <v>-16500</v>
      </c>
      <c r="O365" s="57">
        <f t="shared" si="163"/>
        <v>10000</v>
      </c>
      <c r="Q365" s="41">
        <v>360</v>
      </c>
      <c r="R365" s="57">
        <f t="shared" si="164"/>
        <v>0</v>
      </c>
      <c r="S365" s="41">
        <f t="shared" si="165"/>
        <v>-15000.000000000002</v>
      </c>
      <c r="U365" s="41">
        <v>359</v>
      </c>
      <c r="V365" s="41">
        <f t="shared" si="187"/>
        <v>179.5</v>
      </c>
      <c r="W365" s="57">
        <f t="shared" si="188"/>
        <v>-21317.419492580164</v>
      </c>
      <c r="X365" s="57">
        <f t="shared" si="189"/>
        <v>-149808.41109611656</v>
      </c>
      <c r="Y365" s="57">
        <f t="shared" si="190"/>
        <v>221.35596082490716</v>
      </c>
      <c r="Z365" s="57">
        <f t="shared" si="191"/>
        <v>1859.0173875425444</v>
      </c>
      <c r="AA365" s="57">
        <f t="shared" si="166"/>
        <v>20.279949042047811</v>
      </c>
      <c r="AB365" s="57">
        <f t="shared" si="167"/>
        <v>123.69631874341202</v>
      </c>
      <c r="AC365" s="57">
        <f t="shared" si="168"/>
        <v>4.9998826951911086</v>
      </c>
      <c r="AD365" s="57">
        <f t="shared" si="169"/>
        <v>19.036125975600367</v>
      </c>
      <c r="AE365" s="57">
        <f t="shared" si="170"/>
        <v>5.7799628536946361E-2</v>
      </c>
      <c r="AF365" s="57">
        <f t="shared" si="171"/>
        <v>7.0113330267679315</v>
      </c>
      <c r="AG365" s="57">
        <f t="shared" si="172"/>
        <v>3.3845486421835513</v>
      </c>
      <c r="AH365" s="57">
        <f t="shared" si="173"/>
        <v>27.961873808401862</v>
      </c>
      <c r="AJ365" s="57">
        <f t="shared" si="174"/>
        <v>162643.98345807524</v>
      </c>
      <c r="AK365" s="57">
        <f t="shared" si="175"/>
        <v>159813.84123781274</v>
      </c>
      <c r="AL365" s="57">
        <f t="shared" si="176"/>
        <v>135792.3631179471</v>
      </c>
      <c r="AN365" s="41">
        <v>360</v>
      </c>
      <c r="AO365" s="57">
        <f t="shared" si="177"/>
        <v>12500</v>
      </c>
      <c r="AP365" s="57">
        <f t="shared" si="178"/>
        <v>14999.999999999998</v>
      </c>
      <c r="AR365" s="41">
        <v>360</v>
      </c>
      <c r="AS365" s="57">
        <f t="shared" si="179"/>
        <v>18500</v>
      </c>
      <c r="AT365" s="57">
        <f t="shared" si="180"/>
        <v>-5000.0000000000009</v>
      </c>
      <c r="AV365" s="57">
        <f t="shared" si="181"/>
        <v>9.8840180052348749</v>
      </c>
      <c r="AW365" s="57">
        <f t="shared" si="182"/>
        <v>61.896999557552853</v>
      </c>
      <c r="AX365" s="57">
        <f t="shared" si="183"/>
        <v>1.9537000709013292</v>
      </c>
      <c r="AY365" s="57">
        <f t="shared" si="184"/>
        <v>7.7899863750890166</v>
      </c>
      <c r="BA365" s="57">
        <f t="shared" si="185"/>
        <v>166896.43176765341</v>
      </c>
      <c r="BB365" s="57">
        <f t="shared" si="186"/>
        <v>149293.10393578777</v>
      </c>
    </row>
    <row r="366" spans="9:54" x14ac:dyDescent="0.25">
      <c r="I366" s="41">
        <v>361</v>
      </c>
      <c r="J366" s="57">
        <f t="shared" si="160"/>
        <v>24999.238475781956</v>
      </c>
      <c r="K366" s="57">
        <f t="shared" si="161"/>
        <v>7587.2620321864151</v>
      </c>
      <c r="M366" s="41">
        <v>361</v>
      </c>
      <c r="N366" s="57">
        <f t="shared" si="162"/>
        <v>-16500.53306695263</v>
      </c>
      <c r="O366" s="57">
        <f t="shared" si="163"/>
        <v>10061.083422530492</v>
      </c>
      <c r="Q366" s="41">
        <v>361</v>
      </c>
      <c r="R366" s="57">
        <f t="shared" si="164"/>
        <v>-0.76152421804363257</v>
      </c>
      <c r="S366" s="41">
        <f t="shared" si="165"/>
        <v>-14912.737967813584</v>
      </c>
      <c r="U366" s="41">
        <v>360</v>
      </c>
      <c r="V366" s="41">
        <f t="shared" si="187"/>
        <v>180</v>
      </c>
      <c r="W366" s="57">
        <f t="shared" si="188"/>
        <v>-21204.206518537456</v>
      </c>
      <c r="X366" s="57">
        <f t="shared" si="189"/>
        <v>-148863.44036250236</v>
      </c>
      <c r="Y366" s="57">
        <f t="shared" si="190"/>
        <v>231.49593534593106</v>
      </c>
      <c r="Z366" s="57">
        <f t="shared" si="191"/>
        <v>1920.8655469142504</v>
      </c>
      <c r="AA366" s="57">
        <f t="shared" si="166"/>
        <v>20.554918579015411</v>
      </c>
      <c r="AB366" s="57">
        <f t="shared" si="167"/>
        <v>125.18802158902882</v>
      </c>
      <c r="AC366" s="57">
        <f t="shared" si="168"/>
        <v>5.0735614410447134</v>
      </c>
      <c r="AD366" s="57">
        <f t="shared" si="169"/>
        <v>19.253362431706535</v>
      </c>
      <c r="AE366" s="57">
        <f t="shared" si="170"/>
        <v>5.378001133076632E-2</v>
      </c>
      <c r="AF366" s="57">
        <f t="shared" si="171"/>
        <v>7.0948607993888322</v>
      </c>
      <c r="AG366" s="57">
        <f t="shared" si="172"/>
        <v>3.4323450673273803</v>
      </c>
      <c r="AH366" s="57">
        <f t="shared" si="173"/>
        <v>28.354706458355967</v>
      </c>
      <c r="AJ366" s="57">
        <f t="shared" si="174"/>
        <v>161701.3052415475</v>
      </c>
      <c r="AK366" s="57">
        <f t="shared" si="175"/>
        <v>158868.00432166833</v>
      </c>
      <c r="AL366" s="57">
        <f t="shared" si="176"/>
        <v>134840.63547232578</v>
      </c>
      <c r="AN366" s="41">
        <v>361</v>
      </c>
      <c r="AO366" s="57">
        <f t="shared" si="177"/>
        <v>12498.857713672935</v>
      </c>
      <c r="AP366" s="57">
        <f t="shared" si="178"/>
        <v>15130.893048279622</v>
      </c>
      <c r="AR366" s="41">
        <v>361</v>
      </c>
      <c r="AS366" s="57">
        <f t="shared" si="179"/>
        <v>18499.46693304737</v>
      </c>
      <c r="AT366" s="57">
        <f t="shared" si="180"/>
        <v>-4938.9165774695093</v>
      </c>
      <c r="AV366" s="57">
        <f t="shared" si="181"/>
        <v>10.010285464141191</v>
      </c>
      <c r="AW366" s="57">
        <f t="shared" si="182"/>
        <v>62.597576232828288</v>
      </c>
      <c r="AX366" s="57">
        <f t="shared" si="183"/>
        <v>1.9849465951713625</v>
      </c>
      <c r="AY366" s="57">
        <f t="shared" si="184"/>
        <v>7.8875156667491932</v>
      </c>
      <c r="BA366" s="57">
        <f t="shared" si="185"/>
        <v>165945.4353897736</v>
      </c>
      <c r="BB366" s="57">
        <f t="shared" si="186"/>
        <v>148349.02777764396</v>
      </c>
    </row>
    <row r="367" spans="9:54" x14ac:dyDescent="0.25">
      <c r="I367" s="41">
        <v>362</v>
      </c>
      <c r="J367" s="57">
        <f t="shared" si="160"/>
        <v>24996.954135095479</v>
      </c>
      <c r="K367" s="57">
        <f t="shared" si="161"/>
        <v>7674.4974835125013</v>
      </c>
      <c r="M367" s="41">
        <v>362</v>
      </c>
      <c r="N367" s="57">
        <f t="shared" si="162"/>
        <v>-16502.132105433164</v>
      </c>
      <c r="O367" s="57">
        <f t="shared" si="163"/>
        <v>10122.148238458751</v>
      </c>
      <c r="Q367" s="41">
        <v>362</v>
      </c>
      <c r="R367" s="57">
        <f t="shared" si="164"/>
        <v>-3.0458649045212951</v>
      </c>
      <c r="S367" s="41">
        <f t="shared" si="165"/>
        <v>-14825.502516487499</v>
      </c>
      <c r="U367" s="41">
        <v>361</v>
      </c>
      <c r="V367" s="41">
        <f t="shared" si="187"/>
        <v>180.5</v>
      </c>
      <c r="W367" s="57">
        <f t="shared" si="188"/>
        <v>-21085.88918604211</v>
      </c>
      <c r="X367" s="57">
        <f t="shared" si="189"/>
        <v>-147887.35908634661</v>
      </c>
      <c r="Y367" s="57">
        <f t="shared" si="190"/>
        <v>241.77339463543876</v>
      </c>
      <c r="Z367" s="57">
        <f t="shared" si="191"/>
        <v>1983.4595577087648</v>
      </c>
      <c r="AA367" s="57">
        <f t="shared" si="166"/>
        <v>20.843704165473898</v>
      </c>
      <c r="AB367" s="57">
        <f t="shared" si="167"/>
        <v>126.75796093496557</v>
      </c>
      <c r="AC367" s="57">
        <f t="shared" si="168"/>
        <v>5.1511606862234922</v>
      </c>
      <c r="AD367" s="57">
        <f t="shared" si="169"/>
        <v>19.481755685930381</v>
      </c>
      <c r="AE367" s="57">
        <f t="shared" si="170"/>
        <v>4.939991259078394E-2</v>
      </c>
      <c r="AF367" s="57">
        <f t="shared" si="171"/>
        <v>7.1827050479097183</v>
      </c>
      <c r="AG367" s="57">
        <f t="shared" si="172"/>
        <v>3.4824976643878145</v>
      </c>
      <c r="AH367" s="57">
        <f t="shared" si="173"/>
        <v>28.769309069120389</v>
      </c>
      <c r="AJ367" s="57">
        <f t="shared" si="174"/>
        <v>160727.35191633363</v>
      </c>
      <c r="AK367" s="57">
        <f t="shared" si="175"/>
        <v>157891.09320853194</v>
      </c>
      <c r="AL367" s="57">
        <f t="shared" si="176"/>
        <v>133857.4093423642</v>
      </c>
      <c r="AN367" s="41">
        <v>362</v>
      </c>
      <c r="AO367" s="57">
        <f t="shared" si="177"/>
        <v>12495.431202643218</v>
      </c>
      <c r="AP367" s="57">
        <f t="shared" si="178"/>
        <v>15261.746225268753</v>
      </c>
      <c r="AR367" s="41">
        <v>362</v>
      </c>
      <c r="AS367" s="57">
        <f t="shared" si="179"/>
        <v>18497.867894566836</v>
      </c>
      <c r="AT367" s="57">
        <f t="shared" si="180"/>
        <v>-4877.8517615412493</v>
      </c>
      <c r="AV367" s="57">
        <f t="shared" si="181"/>
        <v>10.142731704591164</v>
      </c>
      <c r="AW367" s="57">
        <f t="shared" si="182"/>
        <v>63.33396456219792</v>
      </c>
      <c r="AX367" s="57">
        <f t="shared" si="183"/>
        <v>2.0179141976806414</v>
      </c>
      <c r="AY367" s="57">
        <f t="shared" si="184"/>
        <v>7.9902265698071666</v>
      </c>
      <c r="BA367" s="57">
        <f t="shared" si="185"/>
        <v>164962.92118155185</v>
      </c>
      <c r="BB367" s="57">
        <f t="shared" si="186"/>
        <v>147373.63666890314</v>
      </c>
    </row>
    <row r="368" spans="9:54" x14ac:dyDescent="0.25">
      <c r="I368" s="41">
        <v>363</v>
      </c>
      <c r="J368" s="57">
        <f t="shared" si="160"/>
        <v>24993.14767377287</v>
      </c>
      <c r="K368" s="57">
        <f t="shared" si="161"/>
        <v>7761.6797812147197</v>
      </c>
      <c r="M368" s="41">
        <v>363</v>
      </c>
      <c r="N368" s="57">
        <f t="shared" si="162"/>
        <v>-16504.796628358992</v>
      </c>
      <c r="O368" s="57">
        <f t="shared" si="163"/>
        <v>10183.175846850303</v>
      </c>
      <c r="Q368" s="41">
        <v>363</v>
      </c>
      <c r="R368" s="57">
        <f t="shared" si="164"/>
        <v>-6.8523262271310159</v>
      </c>
      <c r="S368" s="41">
        <f t="shared" si="165"/>
        <v>-14738.32021878528</v>
      </c>
      <c r="U368" s="41">
        <v>362</v>
      </c>
      <c r="V368" s="41">
        <f t="shared" si="187"/>
        <v>181</v>
      </c>
      <c r="W368" s="57">
        <f t="shared" si="188"/>
        <v>-20962.397025703704</v>
      </c>
      <c r="X368" s="57">
        <f t="shared" si="189"/>
        <v>-146879.78456237537</v>
      </c>
      <c r="Y368" s="57">
        <f t="shared" si="190"/>
        <v>252.19524671817572</v>
      </c>
      <c r="Z368" s="57">
        <f t="shared" si="191"/>
        <v>2046.8385381762475</v>
      </c>
      <c r="AA368" s="57">
        <f t="shared" si="166"/>
        <v>21.147077504264775</v>
      </c>
      <c r="AB368" s="57">
        <f t="shared" si="167"/>
        <v>128.41036541995499</v>
      </c>
      <c r="AC368" s="57">
        <f t="shared" si="168"/>
        <v>5.2329100405594788</v>
      </c>
      <c r="AD368" s="57">
        <f t="shared" si="169"/>
        <v>19.721881124020598</v>
      </c>
      <c r="AE368" s="57">
        <f t="shared" si="170"/>
        <v>4.4629897676921375E-2</v>
      </c>
      <c r="AF368" s="57">
        <f t="shared" si="171"/>
        <v>7.2750939015805596</v>
      </c>
      <c r="AG368" s="57">
        <f t="shared" si="172"/>
        <v>3.535139274424921</v>
      </c>
      <c r="AH368" s="57">
        <f t="shared" si="173"/>
        <v>29.206979701007501</v>
      </c>
      <c r="AJ368" s="57">
        <f t="shared" si="174"/>
        <v>159721.74508067715</v>
      </c>
      <c r="AK368" s="57">
        <f t="shared" si="175"/>
        <v>156882.73650205234</v>
      </c>
      <c r="AL368" s="57">
        <f t="shared" si="176"/>
        <v>132842.29633300056</v>
      </c>
      <c r="AN368" s="41">
        <v>363</v>
      </c>
      <c r="AO368" s="57">
        <f t="shared" si="177"/>
        <v>12489.721510659303</v>
      </c>
      <c r="AP368" s="57">
        <f t="shared" si="178"/>
        <v>15392.51967182208</v>
      </c>
      <c r="AR368" s="41">
        <v>363</v>
      </c>
      <c r="AS368" s="57">
        <f t="shared" si="179"/>
        <v>18495.203371641008</v>
      </c>
      <c r="AT368" s="57">
        <f t="shared" si="180"/>
        <v>-4816.824153149696</v>
      </c>
      <c r="AV368" s="57">
        <f t="shared" si="181"/>
        <v>10.281688512761185</v>
      </c>
      <c r="AW368" s="57">
        <f t="shared" si="182"/>
        <v>64.10800665806849</v>
      </c>
      <c r="AX368" s="57">
        <f t="shared" si="183"/>
        <v>2.0527097788422677</v>
      </c>
      <c r="AY368" s="57">
        <f t="shared" si="184"/>
        <v>8.0984040352778255</v>
      </c>
      <c r="BA368" s="57">
        <f t="shared" si="185"/>
        <v>163948.50017393063</v>
      </c>
      <c r="BB368" s="57">
        <f t="shared" si="186"/>
        <v>146366.5510535122</v>
      </c>
    </row>
    <row r="369" spans="9:54" x14ac:dyDescent="0.25">
      <c r="I369" s="41">
        <v>364</v>
      </c>
      <c r="J369" s="57">
        <f t="shared" si="160"/>
        <v>24987.820251299123</v>
      </c>
      <c r="K369" s="57">
        <f t="shared" si="161"/>
        <v>7848.7823687206255</v>
      </c>
      <c r="M369" s="41">
        <v>364</v>
      </c>
      <c r="N369" s="57">
        <f t="shared" si="162"/>
        <v>-16508.525824090615</v>
      </c>
      <c r="O369" s="57">
        <f t="shared" si="163"/>
        <v>10244.147658104437</v>
      </c>
      <c r="Q369" s="41">
        <v>364</v>
      </c>
      <c r="R369" s="57">
        <f t="shared" si="164"/>
        <v>-12.179748700878008</v>
      </c>
      <c r="S369" s="41">
        <f t="shared" si="165"/>
        <v>-14651.217631279374</v>
      </c>
      <c r="U369" s="41">
        <v>363</v>
      </c>
      <c r="V369" s="41">
        <f t="shared" si="187"/>
        <v>181.5</v>
      </c>
      <c r="W369" s="57">
        <f t="shared" si="188"/>
        <v>-20833.656017656584</v>
      </c>
      <c r="X369" s="57">
        <f t="shared" si="189"/>
        <v>-145840.31399760974</v>
      </c>
      <c r="Y369" s="57">
        <f t="shared" si="190"/>
        <v>262.7687854703081</v>
      </c>
      <c r="Z369" s="57">
        <f t="shared" si="191"/>
        <v>2111.0437208862249</v>
      </c>
      <c r="AA369" s="57">
        <f t="shared" si="166"/>
        <v>21.465874460737254</v>
      </c>
      <c r="AB369" s="57">
        <f t="shared" si="167"/>
        <v>130.14981890443332</v>
      </c>
      <c r="AC369" s="57">
        <f t="shared" si="168"/>
        <v>5.3190590089143228</v>
      </c>
      <c r="AD369" s="57">
        <f t="shared" si="169"/>
        <v>19.974360812709453</v>
      </c>
      <c r="AE369" s="57">
        <f t="shared" si="170"/>
        <v>3.9437425402099331E-2</v>
      </c>
      <c r="AF369" s="57">
        <f t="shared" si="171"/>
        <v>7.3722742087279345</v>
      </c>
      <c r="AG369" s="57">
        <f t="shared" si="172"/>
        <v>3.5904136125697623</v>
      </c>
      <c r="AH369" s="57">
        <f t="shared" si="173"/>
        <v>29.669132885422325</v>
      </c>
      <c r="AJ369" s="57">
        <f t="shared" si="174"/>
        <v>158684.08666483811</v>
      </c>
      <c r="AK369" s="57">
        <f t="shared" si="175"/>
        <v>155842.54377168443</v>
      </c>
      <c r="AL369" s="57">
        <f t="shared" si="176"/>
        <v>131794.88772284982</v>
      </c>
      <c r="AN369" s="41">
        <v>364</v>
      </c>
      <c r="AO369" s="57">
        <f t="shared" si="177"/>
        <v>12481.730376948683</v>
      </c>
      <c r="AP369" s="57">
        <f t="shared" si="178"/>
        <v>15523.173553080938</v>
      </c>
      <c r="AR369" s="41">
        <v>364</v>
      </c>
      <c r="AS369" s="57">
        <f t="shared" si="179"/>
        <v>18491.474175909385</v>
      </c>
      <c r="AT369" s="57">
        <f t="shared" si="180"/>
        <v>-4755.8523418955619</v>
      </c>
      <c r="AV369" s="57">
        <f t="shared" si="181"/>
        <v>10.427514500209041</v>
      </c>
      <c r="AW369" s="57">
        <f t="shared" si="182"/>
        <v>64.921693827693431</v>
      </c>
      <c r="AX369" s="57">
        <f t="shared" si="183"/>
        <v>2.0894499136420293</v>
      </c>
      <c r="AY369" s="57">
        <f t="shared" si="184"/>
        <v>8.2123571698801765</v>
      </c>
      <c r="BA369" s="57">
        <f t="shared" si="185"/>
        <v>162901.76300484996</v>
      </c>
      <c r="BB369" s="57">
        <f t="shared" si="186"/>
        <v>145327.37164944891</v>
      </c>
    </row>
    <row r="370" spans="9:54" x14ac:dyDescent="0.25">
      <c r="I370" s="41">
        <v>365</v>
      </c>
      <c r="J370" s="57">
        <f t="shared" si="160"/>
        <v>24980.973490458728</v>
      </c>
      <c r="K370" s="57">
        <f t="shared" si="161"/>
        <v>7935.7787137382938</v>
      </c>
      <c r="M370" s="41">
        <v>365</v>
      </c>
      <c r="N370" s="57">
        <f t="shared" si="162"/>
        <v>-16513.318556678892</v>
      </c>
      <c r="O370" s="57">
        <f t="shared" si="163"/>
        <v>10305.045099616806</v>
      </c>
      <c r="Q370" s="41">
        <v>365</v>
      </c>
      <c r="R370" s="57">
        <f t="shared" si="164"/>
        <v>-19.026509541272389</v>
      </c>
      <c r="S370" s="41">
        <f t="shared" si="165"/>
        <v>-14564.221286261707</v>
      </c>
      <c r="U370" s="41">
        <v>364</v>
      </c>
      <c r="V370" s="41">
        <f t="shared" si="187"/>
        <v>182</v>
      </c>
      <c r="W370" s="57">
        <f t="shared" si="188"/>
        <v>-20699.588390613837</v>
      </c>
      <c r="X370" s="57">
        <f t="shared" si="189"/>
        <v>-144768.52340980357</v>
      </c>
      <c r="Y370" s="57">
        <f t="shared" si="190"/>
        <v>273.50172270067674</v>
      </c>
      <c r="Z370" s="57">
        <f t="shared" si="191"/>
        <v>2176.1186303384416</v>
      </c>
      <c r="AA370" s="57">
        <f t="shared" si="166"/>
        <v>21.801001470386012</v>
      </c>
      <c r="AB370" s="57">
        <f t="shared" si="167"/>
        <v>131.9812958780384</v>
      </c>
      <c r="AC370" s="57">
        <f t="shared" si="168"/>
        <v>5.409879049459148</v>
      </c>
      <c r="AD370" s="57">
        <f t="shared" si="169"/>
        <v>20.239867951017192</v>
      </c>
      <c r="AE370" s="57">
        <f t="shared" si="170"/>
        <v>3.3786474465639864E-2</v>
      </c>
      <c r="AF370" s="57">
        <f t="shared" si="171"/>
        <v>7.4745133487449413</v>
      </c>
      <c r="AG370" s="57">
        <f t="shared" si="172"/>
        <v>3.648476338858837</v>
      </c>
      <c r="AH370" s="57">
        <f t="shared" si="173"/>
        <v>30.157312116053873</v>
      </c>
      <c r="AJ370" s="57">
        <f t="shared" si="174"/>
        <v>157613.95787355665</v>
      </c>
      <c r="AK370" s="57">
        <f t="shared" si="175"/>
        <v>154770.10454983611</v>
      </c>
      <c r="AL370" s="57">
        <f t="shared" si="176"/>
        <v>130714.75335093371</v>
      </c>
      <c r="AN370" s="41">
        <v>365</v>
      </c>
      <c r="AO370" s="57">
        <f t="shared" si="177"/>
        <v>12471.46023568809</v>
      </c>
      <c r="AP370" s="57">
        <f t="shared" si="178"/>
        <v>15653.66807060744</v>
      </c>
      <c r="AR370" s="41">
        <v>365</v>
      </c>
      <c r="AS370" s="57">
        <f t="shared" si="179"/>
        <v>18486.681443321108</v>
      </c>
      <c r="AT370" s="57">
        <f t="shared" si="180"/>
        <v>-4694.9549003831944</v>
      </c>
      <c r="AV370" s="57">
        <f t="shared" si="181"/>
        <v>10.580597704885493</v>
      </c>
      <c r="AW370" s="57">
        <f t="shared" si="182"/>
        <v>65.777180801857014</v>
      </c>
      <c r="AX370" s="57">
        <f t="shared" si="183"/>
        <v>2.1282619027168916</v>
      </c>
      <c r="AY370" s="57">
        <f t="shared" si="184"/>
        <v>8.3324216603653749</v>
      </c>
      <c r="BA370" s="57">
        <f t="shared" si="185"/>
        <v>161822.27879991039</v>
      </c>
      <c r="BB370" s="57">
        <f t="shared" si="186"/>
        <v>144255.67838881095</v>
      </c>
    </row>
    <row r="371" spans="9:54" x14ac:dyDescent="0.25">
      <c r="I371" s="41">
        <v>366</v>
      </c>
      <c r="J371" s="57">
        <f t="shared" si="160"/>
        <v>24972.609476841368</v>
      </c>
      <c r="K371" s="57">
        <f t="shared" si="161"/>
        <v>8022.6423163382642</v>
      </c>
      <c r="M371" s="41">
        <v>366</v>
      </c>
      <c r="N371" s="57">
        <f t="shared" si="162"/>
        <v>-16519.173366211042</v>
      </c>
      <c r="O371" s="57">
        <f t="shared" si="163"/>
        <v>10365.849621436786</v>
      </c>
      <c r="Q371" s="41">
        <v>366</v>
      </c>
      <c r="R371" s="57">
        <f t="shared" si="164"/>
        <v>-27.390523158633187</v>
      </c>
      <c r="S371" s="41">
        <f t="shared" si="165"/>
        <v>-14477.357683661736</v>
      </c>
      <c r="U371" s="41">
        <v>365</v>
      </c>
      <c r="V371" s="41">
        <f t="shared" si="187"/>
        <v>182.5</v>
      </c>
      <c r="W371" s="57">
        <f t="shared" si="188"/>
        <v>-20560.1124040797</v>
      </c>
      <c r="X371" s="57">
        <f t="shared" si="189"/>
        <v>-143663.96643264958</v>
      </c>
      <c r="Y371" s="57">
        <f t="shared" si="190"/>
        <v>284.40222343586976</v>
      </c>
      <c r="Z371" s="57">
        <f t="shared" si="191"/>
        <v>2242.1092782774608</v>
      </c>
      <c r="AA371" s="57">
        <f t="shared" si="166"/>
        <v>22.153442735032172</v>
      </c>
      <c r="AB371" s="57">
        <f t="shared" si="167"/>
        <v>133.91020126654865</v>
      </c>
      <c r="AC371" s="57">
        <f t="shared" si="168"/>
        <v>5.5056658936311464</v>
      </c>
      <c r="AD371" s="57">
        <f t="shared" si="169"/>
        <v>20.519131851580628</v>
      </c>
      <c r="AE371" s="57">
        <f t="shared" si="170"/>
        <v>2.7637116654791412E-2</v>
      </c>
      <c r="AF371" s="57">
        <f t="shared" si="171"/>
        <v>7.582101262183067</v>
      </c>
      <c r="AG371" s="57">
        <f t="shared" si="172"/>
        <v>3.7094962572925989</v>
      </c>
      <c r="AH371" s="57">
        <f t="shared" si="173"/>
        <v>30.673203993384821</v>
      </c>
      <c r="AJ371" s="57">
        <f t="shared" si="174"/>
        <v>156510.91804050858</v>
      </c>
      <c r="AK371" s="57">
        <f t="shared" si="175"/>
        <v>153664.9872473221</v>
      </c>
      <c r="AL371" s="57">
        <f t="shared" si="176"/>
        <v>129601.44040947066</v>
      </c>
      <c r="AN371" s="41">
        <v>366</v>
      </c>
      <c r="AO371" s="57">
        <f t="shared" si="177"/>
        <v>12458.914215262052</v>
      </c>
      <c r="AP371" s="57">
        <f t="shared" si="178"/>
        <v>15783.963474507396</v>
      </c>
      <c r="AR371" s="41">
        <v>366</v>
      </c>
      <c r="AS371" s="57">
        <f t="shared" si="179"/>
        <v>18480.826633788958</v>
      </c>
      <c r="AT371" s="57">
        <f t="shared" si="180"/>
        <v>-4634.1503785632149</v>
      </c>
      <c r="AV371" s="57">
        <f t="shared" si="181"/>
        <v>10.741358504256889</v>
      </c>
      <c r="AW371" s="57">
        <f t="shared" si="182"/>
        <v>66.676801659465667</v>
      </c>
      <c r="AX371" s="57">
        <f t="shared" si="183"/>
        <v>2.169284963196743</v>
      </c>
      <c r="AY371" s="57">
        <f t="shared" si="184"/>
        <v>8.4589624999344668</v>
      </c>
      <c r="BA371" s="57">
        <f t="shared" si="185"/>
        <v>160709.59395832641</v>
      </c>
      <c r="BB371" s="57">
        <f t="shared" si="186"/>
        <v>143151.02926987901</v>
      </c>
    </row>
    <row r="372" spans="9:54" x14ac:dyDescent="0.25">
      <c r="I372" s="41">
        <v>367</v>
      </c>
      <c r="J372" s="57">
        <f t="shared" si="160"/>
        <v>24962.73075820661</v>
      </c>
      <c r="K372" s="57">
        <f t="shared" si="161"/>
        <v>8109.3467170257381</v>
      </c>
      <c r="M372" s="41">
        <v>367</v>
      </c>
      <c r="N372" s="57">
        <f t="shared" si="162"/>
        <v>-16526.088469255374</v>
      </c>
      <c r="O372" s="57">
        <f t="shared" si="163"/>
        <v>10426.542701918017</v>
      </c>
      <c r="Q372" s="41">
        <v>367</v>
      </c>
      <c r="R372" s="57">
        <f t="shared" si="164"/>
        <v>-37.269241793390393</v>
      </c>
      <c r="S372" s="41">
        <f t="shared" si="165"/>
        <v>-14390.653282974261</v>
      </c>
      <c r="U372" s="41">
        <v>366</v>
      </c>
      <c r="V372" s="41">
        <f t="shared" si="187"/>
        <v>183</v>
      </c>
      <c r="W372" s="57">
        <f t="shared" si="188"/>
        <v>-20415.142112019887</v>
      </c>
      <c r="X372" s="57">
        <f t="shared" si="189"/>
        <v>-142526.17301835254</v>
      </c>
      <c r="Y372" s="57">
        <f t="shared" si="190"/>
        <v>295.47894480338584</v>
      </c>
      <c r="Z372" s="57">
        <f t="shared" si="191"/>
        <v>2309.0643789107353</v>
      </c>
      <c r="AA372" s="57">
        <f t="shared" si="166"/>
        <v>22.524268321271133</v>
      </c>
      <c r="AB372" s="57">
        <f t="shared" si="167"/>
        <v>135.94241527967915</v>
      </c>
      <c r="AC372" s="57">
        <f t="shared" si="168"/>
        <v>5.6067421666475461</v>
      </c>
      <c r="AD372" s="57">
        <f t="shared" si="169"/>
        <v>20.812943525753145</v>
      </c>
      <c r="AE372" s="57">
        <f t="shared" si="170"/>
        <v>2.094502813313804E-2</v>
      </c>
      <c r="AF372" s="57">
        <f t="shared" si="171"/>
        <v>7.6953527296123587</v>
      </c>
      <c r="AG372" s="57">
        <f t="shared" si="172"/>
        <v>3.773656660948947</v>
      </c>
      <c r="AH372" s="57">
        <f t="shared" si="173"/>
        <v>31.21865427895013</v>
      </c>
      <c r="AJ372" s="57">
        <f t="shared" si="174"/>
        <v>155374.50338606851</v>
      </c>
      <c r="AK372" s="57">
        <f t="shared" si="175"/>
        <v>152526.73797927229</v>
      </c>
      <c r="AL372" s="57">
        <f t="shared" si="176"/>
        <v>128454.47213328369</v>
      </c>
      <c r="AN372" s="41">
        <v>367</v>
      </c>
      <c r="AO372" s="57">
        <f t="shared" si="177"/>
        <v>12444.096137309916</v>
      </c>
      <c r="AP372" s="57">
        <f t="shared" si="178"/>
        <v>15914.020075538607</v>
      </c>
      <c r="AR372" s="41">
        <v>367</v>
      </c>
      <c r="AS372" s="57">
        <f t="shared" si="179"/>
        <v>18473.911530744626</v>
      </c>
      <c r="AT372" s="57">
        <f t="shared" si="180"/>
        <v>-4573.457298081983</v>
      </c>
      <c r="AV372" s="57">
        <f t="shared" si="181"/>
        <v>10.91025288449811</v>
      </c>
      <c r="AW372" s="57">
        <f t="shared" si="182"/>
        <v>67.623087684589692</v>
      </c>
      <c r="AX372" s="57">
        <f t="shared" si="183"/>
        <v>2.212671581043391</v>
      </c>
      <c r="AY372" s="57">
        <f t="shared" si="184"/>
        <v>8.592377060773833</v>
      </c>
      <c r="BA372" s="57">
        <f t="shared" si="185"/>
        <v>159563.23083461961</v>
      </c>
      <c r="BB372" s="57">
        <f t="shared" si="186"/>
        <v>142012.95911249932</v>
      </c>
    </row>
    <row r="373" spans="9:54" x14ac:dyDescent="0.25">
      <c r="I373" s="41">
        <v>368</v>
      </c>
      <c r="J373" s="57">
        <f t="shared" si="160"/>
        <v>24951.340343707852</v>
      </c>
      <c r="K373" s="57">
        <f t="shared" si="161"/>
        <v>8195.865504800322</v>
      </c>
      <c r="M373" s="41">
        <v>368</v>
      </c>
      <c r="N373" s="57">
        <f t="shared" si="162"/>
        <v>-16534.061759404503</v>
      </c>
      <c r="O373" s="57">
        <f t="shared" si="163"/>
        <v>10487.105853360226</v>
      </c>
      <c r="Q373" s="41">
        <v>368</v>
      </c>
      <c r="R373" s="57">
        <f t="shared" si="164"/>
        <v>-48.659656292147702</v>
      </c>
      <c r="S373" s="41">
        <f t="shared" si="165"/>
        <v>-14304.134495199678</v>
      </c>
      <c r="U373" s="41">
        <v>367</v>
      </c>
      <c r="V373" s="41">
        <f t="shared" si="187"/>
        <v>183.5</v>
      </c>
      <c r="W373" s="57">
        <f t="shared" si="188"/>
        <v>-20264.587106078034</v>
      </c>
      <c r="X373" s="57">
        <f t="shared" si="189"/>
        <v>-141354.64802698721</v>
      </c>
      <c r="Y373" s="57">
        <f t="shared" si="190"/>
        <v>306.74107896402143</v>
      </c>
      <c r="Z373" s="57">
        <f t="shared" si="191"/>
        <v>2377.0355865505749</v>
      </c>
      <c r="AA373" s="57">
        <f t="shared" si="166"/>
        <v>22.914643293942756</v>
      </c>
      <c r="AB373" s="57">
        <f t="shared" si="167"/>
        <v>138.08434405024272</v>
      </c>
      <c r="AC373" s="57">
        <f t="shared" si="168"/>
        <v>5.713460354153673</v>
      </c>
      <c r="AD373" s="57">
        <f t="shared" si="169"/>
        <v>21.12216195817663</v>
      </c>
      <c r="AE373" s="57">
        <f t="shared" si="170"/>
        <v>1.3660928519649087E-2</v>
      </c>
      <c r="AF373" s="57">
        <f t="shared" si="171"/>
        <v>7.8146099349358167</v>
      </c>
      <c r="AG373" s="57">
        <f t="shared" si="172"/>
        <v>3.8411568438189949</v>
      </c>
      <c r="AH373" s="57">
        <f t="shared" si="173"/>
        <v>31.795686161989078</v>
      </c>
      <c r="AJ373" s="57">
        <f t="shared" si="174"/>
        <v>154204.22566862815</v>
      </c>
      <c r="AK373" s="57">
        <f t="shared" si="175"/>
        <v>151354.87929270693</v>
      </c>
      <c r="AL373" s="57">
        <f t="shared" si="176"/>
        <v>127273.34637520484</v>
      </c>
      <c r="AN373" s="41">
        <v>368</v>
      </c>
      <c r="AO373" s="57">
        <f t="shared" si="177"/>
        <v>12427.010515561778</v>
      </c>
      <c r="AP373" s="57">
        <f t="shared" si="178"/>
        <v>16043.798257200484</v>
      </c>
      <c r="AR373" s="41">
        <v>368</v>
      </c>
      <c r="AS373" s="57">
        <f t="shared" si="179"/>
        <v>18465.938240595497</v>
      </c>
      <c r="AT373" s="57">
        <f t="shared" si="180"/>
        <v>-4512.8941466397746</v>
      </c>
      <c r="AV373" s="57">
        <f t="shared" si="181"/>
        <v>11.087776116916082</v>
      </c>
      <c r="AW373" s="57">
        <f t="shared" si="182"/>
        <v>68.618787430940515</v>
      </c>
      <c r="AX373" s="57">
        <f t="shared" si="183"/>
        <v>2.2585890505343573</v>
      </c>
      <c r="AY373" s="57">
        <f t="shared" si="184"/>
        <v>8.7330985642006702</v>
      </c>
      <c r="BA373" s="57">
        <f t="shared" si="185"/>
        <v>158382.68630530188</v>
      </c>
      <c r="BB373" s="57">
        <f t="shared" si="186"/>
        <v>140840.97820707486</v>
      </c>
    </row>
    <row r="374" spans="9:54" x14ac:dyDescent="0.25">
      <c r="I374" s="41">
        <v>369</v>
      </c>
      <c r="J374" s="57">
        <f t="shared" si="160"/>
        <v>24938.441702975688</v>
      </c>
      <c r="K374" s="57">
        <f t="shared" si="161"/>
        <v>8282.1723252011525</v>
      </c>
      <c r="M374" s="41">
        <v>369</v>
      </c>
      <c r="N374" s="57">
        <f t="shared" si="162"/>
        <v>-16543.090807917019</v>
      </c>
      <c r="O374" s="57">
        <f t="shared" si="163"/>
        <v>10547.520627640808</v>
      </c>
      <c r="Q374" s="41">
        <v>369</v>
      </c>
      <c r="R374" s="57">
        <f t="shared" si="164"/>
        <v>-61.558297024311287</v>
      </c>
      <c r="S374" s="41">
        <f t="shared" si="165"/>
        <v>-14217.827674798848</v>
      </c>
      <c r="U374" s="41">
        <v>368</v>
      </c>
      <c r="V374" s="41">
        <f t="shared" si="187"/>
        <v>184</v>
      </c>
      <c r="W374" s="57">
        <f t="shared" si="188"/>
        <v>-20108.352236184281</v>
      </c>
      <c r="X374" s="57">
        <f t="shared" si="189"/>
        <v>-140148.86969070564</v>
      </c>
      <c r="Y374" s="57">
        <f t="shared" si="190"/>
        <v>318.19840061099279</v>
      </c>
      <c r="Z374" s="57">
        <f t="shared" si="191"/>
        <v>2446.0777585756964</v>
      </c>
      <c r="AA374" s="57">
        <f t="shared" si="166"/>
        <v>23.325838040050314</v>
      </c>
      <c r="AB374" s="57">
        <f t="shared" si="167"/>
        <v>140.3429769455484</v>
      </c>
      <c r="AC374" s="57">
        <f t="shared" si="168"/>
        <v>5.8262061685931226</v>
      </c>
      <c r="AD374" s="57">
        <f t="shared" si="169"/>
        <v>21.447721170697239</v>
      </c>
      <c r="AE374" s="57">
        <f t="shared" si="170"/>
        <v>5.7299355087745227E-3</v>
      </c>
      <c r="AF374" s="57">
        <f t="shared" si="171"/>
        <v>7.9402453547880585</v>
      </c>
      <c r="AG374" s="57">
        <f t="shared" si="172"/>
        <v>3.9122138033722997</v>
      </c>
      <c r="AH374" s="57">
        <f t="shared" si="173"/>
        <v>32.406521096841601</v>
      </c>
      <c r="AJ374" s="57">
        <f t="shared" si="174"/>
        <v>152999.57071849843</v>
      </c>
      <c r="AK374" s="57">
        <f t="shared" si="175"/>
        <v>150148.90878592353</v>
      </c>
      <c r="AL374" s="57">
        <f t="shared" si="176"/>
        <v>126057.53405550116</v>
      </c>
      <c r="AN374" s="41">
        <v>369</v>
      </c>
      <c r="AO374" s="57">
        <f t="shared" si="177"/>
        <v>12407.662554463534</v>
      </c>
      <c r="AP374" s="57">
        <f t="shared" si="178"/>
        <v>16173.25848780173</v>
      </c>
      <c r="AR374" s="41">
        <v>369</v>
      </c>
      <c r="AS374" s="57">
        <f t="shared" si="179"/>
        <v>18456.909192082981</v>
      </c>
      <c r="AT374" s="57">
        <f t="shared" si="180"/>
        <v>-4452.4793723591929</v>
      </c>
      <c r="AV374" s="57">
        <f t="shared" si="181"/>
        <v>11.274466901321798</v>
      </c>
      <c r="AW374" s="57">
        <f t="shared" si="182"/>
        <v>69.666889314405225</v>
      </c>
      <c r="AX374" s="57">
        <f t="shared" si="183"/>
        <v>2.3072212312543194</v>
      </c>
      <c r="AY374" s="57">
        <f t="shared" si="184"/>
        <v>8.8816000088162834</v>
      </c>
      <c r="BA374" s="57">
        <f t="shared" si="185"/>
        <v>157167.43020842411</v>
      </c>
      <c r="BB374" s="57">
        <f t="shared" si="186"/>
        <v>139634.57084624609</v>
      </c>
    </row>
    <row r="375" spans="9:54" x14ac:dyDescent="0.25">
      <c r="I375" s="41">
        <v>370</v>
      </c>
      <c r="J375" s="57">
        <f t="shared" si="160"/>
        <v>24924.038765061043</v>
      </c>
      <c r="K375" s="57">
        <f t="shared" si="161"/>
        <v>8368.2408883346488</v>
      </c>
      <c r="M375" s="41">
        <v>370</v>
      </c>
      <c r="N375" s="57">
        <f t="shared" si="162"/>
        <v>-16553.172864457272</v>
      </c>
      <c r="O375" s="57">
        <f t="shared" si="163"/>
        <v>10607.768621834255</v>
      </c>
      <c r="Q375" s="41">
        <v>370</v>
      </c>
      <c r="R375" s="57">
        <f t="shared" si="164"/>
        <v>-75.961234938959024</v>
      </c>
      <c r="S375" s="41">
        <f t="shared" si="165"/>
        <v>-14131.759111665351</v>
      </c>
      <c r="U375" s="41">
        <v>369</v>
      </c>
      <c r="V375" s="41">
        <f t="shared" si="187"/>
        <v>184.5</v>
      </c>
      <c r="W375" s="57">
        <f t="shared" si="188"/>
        <v>-19946.33730612378</v>
      </c>
      <c r="X375" s="57">
        <f t="shared" si="189"/>
        <v>-138908.28793929963</v>
      </c>
      <c r="Y375" s="57">
        <f t="shared" si="190"/>
        <v>329.86131963101798</v>
      </c>
      <c r="Z375" s="57">
        <f t="shared" si="191"/>
        <v>2516.2492470484708</v>
      </c>
      <c r="AA375" s="57">
        <f t="shared" si="166"/>
        <v>23.759239965633974</v>
      </c>
      <c r="AB375" s="57">
        <f t="shared" si="167"/>
        <v>142.72595158818569</v>
      </c>
      <c r="AC375" s="57">
        <f t="shared" si="168"/>
        <v>5.9454023785001384</v>
      </c>
      <c r="AD375" s="57">
        <f t="shared" si="169"/>
        <v>21.790638192328188</v>
      </c>
      <c r="AE375" s="57">
        <f t="shared" si="170"/>
        <v>-2.9091795888275093E-3</v>
      </c>
      <c r="AF375" s="57">
        <f t="shared" si="171"/>
        <v>8.0726650227342915</v>
      </c>
      <c r="AG375" s="57">
        <f t="shared" si="172"/>
        <v>3.9870641618031812</v>
      </c>
      <c r="AH375" s="57">
        <f t="shared" si="173"/>
        <v>33.053602636865278</v>
      </c>
      <c r="AJ375" s="57">
        <f t="shared" si="174"/>
        <v>151759.99684202517</v>
      </c>
      <c r="AK375" s="57">
        <f t="shared" si="175"/>
        <v>148908.29760862247</v>
      </c>
      <c r="AL375" s="57">
        <f t="shared" si="176"/>
        <v>124806.47747179156</v>
      </c>
      <c r="AN375" s="41">
        <v>370</v>
      </c>
      <c r="AO375" s="57">
        <f t="shared" si="177"/>
        <v>12386.058147591561</v>
      </c>
      <c r="AP375" s="57">
        <f t="shared" si="178"/>
        <v>16302.361332501974</v>
      </c>
      <c r="AR375" s="41">
        <v>370</v>
      </c>
      <c r="AS375" s="57">
        <f t="shared" si="179"/>
        <v>18446.827135542728</v>
      </c>
      <c r="AT375" s="57">
        <f t="shared" si="180"/>
        <v>-4392.2313781657449</v>
      </c>
      <c r="AV375" s="57">
        <f t="shared" si="181"/>
        <v>11.470912046258769</v>
      </c>
      <c r="AW375" s="57">
        <f t="shared" si="182"/>
        <v>70.770647108527285</v>
      </c>
      <c r="AX375" s="57">
        <f t="shared" si="183"/>
        <v>2.3587705586607126</v>
      </c>
      <c r="AY375" s="57">
        <f t="shared" si="184"/>
        <v>9.0383986277306434</v>
      </c>
      <c r="BA375" s="57">
        <f t="shared" si="185"/>
        <v>155916.90364228399</v>
      </c>
      <c r="BB375" s="57">
        <f t="shared" si="186"/>
        <v>138393.19372695955</v>
      </c>
    </row>
    <row r="376" spans="9:54" x14ac:dyDescent="0.25">
      <c r="I376" s="41">
        <v>371</v>
      </c>
      <c r="J376" s="57">
        <f t="shared" si="160"/>
        <v>24908.13591723832</v>
      </c>
      <c r="K376" s="57">
        <f t="shared" si="161"/>
        <v>8454.0449768827257</v>
      </c>
      <c r="M376" s="41">
        <v>371</v>
      </c>
      <c r="N376" s="57">
        <f t="shared" si="162"/>
        <v>-16564.304857933177</v>
      </c>
      <c r="O376" s="57">
        <f t="shared" si="163"/>
        <v>10667.831483817909</v>
      </c>
      <c r="Q376" s="41">
        <v>371</v>
      </c>
      <c r="R376" s="57">
        <f t="shared" si="164"/>
        <v>-91.864082761680947</v>
      </c>
      <c r="S376" s="41">
        <f t="shared" si="165"/>
        <v>-14045.955023117274</v>
      </c>
      <c r="U376" s="41">
        <v>370</v>
      </c>
      <c r="V376" s="41">
        <f t="shared" si="187"/>
        <v>185</v>
      </c>
      <c r="W376" s="57">
        <f t="shared" si="188"/>
        <v>-19778.436741312566</v>
      </c>
      <c r="X376" s="57">
        <f t="shared" si="189"/>
        <v>-137632.32257182687</v>
      </c>
      <c r="Y376" s="57">
        <f t="shared" si="190"/>
        <v>341.74093961383494</v>
      </c>
      <c r="Z376" s="57">
        <f t="shared" si="191"/>
        <v>2587.6122228425638</v>
      </c>
      <c r="AA376" s="57">
        <f t="shared" si="166"/>
        <v>24.216366780570219</v>
      </c>
      <c r="AB376" s="57">
        <f t="shared" si="167"/>
        <v>145.24162781138858</v>
      </c>
      <c r="AC376" s="57">
        <f t="shared" si="168"/>
        <v>6.0715131754969676</v>
      </c>
      <c r="AD376" s="57">
        <f t="shared" si="169"/>
        <v>22.152022072053072</v>
      </c>
      <c r="AE376" s="57">
        <f t="shared" si="170"/>
        <v>-1.2324852893520619E-2</v>
      </c>
      <c r="AF376" s="57">
        <f t="shared" si="171"/>
        <v>8.2123122254373211</v>
      </c>
      <c r="AG376" s="57">
        <f t="shared" si="172"/>
        <v>4.0659663385773062</v>
      </c>
      <c r="AH376" s="57">
        <f t="shared" si="173"/>
        <v>33.739623772569367</v>
      </c>
      <c r="AJ376" s="57">
        <f t="shared" si="174"/>
        <v>150484.93308193819</v>
      </c>
      <c r="AK376" s="57">
        <f t="shared" si="175"/>
        <v>147632.48883030299</v>
      </c>
      <c r="AL376" s="57">
        <f t="shared" si="176"/>
        <v>123519.58845412971</v>
      </c>
      <c r="AN376" s="41">
        <v>371</v>
      </c>
      <c r="AO376" s="57">
        <f t="shared" si="177"/>
        <v>12362.203875857478</v>
      </c>
      <c r="AP376" s="57">
        <f t="shared" si="178"/>
        <v>16431.067465324089</v>
      </c>
      <c r="AR376" s="41">
        <v>371</v>
      </c>
      <c r="AS376" s="57">
        <f t="shared" si="179"/>
        <v>18435.695142066823</v>
      </c>
      <c r="AT376" s="57">
        <f t="shared" si="180"/>
        <v>-4332.1685161820924</v>
      </c>
      <c r="AV376" s="57">
        <f t="shared" si="181"/>
        <v>11.677751768174806</v>
      </c>
      <c r="AW376" s="57">
        <f t="shared" si="182"/>
        <v>71.933608782591875</v>
      </c>
      <c r="AX376" s="57">
        <f t="shared" si="183"/>
        <v>2.4134603512146588</v>
      </c>
      <c r="AY376" s="57">
        <f t="shared" si="184"/>
        <v>9.2040609587369353</v>
      </c>
      <c r="BA376" s="57">
        <f t="shared" si="185"/>
        <v>154630.51710776056</v>
      </c>
      <c r="BB376" s="57">
        <f t="shared" si="186"/>
        <v>137116.27420903259</v>
      </c>
    </row>
    <row r="377" spans="9:54" x14ac:dyDescent="0.25">
      <c r="I377" s="41">
        <v>372</v>
      </c>
      <c r="J377" s="57">
        <f t="shared" si="160"/>
        <v>24890.73800366903</v>
      </c>
      <c r="K377" s="57">
        <f t="shared" si="161"/>
        <v>8539.5584540887921</v>
      </c>
      <c r="M377" s="41">
        <v>372</v>
      </c>
      <c r="N377" s="57">
        <f t="shared" si="162"/>
        <v>-16576.483397431679</v>
      </c>
      <c r="O377" s="57">
        <f t="shared" si="163"/>
        <v>10727.690917862155</v>
      </c>
      <c r="Q377" s="41">
        <v>372</v>
      </c>
      <c r="R377" s="57">
        <f t="shared" si="164"/>
        <v>-109.26199633097076</v>
      </c>
      <c r="S377" s="41">
        <f t="shared" si="165"/>
        <v>-13960.441545911208</v>
      </c>
      <c r="U377" s="41">
        <v>371</v>
      </c>
      <c r="V377" s="41">
        <f t="shared" si="187"/>
        <v>185.5</v>
      </c>
      <c r="W377" s="57">
        <f t="shared" si="188"/>
        <v>-19604.539225658078</v>
      </c>
      <c r="X377" s="57">
        <f t="shared" si="189"/>
        <v>-136320.36125692914</v>
      </c>
      <c r="Y377" s="57">
        <f t="shared" si="190"/>
        <v>353.84912300412003</v>
      </c>
      <c r="Z377" s="57">
        <f t="shared" si="191"/>
        <v>2660.2330367482582</v>
      </c>
      <c r="AA377" s="57">
        <f t="shared" si="166"/>
        <v>24.698881625323139</v>
      </c>
      <c r="AB377" s="57">
        <f t="shared" si="167"/>
        <v>147.89917200132311</v>
      </c>
      <c r="AC377" s="57">
        <f t="shared" si="168"/>
        <v>6.2050491677794088</v>
      </c>
      <c r="AD377" s="57">
        <f t="shared" si="169"/>
        <v>22.533084095291944</v>
      </c>
      <c r="AE377" s="57">
        <f t="shared" si="170"/>
        <v>-2.2593726632256908E-2</v>
      </c>
      <c r="AF377" s="57">
        <f t="shared" si="171"/>
        <v>8.359671698093063</v>
      </c>
      <c r="AG377" s="57">
        <f t="shared" si="172"/>
        <v>4.1492030124333272</v>
      </c>
      <c r="AH377" s="57">
        <f t="shared" si="173"/>
        <v>34.467558381600888</v>
      </c>
      <c r="AJ377" s="57">
        <f t="shared" si="174"/>
        <v>149173.77731810071</v>
      </c>
      <c r="AK377" s="57">
        <f t="shared" si="175"/>
        <v>146320.89566286249</v>
      </c>
      <c r="AL377" s="57">
        <f t="shared" si="176"/>
        <v>122196.24634785464</v>
      </c>
      <c r="AN377" s="41">
        <v>372</v>
      </c>
      <c r="AO377" s="57">
        <f t="shared" si="177"/>
        <v>12336.107005503543</v>
      </c>
      <c r="AP377" s="57">
        <f t="shared" si="178"/>
        <v>16559.337681133187</v>
      </c>
      <c r="AR377" s="41">
        <v>372</v>
      </c>
      <c r="AS377" s="57">
        <f t="shared" si="179"/>
        <v>18423.516602568321</v>
      </c>
      <c r="AT377" s="57">
        <f t="shared" si="180"/>
        <v>-4272.3090821378455</v>
      </c>
      <c r="AV377" s="57">
        <f t="shared" si="181"/>
        <v>11.895685706233349</v>
      </c>
      <c r="AW377" s="57">
        <f t="shared" si="182"/>
        <v>73.159649199566502</v>
      </c>
      <c r="AX377" s="57">
        <f t="shared" si="183"/>
        <v>2.4715374655093116</v>
      </c>
      <c r="AY377" s="57">
        <f t="shared" si="184"/>
        <v>9.3792086267707155</v>
      </c>
      <c r="BA377" s="57">
        <f t="shared" si="185"/>
        <v>153307.64847663176</v>
      </c>
      <c r="BB377" s="57">
        <f t="shared" si="186"/>
        <v>135803.20841449397</v>
      </c>
    </row>
    <row r="378" spans="9:54" x14ac:dyDescent="0.25">
      <c r="I378" s="41">
        <v>373</v>
      </c>
      <c r="J378" s="57">
        <f t="shared" si="160"/>
        <v>24871.850323926177</v>
      </c>
      <c r="K378" s="57">
        <f t="shared" si="161"/>
        <v>8624.7552717193248</v>
      </c>
      <c r="M378" s="41">
        <v>373</v>
      </c>
      <c r="N378" s="57">
        <f t="shared" si="162"/>
        <v>-16589.704773251677</v>
      </c>
      <c r="O378" s="57">
        <f t="shared" si="163"/>
        <v>10787.328690203527</v>
      </c>
      <c r="Q378" s="41">
        <v>373</v>
      </c>
      <c r="R378" s="57">
        <f t="shared" si="164"/>
        <v>-128.14967607382368</v>
      </c>
      <c r="S378" s="41">
        <f t="shared" si="165"/>
        <v>-13875.244728280675</v>
      </c>
      <c r="U378" s="41">
        <v>372</v>
      </c>
      <c r="V378" s="41">
        <f t="shared" si="187"/>
        <v>186</v>
      </c>
      <c r="W378" s="57">
        <f t="shared" si="188"/>
        <v>-19424.527303952855</v>
      </c>
      <c r="X378" s="57">
        <f t="shared" si="189"/>
        <v>-134971.75734205486</v>
      </c>
      <c r="Y378" s="57">
        <f t="shared" si="190"/>
        <v>366.19856381678159</v>
      </c>
      <c r="Z378" s="57">
        <f t="shared" si="191"/>
        <v>2734.1826227489196</v>
      </c>
      <c r="AA378" s="57">
        <f t="shared" si="166"/>
        <v>25.208610340834035</v>
      </c>
      <c r="AB378" s="57">
        <f t="shared" si="167"/>
        <v>150.70865355412585</v>
      </c>
      <c r="AC378" s="57">
        <f t="shared" si="168"/>
        <v>6.3465731058689778</v>
      </c>
      <c r="AD378" s="57">
        <f t="shared" si="169"/>
        <v>22.935149393720625</v>
      </c>
      <c r="AE378" s="57">
        <f t="shared" si="170"/>
        <v>-3.3801810818850177E-2</v>
      </c>
      <c r="AF378" s="57">
        <f t="shared" si="171"/>
        <v>8.5152743986153201</v>
      </c>
      <c r="AG378" s="57">
        <f t="shared" si="172"/>
        <v>4.2370839175728134</v>
      </c>
      <c r="AH378" s="57">
        <f t="shared" si="173"/>
        <v>35.240697520650635</v>
      </c>
      <c r="AJ378" s="57">
        <f t="shared" si="174"/>
        <v>147825.89419067785</v>
      </c>
      <c r="AK378" s="57">
        <f t="shared" si="175"/>
        <v>144972.89952148826</v>
      </c>
      <c r="AL378" s="57">
        <f t="shared" si="176"/>
        <v>120835.79580440299</v>
      </c>
      <c r="AN378" s="41">
        <v>373</v>
      </c>
      <c r="AO378" s="57">
        <f t="shared" si="177"/>
        <v>12307.775485889264</v>
      </c>
      <c r="AP378" s="57">
        <f t="shared" si="178"/>
        <v>16687.132907578987</v>
      </c>
      <c r="AR378" s="41">
        <v>373</v>
      </c>
      <c r="AS378" s="57">
        <f t="shared" si="179"/>
        <v>18410.295226748323</v>
      </c>
      <c r="AT378" s="57">
        <f t="shared" si="180"/>
        <v>-4212.671309796473</v>
      </c>
      <c r="AV378" s="57">
        <f t="shared" si="181"/>
        <v>12.125479767050733</v>
      </c>
      <c r="AW378" s="57">
        <f t="shared" si="182"/>
        <v>74.453007284436836</v>
      </c>
      <c r="AX378" s="57">
        <f t="shared" si="183"/>
        <v>2.5332753611603644</v>
      </c>
      <c r="AY378" s="57">
        <f t="shared" si="184"/>
        <v>9.564524956702428</v>
      </c>
      <c r="BA378" s="57">
        <f t="shared" si="185"/>
        <v>151947.64076577735</v>
      </c>
      <c r="BB378" s="57">
        <f t="shared" si="186"/>
        <v>134453.35914986499</v>
      </c>
    </row>
    <row r="379" spans="9:54" x14ac:dyDescent="0.25">
      <c r="I379" s="41">
        <v>374</v>
      </c>
      <c r="J379" s="57">
        <f t="shared" si="160"/>
        <v>24851.478631379981</v>
      </c>
      <c r="K379" s="57">
        <f t="shared" si="161"/>
        <v>8709.6094779983414</v>
      </c>
      <c r="M379" s="41">
        <v>374</v>
      </c>
      <c r="N379" s="57">
        <f t="shared" si="162"/>
        <v>-16603.964958034012</v>
      </c>
      <c r="O379" s="57">
        <f t="shared" si="163"/>
        <v>10846.726634598839</v>
      </c>
      <c r="Q379" s="41">
        <v>374</v>
      </c>
      <c r="R379" s="57">
        <f t="shared" si="164"/>
        <v>-148.52136862001862</v>
      </c>
      <c r="S379" s="41">
        <f t="shared" si="165"/>
        <v>-13790.390522001659</v>
      </c>
      <c r="U379" s="41">
        <v>373</v>
      </c>
      <c r="V379" s="41">
        <f t="shared" si="187"/>
        <v>186.5</v>
      </c>
      <c r="W379" s="57">
        <f t="shared" si="188"/>
        <v>-19238.276945751859</v>
      </c>
      <c r="X379" s="57">
        <f t="shared" si="189"/>
        <v>-133585.82744898615</v>
      </c>
      <c r="Y379" s="57">
        <f t="shared" si="190"/>
        <v>378.80286898719862</v>
      </c>
      <c r="Z379" s="57">
        <f t="shared" si="191"/>
        <v>2809.5369495259824</v>
      </c>
      <c r="AA379" s="57">
        <f t="shared" si="166"/>
        <v>25.74756123988584</v>
      </c>
      <c r="AB379" s="57">
        <f t="shared" si="167"/>
        <v>153.68115551096722</v>
      </c>
      <c r="AC379" s="57">
        <f t="shared" si="168"/>
        <v>6.4967064671171908</v>
      </c>
      <c r="AD379" s="57">
        <f t="shared" si="169"/>
        <v>23.359670172918836</v>
      </c>
      <c r="AE379" s="57">
        <f t="shared" si="170"/>
        <v>-4.6045838660587347E-2</v>
      </c>
      <c r="AF379" s="57">
        <f t="shared" si="171"/>
        <v>8.67970295475547</v>
      </c>
      <c r="AG379" s="57">
        <f t="shared" si="172"/>
        <v>4.3299490266106408</v>
      </c>
      <c r="AH379" s="57">
        <f t="shared" si="173"/>
        <v>36.062691440044951</v>
      </c>
      <c r="AJ379" s="57">
        <f t="shared" si="174"/>
        <v>146440.61282525628</v>
      </c>
      <c r="AK379" s="57">
        <f t="shared" si="175"/>
        <v>143587.84790580781</v>
      </c>
      <c r="AL379" s="57">
        <f t="shared" si="176"/>
        <v>119437.5443574785</v>
      </c>
      <c r="AN379" s="41">
        <v>374</v>
      </c>
      <c r="AO379" s="57">
        <f t="shared" si="177"/>
        <v>12277.217947069974</v>
      </c>
      <c r="AP379" s="57">
        <f t="shared" si="178"/>
        <v>16814.414216997513</v>
      </c>
      <c r="AR379" s="41">
        <v>374</v>
      </c>
      <c r="AS379" s="57">
        <f t="shared" si="179"/>
        <v>18396.035041965988</v>
      </c>
      <c r="AT379" s="57">
        <f t="shared" si="180"/>
        <v>-4153.2733654011608</v>
      </c>
      <c r="AV379" s="57">
        <f t="shared" si="181"/>
        <v>12.367973934893508</v>
      </c>
      <c r="AW379" s="57">
        <f t="shared" si="182"/>
        <v>75.818328385992473</v>
      </c>
      <c r="AX379" s="57">
        <f t="shared" si="183"/>
        <v>2.5989776499250894</v>
      </c>
      <c r="AY379" s="57">
        <f t="shared" si="184"/>
        <v>9.7607625572555037</v>
      </c>
      <c r="BA379" s="57">
        <f t="shared" si="185"/>
        <v>150549.79969431661</v>
      </c>
      <c r="BB379" s="57">
        <f t="shared" si="186"/>
        <v>133066.05363109874</v>
      </c>
    </row>
    <row r="380" spans="9:54" x14ac:dyDescent="0.25">
      <c r="I380" s="41">
        <v>375</v>
      </c>
      <c r="J380" s="57">
        <f t="shared" si="160"/>
        <v>24829.629131445341</v>
      </c>
      <c r="K380" s="57">
        <f t="shared" si="161"/>
        <v>8794.0952255126012</v>
      </c>
      <c r="M380" s="41">
        <v>375</v>
      </c>
      <c r="N380" s="57">
        <f t="shared" si="162"/>
        <v>-16619.259607988261</v>
      </c>
      <c r="O380" s="57">
        <f t="shared" si="163"/>
        <v>10905.86665785882</v>
      </c>
      <c r="Q380" s="41">
        <v>375</v>
      </c>
      <c r="R380" s="57">
        <f t="shared" si="164"/>
        <v>-170.37086855465805</v>
      </c>
      <c r="S380" s="41">
        <f t="shared" si="165"/>
        <v>-13705.904774487399</v>
      </c>
      <c r="U380" s="41">
        <v>374</v>
      </c>
      <c r="V380" s="41">
        <f t="shared" si="187"/>
        <v>187</v>
      </c>
      <c r="W380" s="57">
        <f t="shared" si="188"/>
        <v>-19045.657066103271</v>
      </c>
      <c r="X380" s="57">
        <f t="shared" si="189"/>
        <v>-132161.84882978429</v>
      </c>
      <c r="Y380" s="57">
        <f t="shared" si="190"/>
        <v>391.67664960714154</v>
      </c>
      <c r="Z380" s="57">
        <f t="shared" si="191"/>
        <v>2886.377527281466</v>
      </c>
      <c r="AA380" s="57">
        <f t="shared" si="166"/>
        <v>26.317947807835559</v>
      </c>
      <c r="AB380" s="57">
        <f t="shared" si="167"/>
        <v>156.82890184475463</v>
      </c>
      <c r="AC380" s="57">
        <f t="shared" si="168"/>
        <v>6.656137050792279</v>
      </c>
      <c r="AD380" s="57">
        <f t="shared" si="169"/>
        <v>23.808240824434709</v>
      </c>
      <c r="AE380" s="57">
        <f t="shared" si="170"/>
        <v>-5.9434853030570972E-2</v>
      </c>
      <c r="AF380" s="57">
        <f t="shared" si="171"/>
        <v>8.8535978961487221</v>
      </c>
      <c r="AG380" s="57">
        <f t="shared" si="172"/>
        <v>4.4281721822093001</v>
      </c>
      <c r="AH380" s="57">
        <f t="shared" si="173"/>
        <v>36.937598388068707</v>
      </c>
      <c r="AJ380" s="57">
        <f t="shared" si="174"/>
        <v>145017.22433654996</v>
      </c>
      <c r="AK380" s="57">
        <f t="shared" si="175"/>
        <v>142165.05208080471</v>
      </c>
      <c r="AL380" s="57">
        <f t="shared" si="176"/>
        <v>118000.7597587058</v>
      </c>
      <c r="AN380" s="41">
        <v>375</v>
      </c>
      <c r="AO380" s="57">
        <f t="shared" si="177"/>
        <v>12244.443697168013</v>
      </c>
      <c r="AP380" s="57">
        <f t="shared" si="178"/>
        <v>16941.142838268901</v>
      </c>
      <c r="AR380" s="41">
        <v>375</v>
      </c>
      <c r="AS380" s="57">
        <f t="shared" si="179"/>
        <v>18380.740392011739</v>
      </c>
      <c r="AT380" s="57">
        <f t="shared" si="180"/>
        <v>-4094.1333421411791</v>
      </c>
      <c r="AV380" s="57">
        <f t="shared" si="181"/>
        <v>12.624091208661477</v>
      </c>
      <c r="AW380" s="57">
        <f t="shared" si="182"/>
        <v>77.260712691496153</v>
      </c>
      <c r="AX380" s="57">
        <f t="shared" si="183"/>
        <v>2.668982219203075</v>
      </c>
      <c r="AY380" s="57">
        <f t="shared" si="184"/>
        <v>9.9687520446063473</v>
      </c>
      <c r="BA380" s="57">
        <f t="shared" si="185"/>
        <v>149113.3909973914</v>
      </c>
      <c r="BB380" s="57">
        <f t="shared" si="186"/>
        <v>131640.58098805102</v>
      </c>
    </row>
    <row r="381" spans="9:54" x14ac:dyDescent="0.25">
      <c r="I381" s="41">
        <v>376</v>
      </c>
      <c r="J381" s="57">
        <f t="shared" si="160"/>
        <v>24806.308479691594</v>
      </c>
      <c r="K381" s="57">
        <f t="shared" si="161"/>
        <v>8878.1867790849974</v>
      </c>
      <c r="M381" s="41">
        <v>376</v>
      </c>
      <c r="N381" s="57">
        <f t="shared" si="162"/>
        <v>-16635.584064215884</v>
      </c>
      <c r="O381" s="57">
        <f t="shared" si="163"/>
        <v>10964.730745359499</v>
      </c>
      <c r="Q381" s="41">
        <v>376</v>
      </c>
      <c r="R381" s="57">
        <f t="shared" si="164"/>
        <v>-193.69152030840633</v>
      </c>
      <c r="S381" s="41">
        <f t="shared" si="165"/>
        <v>-13621.813220915003</v>
      </c>
      <c r="U381" s="41">
        <v>375</v>
      </c>
      <c r="V381" s="41">
        <f t="shared" si="187"/>
        <v>187.5</v>
      </c>
      <c r="W381" s="57">
        <f t="shared" si="188"/>
        <v>-18846.52899782372</v>
      </c>
      <c r="X381" s="57">
        <f t="shared" si="189"/>
        <v>-130699.05645341295</v>
      </c>
      <c r="Y381" s="57">
        <f t="shared" si="190"/>
        <v>404.83562351105934</v>
      </c>
      <c r="Z381" s="57">
        <f t="shared" si="191"/>
        <v>2964.7919782038434</v>
      </c>
      <c r="AA381" s="57">
        <f t="shared" si="166"/>
        <v>26.922214845579227</v>
      </c>
      <c r="AB381" s="57">
        <f t="shared" si="167"/>
        <v>160.16540437620239</v>
      </c>
      <c r="AC381" s="57">
        <f t="shared" si="168"/>
        <v>6.8256277667222536</v>
      </c>
      <c r="AD381" s="57">
        <f t="shared" si="169"/>
        <v>24.282615239989074</v>
      </c>
      <c r="AE381" s="57">
        <f t="shared" si="170"/>
        <v>-7.4092069575109054E-2</v>
      </c>
      <c r="AF381" s="57">
        <f t="shared" si="171"/>
        <v>9.0376648049495625</v>
      </c>
      <c r="AG381" s="57">
        <f t="shared" si="172"/>
        <v>4.5321652505059902</v>
      </c>
      <c r="AH381" s="57">
        <f t="shared" si="173"/>
        <v>37.869941503528047</v>
      </c>
      <c r="AJ381" s="57">
        <f t="shared" si="174"/>
        <v>143554.97908394673</v>
      </c>
      <c r="AK381" s="57">
        <f t="shared" si="175"/>
        <v>140703.7845341537</v>
      </c>
      <c r="AL381" s="57">
        <f t="shared" si="176"/>
        <v>116524.66704306693</v>
      </c>
      <c r="AN381" s="41">
        <v>376</v>
      </c>
      <c r="AO381" s="57">
        <f t="shared" si="177"/>
        <v>12209.462719537391</v>
      </c>
      <c r="AP381" s="57">
        <f t="shared" si="178"/>
        <v>17067.280168627494</v>
      </c>
      <c r="AR381" s="41">
        <v>376</v>
      </c>
      <c r="AS381" s="57">
        <f t="shared" si="179"/>
        <v>18364.415935784116</v>
      </c>
      <c r="AT381" s="57">
        <f t="shared" si="180"/>
        <v>-4035.2692546405024</v>
      </c>
      <c r="AV381" s="57">
        <f t="shared" si="181"/>
        <v>12.89484785839281</v>
      </c>
      <c r="AW381" s="57">
        <f t="shared" si="182"/>
        <v>78.785770719487303</v>
      </c>
      <c r="AX381" s="57">
        <f t="shared" si="183"/>
        <v>2.7436660395332821</v>
      </c>
      <c r="AY381" s="57">
        <f t="shared" si="184"/>
        <v>10.189412108248412</v>
      </c>
      <c r="BA381" s="57">
        <f t="shared" si="185"/>
        <v>147637.63746639562</v>
      </c>
      <c r="BB381" s="57">
        <f t="shared" si="186"/>
        <v>130176.18952204284</v>
      </c>
    </row>
    <row r="382" spans="9:54" x14ac:dyDescent="0.25">
      <c r="I382" s="41">
        <v>377</v>
      </c>
      <c r="J382" s="57">
        <f t="shared" si="160"/>
        <v>24781.523779815179</v>
      </c>
      <c r="K382" s="57">
        <f t="shared" si="161"/>
        <v>8961.8585236136823</v>
      </c>
      <c r="M382" s="41">
        <v>377</v>
      </c>
      <c r="N382" s="57">
        <f t="shared" si="162"/>
        <v>-16652.933354129374</v>
      </c>
      <c r="O382" s="57">
        <f t="shared" si="163"/>
        <v>11023.300966529578</v>
      </c>
      <c r="Q382" s="41">
        <v>377</v>
      </c>
      <c r="R382" s="57">
        <f t="shared" si="164"/>
        <v>-218.47622018482252</v>
      </c>
      <c r="S382" s="41">
        <f t="shared" si="165"/>
        <v>-13538.141476386318</v>
      </c>
      <c r="U382" s="41">
        <v>376</v>
      </c>
      <c r="V382" s="41">
        <f t="shared" si="187"/>
        <v>188</v>
      </c>
      <c r="W382" s="57">
        <f t="shared" si="188"/>
        <v>-18640.745909212492</v>
      </c>
      <c r="X382" s="57">
        <f t="shared" si="189"/>
        <v>-129196.63978876401</v>
      </c>
      <c r="Y382" s="57">
        <f t="shared" si="190"/>
        <v>418.29673093384895</v>
      </c>
      <c r="Z382" s="57">
        <f t="shared" si="191"/>
        <v>3044.8746803919448</v>
      </c>
      <c r="AA382" s="57">
        <f t="shared" si="166"/>
        <v>27.563068671889567</v>
      </c>
      <c r="AB382" s="57">
        <f t="shared" si="167"/>
        <v>163.70563291935989</v>
      </c>
      <c r="AC382" s="57">
        <f t="shared" si="168"/>
        <v>7.0060268389252016</v>
      </c>
      <c r="AD382" s="57">
        <f t="shared" si="169"/>
        <v>24.784726707944895</v>
      </c>
      <c r="AE382" s="57">
        <f t="shared" si="170"/>
        <v>-9.0157072308059999E-2</v>
      </c>
      <c r="AF382" s="57">
        <f t="shared" si="171"/>
        <v>9.2326825451772336</v>
      </c>
      <c r="AG382" s="57">
        <f t="shared" si="172"/>
        <v>4.6423828828354541</v>
      </c>
      <c r="AH382" s="57">
        <f t="shared" si="173"/>
        <v>38.86477538406772</v>
      </c>
      <c r="AJ382" s="57">
        <f t="shared" si="174"/>
        <v>142053.08364818915</v>
      </c>
      <c r="AK382" s="57">
        <f t="shared" si="175"/>
        <v>139203.27618330769</v>
      </c>
      <c r="AL382" s="57">
        <f t="shared" si="176"/>
        <v>115008.44528991953</v>
      </c>
      <c r="AN382" s="41">
        <v>377</v>
      </c>
      <c r="AO382" s="57">
        <f t="shared" si="177"/>
        <v>12172.285669722765</v>
      </c>
      <c r="AP382" s="57">
        <f t="shared" si="178"/>
        <v>17192.787785420525</v>
      </c>
      <c r="AR382" s="41">
        <v>377</v>
      </c>
      <c r="AS382" s="57">
        <f t="shared" si="179"/>
        <v>18347.066645870626</v>
      </c>
      <c r="AT382" s="57">
        <f t="shared" si="180"/>
        <v>-3976.6990334704215</v>
      </c>
      <c r="AV382" s="57">
        <f t="shared" si="181"/>
        <v>13.181365232466375</v>
      </c>
      <c r="AW382" s="57">
        <f t="shared" si="182"/>
        <v>80.39968711856126</v>
      </c>
      <c r="AX382" s="57">
        <f t="shared" si="183"/>
        <v>2.8234507899705958</v>
      </c>
      <c r="AY382" s="57">
        <f t="shared" si="184"/>
        <v>10.423761163608754</v>
      </c>
      <c r="BA382" s="57">
        <f t="shared" si="185"/>
        <v>146121.71568084776</v>
      </c>
      <c r="BB382" s="57">
        <f t="shared" si="186"/>
        <v>128672.08368619898</v>
      </c>
    </row>
    <row r="383" spans="9:54" x14ac:dyDescent="0.25">
      <c r="I383" s="41">
        <v>378</v>
      </c>
      <c r="J383" s="57">
        <f t="shared" si="160"/>
        <v>24755.282581475767</v>
      </c>
      <c r="K383" s="57">
        <f t="shared" si="161"/>
        <v>9045.0849718747359</v>
      </c>
      <c r="M383" s="41">
        <v>378</v>
      </c>
      <c r="N383" s="57">
        <f t="shared" si="162"/>
        <v>-16671.302192966963</v>
      </c>
      <c r="O383" s="57">
        <f t="shared" si="163"/>
        <v>11081.559480312315</v>
      </c>
      <c r="Q383" s="41">
        <v>378</v>
      </c>
      <c r="R383" s="57">
        <f t="shared" si="164"/>
        <v>-244.71741852423202</v>
      </c>
      <c r="S383" s="41">
        <f t="shared" si="165"/>
        <v>-13454.915028125264</v>
      </c>
      <c r="U383" s="41">
        <v>377</v>
      </c>
      <c r="V383" s="41">
        <f t="shared" si="187"/>
        <v>188.5</v>
      </c>
      <c r="W383" s="57">
        <f t="shared" si="188"/>
        <v>-18428.152160161582</v>
      </c>
      <c r="X383" s="57">
        <f t="shared" si="189"/>
        <v>-127653.73924445311</v>
      </c>
      <c r="Y383" s="57">
        <f t="shared" si="190"/>
        <v>432.07826526979375</v>
      </c>
      <c r="Z383" s="57">
        <f t="shared" si="191"/>
        <v>3126.7274968516249</v>
      </c>
      <c r="AA383" s="57">
        <f t="shared" si="166"/>
        <v>28.243512130788666</v>
      </c>
      <c r="AB383" s="57">
        <f t="shared" si="167"/>
        <v>167.46621302883861</v>
      </c>
      <c r="AC383" s="57">
        <f t="shared" si="168"/>
        <v>7.1982796933650182</v>
      </c>
      <c r="AD383" s="57">
        <f t="shared" si="169"/>
        <v>25.316710848622986</v>
      </c>
      <c r="AE383" s="57">
        <f t="shared" si="170"/>
        <v>-0.10778841045397719</v>
      </c>
      <c r="AF383" s="57">
        <f t="shared" si="171"/>
        <v>9.4395127633544469</v>
      </c>
      <c r="AG383" s="57">
        <f t="shared" si="172"/>
        <v>4.7593279883153619</v>
      </c>
      <c r="AH383" s="57">
        <f t="shared" si="173"/>
        <v>39.927764280566116</v>
      </c>
      <c r="AJ383" s="57">
        <f t="shared" si="174"/>
        <v>140510.6974938284</v>
      </c>
      <c r="AK383" s="57">
        <f t="shared" si="175"/>
        <v>137662.71330179242</v>
      </c>
      <c r="AL383" s="57">
        <f t="shared" si="176"/>
        <v>113451.22404008557</v>
      </c>
      <c r="AN383" s="41">
        <v>378</v>
      </c>
      <c r="AO383" s="57">
        <f t="shared" si="177"/>
        <v>12132.923872213652</v>
      </c>
      <c r="AP383" s="57">
        <f t="shared" si="178"/>
        <v>17317.627457812105</v>
      </c>
      <c r="AR383" s="41">
        <v>378</v>
      </c>
      <c r="AS383" s="57">
        <f t="shared" si="179"/>
        <v>18328.697807033037</v>
      </c>
      <c r="AT383" s="57">
        <f t="shared" si="180"/>
        <v>-3918.4405196876851</v>
      </c>
      <c r="AV383" s="57">
        <f t="shared" si="181"/>
        <v>13.48488339392377</v>
      </c>
      <c r="AW383" s="57">
        <f t="shared" si="182"/>
        <v>82.10929424855631</v>
      </c>
      <c r="AX383" s="57">
        <f t="shared" si="183"/>
        <v>2.908809465638492</v>
      </c>
      <c r="AY383" s="57">
        <f t="shared" si="184"/>
        <v>10.672930887738785</v>
      </c>
      <c r="BA383" s="57">
        <f t="shared" si="185"/>
        <v>144564.7523916674</v>
      </c>
      <c r="BB383" s="57">
        <f t="shared" si="186"/>
        <v>127127.42075370369</v>
      </c>
    </row>
    <row r="384" spans="9:54" x14ac:dyDescent="0.25">
      <c r="I384" s="41">
        <v>379</v>
      </c>
      <c r="J384" s="57">
        <f t="shared" si="160"/>
        <v>24727.592877996583</v>
      </c>
      <c r="K384" s="57">
        <f t="shared" si="161"/>
        <v>9127.840772285781</v>
      </c>
      <c r="M384" s="41">
        <v>379</v>
      </c>
      <c r="N384" s="57">
        <f t="shared" si="162"/>
        <v>-16690.684985402389</v>
      </c>
      <c r="O384" s="57">
        <f t="shared" si="163"/>
        <v>11139.488540600047</v>
      </c>
      <c r="Q384" s="41">
        <v>379</v>
      </c>
      <c r="R384" s="57">
        <f t="shared" si="164"/>
        <v>-272.40712200341477</v>
      </c>
      <c r="S384" s="41">
        <f t="shared" si="165"/>
        <v>-13372.159227714219</v>
      </c>
      <c r="U384" s="41">
        <v>378</v>
      </c>
      <c r="V384" s="41">
        <f t="shared" si="187"/>
        <v>189</v>
      </c>
      <c r="W384" s="57">
        <f t="shared" si="188"/>
        <v>-18208.582588510337</v>
      </c>
      <c r="X384" s="57">
        <f t="shared" si="189"/>
        <v>-126069.4422193987</v>
      </c>
      <c r="Y384" s="57">
        <f t="shared" si="190"/>
        <v>446.20002133518807</v>
      </c>
      <c r="Z384" s="57">
        <f t="shared" si="191"/>
        <v>3210.4606033660443</v>
      </c>
      <c r="AA384" s="57">
        <f t="shared" si="166"/>
        <v>28.966885308748562</v>
      </c>
      <c r="AB384" s="57">
        <f t="shared" si="167"/>
        <v>171.46565668391003</v>
      </c>
      <c r="AC384" s="57">
        <f t="shared" si="168"/>
        <v>7.4034428584445511</v>
      </c>
      <c r="AD384" s="57">
        <f t="shared" si="169"/>
        <v>25.880932139131286</v>
      </c>
      <c r="AE384" s="57">
        <f t="shared" si="170"/>
        <v>-0.12716668159316699</v>
      </c>
      <c r="AF384" s="57">
        <f t="shared" si="171"/>
        <v>9.6591108930248062</v>
      </c>
      <c r="AG384" s="57">
        <f t="shared" si="172"/>
        <v>4.8835580391454343</v>
      </c>
      <c r="AH384" s="57">
        <f t="shared" si="173"/>
        <v>41.065274325934865</v>
      </c>
      <c r="AJ384" s="57">
        <f t="shared" si="174"/>
        <v>138926.92927659597</v>
      </c>
      <c r="AK384" s="57">
        <f t="shared" si="175"/>
        <v>136081.23412962005</v>
      </c>
      <c r="AL384" s="57">
        <f t="shared" si="176"/>
        <v>111852.07932321081</v>
      </c>
      <c r="AN384" s="41">
        <v>379</v>
      </c>
      <c r="AO384" s="57">
        <f t="shared" si="177"/>
        <v>12091.389316994877</v>
      </c>
      <c r="AP384" s="57">
        <f t="shared" si="178"/>
        <v>17441.761158428671</v>
      </c>
      <c r="AR384" s="41">
        <v>379</v>
      </c>
      <c r="AS384" s="57">
        <f t="shared" si="179"/>
        <v>18309.315014597611</v>
      </c>
      <c r="AT384" s="57">
        <f t="shared" si="180"/>
        <v>-3860.5114593999533</v>
      </c>
      <c r="AV384" s="57">
        <f t="shared" si="181"/>
        <v>13.806776922672267</v>
      </c>
      <c r="AW384" s="57">
        <f t="shared" si="182"/>
        <v>83.922157326974357</v>
      </c>
      <c r="AX384" s="57">
        <f t="shared" si="183"/>
        <v>3.0002741700794742</v>
      </c>
      <c r="AY384" s="57">
        <f t="shared" si="184"/>
        <v>10.938181998844698</v>
      </c>
      <c r="BA384" s="57">
        <f t="shared" si="185"/>
        <v>142965.82050916913</v>
      </c>
      <c r="BB384" s="57">
        <f t="shared" si="186"/>
        <v>125541.30713376467</v>
      </c>
    </row>
    <row r="385" spans="9:54" x14ac:dyDescent="0.25">
      <c r="I385" s="41">
        <v>380</v>
      </c>
      <c r="J385" s="57">
        <f t="shared" si="160"/>
        <v>24698.463103929542</v>
      </c>
      <c r="K385" s="57">
        <f t="shared" si="161"/>
        <v>9210.1007166283453</v>
      </c>
      <c r="M385" s="41">
        <v>380</v>
      </c>
      <c r="N385" s="57">
        <f t="shared" si="162"/>
        <v>-16711.075827249322</v>
      </c>
      <c r="O385" s="57">
        <f t="shared" si="163"/>
        <v>11197.070501639841</v>
      </c>
      <c r="Q385" s="41">
        <v>380</v>
      </c>
      <c r="R385" s="57">
        <f t="shared" si="164"/>
        <v>-301.53689607045817</v>
      </c>
      <c r="S385" s="41">
        <f t="shared" si="165"/>
        <v>-13289.899283371655</v>
      </c>
      <c r="U385" s="41">
        <v>379</v>
      </c>
      <c r="V385" s="41">
        <f t="shared" si="187"/>
        <v>189.5</v>
      </c>
      <c r="W385" s="57">
        <f t="shared" si="188"/>
        <v>-17981.861717179152</v>
      </c>
      <c r="X385" s="57">
        <f t="shared" si="189"/>
        <v>-124442.77871063018</v>
      </c>
      <c r="Y385" s="57">
        <f t="shared" si="190"/>
        <v>460.68346398956237</v>
      </c>
      <c r="Z385" s="57">
        <f t="shared" si="191"/>
        <v>3296.1934317079995</v>
      </c>
      <c r="AA385" s="57">
        <f t="shared" si="166"/>
        <v>29.736913064530928</v>
      </c>
      <c r="AB385" s="57">
        <f t="shared" si="167"/>
        <v>175.72463245226254</v>
      </c>
      <c r="AC385" s="57">
        <f t="shared" si="168"/>
        <v>7.6227002813933824</v>
      </c>
      <c r="AD385" s="57">
        <f t="shared" si="169"/>
        <v>26.480014694762612</v>
      </c>
      <c r="AE385" s="57">
        <f t="shared" si="170"/>
        <v>-0.14849820682964648</v>
      </c>
      <c r="AF385" s="57">
        <f t="shared" si="171"/>
        <v>9.8925389452590959</v>
      </c>
      <c r="AG385" s="57">
        <f t="shared" si="172"/>
        <v>5.0156923536275553</v>
      </c>
      <c r="AH385" s="57">
        <f t="shared" si="173"/>
        <v>42.284482788185059</v>
      </c>
      <c r="AJ385" s="57">
        <f t="shared" si="174"/>
        <v>137300.8327483313</v>
      </c>
      <c r="AK385" s="57">
        <f t="shared" si="175"/>
        <v>134457.92512739467</v>
      </c>
      <c r="AL385" s="57">
        <f t="shared" si="176"/>
        <v>110210.02924211539</v>
      </c>
      <c r="AN385" s="41">
        <v>380</v>
      </c>
      <c r="AO385" s="57">
        <f t="shared" si="177"/>
        <v>12047.694655894313</v>
      </c>
      <c r="AP385" s="57">
        <f t="shared" si="178"/>
        <v>17565.151074942518</v>
      </c>
      <c r="AR385" s="41">
        <v>380</v>
      </c>
      <c r="AS385" s="57">
        <f t="shared" si="179"/>
        <v>18288.924172750678</v>
      </c>
      <c r="AT385" s="57">
        <f t="shared" si="180"/>
        <v>-3802.9294983601585</v>
      </c>
      <c r="AV385" s="57">
        <f t="shared" si="181"/>
        <v>14.148573292747825</v>
      </c>
      <c r="AW385" s="57">
        <f t="shared" si="182"/>
        <v>85.846673303102961</v>
      </c>
      <c r="AX385" s="57">
        <f t="shared" si="183"/>
        <v>3.0984453435918087</v>
      </c>
      <c r="AY385" s="57">
        <f t="shared" si="184"/>
        <v>11.2209227209528</v>
      </c>
      <c r="BA385" s="57">
        <f t="shared" si="185"/>
        <v>141323.93464140929</v>
      </c>
      <c r="BB385" s="57">
        <f t="shared" si="186"/>
        <v>123912.79428875656</v>
      </c>
    </row>
    <row r="386" spans="9:54" x14ac:dyDescent="0.25">
      <c r="I386" s="41">
        <v>381</v>
      </c>
      <c r="J386" s="57">
        <f t="shared" si="160"/>
        <v>24667.902132486011</v>
      </c>
      <c r="K386" s="57">
        <f t="shared" si="161"/>
        <v>9291.8397477264971</v>
      </c>
      <c r="M386" s="41">
        <v>381</v>
      </c>
      <c r="N386" s="57">
        <f t="shared" si="162"/>
        <v>-16732.468507259793</v>
      </c>
      <c r="O386" s="57">
        <f t="shared" si="163"/>
        <v>11254.287823408547</v>
      </c>
      <c r="Q386" s="41">
        <v>381</v>
      </c>
      <c r="R386" s="57">
        <f t="shared" si="164"/>
        <v>-332.09786751398951</v>
      </c>
      <c r="S386" s="41">
        <f t="shared" si="165"/>
        <v>-13208.160252273503</v>
      </c>
      <c r="U386" s="41">
        <v>380</v>
      </c>
      <c r="V386" s="41">
        <f t="shared" si="187"/>
        <v>190</v>
      </c>
      <c r="W386" s="57">
        <f t="shared" si="188"/>
        <v>-17747.802871051306</v>
      </c>
      <c r="X386" s="57">
        <f t="shared" si="189"/>
        <v>-122772.71641571965</v>
      </c>
      <c r="Y386" s="57">
        <f t="shared" si="190"/>
        <v>475.55192052182781</v>
      </c>
      <c r="Z386" s="57">
        <f t="shared" si="191"/>
        <v>3384.0557479341305</v>
      </c>
      <c r="AA386" s="57">
        <f t="shared" si="166"/>
        <v>30.557760722064867</v>
      </c>
      <c r="AB386" s="57">
        <f t="shared" si="167"/>
        <v>180.26628319914408</v>
      </c>
      <c r="AC386" s="57">
        <f t="shared" si="168"/>
        <v>7.8573825576287355</v>
      </c>
      <c r="AD386" s="57">
        <f t="shared" si="169"/>
        <v>27.116878118614647</v>
      </c>
      <c r="AE386" s="57">
        <f t="shared" si="170"/>
        <v>-0.17201943006979892</v>
      </c>
      <c r="AF386" s="57">
        <f t="shared" si="171"/>
        <v>10.1409804288812</v>
      </c>
      <c r="AG386" s="57">
        <f t="shared" si="172"/>
        <v>5.1564205297135981</v>
      </c>
      <c r="AH386" s="57">
        <f t="shared" si="173"/>
        <v>43.593508080595882</v>
      </c>
      <c r="AJ386" s="57">
        <f t="shared" si="174"/>
        <v>135631.40220436512</v>
      </c>
      <c r="AK386" s="57">
        <f t="shared" si="175"/>
        <v>132791.81682738118</v>
      </c>
      <c r="AL386" s="57">
        <f t="shared" si="176"/>
        <v>108524.02905192155</v>
      </c>
      <c r="AN386" s="41">
        <v>381</v>
      </c>
      <c r="AO386" s="57">
        <f t="shared" si="177"/>
        <v>12001.853198729015</v>
      </c>
      <c r="AP386" s="57">
        <f t="shared" si="178"/>
        <v>17687.759621589747</v>
      </c>
      <c r="AR386" s="41">
        <v>381</v>
      </c>
      <c r="AS386" s="57">
        <f t="shared" si="179"/>
        <v>18267.531492740207</v>
      </c>
      <c r="AT386" s="57">
        <f t="shared" si="180"/>
        <v>-3745.7121765914517</v>
      </c>
      <c r="AV386" s="57">
        <f t="shared" si="181"/>
        <v>14.511974324141438</v>
      </c>
      <c r="AW386" s="57">
        <f t="shared" si="182"/>
        <v>87.892186094882462</v>
      </c>
      <c r="AX386" s="57">
        <f t="shared" si="183"/>
        <v>3.2040027406508962</v>
      </c>
      <c r="AY386" s="57">
        <f t="shared" si="184"/>
        <v>11.522730476169887</v>
      </c>
      <c r="BA386" s="57">
        <f t="shared" si="185"/>
        <v>139638.04611933854</v>
      </c>
      <c r="BB386" s="57">
        <f t="shared" si="186"/>
        <v>122240.87419852149</v>
      </c>
    </row>
    <row r="387" spans="9:54" x14ac:dyDescent="0.25">
      <c r="I387" s="41">
        <v>382</v>
      </c>
      <c r="J387" s="57">
        <f t="shared" si="160"/>
        <v>24635.919272833937</v>
      </c>
      <c r="K387" s="57">
        <f t="shared" si="161"/>
        <v>9373.03296707956</v>
      </c>
      <c r="M387" s="41">
        <v>382</v>
      </c>
      <c r="N387" s="57">
        <f t="shared" si="162"/>
        <v>-16754.856509016245</v>
      </c>
      <c r="O387" s="57">
        <f t="shared" si="163"/>
        <v>11311.123076955691</v>
      </c>
      <c r="Q387" s="41">
        <v>382</v>
      </c>
      <c r="R387" s="57">
        <f t="shared" si="164"/>
        <v>-364.0807271660633</v>
      </c>
      <c r="S387" s="41">
        <f t="shared" si="165"/>
        <v>-13126.96703292044</v>
      </c>
      <c r="U387" s="41">
        <v>381</v>
      </c>
      <c r="V387" s="41">
        <f t="shared" si="187"/>
        <v>190.5</v>
      </c>
      <c r="W387" s="57">
        <f t="shared" si="188"/>
        <v>-17506.207190700134</v>
      </c>
      <c r="X387" s="57">
        <f t="shared" si="189"/>
        <v>-121058.15525635269</v>
      </c>
      <c r="Y387" s="57">
        <f t="shared" si="190"/>
        <v>490.83080088286022</v>
      </c>
      <c r="Z387" s="57">
        <f t="shared" si="191"/>
        <v>3474.1888895337024</v>
      </c>
      <c r="AA387" s="57">
        <f t="shared" si="166"/>
        <v>31.434099588028577</v>
      </c>
      <c r="AB387" s="57">
        <f t="shared" si="167"/>
        <v>185.1166013402283</v>
      </c>
      <c r="AC387" s="57">
        <f t="shared" si="168"/>
        <v>8.1089896892138906</v>
      </c>
      <c r="AD387" s="57">
        <f t="shared" si="169"/>
        <v>27.794779411782546</v>
      </c>
      <c r="AE387" s="57">
        <f t="shared" si="170"/>
        <v>-0.19800220733376911</v>
      </c>
      <c r="AF387" s="57">
        <f t="shared" si="171"/>
        <v>10.405757821210123</v>
      </c>
      <c r="AG387" s="57">
        <f t="shared" si="172"/>
        <v>5.3065122352131313</v>
      </c>
      <c r="AH387" s="57">
        <f t="shared" si="173"/>
        <v>45.001565217188947</v>
      </c>
      <c r="AJ387" s="57">
        <f t="shared" si="174"/>
        <v>133917.56740901549</v>
      </c>
      <c r="AK387" s="57">
        <f t="shared" si="175"/>
        <v>131081.87922735148</v>
      </c>
      <c r="AL387" s="57">
        <f t="shared" si="176"/>
        <v>106792.96566102719</v>
      </c>
      <c r="AN387" s="41">
        <v>382</v>
      </c>
      <c r="AO387" s="57">
        <f t="shared" si="177"/>
        <v>11953.878909250907</v>
      </c>
      <c r="AP387" s="57">
        <f t="shared" si="178"/>
        <v>17809.549450619339</v>
      </c>
      <c r="AR387" s="41">
        <v>382</v>
      </c>
      <c r="AS387" s="57">
        <f t="shared" si="179"/>
        <v>18245.143490983755</v>
      </c>
      <c r="AT387" s="57">
        <f t="shared" si="180"/>
        <v>-3688.8769230443086</v>
      </c>
      <c r="AV387" s="57">
        <f t="shared" si="181"/>
        <v>14.898881322005522</v>
      </c>
      <c r="AW387" s="57">
        <f t="shared" si="182"/>
        <v>90.069121415225894</v>
      </c>
      <c r="AX387" s="57">
        <f t="shared" si="183"/>
        <v>3.3177185489298009</v>
      </c>
      <c r="AY387" s="57">
        <f t="shared" si="184"/>
        <v>11.845377474820761</v>
      </c>
      <c r="BA387" s="57">
        <f t="shared" si="185"/>
        <v>137907.03743418062</v>
      </c>
      <c r="BB387" s="57">
        <f t="shared" si="186"/>
        <v>120524.47430888214</v>
      </c>
    </row>
    <row r="388" spans="9:54" x14ac:dyDescent="0.25">
      <c r="I388" s="41">
        <v>383</v>
      </c>
      <c r="J388" s="57">
        <f t="shared" si="160"/>
        <v>24602.524267262204</v>
      </c>
      <c r="K388" s="57">
        <f t="shared" si="161"/>
        <v>9453.6556424463633</v>
      </c>
      <c r="M388" s="41">
        <v>383</v>
      </c>
      <c r="N388" s="57">
        <f t="shared" si="162"/>
        <v>-16778.233012916458</v>
      </c>
      <c r="O388" s="57">
        <f t="shared" si="163"/>
        <v>11367.558949712455</v>
      </c>
      <c r="Q388" s="41">
        <v>383</v>
      </c>
      <c r="R388" s="57">
        <f t="shared" si="164"/>
        <v>-397.47573273779562</v>
      </c>
      <c r="S388" s="41">
        <f t="shared" si="165"/>
        <v>-13046.344357553637</v>
      </c>
      <c r="U388" s="41">
        <v>382</v>
      </c>
      <c r="V388" s="41">
        <f t="shared" si="187"/>
        <v>191</v>
      </c>
      <c r="W388" s="57">
        <f t="shared" si="188"/>
        <v>-17256.862527810201</v>
      </c>
      <c r="X388" s="57">
        <f t="shared" si="189"/>
        <v>-119297.92123641832</v>
      </c>
      <c r="Y388" s="57">
        <f t="shared" si="190"/>
        <v>506.54785067687453</v>
      </c>
      <c r="Z388" s="57">
        <f t="shared" si="191"/>
        <v>3566.7471902038164</v>
      </c>
      <c r="AA388" s="57">
        <f t="shared" si="166"/>
        <v>32.371184349195069</v>
      </c>
      <c r="AB388" s="57">
        <f t="shared" si="167"/>
        <v>190.30487410440344</v>
      </c>
      <c r="AC388" s="57">
        <f t="shared" si="168"/>
        <v>8.3792181403071417</v>
      </c>
      <c r="AD388" s="57">
        <f t="shared" si="169"/>
        <v>28.517362163396321</v>
      </c>
      <c r="AE388" s="57">
        <f t="shared" si="170"/>
        <v>-0.22676019570528663</v>
      </c>
      <c r="AF388" s="57">
        <f t="shared" si="171"/>
        <v>10.688353107017859</v>
      </c>
      <c r="AG388" s="57">
        <f t="shared" si="172"/>
        <v>5.4668286006238915</v>
      </c>
      <c r="AH388" s="57">
        <f t="shared" si="173"/>
        <v>46.519152638545364</v>
      </c>
      <c r="AJ388" s="57">
        <f t="shared" si="174"/>
        <v>132158.18792376464</v>
      </c>
      <c r="AK388" s="57">
        <f t="shared" si="175"/>
        <v>129327.016664154</v>
      </c>
      <c r="AL388" s="57">
        <f t="shared" si="176"/>
        <v>105015.65146807289</v>
      </c>
      <c r="AN388" s="41">
        <v>383</v>
      </c>
      <c r="AO388" s="57">
        <f t="shared" si="177"/>
        <v>11903.786400893307</v>
      </c>
      <c r="AP388" s="57">
        <f t="shared" si="178"/>
        <v>17930.483463669545</v>
      </c>
      <c r="AR388" s="41">
        <v>383</v>
      </c>
      <c r="AS388" s="57">
        <f t="shared" si="179"/>
        <v>18221.766987083542</v>
      </c>
      <c r="AT388" s="57">
        <f t="shared" si="180"/>
        <v>-3632.4410502875462</v>
      </c>
      <c r="AV388" s="57">
        <f t="shared" si="181"/>
        <v>15.311424658997998</v>
      </c>
      <c r="AW388" s="57">
        <f t="shared" si="182"/>
        <v>92.389145159256188</v>
      </c>
      <c r="AX388" s="57">
        <f t="shared" si="183"/>
        <v>3.4404731449713224</v>
      </c>
      <c r="AY388" s="57">
        <f t="shared" si="184"/>
        <v>12.190861036187705</v>
      </c>
      <c r="BA388" s="57">
        <f t="shared" si="185"/>
        <v>136129.71599913464</v>
      </c>
      <c r="BB388" s="57">
        <f t="shared" si="186"/>
        <v>118762.45189075769</v>
      </c>
    </row>
    <row r="389" spans="9:54" x14ac:dyDescent="0.25">
      <c r="I389" s="41">
        <v>384</v>
      </c>
      <c r="J389" s="57">
        <f t="shared" si="160"/>
        <v>24567.727288213006</v>
      </c>
      <c r="K389" s="57">
        <f t="shared" si="161"/>
        <v>9533.6832153789983</v>
      </c>
      <c r="M389" s="41">
        <v>384</v>
      </c>
      <c r="N389" s="57">
        <f t="shared" si="162"/>
        <v>-16802.590898250895</v>
      </c>
      <c r="O389" s="57">
        <f t="shared" si="163"/>
        <v>11423.578250765298</v>
      </c>
      <c r="Q389" s="41">
        <v>384</v>
      </c>
      <c r="R389" s="57">
        <f t="shared" si="164"/>
        <v>-432.27271178699448</v>
      </c>
      <c r="S389" s="41">
        <f t="shared" si="165"/>
        <v>-12966.316784621002</v>
      </c>
      <c r="U389" s="41">
        <v>383</v>
      </c>
      <c r="V389" s="41">
        <f t="shared" si="187"/>
        <v>191.5</v>
      </c>
      <c r="W389" s="57">
        <f t="shared" si="188"/>
        <v>-16999.542204428111</v>
      </c>
      <c r="X389" s="57">
        <f t="shared" si="189"/>
        <v>-117490.75953205336</v>
      </c>
      <c r="Y389" s="57">
        <f t="shared" si="190"/>
        <v>522.73344285147209</v>
      </c>
      <c r="Z389" s="57">
        <f t="shared" si="191"/>
        <v>3661.899627256018</v>
      </c>
      <c r="AA389" s="57">
        <f t="shared" si="166"/>
        <v>33.37494490468417</v>
      </c>
      <c r="AB389" s="57">
        <f t="shared" si="167"/>
        <v>195.8642144455921</v>
      </c>
      <c r="AC389" s="57">
        <f t="shared" si="168"/>
        <v>8.669993152235886</v>
      </c>
      <c r="AD389" s="57">
        <f t="shared" si="169"/>
        <v>29.288714526472468</v>
      </c>
      <c r="AE389" s="57">
        <f t="shared" si="170"/>
        <v>-0.25865660829048903</v>
      </c>
      <c r="AF389" s="57">
        <f t="shared" si="171"/>
        <v>10.990432025941546</v>
      </c>
      <c r="AG389" s="57">
        <f t="shared" si="172"/>
        <v>5.6383355079231663</v>
      </c>
      <c r="AH389" s="57">
        <f t="shared" si="173"/>
        <v>48.158277945832047</v>
      </c>
      <c r="AJ389" s="57">
        <f t="shared" si="174"/>
        <v>130352.04674931976</v>
      </c>
      <c r="AK389" s="57">
        <f t="shared" si="175"/>
        <v>127526.06209337314</v>
      </c>
      <c r="AL389" s="57">
        <f t="shared" si="176"/>
        <v>103190.81743339878</v>
      </c>
      <c r="AN389" s="41">
        <v>384</v>
      </c>
      <c r="AO389" s="57">
        <f t="shared" si="177"/>
        <v>11851.590932319508</v>
      </c>
      <c r="AP389" s="57">
        <f t="shared" si="178"/>
        <v>18050.524823068499</v>
      </c>
      <c r="AR389" s="41">
        <v>384</v>
      </c>
      <c r="AS389" s="57">
        <f t="shared" si="179"/>
        <v>18197.409101749105</v>
      </c>
      <c r="AT389" s="57">
        <f t="shared" si="180"/>
        <v>-3576.4217492347011</v>
      </c>
      <c r="AV389" s="57">
        <f t="shared" si="181"/>
        <v>15.751998737936594</v>
      </c>
      <c r="AW389" s="57">
        <f t="shared" si="182"/>
        <v>94.865350267020162</v>
      </c>
      <c r="AX389" s="57">
        <f t="shared" si="183"/>
        <v>3.5732741148790126</v>
      </c>
      <c r="AY389" s="57">
        <f t="shared" si="184"/>
        <v>12.561439680325874</v>
      </c>
      <c r="BA389" s="57">
        <f t="shared" si="185"/>
        <v>134304.80713133392</v>
      </c>
      <c r="BB389" s="57">
        <f t="shared" si="186"/>
        <v>116953.5877234693</v>
      </c>
    </row>
    <row r="390" spans="9:54" x14ac:dyDescent="0.25">
      <c r="I390" s="41">
        <v>385</v>
      </c>
      <c r="J390" s="57">
        <f t="shared" si="160"/>
        <v>24531.538935183249</v>
      </c>
      <c r="K390" s="57">
        <f t="shared" si="161"/>
        <v>9613.0913087034969</v>
      </c>
      <c r="M390" s="41">
        <v>385</v>
      </c>
      <c r="N390" s="57">
        <f t="shared" si="162"/>
        <v>-16827.922745371725</v>
      </c>
      <c r="O390" s="57">
        <f t="shared" si="163"/>
        <v>11479.163916092448</v>
      </c>
      <c r="Q390" s="41">
        <v>385</v>
      </c>
      <c r="R390" s="57">
        <f t="shared" si="164"/>
        <v>-468.46106481674997</v>
      </c>
      <c r="S390" s="41">
        <f t="shared" si="165"/>
        <v>-12886.908691296503</v>
      </c>
      <c r="U390" s="41">
        <v>384</v>
      </c>
      <c r="V390" s="41">
        <f t="shared" si="187"/>
        <v>192</v>
      </c>
      <c r="W390" s="57">
        <f t="shared" si="188"/>
        <v>-16734.00361488929</v>
      </c>
      <c r="X390" s="57">
        <f t="shared" si="189"/>
        <v>-115635.32669161966</v>
      </c>
      <c r="Y390" s="57">
        <f t="shared" si="190"/>
        <v>539.42091530381413</v>
      </c>
      <c r="Z390" s="57">
        <f t="shared" si="191"/>
        <v>3759.8317344788138</v>
      </c>
      <c r="AA390" s="57">
        <f t="shared" si="166"/>
        <v>34.452095827721003</v>
      </c>
      <c r="AB390" s="57">
        <f t="shared" si="167"/>
        <v>201.83219735113457</v>
      </c>
      <c r="AC390" s="57">
        <f t="shared" si="168"/>
        <v>8.9835075323647828</v>
      </c>
      <c r="AD390" s="57">
        <f t="shared" si="169"/>
        <v>30.113437849883471</v>
      </c>
      <c r="AE390" s="57">
        <f t="shared" si="170"/>
        <v>-0.29411367582156389</v>
      </c>
      <c r="AF390" s="57">
        <f t="shared" si="171"/>
        <v>11.313872824468158</v>
      </c>
      <c r="AG390" s="57">
        <f t="shared" si="172"/>
        <v>5.8221191245411648</v>
      </c>
      <c r="AH390" s="57">
        <f t="shared" si="173"/>
        <v>49.932732199968292</v>
      </c>
      <c r="AJ390" s="57">
        <f t="shared" si="174"/>
        <v>128497.84317657087</v>
      </c>
      <c r="AK390" s="57">
        <f t="shared" si="175"/>
        <v>125677.77068876404</v>
      </c>
      <c r="AL390" s="57">
        <f t="shared" si="176"/>
        <v>101317.10526442832</v>
      </c>
      <c r="AN390" s="41">
        <v>385</v>
      </c>
      <c r="AO390" s="57">
        <f t="shared" si="177"/>
        <v>11797.308402774874</v>
      </c>
      <c r="AP390" s="57">
        <f t="shared" si="178"/>
        <v>18169.636963055247</v>
      </c>
      <c r="AR390" s="41">
        <v>385</v>
      </c>
      <c r="AS390" s="57">
        <f t="shared" si="179"/>
        <v>18172.077254628275</v>
      </c>
      <c r="AT390" s="57">
        <f t="shared" si="180"/>
        <v>-3520.8360839075513</v>
      </c>
      <c r="AV390" s="57">
        <f t="shared" si="181"/>
        <v>16.223303503653565</v>
      </c>
      <c r="AW390" s="57">
        <f t="shared" si="182"/>
        <v>97.512478177982345</v>
      </c>
      <c r="AX390" s="57">
        <f t="shared" si="183"/>
        <v>3.7172793429830571</v>
      </c>
      <c r="AY390" s="57">
        <f t="shared" si="184"/>
        <v>12.959676298832319</v>
      </c>
      <c r="BA390" s="57">
        <f t="shared" si="185"/>
        <v>132430.946130269</v>
      </c>
      <c r="BB390" s="57">
        <f t="shared" si="186"/>
        <v>115096.57900038217</v>
      </c>
    </row>
    <row r="391" spans="9:54" x14ac:dyDescent="0.25">
      <c r="I391" s="41">
        <v>386</v>
      </c>
      <c r="J391" s="57">
        <f t="shared" ref="J391:J454" si="192">$F$8*COS(I391*PI()/180)+$E$7</f>
        <v>24493.970231495834</v>
      </c>
      <c r="K391" s="57">
        <f t="shared" ref="K391:K454" si="193">$F$8*SIN(I391*PI()/180)+$G$7</f>
        <v>9691.8557339453873</v>
      </c>
      <c r="M391" s="41">
        <v>386</v>
      </c>
      <c r="N391" s="57">
        <f t="shared" ref="N391:N454" si="194">$F$19*COS(M391*PI()/180)+$E$18</f>
        <v>-16854.220837952915</v>
      </c>
      <c r="O391" s="57">
        <f t="shared" ref="O391:O454" si="195">$F$19*SIN(M391*PI()/180)+$G$18</f>
        <v>11534.299013761771</v>
      </c>
      <c r="Q391" s="41">
        <v>386</v>
      </c>
      <c r="R391" s="57">
        <f t="shared" ref="R391:R454" si="196">$F$30*COS(Q391*PI()/180)+$E$29</f>
        <v>-506.02976850416508</v>
      </c>
      <c r="S391" s="41">
        <f t="shared" ref="S391:S454" si="197">$F$30*SIN(Q391*PI()/180)+$G$29</f>
        <v>-12808.144266054613</v>
      </c>
      <c r="U391" s="41">
        <v>385</v>
      </c>
      <c r="V391" s="41">
        <f t="shared" si="187"/>
        <v>192.5</v>
      </c>
      <c r="W391" s="57">
        <f t="shared" si="188"/>
        <v>-16459.986645258916</v>
      </c>
      <c r="X391" s="57">
        <f t="shared" si="189"/>
        <v>-113730.18179971135</v>
      </c>
      <c r="Y391" s="57">
        <f t="shared" si="190"/>
        <v>556.64696321767462</v>
      </c>
      <c r="Z391" s="57">
        <f t="shared" si="191"/>
        <v>3860.7478331543812</v>
      </c>
      <c r="AA391" s="57">
        <f t="shared" ref="AA391:AA454" si="198">AC391+AE391+AG391+AV391+AX391</f>
        <v>35.610267474262777</v>
      </c>
      <c r="AB391" s="57">
        <f t="shared" ref="AB391:AB454" si="199">AD391+AF391+AH391+AW391+AY391</f>
        <v>208.2516266543424</v>
      </c>
      <c r="AC391" s="57">
        <f t="shared" ref="AC391:AC454" si="200">(($E$7-W391)/(AJ391^2+$F$12^2)^(3/2))*$E$11</f>
        <v>9.3222684581194599</v>
      </c>
      <c r="AD391" s="57">
        <f t="shared" ref="AD391:AD454" si="201">(($G$7-X391)/(AJ391^2+$F$12^2)^(3/2))*$E$11</f>
        <v>30.996728302710306</v>
      </c>
      <c r="AE391" s="57">
        <f t="shared" ref="AE391:AE454" si="202">(($E$18-W391)/(AK391^2+$F$23^2)^(3/2))*$E$22</f>
        <v>-0.33362425339853813</v>
      </c>
      <c r="AF391" s="57">
        <f t="shared" ref="AF391:AF454" si="203">(($G$18-X391)/(AK391^2+$F$23^2)^(3/2))*$E$22</f>
        <v>11.660800508141941</v>
      </c>
      <c r="AG391" s="57">
        <f t="shared" ref="AG391:AG454" si="204">(($E$29-W391)/(AL391^2+$F$34^2)^(3/2))*$E$33</f>
        <v>6.0194040968082918</v>
      </c>
      <c r="AH391" s="57">
        <f t="shared" ref="AH391:AH454" si="205">(($G$29-X391)/(AL391^2+$F$34^2)^(3/2))*$E$33</f>
        <v>51.858425249533347</v>
      </c>
      <c r="AJ391" s="57">
        <f t="shared" ref="AJ391:AJ454" si="206">SQRT(($E$7-W391)^2+($G$7-X391)^2)</f>
        <v>126594.18472174591</v>
      </c>
      <c r="AK391" s="57">
        <f t="shared" ref="AK391:AK454" si="207">SQRT(($E$18-W391)^2+($G$18-X391)^2)</f>
        <v>123780.81265988428</v>
      </c>
      <c r="AL391" s="57">
        <f t="shared" ref="AL391:AL454" si="208">SQRT(($E$29-W391)^2+($G$29-X391)^2)</f>
        <v>99393.058571077127</v>
      </c>
      <c r="AN391" s="41">
        <v>386</v>
      </c>
      <c r="AO391" s="57">
        <f t="shared" ref="AO391:AO454" si="209">$F$41*COS(AN391*PI()/180)+$E$40</f>
        <v>11740.955347243753</v>
      </c>
      <c r="AP391" s="57">
        <f t="shared" ref="AP391:AP454" si="210">$F$41*SIN(AN391*PI()/180)+$G$40</f>
        <v>18287.783600918079</v>
      </c>
      <c r="AR391" s="41">
        <v>386</v>
      </c>
      <c r="AS391" s="57">
        <f t="shared" ref="AS391:AS454" si="211">$F$52*COS(AR391*PI()/180)+$E$51</f>
        <v>18145.779162047085</v>
      </c>
      <c r="AT391" s="57">
        <f t="shared" ref="AT391:AT454" si="212">$F$52*SIN(AR391*PI()/180)+$G$51</f>
        <v>-3465.7009862382292</v>
      </c>
      <c r="AV391" s="57">
        <f t="shared" ref="AV391:AV454" si="213">(($E$40-W391)/(BA391^2+$F$45^2)^(3/2))*$E$44</f>
        <v>16.728393970878493</v>
      </c>
      <c r="AW391" s="57">
        <f t="shared" ref="AW391:AW454" si="214">(($G$40-X391)/(BA391^2+$F$45^2)^(3/2))*$E$44</f>
        <v>100.3471825349033</v>
      </c>
      <c r="AX391" s="57">
        <f t="shared" ref="AX391:AX454" si="215">(($E$51-W391)/(BB391^2+$F$56^2)^(3/2))*$E$55</f>
        <v>3.8738252018550674</v>
      </c>
      <c r="AY391" s="57">
        <f t="shared" ref="AY391:AY454" si="216">(($G$51-X391)/(BB391^2+$F$56^2)^(3/2))*$E$55</f>
        <v>13.388490059053506</v>
      </c>
      <c r="BA391" s="57">
        <f t="shared" ref="BA391:BA454" si="217">SQRT(($E$40-W391)^2+($G$40-X391)^2)</f>
        <v>130506.66930468124</v>
      </c>
      <c r="BB391" s="57">
        <f t="shared" ref="BB391:BB454" si="218">SQRT(($E$51-W391)^2+($G$51-X391)^2)</f>
        <v>113190.03133632462</v>
      </c>
    </row>
    <row r="392" spans="9:54" x14ac:dyDescent="0.25">
      <c r="I392" s="41">
        <v>387</v>
      </c>
      <c r="J392" s="57">
        <f t="shared" si="192"/>
        <v>24455.032620941838</v>
      </c>
      <c r="K392" s="57">
        <f t="shared" si="193"/>
        <v>9769.9524986977376</v>
      </c>
      <c r="M392" s="41">
        <v>387</v>
      </c>
      <c r="N392" s="57">
        <f t="shared" si="194"/>
        <v>-16881.477165340715</v>
      </c>
      <c r="O392" s="57">
        <f t="shared" si="195"/>
        <v>11588.966749088417</v>
      </c>
      <c r="Q392" s="41">
        <v>387</v>
      </c>
      <c r="R392" s="57">
        <f t="shared" si="196"/>
        <v>-544.9673790581619</v>
      </c>
      <c r="S392" s="41">
        <f t="shared" si="197"/>
        <v>-12730.047501302262</v>
      </c>
      <c r="U392" s="41">
        <v>386</v>
      </c>
      <c r="V392" s="41">
        <f t="shared" ref="V392:V455" si="219">V391+0.5</f>
        <v>193</v>
      </c>
      <c r="W392" s="57">
        <f t="shared" ref="W392:W455" si="220">W391+Y391*$F$3+((1/2)*AA391)*$F$3^2</f>
        <v>-16177.211880215797</v>
      </c>
      <c r="X392" s="57">
        <f t="shared" ref="X392:X455" si="221">X391+Z391*$F$3+((1/2)*AB391)*$F$3^2</f>
        <v>-111773.77642980238</v>
      </c>
      <c r="Y392" s="57">
        <f t="shared" ref="Y392:Y455" si="222">Y391+AA391*$F$3</f>
        <v>574.45209695480605</v>
      </c>
      <c r="Z392" s="57">
        <f t="shared" ref="Z392:Z455" si="223">Z391+AB391*$F$3</f>
        <v>3964.8736464815524</v>
      </c>
      <c r="AA392" s="57">
        <f t="shared" si="198"/>
        <v>36.858163821306874</v>
      </c>
      <c r="AB392" s="57">
        <f t="shared" si="199"/>
        <v>215.17146450807542</v>
      </c>
      <c r="AC392" s="57">
        <f t="shared" si="200"/>
        <v>9.6891542662984165</v>
      </c>
      <c r="AD392" s="57">
        <f t="shared" si="201"/>
        <v>31.944474427127965</v>
      </c>
      <c r="AE392" s="57">
        <f t="shared" si="202"/>
        <v>-0.37776614078239984</v>
      </c>
      <c r="AF392" s="57">
        <f t="shared" si="203"/>
        <v>12.033627846730365</v>
      </c>
      <c r="AG392" s="57">
        <f t="shared" si="204"/>
        <v>6.2315748913655131</v>
      </c>
      <c r="AH392" s="57">
        <f t="shared" si="205"/>
        <v>53.953798300093879</v>
      </c>
      <c r="AJ392" s="57">
        <f t="shared" si="206"/>
        <v>124639.57799692886</v>
      </c>
      <c r="AK392" s="57">
        <f t="shared" si="207"/>
        <v>121833.76516788873</v>
      </c>
      <c r="AL392" s="57">
        <f t="shared" si="208"/>
        <v>97417.112818542373</v>
      </c>
      <c r="AN392" s="41">
        <v>387</v>
      </c>
      <c r="AO392" s="57">
        <f t="shared" si="209"/>
        <v>11682.548931412757</v>
      </c>
      <c r="AP392" s="57">
        <f t="shared" si="210"/>
        <v>18404.928748046605</v>
      </c>
      <c r="AR392" s="41">
        <v>387</v>
      </c>
      <c r="AS392" s="57">
        <f t="shared" si="211"/>
        <v>18118.522834659285</v>
      </c>
      <c r="AT392" s="57">
        <f t="shared" si="212"/>
        <v>-3411.0332509115842</v>
      </c>
      <c r="AV392" s="57">
        <f t="shared" si="213"/>
        <v>17.270739620806122</v>
      </c>
      <c r="AW392" s="57">
        <f t="shared" si="214"/>
        <v>103.38834478540875</v>
      </c>
      <c r="AX392" s="57">
        <f t="shared" si="215"/>
        <v>4.0444611836192168</v>
      </c>
      <c r="AY392" s="57">
        <f t="shared" si="216"/>
        <v>13.851219148714435</v>
      </c>
      <c r="BA392" s="57">
        <f t="shared" si="217"/>
        <v>128530.40377005383</v>
      </c>
      <c r="BB392" s="57">
        <f t="shared" si="218"/>
        <v>111232.44973345364</v>
      </c>
    </row>
    <row r="393" spans="9:54" x14ac:dyDescent="0.25">
      <c r="I393" s="41">
        <v>388</v>
      </c>
      <c r="J393" s="57">
        <f t="shared" si="192"/>
        <v>24414.737964294636</v>
      </c>
      <c r="K393" s="57">
        <f t="shared" si="193"/>
        <v>9847.3578139294514</v>
      </c>
      <c r="M393" s="41">
        <v>388</v>
      </c>
      <c r="N393" s="57">
        <f t="shared" si="194"/>
        <v>-16909.683424993753</v>
      </c>
      <c r="O393" s="57">
        <f t="shared" si="195"/>
        <v>11643.150469750617</v>
      </c>
      <c r="Q393" s="41">
        <v>388</v>
      </c>
      <c r="R393" s="57">
        <f t="shared" si="196"/>
        <v>-585.26203570536381</v>
      </c>
      <c r="S393" s="41">
        <f t="shared" si="197"/>
        <v>-12652.642186070549</v>
      </c>
      <c r="U393" s="41">
        <v>387</v>
      </c>
      <c r="V393" s="41">
        <f t="shared" si="219"/>
        <v>193.5</v>
      </c>
      <c r="W393" s="57">
        <f t="shared" si="220"/>
        <v>-15885.37856126073</v>
      </c>
      <c r="X393" s="57">
        <f t="shared" si="221"/>
        <v>-109764.4431734981</v>
      </c>
      <c r="Y393" s="57">
        <f t="shared" si="222"/>
        <v>592.88117886545945</v>
      </c>
      <c r="Z393" s="57">
        <f t="shared" si="223"/>
        <v>4072.4593787355902</v>
      </c>
      <c r="AA393" s="57">
        <f t="shared" si="198"/>
        <v>38.205753506695395</v>
      </c>
      <c r="AB393" s="57">
        <f t="shared" si="199"/>
        <v>222.64796502606885</v>
      </c>
      <c r="AC393" s="57">
        <f t="shared" si="200"/>
        <v>10.087483764126628</v>
      </c>
      <c r="AD393" s="57">
        <f t="shared" si="201"/>
        <v>32.963374333717873</v>
      </c>
      <c r="AE393" s="57">
        <f t="shared" si="202"/>
        <v>-0.4272198585192909</v>
      </c>
      <c r="AF393" s="57">
        <f t="shared" si="203"/>
        <v>12.435104718625299</v>
      </c>
      <c r="AG393" s="57">
        <f t="shared" si="204"/>
        <v>6.4602008547438201</v>
      </c>
      <c r="AH393" s="57">
        <f t="shared" si="205"/>
        <v>56.240334990963397</v>
      </c>
      <c r="AJ393" s="57">
        <f t="shared" si="206"/>
        <v>122632.41833738564</v>
      </c>
      <c r="AK393" s="57">
        <f t="shared" si="207"/>
        <v>119835.10319702733</v>
      </c>
      <c r="AL393" s="57">
        <f t="shared" si="208"/>
        <v>95387.583869207563</v>
      </c>
      <c r="AN393" s="41">
        <v>388</v>
      </c>
      <c r="AO393" s="57">
        <f t="shared" si="209"/>
        <v>11622.106946441954</v>
      </c>
      <c r="AP393" s="57">
        <f t="shared" si="210"/>
        <v>18521.036720894179</v>
      </c>
      <c r="AR393" s="41">
        <v>388</v>
      </c>
      <c r="AS393" s="57">
        <f t="shared" si="211"/>
        <v>18090.316575006247</v>
      </c>
      <c r="AT393" s="57">
        <f t="shared" si="212"/>
        <v>-3356.8495302493839</v>
      </c>
      <c r="AV393" s="57">
        <f t="shared" si="213"/>
        <v>17.854296022392774</v>
      </c>
      <c r="AW393" s="57">
        <f t="shared" si="214"/>
        <v>106.65745391948357</v>
      </c>
      <c r="AX393" s="57">
        <f t="shared" si="215"/>
        <v>4.2309927239514691</v>
      </c>
      <c r="AY393" s="57">
        <f t="shared" si="216"/>
        <v>14.351697063278735</v>
      </c>
      <c r="BA393" s="57">
        <f t="shared" si="217"/>
        <v>126500.45580170929</v>
      </c>
      <c r="BB393" s="57">
        <f t="shared" si="218"/>
        <v>109222.2283343711</v>
      </c>
    </row>
    <row r="394" spans="9:54" x14ac:dyDescent="0.25">
      <c r="I394" s="41">
        <v>389</v>
      </c>
      <c r="J394" s="57">
        <f t="shared" si="192"/>
        <v>24373.09853569698</v>
      </c>
      <c r="K394" s="57">
        <f t="shared" si="193"/>
        <v>9924.048101231685</v>
      </c>
      <c r="M394" s="41">
        <v>389</v>
      </c>
      <c r="N394" s="57">
        <f t="shared" si="194"/>
        <v>-16938.831025012114</v>
      </c>
      <c r="O394" s="57">
        <f t="shared" si="195"/>
        <v>11696.833670862181</v>
      </c>
      <c r="Q394" s="41">
        <v>389</v>
      </c>
      <c r="R394" s="57">
        <f t="shared" si="196"/>
        <v>-626.90146430302138</v>
      </c>
      <c r="S394" s="41">
        <f t="shared" si="197"/>
        <v>-12575.951898768315</v>
      </c>
      <c r="U394" s="41">
        <v>388</v>
      </c>
      <c r="V394" s="41">
        <f t="shared" si="219"/>
        <v>194</v>
      </c>
      <c r="W394" s="57">
        <f t="shared" si="220"/>
        <v>-15584.162252639662</v>
      </c>
      <c r="X394" s="57">
        <f t="shared" si="221"/>
        <v>-107700.38248850204</v>
      </c>
      <c r="Y394" s="57">
        <f t="shared" si="222"/>
        <v>611.98405561880713</v>
      </c>
      <c r="Z394" s="57">
        <f t="shared" si="223"/>
        <v>4183.7833612486247</v>
      </c>
      <c r="AA394" s="57">
        <f t="shared" si="198"/>
        <v>39.664502365672377</v>
      </c>
      <c r="AB394" s="57">
        <f t="shared" si="199"/>
        <v>230.74606611276113</v>
      </c>
      <c r="AC394" s="57">
        <f t="shared" si="200"/>
        <v>10.52110135274728</v>
      </c>
      <c r="AD394" s="57">
        <f t="shared" si="201"/>
        <v>34.061077268915419</v>
      </c>
      <c r="AE394" s="57">
        <f t="shared" si="202"/>
        <v>-0.48279085682283102</v>
      </c>
      <c r="AF394" s="57">
        <f t="shared" si="203"/>
        <v>12.86837781663672</v>
      </c>
      <c r="AG394" s="57">
        <f t="shared" si="204"/>
        <v>6.7070656458911575</v>
      </c>
      <c r="AH394" s="57">
        <f t="shared" si="205"/>
        <v>58.743199122305604</v>
      </c>
      <c r="AJ394" s="57">
        <f t="shared" si="206"/>
        <v>120570.97797031984</v>
      </c>
      <c r="AK394" s="57">
        <f t="shared" si="207"/>
        <v>117783.18921200381</v>
      </c>
      <c r="AL394" s="57">
        <f t="shared" si="208"/>
        <v>93302.654860967261</v>
      </c>
      <c r="AN394" s="41">
        <v>389</v>
      </c>
      <c r="AO394" s="57">
        <f t="shared" si="209"/>
        <v>11559.647803545467</v>
      </c>
      <c r="AP394" s="57">
        <f t="shared" si="210"/>
        <v>18636.072151847529</v>
      </c>
      <c r="AR394" s="41">
        <v>389</v>
      </c>
      <c r="AS394" s="57">
        <f t="shared" si="211"/>
        <v>18061.168974987886</v>
      </c>
      <c r="AT394" s="57">
        <f t="shared" si="212"/>
        <v>-3303.16632913782</v>
      </c>
      <c r="AV394" s="57">
        <f t="shared" si="213"/>
        <v>18.483591696437855</v>
      </c>
      <c r="AW394" s="57">
        <f t="shared" si="214"/>
        <v>110.17906597696926</v>
      </c>
      <c r="AX394" s="57">
        <f t="shared" si="215"/>
        <v>4.435534527418918</v>
      </c>
      <c r="AY394" s="57">
        <f t="shared" si="216"/>
        <v>14.894345927934124</v>
      </c>
      <c r="BA394" s="57">
        <f t="shared" si="217"/>
        <v>124414.99748208692</v>
      </c>
      <c r="BB394" s="57">
        <f t="shared" si="218"/>
        <v>107157.63875702192</v>
      </c>
    </row>
    <row r="395" spans="9:54" x14ac:dyDescent="0.25">
      <c r="I395" s="41">
        <v>390</v>
      </c>
      <c r="J395" s="57">
        <f t="shared" si="192"/>
        <v>24330.127018922194</v>
      </c>
      <c r="K395" s="57">
        <f t="shared" si="193"/>
        <v>9999.9999999999964</v>
      </c>
      <c r="M395" s="41">
        <v>390</v>
      </c>
      <c r="N395" s="57">
        <f t="shared" si="194"/>
        <v>-16968.911086754462</v>
      </c>
      <c r="O395" s="57">
        <f t="shared" si="195"/>
        <v>11749.999999999998</v>
      </c>
      <c r="Q395" s="41">
        <v>390</v>
      </c>
      <c r="R395" s="57">
        <f t="shared" si="196"/>
        <v>-669.87298107780498</v>
      </c>
      <c r="S395" s="41">
        <f t="shared" si="197"/>
        <v>-12500.000000000004</v>
      </c>
      <c r="U395" s="41">
        <v>389</v>
      </c>
      <c r="V395" s="41">
        <f t="shared" si="219"/>
        <v>194.5</v>
      </c>
      <c r="W395" s="57">
        <f t="shared" si="220"/>
        <v>-15273.21216203455</v>
      </c>
      <c r="X395" s="57">
        <f t="shared" si="221"/>
        <v>-105579.64754961364</v>
      </c>
      <c r="Y395" s="57">
        <f t="shared" si="222"/>
        <v>631.81630680164335</v>
      </c>
      <c r="Z395" s="57">
        <f t="shared" si="223"/>
        <v>4299.1563943050051</v>
      </c>
      <c r="AA395" s="57">
        <f t="shared" si="198"/>
        <v>41.247658170516083</v>
      </c>
      <c r="AB395" s="57">
        <f t="shared" si="199"/>
        <v>239.54111041382509</v>
      </c>
      <c r="AC395" s="57">
        <f t="shared" si="200"/>
        <v>10.994482267281105</v>
      </c>
      <c r="AD395" s="57">
        <f t="shared" si="201"/>
        <v>35.246355621469831</v>
      </c>
      <c r="AE395" s="57">
        <f t="shared" si="202"/>
        <v>-0.54543745365924412</v>
      </c>
      <c r="AF395" s="57">
        <f t="shared" si="203"/>
        <v>13.337063311356296</v>
      </c>
      <c r="AG395" s="57">
        <f t="shared" si="204"/>
        <v>6.9742017734228083</v>
      </c>
      <c r="AH395" s="57">
        <f t="shared" si="205"/>
        <v>61.492036630091334</v>
      </c>
      <c r="AJ395" s="57">
        <f t="shared" si="206"/>
        <v>118453.39246375658</v>
      </c>
      <c r="AK395" s="57">
        <f t="shared" si="207"/>
        <v>115676.26139773903</v>
      </c>
      <c r="AL395" s="57">
        <f t="shared" si="208"/>
        <v>91160.361113470819</v>
      </c>
      <c r="AN395" s="41">
        <v>390</v>
      </c>
      <c r="AO395" s="57">
        <f t="shared" si="209"/>
        <v>11495.190528383293</v>
      </c>
      <c r="AP395" s="57">
        <f t="shared" si="210"/>
        <v>18749.999999999993</v>
      </c>
      <c r="AR395" s="41">
        <v>390</v>
      </c>
      <c r="AS395" s="57">
        <f t="shared" si="211"/>
        <v>18031.088913245538</v>
      </c>
      <c r="AT395" s="57">
        <f t="shared" si="212"/>
        <v>-3250.0000000000027</v>
      </c>
      <c r="AV395" s="57">
        <f t="shared" si="213"/>
        <v>19.16383411851859</v>
      </c>
      <c r="AW395" s="57">
        <f t="shared" si="214"/>
        <v>113.98136344854055</v>
      </c>
      <c r="AX395" s="57">
        <f t="shared" si="215"/>
        <v>4.6605774649528202</v>
      </c>
      <c r="AY395" s="57">
        <f t="shared" si="216"/>
        <v>15.48429140236709</v>
      </c>
      <c r="BA395" s="57">
        <f t="shared" si="217"/>
        <v>122272.05132227034</v>
      </c>
      <c r="BB395" s="57">
        <f t="shared" si="218"/>
        <v>105036.8167635142</v>
      </c>
    </row>
    <row r="396" spans="9:54" x14ac:dyDescent="0.25">
      <c r="I396" s="41">
        <v>391</v>
      </c>
      <c r="J396" s="57">
        <f t="shared" si="192"/>
        <v>24285.83650351056</v>
      </c>
      <c r="K396" s="57">
        <f t="shared" si="193"/>
        <v>10075.19037455027</v>
      </c>
      <c r="M396" s="41">
        <v>391</v>
      </c>
      <c r="N396" s="57">
        <f t="shared" si="194"/>
        <v>-16999.914447542607</v>
      </c>
      <c r="O396" s="57">
        <f t="shared" si="195"/>
        <v>11802.633262185189</v>
      </c>
      <c r="Q396" s="41">
        <v>391</v>
      </c>
      <c r="R396" s="57">
        <f t="shared" si="196"/>
        <v>-714.16349648943833</v>
      </c>
      <c r="S396" s="41">
        <f t="shared" si="197"/>
        <v>-12424.80962544973</v>
      </c>
      <c r="U396" s="41">
        <v>390</v>
      </c>
      <c r="V396" s="41">
        <f t="shared" si="219"/>
        <v>195</v>
      </c>
      <c r="W396" s="57">
        <f t="shared" si="220"/>
        <v>-14952.148051362414</v>
      </c>
      <c r="X396" s="57">
        <f t="shared" si="221"/>
        <v>-103400.12671365941</v>
      </c>
      <c r="Y396" s="57">
        <f t="shared" si="222"/>
        <v>652.44013588690143</v>
      </c>
      <c r="Z396" s="57">
        <f t="shared" si="223"/>
        <v>4418.9269495119179</v>
      </c>
      <c r="AA396" s="57">
        <f t="shared" si="198"/>
        <v>42.970601491385729</v>
      </c>
      <c r="AB396" s="57">
        <f t="shared" si="199"/>
        <v>249.12098941066816</v>
      </c>
      <c r="AC396" s="57">
        <f t="shared" si="200"/>
        <v>11.512863612131003</v>
      </c>
      <c r="AD396" s="57">
        <f t="shared" si="201"/>
        <v>36.529315209645283</v>
      </c>
      <c r="AE396" s="57">
        <f t="shared" si="202"/>
        <v>-0.61630623771020521</v>
      </c>
      <c r="AF396" s="57">
        <f t="shared" si="203"/>
        <v>13.84533583034642</v>
      </c>
      <c r="AG396" s="57">
        <f t="shared" si="204"/>
        <v>7.2639310176507736</v>
      </c>
      <c r="AH396" s="57">
        <f t="shared" si="205"/>
        <v>64.521992547297742</v>
      </c>
      <c r="AJ396" s="57">
        <f t="shared" si="206"/>
        <v>116277.64513658707</v>
      </c>
      <c r="AK396" s="57">
        <f t="shared" si="207"/>
        <v>113512.42023659515</v>
      </c>
      <c r="AL396" s="57">
        <f t="shared" si="208"/>
        <v>88958.572683172461</v>
      </c>
      <c r="AN396" s="41">
        <v>391</v>
      </c>
      <c r="AO396" s="57">
        <f t="shared" si="209"/>
        <v>11428.754755265843</v>
      </c>
      <c r="AP396" s="57">
        <f t="shared" si="210"/>
        <v>18862.785561825403</v>
      </c>
      <c r="AR396" s="41">
        <v>391</v>
      </c>
      <c r="AS396" s="57">
        <f t="shared" si="211"/>
        <v>18000.085552457393</v>
      </c>
      <c r="AT396" s="57">
        <f t="shared" si="212"/>
        <v>-3197.3667378148111</v>
      </c>
      <c r="AV396" s="57">
        <f t="shared" si="213"/>
        <v>19.901039931847379</v>
      </c>
      <c r="AW396" s="57">
        <f t="shared" si="214"/>
        <v>118.09684068094258</v>
      </c>
      <c r="AX396" s="57">
        <f t="shared" si="215"/>
        <v>4.9090731674667794</v>
      </c>
      <c r="AY396" s="57">
        <f t="shared" si="216"/>
        <v>16.12750514243616</v>
      </c>
      <c r="BA396" s="57">
        <f t="shared" si="217"/>
        <v>120069.4724635454</v>
      </c>
      <c r="BB396" s="57">
        <f t="shared" si="218"/>
        <v>102857.74696227291</v>
      </c>
    </row>
    <row r="397" spans="9:54" x14ac:dyDescent="0.25">
      <c r="I397" s="41">
        <v>392</v>
      </c>
      <c r="J397" s="57">
        <f t="shared" si="192"/>
        <v>24240.240480782129</v>
      </c>
      <c r="K397" s="57">
        <f t="shared" si="193"/>
        <v>10149.596321166024</v>
      </c>
      <c r="M397" s="41">
        <v>392</v>
      </c>
      <c r="N397" s="57">
        <f t="shared" si="194"/>
        <v>-17031.831663452507</v>
      </c>
      <c r="O397" s="57">
        <f t="shared" si="195"/>
        <v>11854.717424816215</v>
      </c>
      <c r="Q397" s="41">
        <v>392</v>
      </c>
      <c r="R397" s="57">
        <f t="shared" si="196"/>
        <v>-759.75951921786873</v>
      </c>
      <c r="S397" s="41">
        <f t="shared" si="197"/>
        <v>-12350.403678833976</v>
      </c>
      <c r="U397" s="41">
        <v>391</v>
      </c>
      <c r="V397" s="41">
        <f t="shared" si="219"/>
        <v>195.5</v>
      </c>
      <c r="W397" s="57">
        <f t="shared" si="220"/>
        <v>-14620.556658232541</v>
      </c>
      <c r="X397" s="57">
        <f t="shared" si="221"/>
        <v>-101159.52311522712</v>
      </c>
      <c r="Y397" s="57">
        <f t="shared" si="222"/>
        <v>673.92543663259426</v>
      </c>
      <c r="Z397" s="57">
        <f t="shared" si="223"/>
        <v>4543.4874442172522</v>
      </c>
      <c r="AA397" s="57">
        <f t="shared" si="198"/>
        <v>44.851280907678813</v>
      </c>
      <c r="AB397" s="57">
        <f t="shared" si="199"/>
        <v>259.58883656120713</v>
      </c>
      <c r="AC397" s="57">
        <f t="shared" si="200"/>
        <v>12.082408753283961</v>
      </c>
      <c r="AD397" s="57">
        <f t="shared" si="201"/>
        <v>37.921654067422089</v>
      </c>
      <c r="AE397" s="57">
        <f t="shared" si="202"/>
        <v>-0.69677728180539933</v>
      </c>
      <c r="AF397" s="57">
        <f t="shared" si="203"/>
        <v>14.398038131871923</v>
      </c>
      <c r="AG397" s="57">
        <f t="shared" si="204"/>
        <v>7.5789114961733937</v>
      </c>
      <c r="AH397" s="57">
        <f t="shared" si="205"/>
        <v>67.875012168243728</v>
      </c>
      <c r="AJ397" s="57">
        <f t="shared" si="206"/>
        <v>114041.54903785929</v>
      </c>
      <c r="AK397" s="57">
        <f t="shared" si="207"/>
        <v>111289.61312661662</v>
      </c>
      <c r="AL397" s="57">
        <f t="shared" si="208"/>
        <v>86694.974098027262</v>
      </c>
      <c r="AN397" s="41">
        <v>392</v>
      </c>
      <c r="AO397" s="57">
        <f t="shared" si="209"/>
        <v>11360.360721173196</v>
      </c>
      <c r="AP397" s="57">
        <f t="shared" si="210"/>
        <v>18974.394481749034</v>
      </c>
      <c r="AR397" s="41">
        <v>392</v>
      </c>
      <c r="AS397" s="57">
        <f t="shared" si="211"/>
        <v>17968.168336547493</v>
      </c>
      <c r="AT397" s="57">
        <f t="shared" si="212"/>
        <v>-3145.2825751837836</v>
      </c>
      <c r="AV397" s="57">
        <f t="shared" si="213"/>
        <v>20.702196028728821</v>
      </c>
      <c r="AW397" s="57">
        <f t="shared" si="214"/>
        <v>122.5631494571324</v>
      </c>
      <c r="AX397" s="57">
        <f t="shared" si="215"/>
        <v>5.1845419112980373</v>
      </c>
      <c r="AY397" s="57">
        <f t="shared" si="216"/>
        <v>16.830982736536981</v>
      </c>
      <c r="BA397" s="57">
        <f t="shared" si="217"/>
        <v>117804.92796965624</v>
      </c>
      <c r="BB397" s="57">
        <f t="shared" si="218"/>
        <v>100618.24517696313</v>
      </c>
    </row>
    <row r="398" spans="9:54" x14ac:dyDescent="0.25">
      <c r="I398" s="41">
        <v>393</v>
      </c>
      <c r="J398" s="57">
        <f t="shared" si="192"/>
        <v>24193.352839727122</v>
      </c>
      <c r="K398" s="57">
        <f t="shared" si="193"/>
        <v>10223.195175075132</v>
      </c>
      <c r="M398" s="41">
        <v>393</v>
      </c>
      <c r="N398" s="57">
        <f t="shared" si="194"/>
        <v>-17064.653012191015</v>
      </c>
      <c r="O398" s="57">
        <f t="shared" si="195"/>
        <v>11906.236622552593</v>
      </c>
      <c r="Q398" s="41">
        <v>393</v>
      </c>
      <c r="R398" s="57">
        <f t="shared" si="196"/>
        <v>-806.64716027287795</v>
      </c>
      <c r="S398" s="41">
        <f t="shared" si="197"/>
        <v>-12276.804824924868</v>
      </c>
      <c r="U398" s="41">
        <v>392</v>
      </c>
      <c r="V398" s="41">
        <f t="shared" si="219"/>
        <v>196</v>
      </c>
      <c r="W398" s="57">
        <f t="shared" si="220"/>
        <v>-14277.987529802784</v>
      </c>
      <c r="X398" s="57">
        <f t="shared" si="221"/>
        <v>-98855.330788548337</v>
      </c>
      <c r="Y398" s="57">
        <f t="shared" si="222"/>
        <v>696.35107708643363</v>
      </c>
      <c r="Z398" s="57">
        <f t="shared" si="223"/>
        <v>4673.2818624978554</v>
      </c>
      <c r="AA398" s="57">
        <f t="shared" si="198"/>
        <v>46.91075663080052</v>
      </c>
      <c r="AB398" s="57">
        <f t="shared" si="199"/>
        <v>271.06643992593359</v>
      </c>
      <c r="AC398" s="57">
        <f t="shared" si="200"/>
        <v>12.710415236824085</v>
      </c>
      <c r="AD398" s="57">
        <f t="shared" si="201"/>
        <v>39.43698316002066</v>
      </c>
      <c r="AE398" s="57">
        <f t="shared" si="202"/>
        <v>-0.78852236850477586</v>
      </c>
      <c r="AF398" s="57">
        <f t="shared" si="203"/>
        <v>15.000817230794775</v>
      </c>
      <c r="AG398" s="57">
        <f t="shared" si="204"/>
        <v>7.9221919639345106</v>
      </c>
      <c r="AH398" s="57">
        <f t="shared" si="205"/>
        <v>71.601521943436893</v>
      </c>
      <c r="AJ398" s="57">
        <f t="shared" si="206"/>
        <v>111742.72601039789</v>
      </c>
      <c r="AK398" s="57">
        <f t="shared" si="207"/>
        <v>109005.6166800288</v>
      </c>
      <c r="AL398" s="57">
        <f t="shared" si="208"/>
        <v>84367.040686870358</v>
      </c>
      <c r="AN398" s="41">
        <v>393</v>
      </c>
      <c r="AO398" s="57">
        <f t="shared" si="209"/>
        <v>11290.029259590683</v>
      </c>
      <c r="AP398" s="57">
        <f t="shared" si="210"/>
        <v>19084.792762612698</v>
      </c>
      <c r="AR398" s="41">
        <v>393</v>
      </c>
      <c r="AS398" s="57">
        <f t="shared" si="211"/>
        <v>17935.346987808985</v>
      </c>
      <c r="AT398" s="57">
        <f t="shared" si="212"/>
        <v>-3093.763377447407</v>
      </c>
      <c r="AV398" s="57">
        <f t="shared" si="213"/>
        <v>21.575460326518261</v>
      </c>
      <c r="AW398" s="57">
        <f t="shared" si="214"/>
        <v>127.4241498804449</v>
      </c>
      <c r="AX398" s="57">
        <f t="shared" si="215"/>
        <v>5.4912114720284366</v>
      </c>
      <c r="AY398" s="57">
        <f t="shared" si="216"/>
        <v>17.602967711236399</v>
      </c>
      <c r="BA398" s="57">
        <f t="shared" si="217"/>
        <v>115475.87259756471</v>
      </c>
      <c r="BB398" s="57">
        <f t="shared" si="218"/>
        <v>98315.93803256478</v>
      </c>
    </row>
    <row r="399" spans="9:54" x14ac:dyDescent="0.25">
      <c r="I399" s="41">
        <v>394</v>
      </c>
      <c r="J399" s="57">
        <f t="shared" si="192"/>
        <v>24145.187862775208</v>
      </c>
      <c r="K399" s="57">
        <f t="shared" si="193"/>
        <v>10295.964517353732</v>
      </c>
      <c r="M399" s="41">
        <v>394</v>
      </c>
      <c r="N399" s="57">
        <f t="shared" si="194"/>
        <v>-17098.368496057352</v>
      </c>
      <c r="O399" s="57">
        <f t="shared" si="195"/>
        <v>11957.175162147612</v>
      </c>
      <c r="Q399" s="41">
        <v>394</v>
      </c>
      <c r="R399" s="57">
        <f t="shared" si="196"/>
        <v>-854.81213722478969</v>
      </c>
      <c r="S399" s="41">
        <f t="shared" si="197"/>
        <v>-12204.035482646268</v>
      </c>
      <c r="U399" s="41">
        <v>393</v>
      </c>
      <c r="V399" s="41">
        <f t="shared" si="219"/>
        <v>196.5</v>
      </c>
      <c r="W399" s="57">
        <f t="shared" si="220"/>
        <v>-13923.948146680717</v>
      </c>
      <c r="X399" s="57">
        <f t="shared" si="221"/>
        <v>-96484.80655230867</v>
      </c>
      <c r="Y399" s="57">
        <f t="shared" si="222"/>
        <v>719.80645540183389</v>
      </c>
      <c r="Z399" s="57">
        <f t="shared" si="223"/>
        <v>4808.8150824608219</v>
      </c>
      <c r="AA399" s="57">
        <f t="shared" si="198"/>
        <v>49.173884548612989</v>
      </c>
      <c r="AB399" s="57">
        <f t="shared" si="199"/>
        <v>283.69860773813554</v>
      </c>
      <c r="AC399" s="57">
        <f t="shared" si="200"/>
        <v>13.405580054887457</v>
      </c>
      <c r="AD399" s="57">
        <f t="shared" si="201"/>
        <v>41.091226843693697</v>
      </c>
      <c r="AE399" s="57">
        <f t="shared" si="202"/>
        <v>-0.89358064500326817</v>
      </c>
      <c r="AF399" s="57">
        <f t="shared" si="203"/>
        <v>15.660294615504188</v>
      </c>
      <c r="AG399" s="57">
        <f t="shared" si="204"/>
        <v>8.2972734804195039</v>
      </c>
      <c r="AH399" s="57">
        <f t="shared" si="205"/>
        <v>75.76262360007793</v>
      </c>
      <c r="AJ399" s="57">
        <f t="shared" si="206"/>
        <v>109378.58223427353</v>
      </c>
      <c r="AK399" s="57">
        <f t="shared" si="207"/>
        <v>106658.01626041441</v>
      </c>
      <c r="AL399" s="57">
        <f t="shared" si="208"/>
        <v>81972.010768260472</v>
      </c>
      <c r="AN399" s="41">
        <v>394</v>
      </c>
      <c r="AO399" s="57">
        <f t="shared" si="209"/>
        <v>11217.781794162816</v>
      </c>
      <c r="AP399" s="57">
        <f t="shared" si="210"/>
        <v>19193.946776030596</v>
      </c>
      <c r="AR399" s="41">
        <v>394</v>
      </c>
      <c r="AS399" s="57">
        <f t="shared" si="211"/>
        <v>17901.631503942648</v>
      </c>
      <c r="AT399" s="57">
        <f t="shared" si="212"/>
        <v>-3042.8248378523881</v>
      </c>
      <c r="AV399" s="57">
        <f t="shared" si="213"/>
        <v>22.530414055175843</v>
      </c>
      <c r="AW399" s="57">
        <f t="shared" si="214"/>
        <v>132.73122675118233</v>
      </c>
      <c r="AX399" s="57">
        <f t="shared" si="215"/>
        <v>5.8341976031334548</v>
      </c>
      <c r="AY399" s="57">
        <f t="shared" si="216"/>
        <v>18.453235927677408</v>
      </c>
      <c r="BA399" s="57">
        <f t="shared" si="217"/>
        <v>113079.5202742917</v>
      </c>
      <c r="BB399" s="57">
        <f t="shared" si="218"/>
        <v>95948.239203777019</v>
      </c>
    </row>
    <row r="400" spans="9:54" x14ac:dyDescent="0.25">
      <c r="I400" s="41">
        <v>395</v>
      </c>
      <c r="J400" s="57">
        <f t="shared" si="192"/>
        <v>24095.760221444958</v>
      </c>
      <c r="K400" s="57">
        <f t="shared" si="193"/>
        <v>10367.882181755231</v>
      </c>
      <c r="M400" s="41">
        <v>395</v>
      </c>
      <c r="N400" s="57">
        <f t="shared" si="194"/>
        <v>-17132.967844988529</v>
      </c>
      <c r="O400" s="57">
        <f t="shared" si="195"/>
        <v>12007.517527228661</v>
      </c>
      <c r="Q400" s="41">
        <v>395</v>
      </c>
      <c r="R400" s="57">
        <f t="shared" si="196"/>
        <v>-904.23977855504108</v>
      </c>
      <c r="S400" s="41">
        <f t="shared" si="197"/>
        <v>-12132.117818244769</v>
      </c>
      <c r="U400" s="41">
        <v>394</v>
      </c>
      <c r="V400" s="41">
        <f t="shared" si="219"/>
        <v>197</v>
      </c>
      <c r="W400" s="57">
        <f t="shared" si="220"/>
        <v>-13557.898183411224</v>
      </c>
      <c r="X400" s="57">
        <f t="shared" si="221"/>
        <v>-94044.936685110995</v>
      </c>
      <c r="Y400" s="57">
        <f t="shared" si="222"/>
        <v>744.39339767614035</v>
      </c>
      <c r="Z400" s="57">
        <f t="shared" si="223"/>
        <v>4950.6643863298896</v>
      </c>
      <c r="AA400" s="57">
        <f t="shared" si="198"/>
        <v>51.670183619829743</v>
      </c>
      <c r="AB400" s="57">
        <f t="shared" si="199"/>
        <v>297.65881078774987</v>
      </c>
      <c r="AC400" s="57">
        <f t="shared" si="200"/>
        <v>14.178341258433507</v>
      </c>
      <c r="AD400" s="57">
        <f t="shared" si="201"/>
        <v>42.903126933594372</v>
      </c>
      <c r="AE400" s="57">
        <f t="shared" si="202"/>
        <v>-1.0144578716541446</v>
      </c>
      <c r="AF400" s="57">
        <f t="shared" si="203"/>
        <v>16.384280787703908</v>
      </c>
      <c r="AG400" s="57">
        <f t="shared" si="204"/>
        <v>8.7081775601322935</v>
      </c>
      <c r="AH400" s="57">
        <f t="shared" si="205"/>
        <v>80.432990569769387</v>
      </c>
      <c r="AJ400" s="57">
        <f t="shared" si="206"/>
        <v>106946.27949055261</v>
      </c>
      <c r="AK400" s="57">
        <f t="shared" si="207"/>
        <v>104244.18221475984</v>
      </c>
      <c r="AL400" s="57">
        <f t="shared" si="208"/>
        <v>79506.852766732249</v>
      </c>
      <c r="AN400" s="41">
        <v>395</v>
      </c>
      <c r="AO400" s="57">
        <f t="shared" si="209"/>
        <v>11143.640332167439</v>
      </c>
      <c r="AP400" s="57">
        <f t="shared" si="210"/>
        <v>19301.823272632846</v>
      </c>
      <c r="AR400" s="41">
        <v>395</v>
      </c>
      <c r="AS400" s="57">
        <f t="shared" si="211"/>
        <v>17867.032155011471</v>
      </c>
      <c r="AT400" s="57">
        <f t="shared" si="212"/>
        <v>-2992.4824727713385</v>
      </c>
      <c r="AV400" s="57">
        <f t="shared" si="213"/>
        <v>23.578381551015774</v>
      </c>
      <c r="AW400" s="57">
        <f t="shared" si="214"/>
        <v>138.54495255643744</v>
      </c>
      <c r="AX400" s="57">
        <f t="shared" si="215"/>
        <v>6.2197411219023175</v>
      </c>
      <c r="AY400" s="57">
        <f t="shared" si="216"/>
        <v>19.393459940244721</v>
      </c>
      <c r="BA400" s="57">
        <f t="shared" si="217"/>
        <v>110612.81029630214</v>
      </c>
      <c r="BB400" s="57">
        <f t="shared" si="218"/>
        <v>93512.321636827663</v>
      </c>
    </row>
    <row r="401" spans="9:54" x14ac:dyDescent="0.25">
      <c r="I401" s="41">
        <v>396</v>
      </c>
      <c r="J401" s="57">
        <f t="shared" si="192"/>
        <v>24045.084971874734</v>
      </c>
      <c r="K401" s="57">
        <f t="shared" si="193"/>
        <v>10438.926261462368</v>
      </c>
      <c r="M401" s="41">
        <v>396</v>
      </c>
      <c r="N401" s="57">
        <f t="shared" si="194"/>
        <v>-17168.440519687687</v>
      </c>
      <c r="O401" s="57">
        <f t="shared" si="195"/>
        <v>12057.248383023658</v>
      </c>
      <c r="Q401" s="41">
        <v>396</v>
      </c>
      <c r="R401" s="57">
        <f t="shared" si="196"/>
        <v>-954.91502812526505</v>
      </c>
      <c r="S401" s="41">
        <f t="shared" si="197"/>
        <v>-12061.073738537632</v>
      </c>
      <c r="U401" s="41">
        <v>395</v>
      </c>
      <c r="V401" s="41">
        <f t="shared" si="219"/>
        <v>197.5</v>
      </c>
      <c r="W401" s="57">
        <f t="shared" si="220"/>
        <v>-13179.242711620675</v>
      </c>
      <c r="X401" s="57">
        <f t="shared" si="221"/>
        <v>-91532.39714059759</v>
      </c>
      <c r="Y401" s="57">
        <f t="shared" si="222"/>
        <v>770.2284894860552</v>
      </c>
      <c r="Z401" s="57">
        <f t="shared" si="223"/>
        <v>5099.4937917237648</v>
      </c>
      <c r="AA401" s="57">
        <f t="shared" si="198"/>
        <v>54.434944647815911</v>
      </c>
      <c r="AB401" s="57">
        <f t="shared" si="199"/>
        <v>313.15655714353346</v>
      </c>
      <c r="AC401" s="57">
        <f t="shared" si="200"/>
        <v>15.041322355723674</v>
      </c>
      <c r="AD401" s="57">
        <f t="shared" si="201"/>
        <v>44.894882683083871</v>
      </c>
      <c r="AE401" s="57">
        <f t="shared" si="202"/>
        <v>-1.1542579730132159</v>
      </c>
      <c r="AF401" s="57">
        <f t="shared" si="203"/>
        <v>17.182047969709462</v>
      </c>
      <c r="AG401" s="57">
        <f t="shared" si="204"/>
        <v>9.159517846285441</v>
      </c>
      <c r="AH401" s="57">
        <f t="shared" si="205"/>
        <v>85.704738463422984</v>
      </c>
      <c r="AJ401" s="57">
        <f t="shared" si="206"/>
        <v>104442.70118265648</v>
      </c>
      <c r="AK401" s="57">
        <f t="shared" si="207"/>
        <v>101761.24212637644</v>
      </c>
      <c r="AL401" s="57">
        <f t="shared" si="208"/>
        <v>76968.22606388788</v>
      </c>
      <c r="AN401" s="41">
        <v>396</v>
      </c>
      <c r="AO401" s="57">
        <f t="shared" si="209"/>
        <v>11067.627457812103</v>
      </c>
      <c r="AP401" s="57">
        <f t="shared" si="210"/>
        <v>19408.389392193552</v>
      </c>
      <c r="AR401" s="41">
        <v>396</v>
      </c>
      <c r="AS401" s="57">
        <f t="shared" si="211"/>
        <v>17831.559480312313</v>
      </c>
      <c r="AT401" s="57">
        <f t="shared" si="212"/>
        <v>-2942.7516169763426</v>
      </c>
      <c r="AV401" s="57">
        <f t="shared" si="213"/>
        <v>24.732839460459623</v>
      </c>
      <c r="AW401" s="57">
        <f t="shared" si="214"/>
        <v>144.93720765013273</v>
      </c>
      <c r="AX401" s="57">
        <f t="shared" si="215"/>
        <v>6.6555229583603941</v>
      </c>
      <c r="AY401" s="57">
        <f t="shared" si="216"/>
        <v>20.43768037718441</v>
      </c>
      <c r="BA401" s="57">
        <f t="shared" si="217"/>
        <v>108072.36698661698</v>
      </c>
      <c r="BB401" s="57">
        <f t="shared" si="218"/>
        <v>91005.084883749922</v>
      </c>
    </row>
    <row r="402" spans="9:54" x14ac:dyDescent="0.25">
      <c r="I402" s="41">
        <v>397</v>
      </c>
      <c r="J402" s="57">
        <f t="shared" si="192"/>
        <v>23993.177550236465</v>
      </c>
      <c r="K402" s="57">
        <f t="shared" si="193"/>
        <v>10509.075115760239</v>
      </c>
      <c r="M402" s="41">
        <v>397</v>
      </c>
      <c r="N402" s="57">
        <f t="shared" si="194"/>
        <v>-17204.775714834475</v>
      </c>
      <c r="O402" s="57">
        <f t="shared" si="195"/>
        <v>12106.352581032168</v>
      </c>
      <c r="Q402" s="41">
        <v>397</v>
      </c>
      <c r="R402" s="57">
        <f t="shared" si="196"/>
        <v>-1006.8224497635342</v>
      </c>
      <c r="S402" s="41">
        <f t="shared" si="197"/>
        <v>-11990.924884239761</v>
      </c>
      <c r="U402" s="41">
        <v>396</v>
      </c>
      <c r="V402" s="41">
        <f t="shared" si="219"/>
        <v>198</v>
      </c>
      <c r="W402" s="57">
        <f t="shared" si="220"/>
        <v>-12787.324098796669</v>
      </c>
      <c r="X402" s="57">
        <f t="shared" si="221"/>
        <v>-88943.505675092762</v>
      </c>
      <c r="Y402" s="57">
        <f t="shared" si="222"/>
        <v>797.44596180996314</v>
      </c>
      <c r="Z402" s="57">
        <f t="shared" si="223"/>
        <v>5256.0720702955314</v>
      </c>
      <c r="AA402" s="57">
        <f t="shared" si="198"/>
        <v>57.510659477363191</v>
      </c>
      <c r="AB402" s="57">
        <f t="shared" si="199"/>
        <v>330.44714958093698</v>
      </c>
      <c r="AC402" s="57">
        <f t="shared" si="200"/>
        <v>16.009916776998139</v>
      </c>
      <c r="AD402" s="57">
        <f t="shared" si="201"/>
        <v>47.092970895933874</v>
      </c>
      <c r="AE402" s="57">
        <f t="shared" si="202"/>
        <v>-1.3168593593397808</v>
      </c>
      <c r="AF402" s="57">
        <f t="shared" si="203"/>
        <v>18.064679916145522</v>
      </c>
      <c r="AG402" s="57">
        <f t="shared" si="204"/>
        <v>9.6565682643461184</v>
      </c>
      <c r="AH402" s="57">
        <f t="shared" si="205"/>
        <v>91.692666337970252</v>
      </c>
      <c r="AJ402" s="57">
        <f t="shared" si="206"/>
        <v>101864.41188394101</v>
      </c>
      <c r="AK402" s="57">
        <f t="shared" si="207"/>
        <v>99206.048247739978</v>
      </c>
      <c r="AL402" s="57">
        <f t="shared" si="208"/>
        <v>74352.434043158093</v>
      </c>
      <c r="AN402" s="41">
        <v>397</v>
      </c>
      <c r="AO402" s="57">
        <f t="shared" si="209"/>
        <v>10989.7663253547</v>
      </c>
      <c r="AP402" s="57">
        <f t="shared" si="210"/>
        <v>19513.61267364036</v>
      </c>
      <c r="AR402" s="41">
        <v>397</v>
      </c>
      <c r="AS402" s="57">
        <f t="shared" si="211"/>
        <v>17795.224285165525</v>
      </c>
      <c r="AT402" s="57">
        <f t="shared" si="212"/>
        <v>-2893.6474189678324</v>
      </c>
      <c r="AV402" s="57">
        <f t="shared" si="213"/>
        <v>26.009945732392982</v>
      </c>
      <c r="AW402" s="57">
        <f t="shared" si="214"/>
        <v>151.9939102041067</v>
      </c>
      <c r="AX402" s="57">
        <f t="shared" si="215"/>
        <v>7.1510880629657256</v>
      </c>
      <c r="AY402" s="57">
        <f t="shared" si="216"/>
        <v>21.602922226780624</v>
      </c>
      <c r="BA402" s="57">
        <f t="shared" si="217"/>
        <v>105454.45116553247</v>
      </c>
      <c r="BB402" s="57">
        <f t="shared" si="218"/>
        <v>88423.116466204112</v>
      </c>
    </row>
    <row r="403" spans="9:54" x14ac:dyDescent="0.25">
      <c r="I403" s="41">
        <v>398</v>
      </c>
      <c r="J403" s="57">
        <f t="shared" si="192"/>
        <v>23940.053768033609</v>
      </c>
      <c r="K403" s="57">
        <f t="shared" si="193"/>
        <v>10578.307376628292</v>
      </c>
      <c r="M403" s="41">
        <v>398</v>
      </c>
      <c r="N403" s="57">
        <f t="shared" si="194"/>
        <v>-17241.962362376475</v>
      </c>
      <c r="O403" s="57">
        <f t="shared" si="195"/>
        <v>12154.815163639803</v>
      </c>
      <c r="Q403" s="41">
        <v>398</v>
      </c>
      <c r="R403" s="57">
        <f t="shared" si="196"/>
        <v>-1059.9462319663912</v>
      </c>
      <c r="S403" s="41">
        <f t="shared" si="197"/>
        <v>-11921.692623371708</v>
      </c>
      <c r="U403" s="41">
        <v>397</v>
      </c>
      <c r="V403" s="41">
        <f t="shared" si="219"/>
        <v>198.5</v>
      </c>
      <c r="W403" s="57">
        <f t="shared" si="220"/>
        <v>-12381.412285457016</v>
      </c>
      <c r="X403" s="57">
        <f t="shared" si="221"/>
        <v>-86274.163746247374</v>
      </c>
      <c r="Y403" s="57">
        <f t="shared" si="222"/>
        <v>826.20129154864469</v>
      </c>
      <c r="Z403" s="57">
        <f t="shared" si="223"/>
        <v>5421.2956450860001</v>
      </c>
      <c r="AA403" s="57">
        <f t="shared" si="198"/>
        <v>60.948879024914277</v>
      </c>
      <c r="AB403" s="57">
        <f t="shared" si="199"/>
        <v>349.84476956388175</v>
      </c>
      <c r="AC403" s="57">
        <f t="shared" si="200"/>
        <v>17.103065730301278</v>
      </c>
      <c r="AD403" s="57">
        <f t="shared" si="201"/>
        <v>49.529207442147502</v>
      </c>
      <c r="AE403" s="57">
        <f t="shared" si="202"/>
        <v>-1.5071541251192293</v>
      </c>
      <c r="AF403" s="57">
        <f t="shared" si="203"/>
        <v>19.045525032885308</v>
      </c>
      <c r="AG403" s="57">
        <f t="shared" si="204"/>
        <v>10.205312706894894</v>
      </c>
      <c r="AH403" s="57">
        <f t="shared" si="205"/>
        <v>98.54145803316969</v>
      </c>
      <c r="AJ403" s="57">
        <f t="shared" si="206"/>
        <v>99207.608820638154</v>
      </c>
      <c r="AK403" s="57">
        <f t="shared" si="207"/>
        <v>96575.139056609361</v>
      </c>
      <c r="AL403" s="57">
        <f t="shared" si="208"/>
        <v>71655.367315050302</v>
      </c>
      <c r="AN403" s="41">
        <v>398</v>
      </c>
      <c r="AO403" s="57">
        <f t="shared" si="209"/>
        <v>10910.080652050414</v>
      </c>
      <c r="AP403" s="57">
        <f t="shared" si="210"/>
        <v>19617.461064942436</v>
      </c>
      <c r="AR403" s="41">
        <v>398</v>
      </c>
      <c r="AS403" s="57">
        <f t="shared" si="211"/>
        <v>17758.037637623525</v>
      </c>
      <c r="AT403" s="57">
        <f t="shared" si="212"/>
        <v>-2845.1848363601957</v>
      </c>
      <c r="AV403" s="57">
        <f t="shared" si="213"/>
        <v>27.429231115253252</v>
      </c>
      <c r="AW403" s="57">
        <f t="shared" si="214"/>
        <v>159.8185692726511</v>
      </c>
      <c r="AX403" s="57">
        <f t="shared" si="215"/>
        <v>7.7184235975840787</v>
      </c>
      <c r="AY403" s="57">
        <f t="shared" si="216"/>
        <v>22.910009783028176</v>
      </c>
      <c r="BA403" s="57">
        <f t="shared" si="217"/>
        <v>102754.90127258535</v>
      </c>
      <c r="BB403" s="57">
        <f t="shared" si="218"/>
        <v>85762.645897838345</v>
      </c>
    </row>
    <row r="404" spans="9:54" x14ac:dyDescent="0.25">
      <c r="I404" s="41">
        <v>399</v>
      </c>
      <c r="J404" s="57">
        <f t="shared" si="192"/>
        <v>23885.729807284857</v>
      </c>
      <c r="K404" s="57">
        <f t="shared" si="193"/>
        <v>10646.601955249185</v>
      </c>
      <c r="M404" s="41">
        <v>399</v>
      </c>
      <c r="N404" s="57">
        <f t="shared" si="194"/>
        <v>-17279.989134900599</v>
      </c>
      <c r="O404" s="57">
        <f t="shared" si="195"/>
        <v>12202.621368674429</v>
      </c>
      <c r="Q404" s="41">
        <v>399</v>
      </c>
      <c r="R404" s="57">
        <f t="shared" si="196"/>
        <v>-1114.2701927151429</v>
      </c>
      <c r="S404" s="41">
        <f t="shared" si="197"/>
        <v>-11853.398044750815</v>
      </c>
      <c r="U404" s="41">
        <v>398</v>
      </c>
      <c r="V404" s="41">
        <f t="shared" si="219"/>
        <v>199</v>
      </c>
      <c r="W404" s="57">
        <f t="shared" si="220"/>
        <v>-11960.693029804579</v>
      </c>
      <c r="X404" s="57">
        <f t="shared" si="221"/>
        <v>-83519.785327508886</v>
      </c>
      <c r="Y404" s="57">
        <f t="shared" si="222"/>
        <v>856.67573106110183</v>
      </c>
      <c r="Z404" s="57">
        <f t="shared" si="223"/>
        <v>5596.2180298679414</v>
      </c>
      <c r="AA404" s="57">
        <f t="shared" si="198"/>
        <v>64.812649633430127</v>
      </c>
      <c r="AB404" s="57">
        <f t="shared" si="199"/>
        <v>371.7402822670299</v>
      </c>
      <c r="AC404" s="57">
        <f t="shared" si="200"/>
        <v>18.344306917463587</v>
      </c>
      <c r="AD404" s="57">
        <f t="shared" si="201"/>
        <v>52.242136178099052</v>
      </c>
      <c r="AE404" s="57">
        <f t="shared" si="202"/>
        <v>-1.7313768303046697</v>
      </c>
      <c r="AF404" s="57">
        <f t="shared" si="203"/>
        <v>20.140789509767849</v>
      </c>
      <c r="AG404" s="57">
        <f t="shared" si="204"/>
        <v>10.812446035792565</v>
      </c>
      <c r="AH404" s="57">
        <f t="shared" si="205"/>
        <v>106.43573535932539</v>
      </c>
      <c r="AJ404" s="57">
        <f t="shared" si="206"/>
        <v>96468.063212708905</v>
      </c>
      <c r="AK404" s="57">
        <f t="shared" si="207"/>
        <v>93864.693598095662</v>
      </c>
      <c r="AL404" s="57">
        <f t="shared" si="208"/>
        <v>68872.434462439851</v>
      </c>
      <c r="AN404" s="41">
        <v>399</v>
      </c>
      <c r="AO404" s="57">
        <f t="shared" si="209"/>
        <v>10828.594710927286</v>
      </c>
      <c r="AP404" s="57">
        <f t="shared" si="210"/>
        <v>19719.902932873774</v>
      </c>
      <c r="AR404" s="41">
        <v>399</v>
      </c>
      <c r="AS404" s="57">
        <f t="shared" si="211"/>
        <v>17720.010865099401</v>
      </c>
      <c r="AT404" s="57">
        <f t="shared" si="212"/>
        <v>-2797.378631325571</v>
      </c>
      <c r="AV404" s="57">
        <f t="shared" si="213"/>
        <v>29.014514131132991</v>
      </c>
      <c r="AW404" s="57">
        <f t="shared" si="214"/>
        <v>168.5369635873972</v>
      </c>
      <c r="AX404" s="57">
        <f t="shared" si="215"/>
        <v>8.3727593793456467</v>
      </c>
      <c r="AY404" s="57">
        <f t="shared" si="216"/>
        <v>24.384657632440398</v>
      </c>
      <c r="BA404" s="57">
        <f t="shared" si="217"/>
        <v>99969.061259120048</v>
      </c>
      <c r="BB404" s="57">
        <f t="shared" si="218"/>
        <v>83019.489618555424</v>
      </c>
    </row>
    <row r="405" spans="9:54" x14ac:dyDescent="0.25">
      <c r="I405" s="41">
        <v>400</v>
      </c>
      <c r="J405" s="57">
        <f t="shared" si="192"/>
        <v>23830.222215594891</v>
      </c>
      <c r="K405" s="57">
        <f t="shared" si="193"/>
        <v>10713.938048432696</v>
      </c>
      <c r="M405" s="41">
        <v>400</v>
      </c>
      <c r="N405" s="57">
        <f t="shared" si="194"/>
        <v>-17318.844449083575</v>
      </c>
      <c r="O405" s="57">
        <f t="shared" si="195"/>
        <v>12249.756633902887</v>
      </c>
      <c r="Q405" s="41">
        <v>400</v>
      </c>
      <c r="R405" s="57">
        <f t="shared" si="196"/>
        <v>-1169.7777844051093</v>
      </c>
      <c r="S405" s="41">
        <f t="shared" si="197"/>
        <v>-11786.061951567304</v>
      </c>
      <c r="U405" s="41">
        <v>399</v>
      </c>
      <c r="V405" s="41">
        <f t="shared" si="219"/>
        <v>199.5</v>
      </c>
      <c r="W405" s="57">
        <f t="shared" si="220"/>
        <v>-11524.253583069849</v>
      </c>
      <c r="X405" s="57">
        <f t="shared" si="221"/>
        <v>-80675.20877729154</v>
      </c>
      <c r="Y405" s="57">
        <f t="shared" si="222"/>
        <v>889.08205587781686</v>
      </c>
      <c r="Z405" s="57">
        <f t="shared" si="223"/>
        <v>5782.0881710014564</v>
      </c>
      <c r="AA405" s="57">
        <f t="shared" si="198"/>
        <v>69.179734425047357</v>
      </c>
      <c r="AB405" s="57">
        <f t="shared" si="199"/>
        <v>396.6258638085323</v>
      </c>
      <c r="AC405" s="57">
        <f t="shared" si="200"/>
        <v>19.763208578640551</v>
      </c>
      <c r="AD405" s="57">
        <f t="shared" si="201"/>
        <v>55.278867680047775</v>
      </c>
      <c r="AE405" s="57">
        <f t="shared" si="202"/>
        <v>-1.9975629214723163</v>
      </c>
      <c r="AF405" s="57">
        <f t="shared" si="203"/>
        <v>21.370322569877256</v>
      </c>
      <c r="AG405" s="57">
        <f t="shared" si="204"/>
        <v>11.485266513006392</v>
      </c>
      <c r="AH405" s="57">
        <f t="shared" si="205"/>
        <v>115.61434062923279</v>
      </c>
      <c r="AJ405" s="57">
        <f t="shared" si="206"/>
        <v>93641.048728047914</v>
      </c>
      <c r="AK405" s="57">
        <f t="shared" si="207"/>
        <v>91070.476907335411</v>
      </c>
      <c r="AL405" s="57">
        <f t="shared" si="208"/>
        <v>65998.476745732783</v>
      </c>
      <c r="AN405" s="41">
        <v>400</v>
      </c>
      <c r="AO405" s="57">
        <f t="shared" si="209"/>
        <v>10745.333323392337</v>
      </c>
      <c r="AP405" s="57">
        <f t="shared" si="210"/>
        <v>19820.907072649043</v>
      </c>
      <c r="AR405" s="41">
        <v>400</v>
      </c>
      <c r="AS405" s="57">
        <f t="shared" si="211"/>
        <v>17681.155550916425</v>
      </c>
      <c r="AT405" s="57">
        <f t="shared" si="212"/>
        <v>-2750.2433660971128</v>
      </c>
      <c r="AV405" s="57">
        <f t="shared" si="213"/>
        <v>30.795127999566787</v>
      </c>
      <c r="AW405" s="57">
        <f t="shared" si="214"/>
        <v>178.30338210862803</v>
      </c>
      <c r="AX405" s="57">
        <f t="shared" si="215"/>
        <v>9.1336942553059419</v>
      </c>
      <c r="AY405" s="57">
        <f t="shared" si="216"/>
        <v>26.058950820746475</v>
      </c>
      <c r="BA405" s="57">
        <f t="shared" si="217"/>
        <v>97091.691359538687</v>
      </c>
      <c r="BB405" s="57">
        <f t="shared" si="218"/>
        <v>80188.984602784796</v>
      </c>
    </row>
    <row r="406" spans="9:54" x14ac:dyDescent="0.25">
      <c r="I406" s="41">
        <v>401</v>
      </c>
      <c r="J406" s="57">
        <f t="shared" si="192"/>
        <v>23773.54790111386</v>
      </c>
      <c r="K406" s="57">
        <f t="shared" si="193"/>
        <v>10780.295144952535</v>
      </c>
      <c r="M406" s="41">
        <v>401</v>
      </c>
      <c r="N406" s="57">
        <f t="shared" si="194"/>
        <v>-17358.516469220296</v>
      </c>
      <c r="O406" s="57">
        <f t="shared" si="195"/>
        <v>12296.206601466774</v>
      </c>
      <c r="Q406" s="41">
        <v>401</v>
      </c>
      <c r="R406" s="57">
        <f t="shared" si="196"/>
        <v>-1226.4520988861386</v>
      </c>
      <c r="S406" s="41">
        <f t="shared" si="197"/>
        <v>-11719.704855047465</v>
      </c>
      <c r="U406" s="41">
        <v>400</v>
      </c>
      <c r="V406" s="41">
        <f t="shared" si="219"/>
        <v>200</v>
      </c>
      <c r="W406" s="57">
        <f t="shared" si="220"/>
        <v>-11071.065088327809</v>
      </c>
      <c r="X406" s="57">
        <f t="shared" si="221"/>
        <v>-77734.586458814738</v>
      </c>
      <c r="Y406" s="57">
        <f t="shared" si="222"/>
        <v>923.67192309034056</v>
      </c>
      <c r="Z406" s="57">
        <f t="shared" si="223"/>
        <v>5980.4011029057228</v>
      </c>
      <c r="AA406" s="57">
        <f t="shared" si="198"/>
        <v>74.146904622088044</v>
      </c>
      <c r="AB406" s="57">
        <f t="shared" si="199"/>
        <v>425.12968601839242</v>
      </c>
      <c r="AC406" s="57">
        <f t="shared" si="200"/>
        <v>21.397361172139671</v>
      </c>
      <c r="AD406" s="57">
        <f t="shared" si="201"/>
        <v>58.697544665192481</v>
      </c>
      <c r="AE406" s="57">
        <f t="shared" si="202"/>
        <v>-2.3161979893827107</v>
      </c>
      <c r="AF406" s="57">
        <f t="shared" si="203"/>
        <v>22.758668840735616</v>
      </c>
      <c r="AG406" s="57">
        <f t="shared" si="204"/>
        <v>12.231341283571147</v>
      </c>
      <c r="AH406" s="57">
        <f t="shared" si="205"/>
        <v>126.39102465508473</v>
      </c>
      <c r="AJ406" s="57">
        <f t="shared" si="206"/>
        <v>90721.253378292051</v>
      </c>
      <c r="AK406" s="57">
        <f t="shared" si="207"/>
        <v>88187.774321365636</v>
      </c>
      <c r="AL406" s="57">
        <f t="shared" si="208"/>
        <v>63027.661938748883</v>
      </c>
      <c r="AN406" s="41">
        <v>401</v>
      </c>
      <c r="AO406" s="57">
        <f t="shared" si="209"/>
        <v>10660.321851670793</v>
      </c>
      <c r="AP406" s="57">
        <f t="shared" si="210"/>
        <v>19920.442717428803</v>
      </c>
      <c r="AR406" s="41">
        <v>401</v>
      </c>
      <c r="AS406" s="57">
        <f t="shared" si="211"/>
        <v>17641.483530779704</v>
      </c>
      <c r="AT406" s="57">
        <f t="shared" si="212"/>
        <v>-2703.7933985332252</v>
      </c>
      <c r="AV406" s="57">
        <f t="shared" si="213"/>
        <v>32.807590229749479</v>
      </c>
      <c r="AW406" s="57">
        <f t="shared" si="214"/>
        <v>189.30906545053574</v>
      </c>
      <c r="AX406" s="57">
        <f t="shared" si="215"/>
        <v>10.026809926010454</v>
      </c>
      <c r="AY406" s="57">
        <f t="shared" si="216"/>
        <v>27.973382406843822</v>
      </c>
      <c r="BA406" s="57">
        <f t="shared" si="217"/>
        <v>94116.856400756689</v>
      </c>
      <c r="BB406" s="57">
        <f t="shared" si="218"/>
        <v>77265.907761279945</v>
      </c>
    </row>
    <row r="407" spans="9:54" x14ac:dyDescent="0.25">
      <c r="I407" s="41">
        <v>402</v>
      </c>
      <c r="J407" s="57">
        <f t="shared" si="192"/>
        <v>23715.724127386969</v>
      </c>
      <c r="K407" s="57">
        <f t="shared" si="193"/>
        <v>10845.653031794292</v>
      </c>
      <c r="M407" s="41">
        <v>402</v>
      </c>
      <c r="N407" s="57">
        <f t="shared" si="194"/>
        <v>-17398.99311082912</v>
      </c>
      <c r="O407" s="57">
        <f t="shared" si="195"/>
        <v>12341.957122256004</v>
      </c>
      <c r="Q407" s="41">
        <v>402</v>
      </c>
      <c r="R407" s="57">
        <f t="shared" si="196"/>
        <v>-1284.2758726130301</v>
      </c>
      <c r="S407" s="41">
        <f t="shared" si="197"/>
        <v>-11654.346968205708</v>
      </c>
      <c r="U407" s="41">
        <v>401</v>
      </c>
      <c r="V407" s="41">
        <f t="shared" si="219"/>
        <v>200.5</v>
      </c>
      <c r="W407" s="57">
        <f t="shared" si="220"/>
        <v>-10599.960763704878</v>
      </c>
      <c r="X407" s="57">
        <f t="shared" si="221"/>
        <v>-74691.244696609589</v>
      </c>
      <c r="Y407" s="57">
        <f t="shared" si="222"/>
        <v>960.74537540138454</v>
      </c>
      <c r="Z407" s="57">
        <f t="shared" si="223"/>
        <v>6192.9659459149188</v>
      </c>
      <c r="AA407" s="57">
        <f t="shared" si="198"/>
        <v>79.835688755762675</v>
      </c>
      <c r="AB407" s="57">
        <f t="shared" si="199"/>
        <v>458.06576127835797</v>
      </c>
      <c r="AC407" s="57">
        <f t="shared" si="200"/>
        <v>23.295191406345008</v>
      </c>
      <c r="AD407" s="57">
        <f t="shared" si="201"/>
        <v>62.570693861943461</v>
      </c>
      <c r="AE407" s="57">
        <f t="shared" si="202"/>
        <v>-2.7011532512608234</v>
      </c>
      <c r="AF407" s="57">
        <f t="shared" si="203"/>
        <v>24.336497456550696</v>
      </c>
      <c r="AG407" s="57">
        <f t="shared" si="204"/>
        <v>13.057708913710766</v>
      </c>
      <c r="AH407" s="57">
        <f t="shared" si="205"/>
        <v>139.18506411636821</v>
      </c>
      <c r="AJ407" s="57">
        <f t="shared" si="206"/>
        <v>87702.669876795844</v>
      </c>
      <c r="AK407" s="57">
        <f t="shared" si="207"/>
        <v>85211.311842412615</v>
      </c>
      <c r="AL407" s="57">
        <f t="shared" si="208"/>
        <v>59953.350648529697</v>
      </c>
      <c r="AN407" s="41">
        <v>402</v>
      </c>
      <c r="AO407" s="57">
        <f t="shared" si="209"/>
        <v>10573.586191080456</v>
      </c>
      <c r="AP407" s="57">
        <f t="shared" si="210"/>
        <v>20018.479547691437</v>
      </c>
      <c r="AR407" s="41">
        <v>402</v>
      </c>
      <c r="AS407" s="57">
        <f t="shared" si="211"/>
        <v>17601.00688917088</v>
      </c>
      <c r="AT407" s="57">
        <f t="shared" si="212"/>
        <v>-2658.0428777439952</v>
      </c>
      <c r="AV407" s="57">
        <f t="shared" si="213"/>
        <v>35.097911920623361</v>
      </c>
      <c r="AW407" s="57">
        <f t="shared" si="214"/>
        <v>201.79380282396681</v>
      </c>
      <c r="AX407" s="57">
        <f t="shared" si="215"/>
        <v>11.086029766344373</v>
      </c>
      <c r="AY407" s="57">
        <f t="shared" si="216"/>
        <v>30.179703019528819</v>
      </c>
      <c r="BA407" s="57">
        <f t="shared" si="217"/>
        <v>91037.784194565218</v>
      </c>
      <c r="BB407" s="57">
        <f t="shared" si="218"/>
        <v>74244.377419882396</v>
      </c>
    </row>
    <row r="408" spans="9:54" x14ac:dyDescent="0.25">
      <c r="I408" s="41">
        <v>403</v>
      </c>
      <c r="J408" s="57">
        <f t="shared" si="192"/>
        <v>23656.768508095854</v>
      </c>
      <c r="K408" s="57">
        <f t="shared" si="193"/>
        <v>10909.991800312489</v>
      </c>
      <c r="M408" s="41">
        <v>403</v>
      </c>
      <c r="N408" s="57">
        <f t="shared" si="194"/>
        <v>-17440.2620443329</v>
      </c>
      <c r="O408" s="57">
        <f t="shared" si="195"/>
        <v>12386.994260218742</v>
      </c>
      <c r="Q408" s="41">
        <v>403</v>
      </c>
      <c r="R408" s="57">
        <f t="shared" si="196"/>
        <v>-1343.2314919041451</v>
      </c>
      <c r="S408" s="41">
        <f t="shared" si="197"/>
        <v>-11590.008199687511</v>
      </c>
      <c r="U408" s="41">
        <v>402</v>
      </c>
      <c r="V408" s="41">
        <f t="shared" si="219"/>
        <v>201</v>
      </c>
      <c r="W408" s="57">
        <f t="shared" si="220"/>
        <v>-10109.608614909715</v>
      </c>
      <c r="X408" s="57">
        <f t="shared" si="221"/>
        <v>-71537.503503492335</v>
      </c>
      <c r="Y408" s="57">
        <f t="shared" si="222"/>
        <v>1000.6632197792659</v>
      </c>
      <c r="Z408" s="57">
        <f t="shared" si="223"/>
        <v>6421.9988265540978</v>
      </c>
      <c r="AA408" s="57">
        <f t="shared" si="198"/>
        <v>86.400090015111232</v>
      </c>
      <c r="AB408" s="57">
        <f t="shared" si="199"/>
        <v>496.50721181896336</v>
      </c>
      <c r="AC408" s="57">
        <f t="shared" si="200"/>
        <v>25.520014586091833</v>
      </c>
      <c r="AD408" s="57">
        <f t="shared" si="201"/>
        <v>66.989852576782042</v>
      </c>
      <c r="AE408" s="57">
        <f t="shared" si="202"/>
        <v>-3.1710592600923939</v>
      </c>
      <c r="AF408" s="57">
        <f t="shared" si="203"/>
        <v>26.142570648856594</v>
      </c>
      <c r="AG408" s="57">
        <f t="shared" si="204"/>
        <v>13.969140190846165</v>
      </c>
      <c r="AH408" s="57">
        <f t="shared" si="205"/>
        <v>154.56767279125461</v>
      </c>
      <c r="AJ408" s="57">
        <f t="shared" si="206"/>
        <v>84578.457605986216</v>
      </c>
      <c r="AK408" s="57">
        <f t="shared" si="207"/>
        <v>82135.158850106891</v>
      </c>
      <c r="AL408" s="57">
        <f t="shared" si="208"/>
        <v>56767.925826164967</v>
      </c>
      <c r="AN408" s="41">
        <v>403</v>
      </c>
      <c r="AO408" s="57">
        <f t="shared" si="209"/>
        <v>10485.152762143782</v>
      </c>
      <c r="AP408" s="57">
        <f t="shared" si="210"/>
        <v>20114.987700468733</v>
      </c>
      <c r="AR408" s="41">
        <v>403</v>
      </c>
      <c r="AS408" s="57">
        <f t="shared" si="211"/>
        <v>17559.7379556671</v>
      </c>
      <c r="AT408" s="57">
        <f t="shared" si="212"/>
        <v>-2613.0057397812575</v>
      </c>
      <c r="AV408" s="57">
        <f t="shared" si="213"/>
        <v>37.724850462637214</v>
      </c>
      <c r="AW408" s="57">
        <f t="shared" si="214"/>
        <v>216.06214047515215</v>
      </c>
      <c r="AX408" s="57">
        <f t="shared" si="215"/>
        <v>12.357144035628409</v>
      </c>
      <c r="AY408" s="57">
        <f t="shared" si="216"/>
        <v>32.744975326917938</v>
      </c>
      <c r="BA408" s="57">
        <f t="shared" si="217"/>
        <v>87846.683404171286</v>
      </c>
      <c r="BB408" s="57">
        <f t="shared" si="218"/>
        <v>71117.732087512486</v>
      </c>
    </row>
    <row r="409" spans="9:54" x14ac:dyDescent="0.25">
      <c r="I409" s="41">
        <v>404</v>
      </c>
      <c r="J409" s="57">
        <f t="shared" si="192"/>
        <v>23596.699001693254</v>
      </c>
      <c r="K409" s="57">
        <f t="shared" si="193"/>
        <v>10973.291852294986</v>
      </c>
      <c r="M409" s="41">
        <v>404</v>
      </c>
      <c r="N409" s="57">
        <f t="shared" si="194"/>
        <v>-17482.310698814719</v>
      </c>
      <c r="O409" s="57">
        <f t="shared" si="195"/>
        <v>12431.30429660649</v>
      </c>
      <c r="Q409" s="41">
        <v>404</v>
      </c>
      <c r="R409" s="57">
        <f t="shared" si="196"/>
        <v>-1403.3009983067441</v>
      </c>
      <c r="S409" s="41">
        <f t="shared" si="197"/>
        <v>-11526.708147705014</v>
      </c>
      <c r="U409" s="41">
        <v>403</v>
      </c>
      <c r="V409" s="41">
        <f t="shared" si="219"/>
        <v>201.5</v>
      </c>
      <c r="W409" s="57">
        <f t="shared" si="220"/>
        <v>-9598.476993768194</v>
      </c>
      <c r="X409" s="57">
        <f t="shared" si="221"/>
        <v>-68264.440688737915</v>
      </c>
      <c r="Y409" s="57">
        <f t="shared" si="222"/>
        <v>1043.8632647868214</v>
      </c>
      <c r="Z409" s="57">
        <f t="shared" si="223"/>
        <v>6670.2524324635797</v>
      </c>
      <c r="AA409" s="57">
        <f t="shared" si="198"/>
        <v>94.036886761103673</v>
      </c>
      <c r="AB409" s="57">
        <f t="shared" si="199"/>
        <v>541.89675124014377</v>
      </c>
      <c r="AC409" s="57">
        <f t="shared" si="200"/>
        <v>28.155995474493757</v>
      </c>
      <c r="AD409" s="57">
        <f t="shared" si="201"/>
        <v>72.072061329668912</v>
      </c>
      <c r="AE409" s="57">
        <f t="shared" si="202"/>
        <v>-3.7513660328749734</v>
      </c>
      <c r="AF409" s="57">
        <f t="shared" si="203"/>
        <v>28.226497620183828</v>
      </c>
      <c r="AG409" s="57">
        <f t="shared" si="204"/>
        <v>14.964460771923783</v>
      </c>
      <c r="AH409" s="57">
        <f t="shared" si="205"/>
        <v>173.3342657373876</v>
      </c>
      <c r="AJ409" s="57">
        <f t="shared" si="206"/>
        <v>81340.766613229745</v>
      </c>
      <c r="AK409" s="57">
        <f t="shared" si="207"/>
        <v>78952.608298713894</v>
      </c>
      <c r="AL409" s="57">
        <f t="shared" si="208"/>
        <v>53462.572258976601</v>
      </c>
      <c r="AN409" s="41">
        <v>404</v>
      </c>
      <c r="AO409" s="57">
        <f t="shared" si="209"/>
        <v>10395.048502539885</v>
      </c>
      <c r="AP409" s="57">
        <f t="shared" si="210"/>
        <v>20209.93777844248</v>
      </c>
      <c r="AR409" s="41">
        <v>404</v>
      </c>
      <c r="AS409" s="57">
        <f t="shared" si="211"/>
        <v>17517.689301185281</v>
      </c>
      <c r="AT409" s="57">
        <f t="shared" si="212"/>
        <v>-2568.6957033935096</v>
      </c>
      <c r="AV409" s="57">
        <f t="shared" si="213"/>
        <v>40.764585543093411</v>
      </c>
      <c r="AW409" s="57">
        <f t="shared" si="214"/>
        <v>232.5064742440475</v>
      </c>
      <c r="AX409" s="57">
        <f t="shared" si="215"/>
        <v>13.903211004467702</v>
      </c>
      <c r="AY409" s="57">
        <f t="shared" si="216"/>
        <v>35.757452308855903</v>
      </c>
      <c r="BA409" s="57">
        <f t="shared" si="217"/>
        <v>84534.505462242654</v>
      </c>
      <c r="BB409" s="57">
        <f t="shared" si="218"/>
        <v>67878.380402538925</v>
      </c>
    </row>
    <row r="410" spans="9:54" x14ac:dyDescent="0.25">
      <c r="I410" s="41">
        <v>405</v>
      </c>
      <c r="J410" s="57">
        <f t="shared" si="192"/>
        <v>23535.533905932742</v>
      </c>
      <c r="K410" s="57">
        <f t="shared" si="193"/>
        <v>11035.533905932734</v>
      </c>
      <c r="M410" s="41">
        <v>405</v>
      </c>
      <c r="N410" s="57">
        <f t="shared" si="194"/>
        <v>-17525.126265847081</v>
      </c>
      <c r="O410" s="57">
        <f t="shared" si="195"/>
        <v>12474.873734152914</v>
      </c>
      <c r="Q410" s="41">
        <v>405</v>
      </c>
      <c r="R410" s="57">
        <f t="shared" si="196"/>
        <v>-1464.4660940672584</v>
      </c>
      <c r="S410" s="41">
        <f t="shared" si="197"/>
        <v>-11464.466094067266</v>
      </c>
      <c r="U410" s="41">
        <v>404</v>
      </c>
      <c r="V410" s="41">
        <f t="shared" si="219"/>
        <v>202</v>
      </c>
      <c r="W410" s="57">
        <f t="shared" si="220"/>
        <v>-9064.7907505296444</v>
      </c>
      <c r="X410" s="57">
        <f t="shared" si="221"/>
        <v>-64861.577378601112</v>
      </c>
      <c r="Y410" s="57">
        <f t="shared" si="222"/>
        <v>1090.8817081673733</v>
      </c>
      <c r="Z410" s="57">
        <f t="shared" si="223"/>
        <v>6941.2008080836513</v>
      </c>
      <c r="AA410" s="57">
        <f t="shared" si="198"/>
        <v>102.99908028383058</v>
      </c>
      <c r="AB410" s="57">
        <f t="shared" si="199"/>
        <v>596.21815200808885</v>
      </c>
      <c r="AC410" s="57">
        <f t="shared" si="200"/>
        <v>31.317128150027674</v>
      </c>
      <c r="AD410" s="57">
        <f t="shared" si="201"/>
        <v>77.969141816804537</v>
      </c>
      <c r="AE410" s="57">
        <f t="shared" si="202"/>
        <v>-4.4775059529882517</v>
      </c>
      <c r="AF410" s="57">
        <f t="shared" si="203"/>
        <v>30.652651514557178</v>
      </c>
      <c r="AG410" s="57">
        <f t="shared" si="204"/>
        <v>16.028791968395261</v>
      </c>
      <c r="AH410" s="57">
        <f t="shared" si="205"/>
        <v>196.62041666314587</v>
      </c>
      <c r="AJ410" s="57">
        <f t="shared" si="206"/>
        <v>77980.510014306463</v>
      </c>
      <c r="AK410" s="57">
        <f t="shared" si="207"/>
        <v>75656.027974920711</v>
      </c>
      <c r="AL410" s="57">
        <f t="shared" si="208"/>
        <v>50026.986942327618</v>
      </c>
      <c r="AN410" s="41">
        <v>405</v>
      </c>
      <c r="AO410" s="57">
        <f t="shared" si="209"/>
        <v>10303.300858899112</v>
      </c>
      <c r="AP410" s="57">
        <f t="shared" si="210"/>
        <v>20303.3008588991</v>
      </c>
      <c r="AR410" s="41">
        <v>405</v>
      </c>
      <c r="AS410" s="57">
        <f t="shared" si="211"/>
        <v>17474.873734152919</v>
      </c>
      <c r="AT410" s="57">
        <f t="shared" si="212"/>
        <v>-2525.1262658470864</v>
      </c>
      <c r="AV410" s="57">
        <f t="shared" si="213"/>
        <v>44.317598474604672</v>
      </c>
      <c r="AW410" s="57">
        <f t="shared" si="214"/>
        <v>251.64066658298029</v>
      </c>
      <c r="AX410" s="57">
        <f t="shared" si="215"/>
        <v>15.813067643791218</v>
      </c>
      <c r="AY410" s="57">
        <f t="shared" si="216"/>
        <v>39.335275430600937</v>
      </c>
      <c r="BA410" s="57">
        <f t="shared" si="217"/>
        <v>81090.627573440797</v>
      </c>
      <c r="BB410" s="57">
        <f t="shared" si="218"/>
        <v>64517.61464996227</v>
      </c>
    </row>
    <row r="411" spans="9:54" x14ac:dyDescent="0.25">
      <c r="I411" s="41">
        <v>406</v>
      </c>
      <c r="J411" s="57">
        <f t="shared" si="192"/>
        <v>23473.291852294988</v>
      </c>
      <c r="K411" s="57">
        <f t="shared" si="193"/>
        <v>11096.699001693254</v>
      </c>
      <c r="M411" s="41">
        <v>406</v>
      </c>
      <c r="N411" s="57">
        <f t="shared" si="194"/>
        <v>-17568.69570339351</v>
      </c>
      <c r="O411" s="57">
        <f t="shared" si="195"/>
        <v>12517.689301185277</v>
      </c>
      <c r="Q411" s="41">
        <v>406</v>
      </c>
      <c r="R411" s="57">
        <f t="shared" si="196"/>
        <v>-1526.7081477050119</v>
      </c>
      <c r="S411" s="41">
        <f t="shared" si="197"/>
        <v>-11403.300998306746</v>
      </c>
      <c r="U411" s="41">
        <v>405</v>
      </c>
      <c r="V411" s="41">
        <f t="shared" si="219"/>
        <v>202.5</v>
      </c>
      <c r="W411" s="57">
        <f t="shared" si="220"/>
        <v>-8506.4750114104791</v>
      </c>
      <c r="X411" s="57">
        <f t="shared" si="221"/>
        <v>-61316.449705558276</v>
      </c>
      <c r="Y411" s="57">
        <f t="shared" si="222"/>
        <v>1142.3812483092886</v>
      </c>
      <c r="Z411" s="57">
        <f t="shared" si="223"/>
        <v>7239.3098840876955</v>
      </c>
      <c r="AA411" s="57">
        <f t="shared" si="198"/>
        <v>113.61239433479059</v>
      </c>
      <c r="AB411" s="57">
        <f t="shared" si="199"/>
        <v>662.27122068660435</v>
      </c>
      <c r="AC411" s="57">
        <f t="shared" si="200"/>
        <v>35.161133678057404</v>
      </c>
      <c r="AD411" s="57">
        <f t="shared" si="201"/>
        <v>84.881220367580099</v>
      </c>
      <c r="AE411" s="57">
        <f t="shared" si="202"/>
        <v>-5.3998792760684919</v>
      </c>
      <c r="AF411" s="57">
        <f t="shared" si="203"/>
        <v>33.505840826912781</v>
      </c>
      <c r="AG411" s="57">
        <f t="shared" si="204"/>
        <v>17.116902210866868</v>
      </c>
      <c r="AH411" s="57">
        <f t="shared" si="205"/>
        <v>226.0943362735311</v>
      </c>
      <c r="AJ411" s="57">
        <f t="shared" si="206"/>
        <v>74487.065102968059</v>
      </c>
      <c r="AK411" s="57">
        <f t="shared" si="207"/>
        <v>72236.674309306036</v>
      </c>
      <c r="AL411" s="57">
        <f t="shared" si="208"/>
        <v>46448.992242385146</v>
      </c>
      <c r="AN411" s="41">
        <v>406</v>
      </c>
      <c r="AO411" s="57">
        <f t="shared" si="209"/>
        <v>10209.937778442483</v>
      </c>
      <c r="AP411" s="57">
        <f t="shared" si="210"/>
        <v>20395.048502539881</v>
      </c>
      <c r="AR411" s="41">
        <v>406</v>
      </c>
      <c r="AS411" s="57">
        <f t="shared" si="211"/>
        <v>17431.30429660649</v>
      </c>
      <c r="AT411" s="57">
        <f t="shared" si="212"/>
        <v>-2482.3106988147219</v>
      </c>
      <c r="AV411" s="57">
        <f t="shared" si="213"/>
        <v>48.519064046315705</v>
      </c>
      <c r="AW411" s="57">
        <f t="shared" si="214"/>
        <v>274.15019151356876</v>
      </c>
      <c r="AX411" s="57">
        <f t="shared" si="215"/>
        <v>18.215173675619109</v>
      </c>
      <c r="AY411" s="57">
        <f t="shared" si="216"/>
        <v>43.639631705011645</v>
      </c>
      <c r="BA411" s="57">
        <f t="shared" si="217"/>
        <v>77502.42165826085</v>
      </c>
      <c r="BB411" s="57">
        <f t="shared" si="218"/>
        <v>61025.378941066316</v>
      </c>
    </row>
    <row r="412" spans="9:54" x14ac:dyDescent="0.25">
      <c r="I412" s="41">
        <v>407</v>
      </c>
      <c r="J412" s="57">
        <f t="shared" si="192"/>
        <v>23409.991800312491</v>
      </c>
      <c r="K412" s="57">
        <f t="shared" si="193"/>
        <v>11156.768508095854</v>
      </c>
      <c r="M412" s="41">
        <v>407</v>
      </c>
      <c r="N412" s="57">
        <f t="shared" si="194"/>
        <v>-17613.005739781256</v>
      </c>
      <c r="O412" s="57">
        <f t="shared" si="195"/>
        <v>12559.737955667097</v>
      </c>
      <c r="Q412" s="41">
        <v>407</v>
      </c>
      <c r="R412" s="57">
        <f t="shared" si="196"/>
        <v>-1590.0081996875083</v>
      </c>
      <c r="S412" s="41">
        <f t="shared" si="197"/>
        <v>-11343.231491904146</v>
      </c>
      <c r="U412" s="41">
        <v>406</v>
      </c>
      <c r="V412" s="41">
        <f t="shared" si="219"/>
        <v>203</v>
      </c>
      <c r="W412" s="57">
        <f t="shared" si="220"/>
        <v>-7921.0828379639861</v>
      </c>
      <c r="X412" s="57">
        <f t="shared" si="221"/>
        <v>-57614.010860928604</v>
      </c>
      <c r="Y412" s="57">
        <f t="shared" si="222"/>
        <v>1199.1874454766839</v>
      </c>
      <c r="Z412" s="57">
        <f t="shared" si="223"/>
        <v>7570.4454944309973</v>
      </c>
      <c r="AA412" s="57">
        <f t="shared" si="198"/>
        <v>126.29201729959242</v>
      </c>
      <c r="AB412" s="57">
        <f t="shared" si="199"/>
        <v>744.1294639873804</v>
      </c>
      <c r="AC412" s="57">
        <f t="shared" si="200"/>
        <v>39.911640194117822</v>
      </c>
      <c r="AD412" s="57">
        <f t="shared" si="201"/>
        <v>93.076869122844101</v>
      </c>
      <c r="AE412" s="57">
        <f t="shared" si="202"/>
        <v>-6.5919495162680732</v>
      </c>
      <c r="AF412" s="57">
        <f t="shared" si="203"/>
        <v>36.899677364168149</v>
      </c>
      <c r="AG412" s="57">
        <f t="shared" si="204"/>
        <v>18.116326638917897</v>
      </c>
      <c r="AH412" s="57">
        <f t="shared" si="205"/>
        <v>264.28875282738403</v>
      </c>
      <c r="AJ412" s="57">
        <f t="shared" si="206"/>
        <v>70847.874189996524</v>
      </c>
      <c r="AK412" s="57">
        <f t="shared" si="207"/>
        <v>68684.457517760879</v>
      </c>
      <c r="AL412" s="57">
        <f t="shared" si="208"/>
        <v>42714.009956940223</v>
      </c>
      <c r="AN412" s="41">
        <v>407</v>
      </c>
      <c r="AO412" s="57">
        <f t="shared" si="209"/>
        <v>10114.987700468737</v>
      </c>
      <c r="AP412" s="57">
        <f t="shared" si="210"/>
        <v>20485.152762143778</v>
      </c>
      <c r="AR412" s="41">
        <v>407</v>
      </c>
      <c r="AS412" s="57">
        <f t="shared" si="211"/>
        <v>17386.994260218744</v>
      </c>
      <c r="AT412" s="57">
        <f t="shared" si="212"/>
        <v>-2440.2620443329024</v>
      </c>
      <c r="AV412" s="57">
        <f t="shared" si="213"/>
        <v>53.555035102011153</v>
      </c>
      <c r="AW412" s="57">
        <f t="shared" si="214"/>
        <v>300.96904023623051</v>
      </c>
      <c r="AX412" s="57">
        <f t="shared" si="215"/>
        <v>21.300964880813627</v>
      </c>
      <c r="AY412" s="57">
        <f t="shared" si="216"/>
        <v>48.895124436753626</v>
      </c>
      <c r="BA412" s="57">
        <f t="shared" si="217"/>
        <v>73754.653785483824</v>
      </c>
      <c r="BB412" s="57">
        <f t="shared" si="218"/>
        <v>57389.983249158729</v>
      </c>
    </row>
    <row r="413" spans="9:54" x14ac:dyDescent="0.25">
      <c r="I413" s="41">
        <v>408</v>
      </c>
      <c r="J413" s="57">
        <f t="shared" si="192"/>
        <v>23345.653031794296</v>
      </c>
      <c r="K413" s="57">
        <f t="shared" si="193"/>
        <v>11215.724127386969</v>
      </c>
      <c r="M413" s="41">
        <v>408</v>
      </c>
      <c r="N413" s="57">
        <f t="shared" si="194"/>
        <v>-17658.042877743996</v>
      </c>
      <c r="O413" s="57">
        <f t="shared" si="195"/>
        <v>12601.006889170878</v>
      </c>
      <c r="Q413" s="41">
        <v>408</v>
      </c>
      <c r="R413" s="57">
        <f t="shared" si="196"/>
        <v>-1654.3469682057057</v>
      </c>
      <c r="S413" s="41">
        <f t="shared" si="197"/>
        <v>-11284.275872613031</v>
      </c>
      <c r="U413" s="41">
        <v>407</v>
      </c>
      <c r="V413" s="41">
        <f t="shared" si="219"/>
        <v>203.5</v>
      </c>
      <c r="W413" s="57">
        <f t="shared" si="220"/>
        <v>-7305.7026130631948</v>
      </c>
      <c r="X413" s="57">
        <f t="shared" si="221"/>
        <v>-53735.771930714684</v>
      </c>
      <c r="Y413" s="57">
        <f t="shared" si="222"/>
        <v>1262.3334541264801</v>
      </c>
      <c r="Z413" s="57">
        <f t="shared" si="223"/>
        <v>7942.5102264246871</v>
      </c>
      <c r="AA413" s="57">
        <f t="shared" si="198"/>
        <v>141.54730476802621</v>
      </c>
      <c r="AB413" s="57">
        <f t="shared" si="199"/>
        <v>847.93441027657047</v>
      </c>
      <c r="AC413" s="57">
        <f t="shared" si="200"/>
        <v>45.894854668672409</v>
      </c>
      <c r="AD413" s="57">
        <f t="shared" si="201"/>
        <v>102.92380654360477</v>
      </c>
      <c r="AE413" s="57">
        <f t="shared" si="202"/>
        <v>-8.1638401938018248</v>
      </c>
      <c r="AF413" s="57">
        <f t="shared" si="203"/>
        <v>40.989165513516653</v>
      </c>
      <c r="AG413" s="57">
        <f t="shared" si="204"/>
        <v>18.761793507350024</v>
      </c>
      <c r="AH413" s="57">
        <f t="shared" si="205"/>
        <v>315.19787078974667</v>
      </c>
      <c r="AJ413" s="57">
        <f t="shared" si="206"/>
        <v>67047.901974212073</v>
      </c>
      <c r="AK413" s="57">
        <f t="shared" si="207"/>
        <v>64987.643515918229</v>
      </c>
      <c r="AL413" s="57">
        <f t="shared" si="208"/>
        <v>38804.333412754691</v>
      </c>
      <c r="AN413" s="41">
        <v>408</v>
      </c>
      <c r="AO413" s="57">
        <f t="shared" si="209"/>
        <v>10018.479547691441</v>
      </c>
      <c r="AP413" s="57">
        <f t="shared" si="210"/>
        <v>20573.586191080452</v>
      </c>
      <c r="AR413" s="41">
        <v>408</v>
      </c>
      <c r="AS413" s="57">
        <f t="shared" si="211"/>
        <v>17341.957122256004</v>
      </c>
      <c r="AT413" s="57">
        <f t="shared" si="212"/>
        <v>-2398.9931108291221</v>
      </c>
      <c r="AV413" s="57">
        <f t="shared" si="213"/>
        <v>59.688566367525688</v>
      </c>
      <c r="AW413" s="57">
        <f t="shared" si="214"/>
        <v>333.40149796520234</v>
      </c>
      <c r="AX413" s="57">
        <f t="shared" si="215"/>
        <v>25.365930418279909</v>
      </c>
      <c r="AY413" s="57">
        <f t="shared" si="216"/>
        <v>55.422069464500012</v>
      </c>
      <c r="BA413" s="57">
        <f t="shared" si="217"/>
        <v>69828.623498622503</v>
      </c>
      <c r="BB413" s="57">
        <f t="shared" si="218"/>
        <v>53597.759605650041</v>
      </c>
    </row>
    <row r="414" spans="9:54" x14ac:dyDescent="0.25">
      <c r="I414" s="41">
        <v>409</v>
      </c>
      <c r="J414" s="57">
        <f t="shared" si="192"/>
        <v>23280.295144952535</v>
      </c>
      <c r="K414" s="57">
        <f t="shared" si="193"/>
        <v>11273.54790111386</v>
      </c>
      <c r="M414" s="41">
        <v>409</v>
      </c>
      <c r="N414" s="57">
        <f t="shared" si="194"/>
        <v>-17703.793398533224</v>
      </c>
      <c r="O414" s="57">
        <f t="shared" si="195"/>
        <v>12641.483530779702</v>
      </c>
      <c r="Q414" s="41">
        <v>409</v>
      </c>
      <c r="R414" s="57">
        <f t="shared" si="196"/>
        <v>-1719.7048550474628</v>
      </c>
      <c r="S414" s="41">
        <f t="shared" si="197"/>
        <v>-11226.45209888614</v>
      </c>
      <c r="U414" s="41">
        <v>408</v>
      </c>
      <c r="V414" s="41">
        <f t="shared" si="219"/>
        <v>204</v>
      </c>
      <c r="W414" s="57">
        <f t="shared" si="220"/>
        <v>-6656.8424729039516</v>
      </c>
      <c r="X414" s="57">
        <f t="shared" si="221"/>
        <v>-49658.525016217769</v>
      </c>
      <c r="Y414" s="57">
        <f t="shared" si="222"/>
        <v>1333.1071065104932</v>
      </c>
      <c r="Z414" s="57">
        <f t="shared" si="223"/>
        <v>8366.4774315629729</v>
      </c>
      <c r="AA414" s="57">
        <f t="shared" si="198"/>
        <v>159.92984164532967</v>
      </c>
      <c r="AB414" s="57">
        <f t="shared" si="199"/>
        <v>983.33912515581846</v>
      </c>
      <c r="AC414" s="57">
        <f t="shared" si="200"/>
        <v>53.602733832460657</v>
      </c>
      <c r="AD414" s="57">
        <f t="shared" si="201"/>
        <v>114.93683866777168</v>
      </c>
      <c r="AE414" s="57">
        <f t="shared" si="202"/>
        <v>-10.286072071407686</v>
      </c>
      <c r="AF414" s="57">
        <f t="shared" si="203"/>
        <v>45.990005494917291</v>
      </c>
      <c r="AG414" s="57">
        <f t="shared" si="204"/>
        <v>18.42401146592595</v>
      </c>
      <c r="AH414" s="57">
        <f t="shared" si="205"/>
        <v>385.40119096035193</v>
      </c>
      <c r="AJ414" s="57">
        <f t="shared" si="206"/>
        <v>63068.884821715445</v>
      </c>
      <c r="AK414" s="57">
        <f t="shared" si="207"/>
        <v>61132.474675115038</v>
      </c>
      <c r="AL414" s="57">
        <f t="shared" si="208"/>
        <v>34698.104894645345</v>
      </c>
      <c r="AN414" s="41">
        <v>409</v>
      </c>
      <c r="AO414" s="57">
        <f t="shared" si="209"/>
        <v>9920.4427174288066</v>
      </c>
      <c r="AP414" s="57">
        <f t="shared" si="210"/>
        <v>20660.321851670789</v>
      </c>
      <c r="AR414" s="41">
        <v>409</v>
      </c>
      <c r="AS414" s="57">
        <f t="shared" si="211"/>
        <v>17296.206601466776</v>
      </c>
      <c r="AT414" s="57">
        <f t="shared" si="212"/>
        <v>-2358.5164692202984</v>
      </c>
      <c r="AV414" s="57">
        <f t="shared" si="213"/>
        <v>67.303713162195535</v>
      </c>
      <c r="AW414" s="57">
        <f t="shared" si="214"/>
        <v>373.3222638375463</v>
      </c>
      <c r="AX414" s="57">
        <f t="shared" si="215"/>
        <v>30.885455256155218</v>
      </c>
      <c r="AY414" s="57">
        <f t="shared" si="216"/>
        <v>63.688826195231286</v>
      </c>
      <c r="BA414" s="57">
        <f t="shared" si="217"/>
        <v>65700.889139424558</v>
      </c>
      <c r="BB414" s="57">
        <f t="shared" si="218"/>
        <v>49632.677567509134</v>
      </c>
    </row>
    <row r="415" spans="9:54" x14ac:dyDescent="0.25">
      <c r="I415" s="41">
        <v>410</v>
      </c>
      <c r="J415" s="57">
        <f t="shared" si="192"/>
        <v>23213.938048432698</v>
      </c>
      <c r="K415" s="57">
        <f t="shared" si="193"/>
        <v>11330.222215594889</v>
      </c>
      <c r="M415" s="41">
        <v>410</v>
      </c>
      <c r="N415" s="57">
        <f t="shared" si="194"/>
        <v>-17750.243366097111</v>
      </c>
      <c r="O415" s="57">
        <f t="shared" si="195"/>
        <v>12681.155550916423</v>
      </c>
      <c r="Q415" s="41">
        <v>410</v>
      </c>
      <c r="R415" s="57">
        <f t="shared" si="196"/>
        <v>-1786.061951567302</v>
      </c>
      <c r="S415" s="41">
        <f t="shared" si="197"/>
        <v>-11169.777784405111</v>
      </c>
      <c r="U415" s="41">
        <v>409</v>
      </c>
      <c r="V415" s="41">
        <f t="shared" si="219"/>
        <v>204.5</v>
      </c>
      <c r="W415" s="57">
        <f t="shared" si="220"/>
        <v>-5970.2976894430385</v>
      </c>
      <c r="X415" s="57">
        <f t="shared" si="221"/>
        <v>-45352.368909791803</v>
      </c>
      <c r="Y415" s="57">
        <f t="shared" si="222"/>
        <v>1413.0720273331581</v>
      </c>
      <c r="Z415" s="57">
        <f t="shared" si="223"/>
        <v>8858.1469941408814</v>
      </c>
      <c r="AA415" s="57">
        <f t="shared" si="198"/>
        <v>181.76596317593012</v>
      </c>
      <c r="AB415" s="57">
        <f t="shared" si="199"/>
        <v>1166.2564365007527</v>
      </c>
      <c r="AC415" s="57">
        <f t="shared" si="200"/>
        <v>63.80716596725069</v>
      </c>
      <c r="AD415" s="57">
        <f t="shared" si="201"/>
        <v>129.85449435800325</v>
      </c>
      <c r="AE415" s="57">
        <f t="shared" si="202"/>
        <v>-13.232894502285948</v>
      </c>
      <c r="AF415" s="57">
        <f t="shared" si="203"/>
        <v>52.208667156374567</v>
      </c>
      <c r="AG415" s="57">
        <f t="shared" si="204"/>
        <v>15.545147563750167</v>
      </c>
      <c r="AH415" s="57">
        <f t="shared" si="205"/>
        <v>486.27556135162308</v>
      </c>
      <c r="AJ415" s="57">
        <f t="shared" si="206"/>
        <v>58888.277793250309</v>
      </c>
      <c r="AK415" s="57">
        <f t="shared" si="207"/>
        <v>57102.690749635723</v>
      </c>
      <c r="AL415" s="57">
        <f t="shared" si="208"/>
        <v>30367.874078411129</v>
      </c>
      <c r="AN415" s="41">
        <v>410</v>
      </c>
      <c r="AO415" s="57">
        <f t="shared" si="209"/>
        <v>9820.9070726490463</v>
      </c>
      <c r="AP415" s="57">
        <f t="shared" si="210"/>
        <v>20745.333323392333</v>
      </c>
      <c r="AR415" s="41">
        <v>410</v>
      </c>
      <c r="AS415" s="57">
        <f t="shared" si="211"/>
        <v>17249.756633902889</v>
      </c>
      <c r="AT415" s="57">
        <f t="shared" si="212"/>
        <v>-2318.8444490835777</v>
      </c>
      <c r="AV415" s="57">
        <f t="shared" si="213"/>
        <v>76.983556109298974</v>
      </c>
      <c r="AW415" s="57">
        <f t="shared" si="214"/>
        <v>423.51995450106625</v>
      </c>
      <c r="AX415" s="57">
        <f t="shared" si="215"/>
        <v>38.66298803791625</v>
      </c>
      <c r="AY415" s="57">
        <f t="shared" si="216"/>
        <v>74.397759133685469</v>
      </c>
      <c r="BA415" s="57">
        <f t="shared" si="217"/>
        <v>61341.306347506194</v>
      </c>
      <c r="BB415" s="57">
        <f t="shared" si="218"/>
        <v>45476.005341452234</v>
      </c>
    </row>
    <row r="416" spans="9:54" x14ac:dyDescent="0.25">
      <c r="I416" s="41">
        <v>411</v>
      </c>
      <c r="J416" s="57">
        <f t="shared" si="192"/>
        <v>23146.601955249185</v>
      </c>
      <c r="K416" s="57">
        <f t="shared" si="193"/>
        <v>11385.729807284855</v>
      </c>
      <c r="M416" s="41">
        <v>411</v>
      </c>
      <c r="N416" s="57">
        <f t="shared" si="194"/>
        <v>-17797.37863132557</v>
      </c>
      <c r="O416" s="57">
        <f t="shared" si="195"/>
        <v>12720.010865099399</v>
      </c>
      <c r="Q416" s="41">
        <v>411</v>
      </c>
      <c r="R416" s="57">
        <f t="shared" si="196"/>
        <v>-1853.3980447508143</v>
      </c>
      <c r="S416" s="41">
        <f t="shared" si="197"/>
        <v>-11114.270192715145</v>
      </c>
      <c r="U416" s="41">
        <v>410</v>
      </c>
      <c r="V416" s="41">
        <f t="shared" si="219"/>
        <v>205</v>
      </c>
      <c r="W416" s="57">
        <f t="shared" si="220"/>
        <v>-5241.0409303794677</v>
      </c>
      <c r="X416" s="57">
        <f t="shared" si="221"/>
        <v>-40777.513358158765</v>
      </c>
      <c r="Y416" s="57">
        <f t="shared" si="222"/>
        <v>1503.9550089211232</v>
      </c>
      <c r="Z416" s="57">
        <f t="shared" si="223"/>
        <v>9441.2752123912578</v>
      </c>
      <c r="AA416" s="57">
        <f t="shared" si="198"/>
        <v>206.07997517257616</v>
      </c>
      <c r="AB416" s="57">
        <f t="shared" si="199"/>
        <v>1424.26622208043</v>
      </c>
      <c r="AC416" s="57">
        <f t="shared" si="200"/>
        <v>77.778449061308862</v>
      </c>
      <c r="AD416" s="57">
        <f t="shared" si="201"/>
        <v>148.76367911653156</v>
      </c>
      <c r="AE416" s="57">
        <f t="shared" si="202"/>
        <v>-17.465588493474076</v>
      </c>
      <c r="AF416" s="57">
        <f t="shared" si="203"/>
        <v>60.089546210679075</v>
      </c>
      <c r="AG416" s="57">
        <f t="shared" si="204"/>
        <v>5.9702229720632767</v>
      </c>
      <c r="AH416" s="57">
        <f t="shared" si="205"/>
        <v>638.47041318363881</v>
      </c>
      <c r="AJ416" s="57">
        <f t="shared" si="206"/>
        <v>54477.779353570288</v>
      </c>
      <c r="AK416" s="57">
        <f t="shared" si="207"/>
        <v>52878.944161705098</v>
      </c>
      <c r="AL416" s="57">
        <f t="shared" si="208"/>
        <v>25778.640298901952</v>
      </c>
      <c r="AN416" s="41">
        <v>411</v>
      </c>
      <c r="AO416" s="57">
        <f t="shared" si="209"/>
        <v>9719.9029328737779</v>
      </c>
      <c r="AP416" s="57">
        <f t="shared" si="210"/>
        <v>20828.594710927282</v>
      </c>
      <c r="AR416" s="41">
        <v>411</v>
      </c>
      <c r="AS416" s="57">
        <f t="shared" si="211"/>
        <v>17202.62136867443</v>
      </c>
      <c r="AT416" s="57">
        <f t="shared" si="212"/>
        <v>-2279.9891349006011</v>
      </c>
      <c r="AV416" s="57">
        <f t="shared" si="213"/>
        <v>89.657704448300635</v>
      </c>
      <c r="AW416" s="57">
        <f t="shared" si="214"/>
        <v>488.31792017275319</v>
      </c>
      <c r="AX416" s="57">
        <f t="shared" si="215"/>
        <v>50.139187184377441</v>
      </c>
      <c r="AY416" s="57">
        <f t="shared" si="216"/>
        <v>88.62466339682743</v>
      </c>
      <c r="BA416" s="57">
        <f t="shared" si="217"/>
        <v>56709.874940413043</v>
      </c>
      <c r="BB416" s="57">
        <f t="shared" si="218"/>
        <v>41106.327980476744</v>
      </c>
    </row>
    <row r="417" spans="9:54" x14ac:dyDescent="0.25">
      <c r="I417" s="41">
        <v>412</v>
      </c>
      <c r="J417" s="57">
        <f t="shared" si="192"/>
        <v>23078.307376628294</v>
      </c>
      <c r="K417" s="57">
        <f t="shared" si="193"/>
        <v>11440.053768033607</v>
      </c>
      <c r="M417" s="41">
        <v>412</v>
      </c>
      <c r="N417" s="57">
        <f t="shared" si="194"/>
        <v>-17845.184836360193</v>
      </c>
      <c r="O417" s="57">
        <f t="shared" si="195"/>
        <v>12758.037637623525</v>
      </c>
      <c r="Q417" s="41">
        <v>412</v>
      </c>
      <c r="R417" s="57">
        <f t="shared" si="196"/>
        <v>-1921.6926233717058</v>
      </c>
      <c r="S417" s="41">
        <f t="shared" si="197"/>
        <v>-11059.946231966393</v>
      </c>
      <c r="U417" s="41">
        <v>411</v>
      </c>
      <c r="V417" s="41">
        <f t="shared" si="219"/>
        <v>205.5</v>
      </c>
      <c r="W417" s="57">
        <f t="shared" si="220"/>
        <v>-4463.3034290223341</v>
      </c>
      <c r="X417" s="57">
        <f t="shared" si="221"/>
        <v>-35878.842474203077</v>
      </c>
      <c r="Y417" s="57">
        <f t="shared" si="222"/>
        <v>1606.9949965074113</v>
      </c>
      <c r="Z417" s="57">
        <f t="shared" si="223"/>
        <v>10153.408323431473</v>
      </c>
      <c r="AA417" s="57">
        <f t="shared" si="198"/>
        <v>226.29038009880188</v>
      </c>
      <c r="AB417" s="57">
        <f t="shared" si="199"/>
        <v>1806.8131966575668</v>
      </c>
      <c r="AC417" s="57">
        <f t="shared" si="200"/>
        <v>97.732594323866692</v>
      </c>
      <c r="AD417" s="57">
        <f t="shared" si="201"/>
        <v>173.30148506193132</v>
      </c>
      <c r="AE417" s="57">
        <f t="shared" si="202"/>
        <v>-23.802535132410899</v>
      </c>
      <c r="AF417" s="57">
        <f t="shared" si="203"/>
        <v>70.287319755376188</v>
      </c>
      <c r="AG417" s="57">
        <f t="shared" si="204"/>
        <v>-22.631851799687805</v>
      </c>
      <c r="AH417" s="57">
        <f t="shared" si="205"/>
        <v>880.43578844638228</v>
      </c>
      <c r="AJ417" s="57">
        <f t="shared" si="206"/>
        <v>49801.377381174316</v>
      </c>
      <c r="AK417" s="57">
        <f t="shared" si="207"/>
        <v>48438.178404140774</v>
      </c>
      <c r="AL417" s="57">
        <f t="shared" si="208"/>
        <v>20885.739303933813</v>
      </c>
      <c r="AN417" s="41">
        <v>412</v>
      </c>
      <c r="AO417" s="57">
        <f t="shared" si="209"/>
        <v>9617.4610649424412</v>
      </c>
      <c r="AP417" s="57">
        <f t="shared" si="210"/>
        <v>20910.080652050412</v>
      </c>
      <c r="AR417" s="41">
        <v>412</v>
      </c>
      <c r="AS417" s="57">
        <f t="shared" si="211"/>
        <v>17154.815163639807</v>
      </c>
      <c r="AT417" s="57">
        <f t="shared" si="212"/>
        <v>-2241.9623623764751</v>
      </c>
      <c r="AV417" s="57">
        <f t="shared" si="213"/>
        <v>106.90482968121353</v>
      </c>
      <c r="AW417" s="57">
        <f t="shared" si="214"/>
        <v>574.76694368701055</v>
      </c>
      <c r="AX417" s="57">
        <f t="shared" si="215"/>
        <v>68.08734302582036</v>
      </c>
      <c r="AY417" s="57">
        <f t="shared" si="216"/>
        <v>108.0216597068664</v>
      </c>
      <c r="BA417" s="57">
        <f t="shared" si="217"/>
        <v>51751.432089407121</v>
      </c>
      <c r="BB417" s="57">
        <f t="shared" si="218"/>
        <v>36501.001259100281</v>
      </c>
    </row>
    <row r="418" spans="9:54" x14ac:dyDescent="0.25">
      <c r="I418" s="41">
        <v>413</v>
      </c>
      <c r="J418" s="57">
        <f t="shared" si="192"/>
        <v>23009.075115760243</v>
      </c>
      <c r="K418" s="57">
        <f t="shared" si="193"/>
        <v>11493.177550236464</v>
      </c>
      <c r="M418" s="41">
        <v>413</v>
      </c>
      <c r="N418" s="57">
        <f t="shared" si="194"/>
        <v>-17893.64741896783</v>
      </c>
      <c r="O418" s="57">
        <f t="shared" si="195"/>
        <v>12795.224285165525</v>
      </c>
      <c r="Q418" s="41">
        <v>413</v>
      </c>
      <c r="R418" s="57">
        <f t="shared" si="196"/>
        <v>-1990.9248842397583</v>
      </c>
      <c r="S418" s="41">
        <f t="shared" si="197"/>
        <v>-11006.822449763536</v>
      </c>
      <c r="U418" s="41">
        <v>412</v>
      </c>
      <c r="V418" s="41">
        <f t="shared" si="219"/>
        <v>206</v>
      </c>
      <c r="W418" s="57">
        <f t="shared" si="220"/>
        <v>-3631.5196332562782</v>
      </c>
      <c r="X418" s="57">
        <f t="shared" si="221"/>
        <v>-30576.286662905142</v>
      </c>
      <c r="Y418" s="57">
        <f t="shared" si="222"/>
        <v>1720.1401865568123</v>
      </c>
      <c r="Z418" s="57">
        <f t="shared" si="223"/>
        <v>11056.814921760257</v>
      </c>
      <c r="AA418" s="57">
        <f t="shared" si="198"/>
        <v>211.91715167878172</v>
      </c>
      <c r="AB418" s="57">
        <f t="shared" si="199"/>
        <v>2395.3036527038967</v>
      </c>
      <c r="AC418" s="57">
        <f t="shared" si="200"/>
        <v>127.82222999596152</v>
      </c>
      <c r="AD418" s="57">
        <f t="shared" si="201"/>
        <v>205.95357161749237</v>
      </c>
      <c r="AE418" s="57">
        <f t="shared" si="202"/>
        <v>-33.790955294426475</v>
      </c>
      <c r="AF418" s="57">
        <f t="shared" si="203"/>
        <v>83.765350107013276</v>
      </c>
      <c r="AG418" s="57">
        <f t="shared" si="204"/>
        <v>-112.06390451525023</v>
      </c>
      <c r="AH418" s="57">
        <f t="shared" si="205"/>
        <v>1275.5312708266704</v>
      </c>
      <c r="AJ418" s="57">
        <f t="shared" si="206"/>
        <v>44813.528383878736</v>
      </c>
      <c r="AK418" s="57">
        <f t="shared" si="207"/>
        <v>43753.424881564744</v>
      </c>
      <c r="AL418" s="57">
        <f t="shared" si="208"/>
        <v>15636.286154939722</v>
      </c>
      <c r="AN418" s="41">
        <v>413</v>
      </c>
      <c r="AO418" s="57">
        <f t="shared" si="209"/>
        <v>9513.6126736403639</v>
      </c>
      <c r="AP418" s="57">
        <f t="shared" si="210"/>
        <v>20989.766325354696</v>
      </c>
      <c r="AR418" s="41">
        <v>413</v>
      </c>
      <c r="AS418" s="57">
        <f t="shared" si="211"/>
        <v>17106.35258103217</v>
      </c>
      <c r="AT418" s="57">
        <f t="shared" si="212"/>
        <v>-2204.7757148344749</v>
      </c>
      <c r="AV418" s="57">
        <f t="shared" si="213"/>
        <v>131.64301752647188</v>
      </c>
      <c r="AW418" s="57">
        <f t="shared" si="214"/>
        <v>695.10354594337844</v>
      </c>
      <c r="AX418" s="57">
        <f t="shared" si="215"/>
        <v>98.306763966025031</v>
      </c>
      <c r="AY418" s="57">
        <f t="shared" si="216"/>
        <v>134.94991420934224</v>
      </c>
      <c r="BA418" s="57">
        <f t="shared" si="217"/>
        <v>46386.431606220729</v>
      </c>
      <c r="BB418" s="57">
        <f t="shared" si="218"/>
        <v>31643.008126717559</v>
      </c>
    </row>
    <row r="419" spans="9:54" x14ac:dyDescent="0.25">
      <c r="I419" s="41">
        <v>414</v>
      </c>
      <c r="J419" s="57">
        <f t="shared" si="192"/>
        <v>22938.926261462369</v>
      </c>
      <c r="K419" s="57">
        <f t="shared" si="193"/>
        <v>11545.084971874734</v>
      </c>
      <c r="M419" s="41">
        <v>414</v>
      </c>
      <c r="N419" s="57">
        <f t="shared" si="194"/>
        <v>-17942.75161697634</v>
      </c>
      <c r="O419" s="57">
        <f t="shared" si="195"/>
        <v>12831.559480312313</v>
      </c>
      <c r="Q419" s="41">
        <v>414</v>
      </c>
      <c r="R419" s="57">
        <f t="shared" si="196"/>
        <v>-2061.0737385376297</v>
      </c>
      <c r="S419" s="41">
        <f t="shared" si="197"/>
        <v>-10954.915028125266</v>
      </c>
      <c r="U419" s="41">
        <v>413</v>
      </c>
      <c r="V419" s="41">
        <f t="shared" si="219"/>
        <v>206.5</v>
      </c>
      <c r="W419" s="57">
        <f t="shared" si="220"/>
        <v>-2744.9598960180242</v>
      </c>
      <c r="X419" s="57">
        <f t="shared" si="221"/>
        <v>-24748.466245437026</v>
      </c>
      <c r="Y419" s="57">
        <f t="shared" si="222"/>
        <v>1826.0987623962033</v>
      </c>
      <c r="Z419" s="57">
        <f t="shared" si="223"/>
        <v>12254.466748112205</v>
      </c>
      <c r="AA419" s="57">
        <f t="shared" si="198"/>
        <v>32.75628816554169</v>
      </c>
      <c r="AB419" s="57">
        <f t="shared" si="199"/>
        <v>3198.678364409368</v>
      </c>
      <c r="AC419" s="57">
        <f t="shared" si="200"/>
        <v>176.51571228315831</v>
      </c>
      <c r="AD419" s="57">
        <f t="shared" si="201"/>
        <v>250.26911524030737</v>
      </c>
      <c r="AE419" s="57">
        <f t="shared" si="202"/>
        <v>-50.5768269499846</v>
      </c>
      <c r="AF419" s="57">
        <f t="shared" si="203"/>
        <v>101.85239521218357</v>
      </c>
      <c r="AG419" s="57">
        <f t="shared" si="204"/>
        <v>-417.08475145699367</v>
      </c>
      <c r="AH419" s="57">
        <f t="shared" si="205"/>
        <v>1803.0440407180863</v>
      </c>
      <c r="AJ419" s="57">
        <f t="shared" si="206"/>
        <v>39462.599709782924</v>
      </c>
      <c r="AK419" s="57">
        <f t="shared" si="207"/>
        <v>38796.808056853115</v>
      </c>
      <c r="AL419" s="57">
        <f t="shared" si="208"/>
        <v>10005.888266865271</v>
      </c>
      <c r="AN419" s="41">
        <v>414</v>
      </c>
      <c r="AO419" s="57">
        <f t="shared" si="209"/>
        <v>9408.389392193556</v>
      </c>
      <c r="AP419" s="57">
        <f t="shared" si="210"/>
        <v>21067.627457812101</v>
      </c>
      <c r="AR419" s="41">
        <v>414</v>
      </c>
      <c r="AS419" s="57">
        <f t="shared" si="211"/>
        <v>17057.24838302366</v>
      </c>
      <c r="AT419" s="57">
        <f t="shared" si="212"/>
        <v>-2168.4405196876864</v>
      </c>
      <c r="AV419" s="57">
        <f t="shared" si="213"/>
        <v>169.94153081752964</v>
      </c>
      <c r="AW419" s="57">
        <f t="shared" si="214"/>
        <v>872.16916447449</v>
      </c>
      <c r="AX419" s="57">
        <f t="shared" si="215"/>
        <v>153.96062347183198</v>
      </c>
      <c r="AY419" s="57">
        <f t="shared" si="216"/>
        <v>171.3436487643007</v>
      </c>
      <c r="BA419" s="57">
        <f t="shared" si="217"/>
        <v>40495.987117930272</v>
      </c>
      <c r="BB419" s="57">
        <f t="shared" si="218"/>
        <v>26549.680238346631</v>
      </c>
    </row>
    <row r="420" spans="9:54" x14ac:dyDescent="0.25">
      <c r="I420" s="41">
        <v>415</v>
      </c>
      <c r="J420" s="57">
        <f t="shared" si="192"/>
        <v>22867.882181755231</v>
      </c>
      <c r="K420" s="57">
        <f t="shared" si="193"/>
        <v>11595.760221444958</v>
      </c>
      <c r="M420" s="41">
        <v>415</v>
      </c>
      <c r="N420" s="57">
        <f t="shared" si="194"/>
        <v>-17992.482472771339</v>
      </c>
      <c r="O420" s="57">
        <f t="shared" si="195"/>
        <v>12867.03215501147</v>
      </c>
      <c r="Q420" s="41">
        <v>415</v>
      </c>
      <c r="R420" s="57">
        <f t="shared" si="196"/>
        <v>-2132.1178182447675</v>
      </c>
      <c r="S420" s="41">
        <f t="shared" si="197"/>
        <v>-10904.239778555042</v>
      </c>
      <c r="U420" s="41">
        <v>414</v>
      </c>
      <c r="V420" s="41">
        <f t="shared" si="219"/>
        <v>207</v>
      </c>
      <c r="W420" s="57">
        <f t="shared" si="220"/>
        <v>-1827.8159787992299</v>
      </c>
      <c r="X420" s="57">
        <f t="shared" si="221"/>
        <v>-18221.398075829755</v>
      </c>
      <c r="Y420" s="57">
        <f t="shared" si="222"/>
        <v>1842.4769064789741</v>
      </c>
      <c r="Z420" s="57">
        <f t="shared" si="223"/>
        <v>13853.805930316888</v>
      </c>
      <c r="AA420" s="57">
        <f t="shared" si="198"/>
        <v>-573.88133218814687</v>
      </c>
      <c r="AB420" s="57">
        <f t="shared" si="199"/>
        <v>3070.08231464254</v>
      </c>
      <c r="AC420" s="57">
        <f t="shared" si="200"/>
        <v>262.36436950647573</v>
      </c>
      <c r="AD420" s="57">
        <f t="shared" si="201"/>
        <v>309.16415987493531</v>
      </c>
      <c r="AE420" s="57">
        <f t="shared" si="202"/>
        <v>-80.959649870985174</v>
      </c>
      <c r="AF420" s="57">
        <f t="shared" si="203"/>
        <v>125.73031972509698</v>
      </c>
      <c r="AG420" s="57">
        <f t="shared" si="204"/>
        <v>-1256.6085950060105</v>
      </c>
      <c r="AH420" s="57">
        <f t="shared" si="205"/>
        <v>1276.1039343774221</v>
      </c>
      <c r="AJ420" s="57">
        <f t="shared" si="206"/>
        <v>33734.905800663226</v>
      </c>
      <c r="AK420" s="57">
        <f t="shared" si="207"/>
        <v>33565.988462353256</v>
      </c>
      <c r="AL420" s="57">
        <f t="shared" si="208"/>
        <v>4521.0791883488546</v>
      </c>
      <c r="AN420" s="41">
        <v>415</v>
      </c>
      <c r="AO420" s="57">
        <f t="shared" si="209"/>
        <v>9301.8232726328497</v>
      </c>
      <c r="AP420" s="57">
        <f t="shared" si="210"/>
        <v>21143.640332167437</v>
      </c>
      <c r="AR420" s="41">
        <v>415</v>
      </c>
      <c r="AS420" s="57">
        <f t="shared" si="211"/>
        <v>17007.517527228661</v>
      </c>
      <c r="AT420" s="57">
        <f t="shared" si="212"/>
        <v>-2132.96784498853</v>
      </c>
      <c r="AV420" s="57">
        <f t="shared" si="213"/>
        <v>236.57418088729023</v>
      </c>
      <c r="AW420" s="57">
        <f t="shared" si="214"/>
        <v>1151.0745254593403</v>
      </c>
      <c r="AX420" s="57">
        <f t="shared" si="215"/>
        <v>264.74836229508293</v>
      </c>
      <c r="AY420" s="57">
        <f t="shared" si="216"/>
        <v>208.00937520574547</v>
      </c>
      <c r="BA420" s="57">
        <f t="shared" si="217"/>
        <v>33915.783363400165</v>
      </c>
      <c r="BB420" s="57">
        <f t="shared" si="218"/>
        <v>21400.484987398893</v>
      </c>
    </row>
    <row r="421" spans="9:54" x14ac:dyDescent="0.25">
      <c r="I421" s="41">
        <v>416</v>
      </c>
      <c r="J421" s="57">
        <f t="shared" si="192"/>
        <v>22795.964517353732</v>
      </c>
      <c r="K421" s="57">
        <f t="shared" si="193"/>
        <v>11645.187862775208</v>
      </c>
      <c r="M421" s="41">
        <v>416</v>
      </c>
      <c r="N421" s="57">
        <f t="shared" si="194"/>
        <v>-18042.824837852386</v>
      </c>
      <c r="O421" s="57">
        <f t="shared" si="195"/>
        <v>12901.631503942646</v>
      </c>
      <c r="Q421" s="41">
        <v>416</v>
      </c>
      <c r="R421" s="57">
        <f t="shared" si="196"/>
        <v>-2204.0354826462667</v>
      </c>
      <c r="S421" s="41">
        <f t="shared" si="197"/>
        <v>-10854.812137224792</v>
      </c>
      <c r="U421" s="41">
        <v>415</v>
      </c>
      <c r="V421" s="41">
        <f t="shared" si="219"/>
        <v>207.5</v>
      </c>
      <c r="W421" s="57">
        <f t="shared" si="220"/>
        <v>-978.31269208326125</v>
      </c>
      <c r="X421" s="57">
        <f t="shared" si="221"/>
        <v>-10910.734821340993</v>
      </c>
      <c r="Y421" s="57">
        <f t="shared" si="222"/>
        <v>1555.5362403849008</v>
      </c>
      <c r="Z421" s="57">
        <f t="shared" si="223"/>
        <v>15388.847087638158</v>
      </c>
      <c r="AA421" s="57">
        <f t="shared" si="198"/>
        <v>-260.84792461795041</v>
      </c>
      <c r="AB421" s="57">
        <f t="shared" si="199"/>
        <v>903.2346069385892</v>
      </c>
      <c r="AC421" s="57">
        <f t="shared" si="200"/>
        <v>421.45643825952283</v>
      </c>
      <c r="AD421" s="57">
        <f t="shared" si="201"/>
        <v>369.87353737324833</v>
      </c>
      <c r="AE421" s="57">
        <f t="shared" si="202"/>
        <v>-138.31966299616454</v>
      </c>
      <c r="AF421" s="57">
        <f t="shared" si="203"/>
        <v>152.05621597439779</v>
      </c>
      <c r="AG421" s="57">
        <f t="shared" si="204"/>
        <v>-1374.4810985263366</v>
      </c>
      <c r="AH421" s="57">
        <f t="shared" si="205"/>
        <v>-1397.5770030316567</v>
      </c>
      <c r="AJ421" s="57">
        <f t="shared" si="206"/>
        <v>27911.37331032924</v>
      </c>
      <c r="AK421" s="57">
        <f t="shared" si="207"/>
        <v>28268.06358434556</v>
      </c>
      <c r="AL421" s="57">
        <f t="shared" si="208"/>
        <v>5735.5085654239647</v>
      </c>
      <c r="AN421" s="41">
        <v>416</v>
      </c>
      <c r="AO421" s="57">
        <f t="shared" si="209"/>
        <v>9193.9467760305997</v>
      </c>
      <c r="AP421" s="57">
        <f t="shared" si="210"/>
        <v>21217.781794162813</v>
      </c>
      <c r="AR421" s="41">
        <v>416</v>
      </c>
      <c r="AS421" s="57">
        <f t="shared" si="211"/>
        <v>16957.175162147614</v>
      </c>
      <c r="AT421" s="57">
        <f t="shared" si="212"/>
        <v>-2098.3684960573537</v>
      </c>
      <c r="AV421" s="57">
        <f t="shared" si="213"/>
        <v>371.23831283326524</v>
      </c>
      <c r="AW421" s="57">
        <f t="shared" si="214"/>
        <v>1608.9920308254761</v>
      </c>
      <c r="AX421" s="57">
        <f t="shared" si="215"/>
        <v>459.25808581176273</v>
      </c>
      <c r="AY421" s="57">
        <f t="shared" si="216"/>
        <v>169.88982579712371</v>
      </c>
      <c r="BA421" s="57">
        <f t="shared" si="217"/>
        <v>26591.472347844458</v>
      </c>
      <c r="BB421" s="57">
        <f t="shared" si="218"/>
        <v>17036.52730500562</v>
      </c>
    </row>
    <row r="422" spans="9:54" x14ac:dyDescent="0.25">
      <c r="I422" s="41">
        <v>417</v>
      </c>
      <c r="J422" s="57">
        <f t="shared" si="192"/>
        <v>22723.195175075136</v>
      </c>
      <c r="K422" s="57">
        <f t="shared" si="193"/>
        <v>11693.35283972712</v>
      </c>
      <c r="M422" s="41">
        <v>417</v>
      </c>
      <c r="N422" s="57">
        <f t="shared" si="194"/>
        <v>-18093.763377447405</v>
      </c>
      <c r="O422" s="57">
        <f t="shared" si="195"/>
        <v>12935.346987808984</v>
      </c>
      <c r="Q422" s="41">
        <v>417</v>
      </c>
      <c r="R422" s="57">
        <f t="shared" si="196"/>
        <v>-2276.8048249248645</v>
      </c>
      <c r="S422" s="41">
        <f t="shared" si="197"/>
        <v>-10806.64716027288</v>
      </c>
      <c r="U422" s="41">
        <v>416</v>
      </c>
      <c r="V422" s="41">
        <f t="shared" si="219"/>
        <v>208</v>
      </c>
      <c r="W422" s="57">
        <f t="shared" si="220"/>
        <v>-233.15056246805466</v>
      </c>
      <c r="X422" s="57">
        <f t="shared" si="221"/>
        <v>-3103.4069516545906</v>
      </c>
      <c r="Y422" s="57">
        <f t="shared" si="222"/>
        <v>1425.1122780759256</v>
      </c>
      <c r="Z422" s="57">
        <f t="shared" si="223"/>
        <v>15840.464391107453</v>
      </c>
      <c r="AA422" s="57">
        <f t="shared" si="198"/>
        <v>1098.9176890811468</v>
      </c>
      <c r="AB422" s="57">
        <f t="shared" si="199"/>
        <v>1282.283603027998</v>
      </c>
      <c r="AC422" s="57">
        <f t="shared" si="200"/>
        <v>683.23929654250458</v>
      </c>
      <c r="AD422" s="57">
        <f t="shared" si="201"/>
        <v>358.05913094132956</v>
      </c>
      <c r="AE422" s="57">
        <f t="shared" si="202"/>
        <v>-234.80785814681326</v>
      </c>
      <c r="AF422" s="57">
        <f t="shared" si="203"/>
        <v>155.65368322693308</v>
      </c>
      <c r="AG422" s="57">
        <f t="shared" si="204"/>
        <v>-581.03617974977681</v>
      </c>
      <c r="AH422" s="57">
        <f t="shared" si="205"/>
        <v>-1450.0879600735334</v>
      </c>
      <c r="AJ422" s="57">
        <f t="shared" si="206"/>
        <v>22843.21826420039</v>
      </c>
      <c r="AK422" s="57">
        <f t="shared" si="207"/>
        <v>23715.556295957445</v>
      </c>
      <c r="AL422" s="57">
        <f t="shared" si="208"/>
        <v>12816.075051201868</v>
      </c>
      <c r="AN422" s="41">
        <v>417</v>
      </c>
      <c r="AO422" s="57">
        <f t="shared" si="209"/>
        <v>9084.7927626127021</v>
      </c>
      <c r="AP422" s="57">
        <f t="shared" si="210"/>
        <v>21290.029259590679</v>
      </c>
      <c r="AR422" s="41">
        <v>417</v>
      </c>
      <c r="AS422" s="57">
        <f t="shared" si="211"/>
        <v>16906.236622552595</v>
      </c>
      <c r="AT422" s="57">
        <f t="shared" si="212"/>
        <v>-2064.6530121910159</v>
      </c>
      <c r="AV422" s="57">
        <f t="shared" si="213"/>
        <v>661.85028664765832</v>
      </c>
      <c r="AW422" s="57">
        <f t="shared" si="214"/>
        <v>2289.5853916729234</v>
      </c>
      <c r="AX422" s="57">
        <f t="shared" si="215"/>
        <v>569.6721437875741</v>
      </c>
      <c r="AY422" s="57">
        <f t="shared" si="216"/>
        <v>-70.926642739654554</v>
      </c>
      <c r="BA422" s="57">
        <f t="shared" si="217"/>
        <v>18844.606869517749</v>
      </c>
      <c r="BB422" s="57">
        <f t="shared" si="218"/>
        <v>15350.763539637139</v>
      </c>
    </row>
    <row r="423" spans="9:54" x14ac:dyDescent="0.25">
      <c r="I423" s="41">
        <v>418</v>
      </c>
      <c r="J423" s="57">
        <f t="shared" si="192"/>
        <v>22649.596321166027</v>
      </c>
      <c r="K423" s="57">
        <f t="shared" si="193"/>
        <v>11740.240480782129</v>
      </c>
      <c r="M423" s="41">
        <v>418</v>
      </c>
      <c r="N423" s="57">
        <f t="shared" si="194"/>
        <v>-18145.282575183781</v>
      </c>
      <c r="O423" s="57">
        <f t="shared" si="195"/>
        <v>12968.168336547491</v>
      </c>
      <c r="Q423" s="41">
        <v>418</v>
      </c>
      <c r="R423" s="57">
        <f t="shared" si="196"/>
        <v>-2350.4036788339745</v>
      </c>
      <c r="S423" s="41">
        <f t="shared" si="197"/>
        <v>-10759.759519217871</v>
      </c>
      <c r="U423" s="41">
        <v>417</v>
      </c>
      <c r="V423" s="41">
        <f t="shared" si="219"/>
        <v>208.5</v>
      </c>
      <c r="W423" s="57">
        <f t="shared" si="220"/>
        <v>616.77028770505149</v>
      </c>
      <c r="X423" s="57">
        <f t="shared" si="221"/>
        <v>4977.110694277636</v>
      </c>
      <c r="Y423" s="57">
        <f t="shared" si="222"/>
        <v>1974.571122616499</v>
      </c>
      <c r="Z423" s="57">
        <f t="shared" si="223"/>
        <v>16481.606192621453</v>
      </c>
      <c r="AA423" s="57">
        <f t="shared" si="198"/>
        <v>1982.3612749424667</v>
      </c>
      <c r="AB423" s="57">
        <f t="shared" si="199"/>
        <v>1850.4615915326667</v>
      </c>
      <c r="AC423" s="57">
        <f t="shared" si="200"/>
        <v>958.85610678935927</v>
      </c>
      <c r="AD423" s="57">
        <f t="shared" si="201"/>
        <v>124.80313412428929</v>
      </c>
      <c r="AE423" s="57">
        <f t="shared" si="202"/>
        <v>-331.89162440376987</v>
      </c>
      <c r="AF423" s="57">
        <f t="shared" si="203"/>
        <v>80.859167930424022</v>
      </c>
      <c r="AG423" s="57">
        <f t="shared" si="204"/>
        <v>-240.59900573104161</v>
      </c>
      <c r="AH423" s="57">
        <f t="shared" si="205"/>
        <v>-855.73607682396914</v>
      </c>
      <c r="AJ423" s="57">
        <f t="shared" si="206"/>
        <v>19546.727719199498</v>
      </c>
      <c r="AK423" s="57">
        <f t="shared" si="207"/>
        <v>21219.817013196363</v>
      </c>
      <c r="AL423" s="57">
        <f t="shared" si="208"/>
        <v>20751.700175076454</v>
      </c>
      <c r="AN423" s="41">
        <v>418</v>
      </c>
      <c r="AO423" s="57">
        <f t="shared" si="209"/>
        <v>8974.3944817490374</v>
      </c>
      <c r="AP423" s="57">
        <f t="shared" si="210"/>
        <v>21360.360721173194</v>
      </c>
      <c r="AR423" s="41">
        <v>418</v>
      </c>
      <c r="AS423" s="57">
        <f t="shared" si="211"/>
        <v>16854.717424816219</v>
      </c>
      <c r="AT423" s="57">
        <f t="shared" si="212"/>
        <v>-2031.8316634525095</v>
      </c>
      <c r="AV423" s="57">
        <f t="shared" si="213"/>
        <v>1210.48521828358</v>
      </c>
      <c r="AW423" s="57">
        <f t="shared" si="214"/>
        <v>2767.9496958687105</v>
      </c>
      <c r="AX423" s="57">
        <f t="shared" si="215"/>
        <v>385.51058000433881</v>
      </c>
      <c r="AY423" s="57">
        <f t="shared" si="216"/>
        <v>-267.41432956678824</v>
      </c>
      <c r="BA423" s="57">
        <f t="shared" si="217"/>
        <v>10939.424699019095</v>
      </c>
      <c r="BB423" s="57">
        <f t="shared" si="218"/>
        <v>17504.857461930773</v>
      </c>
    </row>
    <row r="424" spans="9:54" x14ac:dyDescent="0.25">
      <c r="I424" s="41">
        <v>419</v>
      </c>
      <c r="J424" s="57">
        <f t="shared" si="192"/>
        <v>22575.190374550271</v>
      </c>
      <c r="K424" s="57">
        <f t="shared" si="193"/>
        <v>11785.83650351056</v>
      </c>
      <c r="M424" s="41">
        <v>419</v>
      </c>
      <c r="N424" s="57">
        <f t="shared" si="194"/>
        <v>-18197.366737814809</v>
      </c>
      <c r="O424" s="57">
        <f t="shared" si="195"/>
        <v>13000.085552457393</v>
      </c>
      <c r="Q424" s="41">
        <v>419</v>
      </c>
      <c r="R424" s="57">
        <f t="shared" si="196"/>
        <v>-2424.8096254497277</v>
      </c>
      <c r="S424" s="41">
        <f t="shared" si="197"/>
        <v>-10714.16349648944</v>
      </c>
      <c r="U424" s="41">
        <v>418</v>
      </c>
      <c r="V424" s="41">
        <f t="shared" si="219"/>
        <v>209</v>
      </c>
      <c r="W424" s="57">
        <f t="shared" si="220"/>
        <v>1851.8510083811093</v>
      </c>
      <c r="X424" s="57">
        <f t="shared" si="221"/>
        <v>13449.221489529946</v>
      </c>
      <c r="Y424" s="57">
        <f t="shared" si="222"/>
        <v>2965.7517600877322</v>
      </c>
      <c r="Z424" s="57">
        <f t="shared" si="223"/>
        <v>17406.836988387786</v>
      </c>
      <c r="AA424" s="57">
        <f t="shared" si="198"/>
        <v>2211.823324022198</v>
      </c>
      <c r="AB424" s="57">
        <f t="shared" si="199"/>
        <v>-363.12102157146683</v>
      </c>
      <c r="AC424" s="57">
        <f t="shared" si="200"/>
        <v>948.42697095597509</v>
      </c>
      <c r="AD424" s="57">
        <f t="shared" si="201"/>
        <v>-310.90785729535463</v>
      </c>
      <c r="AE424" s="57">
        <f t="shared" si="202"/>
        <v>-314.13965714273888</v>
      </c>
      <c r="AF424" s="57">
        <f t="shared" si="203"/>
        <v>-49.585605160621036</v>
      </c>
      <c r="AG424" s="57">
        <f t="shared" si="204"/>
        <v>-121.31406839331194</v>
      </c>
      <c r="AH424" s="57">
        <f t="shared" si="205"/>
        <v>-503.70196276827022</v>
      </c>
      <c r="AJ424" s="57">
        <f t="shared" si="206"/>
        <v>19098.391245167291</v>
      </c>
      <c r="AK424" s="57">
        <f t="shared" si="207"/>
        <v>22122.398635236677</v>
      </c>
      <c r="AL424" s="57">
        <f t="shared" si="208"/>
        <v>29262.707762635124</v>
      </c>
      <c r="AN424" s="41">
        <v>419</v>
      </c>
      <c r="AO424" s="57">
        <f t="shared" si="209"/>
        <v>8862.7855618254089</v>
      </c>
      <c r="AP424" s="57">
        <f t="shared" si="210"/>
        <v>21428.75475526584</v>
      </c>
      <c r="AR424" s="41">
        <v>419</v>
      </c>
      <c r="AS424" s="57">
        <f t="shared" si="211"/>
        <v>16802.633262185191</v>
      </c>
      <c r="AT424" s="57">
        <f t="shared" si="212"/>
        <v>-1999.9144475426078</v>
      </c>
      <c r="AV424" s="57">
        <f t="shared" si="213"/>
        <v>1521.7307534100601</v>
      </c>
      <c r="AW424" s="57">
        <f t="shared" si="214"/>
        <v>749.60472245508254</v>
      </c>
      <c r="AX424" s="57">
        <f t="shared" si="215"/>
        <v>177.11932519221355</v>
      </c>
      <c r="AY424" s="57">
        <f t="shared" si="216"/>
        <v>-248.53031880230358</v>
      </c>
      <c r="BA424" s="57">
        <f t="shared" si="217"/>
        <v>3509.3811508536314</v>
      </c>
      <c r="BB424" s="57">
        <f t="shared" si="218"/>
        <v>22654.968450111392</v>
      </c>
    </row>
    <row r="425" spans="9:54" x14ac:dyDescent="0.25">
      <c r="I425" s="41">
        <v>420</v>
      </c>
      <c r="J425" s="57">
        <f t="shared" si="192"/>
        <v>22500</v>
      </c>
      <c r="K425" s="57">
        <f t="shared" si="193"/>
        <v>11830.127018922194</v>
      </c>
      <c r="M425" s="41">
        <v>420</v>
      </c>
      <c r="N425" s="57">
        <f t="shared" si="194"/>
        <v>-18250</v>
      </c>
      <c r="O425" s="57">
        <f t="shared" si="195"/>
        <v>13031.088913245536</v>
      </c>
      <c r="Q425" s="41">
        <v>420</v>
      </c>
      <c r="R425" s="57">
        <f t="shared" si="196"/>
        <v>-2500.0000000000014</v>
      </c>
      <c r="S425" s="41">
        <f t="shared" si="197"/>
        <v>-10669.872981077806</v>
      </c>
      <c r="U425" s="41">
        <v>419</v>
      </c>
      <c r="V425" s="41">
        <f t="shared" si="219"/>
        <v>209.5</v>
      </c>
      <c r="W425" s="57">
        <f t="shared" si="220"/>
        <v>3611.2048039277497</v>
      </c>
      <c r="X425" s="57">
        <f t="shared" si="221"/>
        <v>22107.249856027407</v>
      </c>
      <c r="Y425" s="57">
        <f t="shared" si="222"/>
        <v>4071.6634220988312</v>
      </c>
      <c r="Z425" s="57">
        <f t="shared" si="223"/>
        <v>17225.276477602052</v>
      </c>
      <c r="AA425" s="57">
        <f t="shared" si="198"/>
        <v>937.37972004305561</v>
      </c>
      <c r="AB425" s="57">
        <f t="shared" si="199"/>
        <v>-3862.1646258872879</v>
      </c>
      <c r="AC425" s="57">
        <f t="shared" si="200"/>
        <v>611.22494641842616</v>
      </c>
      <c r="AD425" s="57">
        <f t="shared" si="201"/>
        <v>-544.78168796146042</v>
      </c>
      <c r="AE425" s="57">
        <f t="shared" si="202"/>
        <v>-205.1889574831645</v>
      </c>
      <c r="AF425" s="57">
        <f t="shared" si="203"/>
        <v>-105.21589205533448</v>
      </c>
      <c r="AG425" s="57">
        <f t="shared" si="204"/>
        <v>-73.807839199593971</v>
      </c>
      <c r="AH425" s="57">
        <f t="shared" si="205"/>
        <v>-318.05142170856288</v>
      </c>
      <c r="AJ425" s="57">
        <f t="shared" si="206"/>
        <v>21953.686622870737</v>
      </c>
      <c r="AK425" s="57">
        <f t="shared" si="207"/>
        <v>26534.402035269166</v>
      </c>
      <c r="AL425" s="57">
        <f t="shared" si="208"/>
        <v>38093.31752489975</v>
      </c>
      <c r="AN425" s="41">
        <v>420</v>
      </c>
      <c r="AO425" s="57">
        <f t="shared" si="209"/>
        <v>8749.9999999999982</v>
      </c>
      <c r="AP425" s="57">
        <f t="shared" si="210"/>
        <v>21495.190528383289</v>
      </c>
      <c r="AR425" s="41">
        <v>420</v>
      </c>
      <c r="AS425" s="57">
        <f t="shared" si="211"/>
        <v>16750</v>
      </c>
      <c r="AT425" s="57">
        <f t="shared" si="212"/>
        <v>-1968.9110867544641</v>
      </c>
      <c r="AV425" s="57">
        <f t="shared" si="213"/>
        <v>531.07135396162835</v>
      </c>
      <c r="AW425" s="57">
        <f t="shared" si="214"/>
        <v>-2717.7922379475899</v>
      </c>
      <c r="AX425" s="57">
        <f t="shared" si="215"/>
        <v>74.080216345759524</v>
      </c>
      <c r="AY425" s="57">
        <f t="shared" si="216"/>
        <v>-176.32338621434016</v>
      </c>
      <c r="BA425" s="57">
        <f t="shared" si="217"/>
        <v>7241.6678060122968</v>
      </c>
      <c r="BB425" s="57">
        <f t="shared" si="218"/>
        <v>29402.510960378473</v>
      </c>
    </row>
    <row r="426" spans="9:54" x14ac:dyDescent="0.25">
      <c r="I426" s="41">
        <v>421</v>
      </c>
      <c r="J426" s="57">
        <f t="shared" si="192"/>
        <v>22424.048101231689</v>
      </c>
      <c r="K426" s="57">
        <f t="shared" si="193"/>
        <v>11873.098535696976</v>
      </c>
      <c r="M426" s="41">
        <v>421</v>
      </c>
      <c r="N426" s="57">
        <f t="shared" si="194"/>
        <v>-18303.166329137817</v>
      </c>
      <c r="O426" s="57">
        <f t="shared" si="195"/>
        <v>13061.168974987884</v>
      </c>
      <c r="Q426" s="41">
        <v>421</v>
      </c>
      <c r="R426" s="57">
        <f t="shared" si="196"/>
        <v>-2575.9518987683114</v>
      </c>
      <c r="S426" s="41">
        <f t="shared" si="197"/>
        <v>-10626.901464303024</v>
      </c>
      <c r="U426" s="41">
        <v>420</v>
      </c>
      <c r="V426" s="41">
        <f t="shared" si="219"/>
        <v>210</v>
      </c>
      <c r="W426" s="57">
        <f t="shared" si="220"/>
        <v>5764.2089799825471</v>
      </c>
      <c r="X426" s="57">
        <f t="shared" si="221"/>
        <v>30237.117516592523</v>
      </c>
      <c r="Y426" s="57">
        <f t="shared" si="222"/>
        <v>4540.3532821203589</v>
      </c>
      <c r="Z426" s="57">
        <f t="shared" si="223"/>
        <v>15294.194164658409</v>
      </c>
      <c r="AA426" s="57">
        <f t="shared" si="198"/>
        <v>36.815512536867551</v>
      </c>
      <c r="AB426" s="57">
        <f t="shared" si="199"/>
        <v>-3697.4605016117516</v>
      </c>
      <c r="AC426" s="57">
        <f t="shared" si="200"/>
        <v>317.65088692289777</v>
      </c>
      <c r="AD426" s="57">
        <f t="shared" si="201"/>
        <v>-507.34557251226886</v>
      </c>
      <c r="AE426" s="57">
        <f t="shared" si="202"/>
        <v>-123.0624535077278</v>
      </c>
      <c r="AF426" s="57">
        <f t="shared" si="203"/>
        <v>-96.662363492355837</v>
      </c>
      <c r="AG426" s="57">
        <f t="shared" si="204"/>
        <v>-52.380004256840841</v>
      </c>
      <c r="AH426" s="57">
        <f t="shared" si="205"/>
        <v>-220.12954342420872</v>
      </c>
      <c r="AJ426" s="57">
        <f t="shared" si="206"/>
        <v>26825.999681818907</v>
      </c>
      <c r="AK426" s="57">
        <f t="shared" si="207"/>
        <v>32761.797718449292</v>
      </c>
      <c r="AL426" s="57">
        <f t="shared" si="208"/>
        <v>46500.161248911158</v>
      </c>
      <c r="AN426" s="41">
        <v>421</v>
      </c>
      <c r="AO426" s="57">
        <f t="shared" si="209"/>
        <v>8636.072151847533</v>
      </c>
      <c r="AP426" s="57">
        <f t="shared" si="210"/>
        <v>21559.647803545464</v>
      </c>
      <c r="AR426" s="41">
        <v>421</v>
      </c>
      <c r="AS426" s="57">
        <f t="shared" si="211"/>
        <v>16696.833670862183</v>
      </c>
      <c r="AT426" s="57">
        <f t="shared" si="212"/>
        <v>-1938.8310250121162</v>
      </c>
      <c r="AV426" s="57">
        <f t="shared" si="213"/>
        <v>-137.89123069374591</v>
      </c>
      <c r="AW426" s="57">
        <f t="shared" si="214"/>
        <v>-2749.3328940418364</v>
      </c>
      <c r="AX426" s="57">
        <f t="shared" si="215"/>
        <v>32.498314072284337</v>
      </c>
      <c r="AY426" s="57">
        <f t="shared" si="216"/>
        <v>-123.99012814108174</v>
      </c>
      <c r="BA426" s="57">
        <f t="shared" si="217"/>
        <v>15256.269713777896</v>
      </c>
      <c r="BB426" s="57">
        <f t="shared" si="218"/>
        <v>36427.383746895503</v>
      </c>
    </row>
    <row r="427" spans="9:54" x14ac:dyDescent="0.25">
      <c r="I427" s="41">
        <v>422</v>
      </c>
      <c r="J427" s="57">
        <f t="shared" si="192"/>
        <v>22347.357813929455</v>
      </c>
      <c r="K427" s="57">
        <f t="shared" si="193"/>
        <v>11914.737964294634</v>
      </c>
      <c r="M427" s="41">
        <v>422</v>
      </c>
      <c r="N427" s="57">
        <f t="shared" si="194"/>
        <v>-18356.849530249383</v>
      </c>
      <c r="O427" s="57">
        <f t="shared" si="195"/>
        <v>13090.316575006244</v>
      </c>
      <c r="Q427" s="41">
        <v>422</v>
      </c>
      <c r="R427" s="57">
        <f t="shared" si="196"/>
        <v>-2652.6421860705459</v>
      </c>
      <c r="S427" s="41">
        <f t="shared" si="197"/>
        <v>-10585.262035705366</v>
      </c>
      <c r="U427" s="41">
        <v>421</v>
      </c>
      <c r="V427" s="41">
        <f t="shared" si="219"/>
        <v>210.5</v>
      </c>
      <c r="W427" s="57">
        <f t="shared" si="220"/>
        <v>8038.9875601098347</v>
      </c>
      <c r="X427" s="57">
        <f t="shared" si="221"/>
        <v>37422.032036220255</v>
      </c>
      <c r="Y427" s="57">
        <f t="shared" si="222"/>
        <v>4558.7610383887923</v>
      </c>
      <c r="Z427" s="57">
        <f t="shared" si="223"/>
        <v>13445.463913852533</v>
      </c>
      <c r="AA427" s="57">
        <f t="shared" si="198"/>
        <v>-211.05302463828855</v>
      </c>
      <c r="AB427" s="57">
        <f t="shared" si="199"/>
        <v>-2723.9716643212882</v>
      </c>
      <c r="AC427" s="57">
        <f t="shared" si="200"/>
        <v>163.05261577217991</v>
      </c>
      <c r="AD427" s="57">
        <f t="shared" si="201"/>
        <v>-407.89737635031508</v>
      </c>
      <c r="AE427" s="57">
        <f t="shared" si="202"/>
        <v>-79.639223433039703</v>
      </c>
      <c r="AF427" s="57">
        <f t="shared" si="203"/>
        <v>-77.886882742779136</v>
      </c>
      <c r="AG427" s="57">
        <f t="shared" si="204"/>
        <v>-41.176115248735485</v>
      </c>
      <c r="AH427" s="57">
        <f t="shared" si="205"/>
        <v>-165.54472674703021</v>
      </c>
      <c r="AJ427" s="57">
        <f t="shared" si="206"/>
        <v>32224.118603365998</v>
      </c>
      <c r="AK427" s="57">
        <f t="shared" si="207"/>
        <v>39219.289442715351</v>
      </c>
      <c r="AL427" s="57">
        <f t="shared" si="208"/>
        <v>54019.298768118068</v>
      </c>
      <c r="AN427" s="41">
        <v>422</v>
      </c>
      <c r="AO427" s="57">
        <f t="shared" si="209"/>
        <v>8521.0367208941825</v>
      </c>
      <c r="AP427" s="57">
        <f t="shared" si="210"/>
        <v>21622.106946441952</v>
      </c>
      <c r="AR427" s="41">
        <v>422</v>
      </c>
      <c r="AS427" s="57">
        <f t="shared" si="211"/>
        <v>16643.150469750617</v>
      </c>
      <c r="AT427" s="57">
        <f t="shared" si="212"/>
        <v>-1909.683424993756</v>
      </c>
      <c r="AV427" s="57">
        <f t="shared" si="213"/>
        <v>-268.42016976158197</v>
      </c>
      <c r="AW427" s="57">
        <f t="shared" si="214"/>
        <v>-1980.4377367521536</v>
      </c>
      <c r="AX427" s="57">
        <f t="shared" si="215"/>
        <v>15.129868032888707</v>
      </c>
      <c r="AY427" s="57">
        <f t="shared" si="216"/>
        <v>-92.204941729010443</v>
      </c>
      <c r="BA427" s="57">
        <f t="shared" si="217"/>
        <v>22627.040593586025</v>
      </c>
      <c r="BB427" s="57">
        <f t="shared" si="218"/>
        <v>42989.353289743769</v>
      </c>
    </row>
    <row r="428" spans="9:54" x14ac:dyDescent="0.25">
      <c r="I428" s="41">
        <v>423</v>
      </c>
      <c r="J428" s="57">
        <f t="shared" si="192"/>
        <v>22269.952498697734</v>
      </c>
      <c r="K428" s="57">
        <f t="shared" si="193"/>
        <v>11955.032620941838</v>
      </c>
      <c r="M428" s="41">
        <v>423</v>
      </c>
      <c r="N428" s="57">
        <f t="shared" si="194"/>
        <v>-18411.033250911587</v>
      </c>
      <c r="O428" s="57">
        <f t="shared" si="195"/>
        <v>13118.522834659287</v>
      </c>
      <c r="Q428" s="41">
        <v>423</v>
      </c>
      <c r="R428" s="57">
        <f t="shared" si="196"/>
        <v>-2730.0475013022647</v>
      </c>
      <c r="S428" s="41">
        <f t="shared" si="197"/>
        <v>-10544.967379058162</v>
      </c>
      <c r="U428" s="41">
        <v>422</v>
      </c>
      <c r="V428" s="41">
        <f t="shared" si="219"/>
        <v>211</v>
      </c>
      <c r="W428" s="57">
        <f t="shared" si="220"/>
        <v>10291.986451224446</v>
      </c>
      <c r="X428" s="57">
        <f t="shared" si="221"/>
        <v>43804.267535106366</v>
      </c>
      <c r="Y428" s="57">
        <f t="shared" si="222"/>
        <v>4453.2345260696484</v>
      </c>
      <c r="Z428" s="57">
        <f t="shared" si="223"/>
        <v>12083.478081691888</v>
      </c>
      <c r="AA428" s="57">
        <f t="shared" si="198"/>
        <v>-259.5565261547967</v>
      </c>
      <c r="AB428" s="57">
        <f t="shared" si="199"/>
        <v>-2018.7222428700684</v>
      </c>
      <c r="AC428" s="57">
        <f t="shared" si="200"/>
        <v>86.436187226411519</v>
      </c>
      <c r="AD428" s="57">
        <f t="shared" si="201"/>
        <v>-323.23836900474612</v>
      </c>
      <c r="AE428" s="57">
        <f t="shared" si="202"/>
        <v>-56.156856856212876</v>
      </c>
      <c r="AF428" s="57">
        <f t="shared" si="203"/>
        <v>-62.668105842274954</v>
      </c>
      <c r="AG428" s="57">
        <f t="shared" si="204"/>
        <v>-34.292304653390055</v>
      </c>
      <c r="AH428" s="57">
        <f t="shared" si="205"/>
        <v>-131.86866622366486</v>
      </c>
      <c r="AJ428" s="57">
        <f t="shared" si="206"/>
        <v>37579.853223819118</v>
      </c>
      <c r="AK428" s="57">
        <f t="shared" si="207"/>
        <v>45390.890570093594</v>
      </c>
      <c r="AL428" s="57">
        <f t="shared" si="208"/>
        <v>60760.075131329424</v>
      </c>
      <c r="AN428" s="41">
        <v>423</v>
      </c>
      <c r="AO428" s="57">
        <f t="shared" si="209"/>
        <v>8404.9287480466028</v>
      </c>
      <c r="AP428" s="57">
        <f t="shared" si="210"/>
        <v>21682.548931412755</v>
      </c>
      <c r="AR428" s="41">
        <v>423</v>
      </c>
      <c r="AS428" s="57">
        <f t="shared" si="211"/>
        <v>16588.966749088413</v>
      </c>
      <c r="AT428" s="57">
        <f t="shared" si="212"/>
        <v>-1881.4771653407133</v>
      </c>
      <c r="AV428" s="57">
        <f t="shared" si="213"/>
        <v>-262.50305609068283</v>
      </c>
      <c r="AW428" s="57">
        <f t="shared" si="214"/>
        <v>-1428.8034041866395</v>
      </c>
      <c r="AX428" s="57">
        <f t="shared" si="215"/>
        <v>6.9595042190775143</v>
      </c>
      <c r="AY428" s="57">
        <f t="shared" si="216"/>
        <v>-72.143697612742969</v>
      </c>
      <c r="BA428" s="57">
        <f t="shared" si="217"/>
        <v>29286.361140195033</v>
      </c>
      <c r="BB428" s="57">
        <f t="shared" si="218"/>
        <v>49030.826234254826</v>
      </c>
    </row>
    <row r="429" spans="9:54" x14ac:dyDescent="0.25">
      <c r="I429" s="41">
        <v>424</v>
      </c>
      <c r="J429" s="57">
        <f t="shared" si="192"/>
        <v>22191.855733945391</v>
      </c>
      <c r="K429" s="57">
        <f t="shared" si="193"/>
        <v>11993.970231495834</v>
      </c>
      <c r="M429" s="41">
        <v>424</v>
      </c>
      <c r="N429" s="57">
        <f t="shared" si="194"/>
        <v>-18465.700986238229</v>
      </c>
      <c r="O429" s="57">
        <f t="shared" si="195"/>
        <v>13145.779162047083</v>
      </c>
      <c r="Q429" s="41">
        <v>424</v>
      </c>
      <c r="R429" s="57">
        <f t="shared" si="196"/>
        <v>-2808.1442660546109</v>
      </c>
      <c r="S429" s="41">
        <f t="shared" si="197"/>
        <v>-10506.029768504166</v>
      </c>
      <c r="U429" s="41">
        <v>423</v>
      </c>
      <c r="V429" s="41">
        <f t="shared" si="219"/>
        <v>211.5</v>
      </c>
      <c r="W429" s="57">
        <f t="shared" si="220"/>
        <v>12486.15914848992</v>
      </c>
      <c r="X429" s="57">
        <f t="shared" si="221"/>
        <v>49593.666295593554</v>
      </c>
      <c r="Y429" s="57">
        <f t="shared" si="222"/>
        <v>4323.4562629922502</v>
      </c>
      <c r="Z429" s="57">
        <f t="shared" si="223"/>
        <v>11074.116960256853</v>
      </c>
      <c r="AA429" s="57">
        <f t="shared" si="198"/>
        <v>-255.51373227582951</v>
      </c>
      <c r="AB429" s="57">
        <f t="shared" si="199"/>
        <v>-1555.6863521003943</v>
      </c>
      <c r="AC429" s="57">
        <f t="shared" si="200"/>
        <v>46.460838319845259</v>
      </c>
      <c r="AD429" s="57">
        <f t="shared" si="201"/>
        <v>-260.28060251715965</v>
      </c>
      <c r="AE429" s="57">
        <f t="shared" si="202"/>
        <v>-42.241005537459358</v>
      </c>
      <c r="AF429" s="57">
        <f t="shared" si="203"/>
        <v>-51.482733603434582</v>
      </c>
      <c r="AG429" s="57">
        <f t="shared" si="204"/>
        <v>-29.557253167484578</v>
      </c>
      <c r="AH429" s="57">
        <f t="shared" si="205"/>
        <v>-109.18414567213587</v>
      </c>
      <c r="AJ429" s="57">
        <f t="shared" si="206"/>
        <v>42759.028830723109</v>
      </c>
      <c r="AK429" s="57">
        <f t="shared" si="207"/>
        <v>51215.319455684701</v>
      </c>
      <c r="AL429" s="57">
        <f t="shared" si="208"/>
        <v>66918.663220904346</v>
      </c>
      <c r="AN429" s="41">
        <v>424</v>
      </c>
      <c r="AO429" s="57">
        <f t="shared" si="209"/>
        <v>8287.7836009180828</v>
      </c>
      <c r="AP429" s="57">
        <f t="shared" si="210"/>
        <v>21740.955347243751</v>
      </c>
      <c r="AR429" s="41">
        <v>424</v>
      </c>
      <c r="AS429" s="57">
        <f t="shared" si="211"/>
        <v>16534.299013761771</v>
      </c>
      <c r="AT429" s="57">
        <f t="shared" si="212"/>
        <v>-1854.2208379529161</v>
      </c>
      <c r="AV429" s="57">
        <f t="shared" si="213"/>
        <v>-232.87543942705278</v>
      </c>
      <c r="AW429" s="57">
        <f t="shared" si="214"/>
        <v>-1076.121289994777</v>
      </c>
      <c r="AX429" s="57">
        <f t="shared" si="215"/>
        <v>2.6991275363219582</v>
      </c>
      <c r="AY429" s="57">
        <f t="shared" si="216"/>
        <v>-58.617580312887085</v>
      </c>
      <c r="BA429" s="57">
        <f t="shared" si="217"/>
        <v>35394.410950987796</v>
      </c>
      <c r="BB429" s="57">
        <f t="shared" si="218"/>
        <v>54651.512288511723</v>
      </c>
    </row>
    <row r="430" spans="9:54" x14ac:dyDescent="0.25">
      <c r="I430" s="41">
        <v>425</v>
      </c>
      <c r="J430" s="57">
        <f t="shared" si="192"/>
        <v>22113.091308703501</v>
      </c>
      <c r="K430" s="57">
        <f t="shared" si="193"/>
        <v>12031.538935183249</v>
      </c>
      <c r="M430" s="41">
        <v>425</v>
      </c>
      <c r="N430" s="57">
        <f t="shared" si="194"/>
        <v>-18520.83608390755</v>
      </c>
      <c r="O430" s="57">
        <f t="shared" si="195"/>
        <v>13172.077254628275</v>
      </c>
      <c r="Q430" s="41">
        <v>425</v>
      </c>
      <c r="R430" s="57">
        <f t="shared" si="196"/>
        <v>-2886.9086912964999</v>
      </c>
      <c r="S430" s="41">
        <f t="shared" si="197"/>
        <v>-10468.461064816751</v>
      </c>
      <c r="U430" s="41">
        <v>424</v>
      </c>
      <c r="V430" s="41">
        <f t="shared" si="219"/>
        <v>212</v>
      </c>
      <c r="W430" s="57">
        <f t="shared" si="220"/>
        <v>14615.948063451568</v>
      </c>
      <c r="X430" s="57">
        <f t="shared" si="221"/>
        <v>54936.263981709431</v>
      </c>
      <c r="Y430" s="57">
        <f t="shared" si="222"/>
        <v>4195.6993968543356</v>
      </c>
      <c r="Z430" s="57">
        <f t="shared" si="223"/>
        <v>10296.273784206656</v>
      </c>
      <c r="AA430" s="57">
        <f t="shared" si="198"/>
        <v>-237.94299696198041</v>
      </c>
      <c r="AB430" s="57">
        <f t="shared" si="199"/>
        <v>-1243.0221191193507</v>
      </c>
      <c r="AC430" s="57">
        <f t="shared" si="200"/>
        <v>24.292093999970238</v>
      </c>
      <c r="AD430" s="57">
        <f t="shared" si="201"/>
        <v>-214.02582984550713</v>
      </c>
      <c r="AE430" s="57">
        <f t="shared" si="202"/>
        <v>-33.299572726011398</v>
      </c>
      <c r="AF430" s="57">
        <f t="shared" si="203"/>
        <v>-43.227427651304879</v>
      </c>
      <c r="AG430" s="57">
        <f t="shared" si="204"/>
        <v>-26.0576484068072</v>
      </c>
      <c r="AH430" s="57">
        <f t="shared" si="205"/>
        <v>-92.902702017063703</v>
      </c>
      <c r="AJ430" s="57">
        <f t="shared" si="206"/>
        <v>47740.833212229074</v>
      </c>
      <c r="AK430" s="57">
        <f t="shared" si="207"/>
        <v>56723.290463137382</v>
      </c>
      <c r="AL430" s="57">
        <f t="shared" si="208"/>
        <v>72635.159792949984</v>
      </c>
      <c r="AN430" s="41">
        <v>425</v>
      </c>
      <c r="AO430" s="57">
        <f t="shared" si="209"/>
        <v>8169.6369630552508</v>
      </c>
      <c r="AP430" s="57">
        <f t="shared" si="210"/>
        <v>21797.308402774874</v>
      </c>
      <c r="AR430" s="41">
        <v>425</v>
      </c>
      <c r="AS430" s="57">
        <f t="shared" si="211"/>
        <v>16479.16391609245</v>
      </c>
      <c r="AT430" s="57">
        <f t="shared" si="212"/>
        <v>-1827.9227453717258</v>
      </c>
      <c r="AV430" s="57">
        <f t="shared" si="213"/>
        <v>-203.19174838903419</v>
      </c>
      <c r="AW430" s="57">
        <f t="shared" si="214"/>
        <v>-843.88135720201024</v>
      </c>
      <c r="AX430" s="57">
        <f t="shared" si="215"/>
        <v>0.31387855990213198</v>
      </c>
      <c r="AY430" s="57">
        <f t="shared" si="216"/>
        <v>-48.98480240346484</v>
      </c>
      <c r="BA430" s="57">
        <f t="shared" si="217"/>
        <v>41077.629410371039</v>
      </c>
      <c r="BB430" s="57">
        <f t="shared" si="218"/>
        <v>59937.494408551363</v>
      </c>
    </row>
    <row r="431" spans="9:54" x14ac:dyDescent="0.25">
      <c r="I431" s="41">
        <v>426</v>
      </c>
      <c r="J431" s="57">
        <f t="shared" si="192"/>
        <v>22033.683215379002</v>
      </c>
      <c r="K431" s="57">
        <f t="shared" si="193"/>
        <v>12067.727288213006</v>
      </c>
      <c r="M431" s="41">
        <v>426</v>
      </c>
      <c r="N431" s="57">
        <f t="shared" si="194"/>
        <v>-18576.421749234698</v>
      </c>
      <c r="O431" s="57">
        <f t="shared" si="195"/>
        <v>13197.409101749103</v>
      </c>
      <c r="Q431" s="41">
        <v>426</v>
      </c>
      <c r="R431" s="57">
        <f t="shared" si="196"/>
        <v>-2966.316784620999</v>
      </c>
      <c r="S431" s="41">
        <f t="shared" si="197"/>
        <v>-10432.272711786994</v>
      </c>
      <c r="U431" s="41">
        <v>425</v>
      </c>
      <c r="V431" s="41">
        <f t="shared" si="219"/>
        <v>212.5</v>
      </c>
      <c r="W431" s="57">
        <f t="shared" si="220"/>
        <v>16684.054887258488</v>
      </c>
      <c r="X431" s="57">
        <f t="shared" si="221"/>
        <v>59929.02310892284</v>
      </c>
      <c r="Y431" s="57">
        <f t="shared" si="222"/>
        <v>4076.7278983733454</v>
      </c>
      <c r="Z431" s="57">
        <f t="shared" si="223"/>
        <v>9674.7627246469801</v>
      </c>
      <c r="AA431" s="57">
        <f t="shared" si="198"/>
        <v>-218.06883512398599</v>
      </c>
      <c r="AB431" s="57">
        <f t="shared" si="199"/>
        <v>-1022.7357712227333</v>
      </c>
      <c r="AC431" s="57">
        <f t="shared" si="200"/>
        <v>11.35279846751415</v>
      </c>
      <c r="AD431" s="57">
        <f t="shared" si="201"/>
        <v>-179.50120190986468</v>
      </c>
      <c r="AE431" s="57">
        <f t="shared" si="202"/>
        <v>-27.179605796639429</v>
      </c>
      <c r="AF431" s="57">
        <f t="shared" si="203"/>
        <v>-36.9929433941385</v>
      </c>
      <c r="AG431" s="57">
        <f t="shared" si="204"/>
        <v>-23.344052578919371</v>
      </c>
      <c r="AH431" s="57">
        <f t="shared" si="205"/>
        <v>-80.665127635770531</v>
      </c>
      <c r="AJ431" s="57">
        <f t="shared" si="206"/>
        <v>52533.77919155141</v>
      </c>
      <c r="AK431" s="57">
        <f t="shared" si="207"/>
        <v>61956.656071666301</v>
      </c>
      <c r="AL431" s="57">
        <f t="shared" si="208"/>
        <v>78003.568767147648</v>
      </c>
      <c r="AN431" s="41">
        <v>426</v>
      </c>
      <c r="AO431" s="57">
        <f t="shared" si="209"/>
        <v>8050.5248230685011</v>
      </c>
      <c r="AP431" s="57">
        <f t="shared" si="210"/>
        <v>21851.590932319508</v>
      </c>
      <c r="AR431" s="41">
        <v>426</v>
      </c>
      <c r="AS431" s="57">
        <f t="shared" si="211"/>
        <v>16423.578250765302</v>
      </c>
      <c r="AT431" s="57">
        <f t="shared" si="212"/>
        <v>-1802.5908982508968</v>
      </c>
      <c r="AV431" s="57">
        <f t="shared" si="213"/>
        <v>-177.813121264904</v>
      </c>
      <c r="AW431" s="57">
        <f t="shared" si="214"/>
        <v>-683.74976936239636</v>
      </c>
      <c r="AX431" s="57">
        <f t="shared" si="215"/>
        <v>-1.0848539510373527</v>
      </c>
      <c r="AY431" s="57">
        <f t="shared" si="216"/>
        <v>-41.826728920563276</v>
      </c>
      <c r="BA431" s="57">
        <f t="shared" si="217"/>
        <v>46423.423571841311</v>
      </c>
      <c r="BB431" s="57">
        <f t="shared" si="218"/>
        <v>64950.858983868224</v>
      </c>
    </row>
    <row r="432" spans="9:54" x14ac:dyDescent="0.25">
      <c r="I432" s="41">
        <v>427</v>
      </c>
      <c r="J432" s="57">
        <f t="shared" si="192"/>
        <v>21953.655642446367</v>
      </c>
      <c r="K432" s="57">
        <f t="shared" si="193"/>
        <v>12102.524267262203</v>
      </c>
      <c r="M432" s="41">
        <v>427</v>
      </c>
      <c r="N432" s="57">
        <f t="shared" si="194"/>
        <v>-18632.441050287543</v>
      </c>
      <c r="O432" s="57">
        <f t="shared" si="195"/>
        <v>13221.766987083542</v>
      </c>
      <c r="Q432" s="41">
        <v>427</v>
      </c>
      <c r="R432" s="57">
        <f t="shared" si="196"/>
        <v>-3046.3443575536344</v>
      </c>
      <c r="S432" s="41">
        <f t="shared" si="197"/>
        <v>-10397.475732737797</v>
      </c>
      <c r="U432" s="41">
        <v>426</v>
      </c>
      <c r="V432" s="41">
        <f t="shared" si="219"/>
        <v>213</v>
      </c>
      <c r="W432" s="57">
        <f t="shared" si="220"/>
        <v>18695.160232054663</v>
      </c>
      <c r="X432" s="57">
        <f t="shared" si="221"/>
        <v>64638.562499843487</v>
      </c>
      <c r="Y432" s="57">
        <f t="shared" si="222"/>
        <v>3967.6934808113524</v>
      </c>
      <c r="Z432" s="57">
        <f t="shared" si="223"/>
        <v>9163.3948390356127</v>
      </c>
      <c r="AA432" s="57">
        <f t="shared" si="198"/>
        <v>-199.24474517946464</v>
      </c>
      <c r="AB432" s="57">
        <f t="shared" si="199"/>
        <v>-861.37061326877529</v>
      </c>
      <c r="AC432" s="57">
        <f t="shared" si="200"/>
        <v>3.4977149122556628</v>
      </c>
      <c r="AD432" s="57">
        <f t="shared" si="201"/>
        <v>-153.16394168094297</v>
      </c>
      <c r="AE432" s="57">
        <f t="shared" si="202"/>
        <v>-22.780297852071389</v>
      </c>
      <c r="AF432" s="57">
        <f t="shared" si="203"/>
        <v>-32.166367072551118</v>
      </c>
      <c r="AG432" s="57">
        <f t="shared" si="204"/>
        <v>-21.16709563708238</v>
      </c>
      <c r="AH432" s="57">
        <f t="shared" si="205"/>
        <v>-71.141830328436512</v>
      </c>
      <c r="AJ432" s="57">
        <f t="shared" si="206"/>
        <v>57153.45948731828</v>
      </c>
      <c r="AK432" s="57">
        <f t="shared" si="207"/>
        <v>66952.878485048626</v>
      </c>
      <c r="AL432" s="57">
        <f t="shared" si="208"/>
        <v>83088.875642075101</v>
      </c>
      <c r="AN432" s="41">
        <v>427</v>
      </c>
      <c r="AO432" s="57">
        <f t="shared" si="209"/>
        <v>7930.4834636695487</v>
      </c>
      <c r="AP432" s="57">
        <f t="shared" si="210"/>
        <v>21903.786400893303</v>
      </c>
      <c r="AR432" s="41">
        <v>427</v>
      </c>
      <c r="AS432" s="57">
        <f t="shared" si="211"/>
        <v>16367.558949712457</v>
      </c>
      <c r="AT432" s="57">
        <f t="shared" si="212"/>
        <v>-1778.2330129164579</v>
      </c>
      <c r="AV432" s="57">
        <f t="shared" si="213"/>
        <v>-156.86747896672424</v>
      </c>
      <c r="AW432" s="57">
        <f t="shared" si="214"/>
        <v>-568.57138046893829</v>
      </c>
      <c r="AX432" s="57">
        <f t="shared" si="215"/>
        <v>-1.9275876358423085</v>
      </c>
      <c r="AY432" s="57">
        <f t="shared" si="216"/>
        <v>-36.327093717906308</v>
      </c>
      <c r="BA432" s="57">
        <f t="shared" si="217"/>
        <v>51493.148095960489</v>
      </c>
      <c r="BB432" s="57">
        <f t="shared" si="218"/>
        <v>69736.529854769542</v>
      </c>
    </row>
    <row r="433" spans="9:54" x14ac:dyDescent="0.25">
      <c r="I433" s="41">
        <v>428</v>
      </c>
      <c r="J433" s="57">
        <f t="shared" si="192"/>
        <v>21873.032967079562</v>
      </c>
      <c r="K433" s="57">
        <f t="shared" si="193"/>
        <v>12135.919272833937</v>
      </c>
      <c r="M433" s="41">
        <v>428</v>
      </c>
      <c r="N433" s="57">
        <f t="shared" si="194"/>
        <v>-18688.876923044307</v>
      </c>
      <c r="O433" s="57">
        <f t="shared" si="195"/>
        <v>13245.143490983755</v>
      </c>
      <c r="Q433" s="41">
        <v>428</v>
      </c>
      <c r="R433" s="57">
        <f t="shared" si="196"/>
        <v>-3126.9670329204382</v>
      </c>
      <c r="S433" s="41">
        <f t="shared" si="197"/>
        <v>-10364.080727166063</v>
      </c>
      <c r="U433" s="41">
        <v>427</v>
      </c>
      <c r="V433" s="41">
        <f t="shared" si="219"/>
        <v>213.5</v>
      </c>
      <c r="W433" s="57">
        <f t="shared" si="220"/>
        <v>20654.101379312906</v>
      </c>
      <c r="X433" s="57">
        <f t="shared" si="221"/>
        <v>69112.588592702697</v>
      </c>
      <c r="Y433" s="57">
        <f t="shared" si="222"/>
        <v>3868.0711082216203</v>
      </c>
      <c r="Z433" s="57">
        <f t="shared" si="223"/>
        <v>8732.7095324012244</v>
      </c>
      <c r="AA433" s="57">
        <f t="shared" si="198"/>
        <v>-182.36162457132716</v>
      </c>
      <c r="AB433" s="57">
        <f t="shared" si="199"/>
        <v>-739.20851773405229</v>
      </c>
      <c r="AC433" s="57">
        <f t="shared" si="200"/>
        <v>-1.4080729621502586</v>
      </c>
      <c r="AD433" s="57">
        <f t="shared" si="201"/>
        <v>-132.63237606470582</v>
      </c>
      <c r="AE433" s="57">
        <f t="shared" si="202"/>
        <v>-19.493355957360023</v>
      </c>
      <c r="AF433" s="57">
        <f t="shared" si="203"/>
        <v>-28.34407087853846</v>
      </c>
      <c r="AG433" s="57">
        <f t="shared" si="204"/>
        <v>-19.375736045865345</v>
      </c>
      <c r="AH433" s="57">
        <f t="shared" si="205"/>
        <v>-63.527593136467189</v>
      </c>
      <c r="AJ433" s="57">
        <f t="shared" si="206"/>
        <v>61616.060582514176</v>
      </c>
      <c r="AK433" s="57">
        <f t="shared" si="207"/>
        <v>71742.972402107625</v>
      </c>
      <c r="AL433" s="57">
        <f t="shared" si="208"/>
        <v>87937.821654537955</v>
      </c>
      <c r="AN433" s="41">
        <v>428</v>
      </c>
      <c r="AO433" s="57">
        <f t="shared" si="209"/>
        <v>7809.5494506193427</v>
      </c>
      <c r="AP433" s="57">
        <f t="shared" si="210"/>
        <v>21953.878909250903</v>
      </c>
      <c r="AR433" s="41">
        <v>428</v>
      </c>
      <c r="AS433" s="57">
        <f t="shared" si="211"/>
        <v>16311.123076955693</v>
      </c>
      <c r="AT433" s="57">
        <f t="shared" si="212"/>
        <v>-1754.8565090162447</v>
      </c>
      <c r="AV433" s="57">
        <f t="shared" si="213"/>
        <v>-139.64413601355852</v>
      </c>
      <c r="AW433" s="57">
        <f t="shared" si="214"/>
        <v>-482.71730828772638</v>
      </c>
      <c r="AX433" s="57">
        <f t="shared" si="215"/>
        <v>-2.4403235923930127</v>
      </c>
      <c r="AY433" s="57">
        <f t="shared" si="216"/>
        <v>-31.987169366614335</v>
      </c>
      <c r="BA433" s="57">
        <f t="shared" si="217"/>
        <v>56331.369006947672</v>
      </c>
      <c r="BB433" s="57">
        <f t="shared" si="218"/>
        <v>74327.953357527309</v>
      </c>
    </row>
    <row r="434" spans="9:54" x14ac:dyDescent="0.25">
      <c r="I434" s="41">
        <v>429</v>
      </c>
      <c r="J434" s="57">
        <f t="shared" si="192"/>
        <v>21791.839747726499</v>
      </c>
      <c r="K434" s="57">
        <f t="shared" si="193"/>
        <v>12167.90213248601</v>
      </c>
      <c r="M434" s="41">
        <v>429</v>
      </c>
      <c r="N434" s="57">
        <f t="shared" si="194"/>
        <v>-18745.712176591449</v>
      </c>
      <c r="O434" s="57">
        <f t="shared" si="195"/>
        <v>13267.531492740207</v>
      </c>
      <c r="Q434" s="41">
        <v>429</v>
      </c>
      <c r="R434" s="57">
        <f t="shared" si="196"/>
        <v>-3208.1602522735002</v>
      </c>
      <c r="S434" s="41">
        <f t="shared" si="197"/>
        <v>-10332.09786751399</v>
      </c>
      <c r="U434" s="41">
        <v>428</v>
      </c>
      <c r="V434" s="41">
        <f t="shared" si="219"/>
        <v>214</v>
      </c>
      <c r="W434" s="57">
        <f t="shared" si="220"/>
        <v>22565.341730352302</v>
      </c>
      <c r="X434" s="57">
        <f t="shared" si="221"/>
        <v>73386.542294186554</v>
      </c>
      <c r="Y434" s="57">
        <f t="shared" si="222"/>
        <v>3776.8902959359566</v>
      </c>
      <c r="Z434" s="57">
        <f t="shared" si="223"/>
        <v>8363.1052735341982</v>
      </c>
      <c r="AA434" s="57">
        <f t="shared" si="198"/>
        <v>-167.50141594726938</v>
      </c>
      <c r="AB434" s="57">
        <f t="shared" si="199"/>
        <v>-644.15142817543233</v>
      </c>
      <c r="AC434" s="57">
        <f t="shared" si="200"/>
        <v>-4.5284826933983098</v>
      </c>
      <c r="AD434" s="57">
        <f t="shared" si="201"/>
        <v>-116.30655790490125</v>
      </c>
      <c r="AE434" s="57">
        <f t="shared" si="202"/>
        <v>-16.960206043296388</v>
      </c>
      <c r="AF434" s="57">
        <f t="shared" si="203"/>
        <v>-25.256435728670162</v>
      </c>
      <c r="AG434" s="57">
        <f t="shared" si="204"/>
        <v>-17.872319787778292</v>
      </c>
      <c r="AH434" s="57">
        <f t="shared" si="205"/>
        <v>-57.306474349937396</v>
      </c>
      <c r="AJ434" s="57">
        <f t="shared" si="206"/>
        <v>65936.465128767115</v>
      </c>
      <c r="AK434" s="57">
        <f t="shared" si="207"/>
        <v>76352.223678386552</v>
      </c>
      <c r="AL434" s="57">
        <f t="shared" si="208"/>
        <v>92585.252191875188</v>
      </c>
      <c r="AN434" s="41">
        <v>429</v>
      </c>
      <c r="AO434" s="57">
        <f t="shared" si="209"/>
        <v>7687.7596215897502</v>
      </c>
      <c r="AP434" s="57">
        <f t="shared" si="210"/>
        <v>22001.853198729012</v>
      </c>
      <c r="AR434" s="41">
        <v>429</v>
      </c>
      <c r="AS434" s="57">
        <f t="shared" si="211"/>
        <v>16254.287823408549</v>
      </c>
      <c r="AT434" s="57">
        <f t="shared" si="212"/>
        <v>-1732.4685072597936</v>
      </c>
      <c r="AV434" s="57">
        <f t="shared" si="213"/>
        <v>-125.39105803223384</v>
      </c>
      <c r="AW434" s="57">
        <f t="shared" si="214"/>
        <v>-416.79521101836173</v>
      </c>
      <c r="AX434" s="57">
        <f t="shared" si="215"/>
        <v>-2.7493493905625304</v>
      </c>
      <c r="AY434" s="57">
        <f t="shared" si="216"/>
        <v>-28.486749173561769</v>
      </c>
      <c r="BA434" s="57">
        <f t="shared" si="217"/>
        <v>60971.547062337944</v>
      </c>
      <c r="BB434" s="57">
        <f t="shared" si="218"/>
        <v>78750.774017372736</v>
      </c>
    </row>
    <row r="435" spans="9:54" x14ac:dyDescent="0.25">
      <c r="I435" s="41">
        <v>430</v>
      </c>
      <c r="J435" s="57">
        <f t="shared" si="192"/>
        <v>21710.100716628349</v>
      </c>
      <c r="K435" s="57">
        <f t="shared" si="193"/>
        <v>12198.463103929542</v>
      </c>
      <c r="M435" s="41">
        <v>430</v>
      </c>
      <c r="N435" s="57">
        <f t="shared" si="194"/>
        <v>-18802.929498360158</v>
      </c>
      <c r="O435" s="57">
        <f t="shared" si="195"/>
        <v>13288.924172750678</v>
      </c>
      <c r="Q435" s="41">
        <v>430</v>
      </c>
      <c r="R435" s="57">
        <f t="shared" si="196"/>
        <v>-3289.8992833716525</v>
      </c>
      <c r="S435" s="41">
        <f t="shared" si="197"/>
        <v>-10301.536896070458</v>
      </c>
      <c r="U435" s="41">
        <v>429</v>
      </c>
      <c r="V435" s="41">
        <f t="shared" si="219"/>
        <v>214.5</v>
      </c>
      <c r="W435" s="57">
        <f t="shared" si="220"/>
        <v>24432.84920132687</v>
      </c>
      <c r="X435" s="57">
        <f t="shared" si="221"/>
        <v>77487.576002431728</v>
      </c>
      <c r="Y435" s="57">
        <f t="shared" si="222"/>
        <v>3693.1395879623219</v>
      </c>
      <c r="Z435" s="57">
        <f t="shared" si="223"/>
        <v>8041.0295594464824</v>
      </c>
      <c r="AA435" s="57">
        <f t="shared" si="198"/>
        <v>-154.48959932677025</v>
      </c>
      <c r="AB435" s="57">
        <f t="shared" si="199"/>
        <v>-568.46853402190209</v>
      </c>
      <c r="AC435" s="57">
        <f t="shared" si="200"/>
        <v>-6.5297590420806548</v>
      </c>
      <c r="AD435" s="57">
        <f t="shared" si="201"/>
        <v>-103.09441771635109</v>
      </c>
      <c r="AE435" s="57">
        <f t="shared" si="202"/>
        <v>-14.957907982724954</v>
      </c>
      <c r="AF435" s="57">
        <f t="shared" si="203"/>
        <v>-22.719068661286418</v>
      </c>
      <c r="AG435" s="57">
        <f t="shared" si="204"/>
        <v>-16.590473695922615</v>
      </c>
      <c r="AH435" s="57">
        <f t="shared" si="205"/>
        <v>-52.132659205783376</v>
      </c>
      <c r="AJ435" s="57">
        <f t="shared" si="206"/>
        <v>70127.818636671291</v>
      </c>
      <c r="AK435" s="57">
        <f t="shared" si="207"/>
        <v>80801.305700043318</v>
      </c>
      <c r="AL435" s="57">
        <f t="shared" si="208"/>
        <v>97057.943141783267</v>
      </c>
      <c r="AN435" s="41">
        <v>430</v>
      </c>
      <c r="AO435" s="57">
        <f t="shared" si="209"/>
        <v>7565.1510749425215</v>
      </c>
      <c r="AP435" s="57">
        <f t="shared" si="210"/>
        <v>22047.694655894309</v>
      </c>
      <c r="AR435" s="41">
        <v>430</v>
      </c>
      <c r="AS435" s="57">
        <f t="shared" si="211"/>
        <v>16197.070501639842</v>
      </c>
      <c r="AT435" s="57">
        <f t="shared" si="212"/>
        <v>-1711.0758272493217</v>
      </c>
      <c r="AV435" s="57">
        <f t="shared" si="213"/>
        <v>-113.48264362145741</v>
      </c>
      <c r="AW435" s="57">
        <f t="shared" si="214"/>
        <v>-364.91073670084904</v>
      </c>
      <c r="AX435" s="57">
        <f t="shared" si="215"/>
        <v>-2.9288149845846267</v>
      </c>
      <c r="AY435" s="57">
        <f t="shared" si="216"/>
        <v>-25.611651737632148</v>
      </c>
      <c r="BA435" s="57">
        <f t="shared" si="217"/>
        <v>65439.535318805494</v>
      </c>
      <c r="BB435" s="57">
        <f t="shared" si="218"/>
        <v>83025.169911370394</v>
      </c>
    </row>
    <row r="436" spans="9:54" x14ac:dyDescent="0.25">
      <c r="I436" s="41">
        <v>431</v>
      </c>
      <c r="J436" s="57">
        <f t="shared" si="192"/>
        <v>21627.840772285785</v>
      </c>
      <c r="K436" s="57">
        <f t="shared" si="193"/>
        <v>12227.592877996583</v>
      </c>
      <c r="M436" s="41">
        <v>431</v>
      </c>
      <c r="N436" s="57">
        <f t="shared" si="194"/>
        <v>-18860.51145939995</v>
      </c>
      <c r="O436" s="57">
        <f t="shared" si="195"/>
        <v>13309.315014597609</v>
      </c>
      <c r="Q436" s="41">
        <v>431</v>
      </c>
      <c r="R436" s="57">
        <f t="shared" si="196"/>
        <v>-3372.1592277142163</v>
      </c>
      <c r="S436" s="41">
        <f t="shared" si="197"/>
        <v>-10272.407122003417</v>
      </c>
      <c r="U436" s="41">
        <v>430</v>
      </c>
      <c r="V436" s="41">
        <f t="shared" si="219"/>
        <v>215</v>
      </c>
      <c r="W436" s="57">
        <f t="shared" si="220"/>
        <v>26260.107795392185</v>
      </c>
      <c r="X436" s="57">
        <f t="shared" si="221"/>
        <v>81437.032215402229</v>
      </c>
      <c r="Y436" s="57">
        <f t="shared" si="222"/>
        <v>3615.8947882989369</v>
      </c>
      <c r="Z436" s="57">
        <f t="shared" si="223"/>
        <v>7756.7952924355313</v>
      </c>
      <c r="AA436" s="57">
        <f t="shared" si="198"/>
        <v>-143.08899332782516</v>
      </c>
      <c r="AB436" s="57">
        <f t="shared" si="199"/>
        <v>-507.03419296082899</v>
      </c>
      <c r="AC436" s="57">
        <f t="shared" si="200"/>
        <v>-7.8093605203628602</v>
      </c>
      <c r="AD436" s="57">
        <f t="shared" si="201"/>
        <v>-92.234983685226766</v>
      </c>
      <c r="AE436" s="57">
        <f t="shared" si="202"/>
        <v>-13.341581517703007</v>
      </c>
      <c r="AF436" s="57">
        <f t="shared" si="203"/>
        <v>-20.602697099194788</v>
      </c>
      <c r="AG436" s="57">
        <f t="shared" si="204"/>
        <v>-15.483274616130869</v>
      </c>
      <c r="AH436" s="57">
        <f t="shared" si="205"/>
        <v>-47.76570390380509</v>
      </c>
      <c r="AJ436" s="57">
        <f t="shared" si="206"/>
        <v>74201.574662747938</v>
      </c>
      <c r="AK436" s="57">
        <f t="shared" si="207"/>
        <v>85107.268461546351</v>
      </c>
      <c r="AL436" s="57">
        <f t="shared" si="208"/>
        <v>101376.99700570178</v>
      </c>
      <c r="AN436" s="41">
        <v>431</v>
      </c>
      <c r="AO436" s="57">
        <f t="shared" si="209"/>
        <v>7441.7611584286751</v>
      </c>
      <c r="AP436" s="57">
        <f t="shared" si="210"/>
        <v>22091.389316994875</v>
      </c>
      <c r="AR436" s="41">
        <v>431</v>
      </c>
      <c r="AS436" s="57">
        <f t="shared" si="211"/>
        <v>16139.488540600049</v>
      </c>
      <c r="AT436" s="57">
        <f t="shared" si="212"/>
        <v>-1690.6849854023912</v>
      </c>
      <c r="AV436" s="57">
        <f t="shared" si="213"/>
        <v>-103.43074852954321</v>
      </c>
      <c r="AW436" s="57">
        <f t="shared" si="214"/>
        <v>-323.21717454366592</v>
      </c>
      <c r="AX436" s="57">
        <f t="shared" si="215"/>
        <v>-3.0240281440852073</v>
      </c>
      <c r="AY436" s="57">
        <f t="shared" si="216"/>
        <v>-23.213633728936429</v>
      </c>
      <c r="BA436" s="57">
        <f t="shared" si="217"/>
        <v>69755.798562285054</v>
      </c>
      <c r="BB436" s="57">
        <f t="shared" si="218"/>
        <v>87167.370992650307</v>
      </c>
    </row>
    <row r="437" spans="9:54" x14ac:dyDescent="0.25">
      <c r="I437" s="41">
        <v>432</v>
      </c>
      <c r="J437" s="57">
        <f t="shared" si="192"/>
        <v>21545.084971874738</v>
      </c>
      <c r="K437" s="57">
        <f t="shared" si="193"/>
        <v>12255.282581475767</v>
      </c>
      <c r="M437" s="41">
        <v>432</v>
      </c>
      <c r="N437" s="57">
        <f t="shared" si="194"/>
        <v>-18918.440519687683</v>
      </c>
      <c r="O437" s="57">
        <f t="shared" si="195"/>
        <v>13328.697807033037</v>
      </c>
      <c r="Q437" s="41">
        <v>432</v>
      </c>
      <c r="R437" s="57">
        <f t="shared" si="196"/>
        <v>-3454.9150281252614</v>
      </c>
      <c r="S437" s="41">
        <f t="shared" si="197"/>
        <v>-10244.717418524233</v>
      </c>
      <c r="U437" s="41">
        <v>431</v>
      </c>
      <c r="V437" s="41">
        <f t="shared" si="219"/>
        <v>215.5</v>
      </c>
      <c r="W437" s="57">
        <f t="shared" si="220"/>
        <v>28050.169065375674</v>
      </c>
      <c r="X437" s="57">
        <f t="shared" si="221"/>
        <v>85252.050587499893</v>
      </c>
      <c r="Y437" s="57">
        <f t="shared" si="222"/>
        <v>3544.3502916350244</v>
      </c>
      <c r="Z437" s="57">
        <f t="shared" si="223"/>
        <v>7503.2781959551166</v>
      </c>
      <c r="AA437" s="57">
        <f t="shared" si="198"/>
        <v>-133.06748999646848</v>
      </c>
      <c r="AB437" s="57">
        <f t="shared" si="199"/>
        <v>-456.33800880615007</v>
      </c>
      <c r="AC437" s="57">
        <f t="shared" si="200"/>
        <v>-8.612845359469036</v>
      </c>
      <c r="AD437" s="57">
        <f t="shared" si="201"/>
        <v>-83.186624113527131</v>
      </c>
      <c r="AE437" s="57">
        <f t="shared" si="202"/>
        <v>-12.013514493448046</v>
      </c>
      <c r="AF437" s="57">
        <f t="shared" si="203"/>
        <v>-18.814535265518057</v>
      </c>
      <c r="AG437" s="57">
        <f t="shared" si="204"/>
        <v>-14.516479824070041</v>
      </c>
      <c r="AH437" s="57">
        <f t="shared" si="205"/>
        <v>-44.033265512088207</v>
      </c>
      <c r="AJ437" s="57">
        <f t="shared" si="206"/>
        <v>78167.6825327595</v>
      </c>
      <c r="AK437" s="57">
        <f t="shared" si="207"/>
        <v>89284.320375051451</v>
      </c>
      <c r="AL437" s="57">
        <f t="shared" si="208"/>
        <v>105559.40186571992</v>
      </c>
      <c r="AN437" s="41">
        <v>432</v>
      </c>
      <c r="AO437" s="57">
        <f t="shared" si="209"/>
        <v>7317.6274578121083</v>
      </c>
      <c r="AP437" s="57">
        <f t="shared" si="210"/>
        <v>22132.923872213651</v>
      </c>
      <c r="AR437" s="41">
        <v>432</v>
      </c>
      <c r="AS437" s="57">
        <f t="shared" si="211"/>
        <v>16081.559480312317</v>
      </c>
      <c r="AT437" s="57">
        <f t="shared" si="212"/>
        <v>-1671.3021929669626</v>
      </c>
      <c r="AV437" s="57">
        <f t="shared" si="213"/>
        <v>-94.861063121920566</v>
      </c>
      <c r="AW437" s="57">
        <f t="shared" si="214"/>
        <v>-289.11650002757017</v>
      </c>
      <c r="AX437" s="57">
        <f t="shared" si="215"/>
        <v>-3.0635871975607896</v>
      </c>
      <c r="AY437" s="57">
        <f t="shared" si="216"/>
        <v>-21.18708388744648</v>
      </c>
      <c r="BA437" s="57">
        <f t="shared" si="217"/>
        <v>73936.871083993305</v>
      </c>
      <c r="BB437" s="57">
        <f t="shared" si="218"/>
        <v>91190.676869313393</v>
      </c>
    </row>
    <row r="438" spans="9:54" x14ac:dyDescent="0.25">
      <c r="I438" s="41">
        <v>433</v>
      </c>
      <c r="J438" s="57">
        <f t="shared" si="192"/>
        <v>21461.858523613682</v>
      </c>
      <c r="K438" s="57">
        <f t="shared" si="193"/>
        <v>12281.523779815177</v>
      </c>
      <c r="M438" s="41">
        <v>433</v>
      </c>
      <c r="N438" s="57">
        <f t="shared" si="194"/>
        <v>-18976.699033470424</v>
      </c>
      <c r="O438" s="57">
        <f t="shared" si="195"/>
        <v>13347.066645870626</v>
      </c>
      <c r="Q438" s="41">
        <v>433</v>
      </c>
      <c r="R438" s="57">
        <f t="shared" si="196"/>
        <v>-3538.1414763863186</v>
      </c>
      <c r="S438" s="41">
        <f t="shared" si="197"/>
        <v>-10218.476220184823</v>
      </c>
      <c r="U438" s="41">
        <v>432</v>
      </c>
      <c r="V438" s="41">
        <f t="shared" si="219"/>
        <v>216</v>
      </c>
      <c r="W438" s="57">
        <f t="shared" si="220"/>
        <v>29805.710774943629</v>
      </c>
      <c r="X438" s="57">
        <f t="shared" si="221"/>
        <v>88946.647434376689</v>
      </c>
      <c r="Y438" s="57">
        <f t="shared" si="222"/>
        <v>3477.81654663679</v>
      </c>
      <c r="Z438" s="57">
        <f t="shared" si="223"/>
        <v>7275.1091915520419</v>
      </c>
      <c r="AA438" s="57">
        <f t="shared" si="198"/>
        <v>-124.21939359208531</v>
      </c>
      <c r="AB438" s="57">
        <f t="shared" si="199"/>
        <v>-413.90678898288138</v>
      </c>
      <c r="AC438" s="57">
        <f t="shared" si="200"/>
        <v>-9.0965029541228066</v>
      </c>
      <c r="AD438" s="57">
        <f t="shared" si="201"/>
        <v>-75.555937350647113</v>
      </c>
      <c r="AE438" s="57">
        <f t="shared" si="202"/>
        <v>-10.905698388621257</v>
      </c>
      <c r="AF438" s="57">
        <f t="shared" si="203"/>
        <v>-17.286538276756616</v>
      </c>
      <c r="AG438" s="57">
        <f t="shared" si="204"/>
        <v>-13.664438478638003</v>
      </c>
      <c r="AH438" s="57">
        <f t="shared" si="205"/>
        <v>-40.808606901090236</v>
      </c>
      <c r="AJ438" s="57">
        <f t="shared" si="206"/>
        <v>82034.799579821643</v>
      </c>
      <c r="AK438" s="57">
        <f t="shared" si="207"/>
        <v>93344.426544519039</v>
      </c>
      <c r="AL438" s="57">
        <f t="shared" si="208"/>
        <v>109619.08143838661</v>
      </c>
      <c r="AN438" s="41">
        <v>433</v>
      </c>
      <c r="AO438" s="57">
        <f t="shared" si="209"/>
        <v>7192.7877854205226</v>
      </c>
      <c r="AP438" s="57">
        <f t="shared" si="210"/>
        <v>22172.285669722765</v>
      </c>
      <c r="AR438" s="41">
        <v>433</v>
      </c>
      <c r="AS438" s="57">
        <f t="shared" si="211"/>
        <v>16023.300966529578</v>
      </c>
      <c r="AT438" s="57">
        <f t="shared" si="212"/>
        <v>-1652.9333541293754</v>
      </c>
      <c r="AV438" s="57">
        <f t="shared" si="213"/>
        <v>-87.486722586713853</v>
      </c>
      <c r="AW438" s="57">
        <f t="shared" si="214"/>
        <v>-260.80082481827412</v>
      </c>
      <c r="AX438" s="57">
        <f t="shared" si="215"/>
        <v>-3.0660311839893963</v>
      </c>
      <c r="AY438" s="57">
        <f t="shared" si="216"/>
        <v>-19.454881636113345</v>
      </c>
      <c r="BA438" s="57">
        <f t="shared" si="217"/>
        <v>77996.345772312721</v>
      </c>
      <c r="BB438" s="57">
        <f t="shared" si="218"/>
        <v>95106.159820015644</v>
      </c>
    </row>
    <row r="439" spans="9:54" x14ac:dyDescent="0.25">
      <c r="I439" s="41">
        <v>434</v>
      </c>
      <c r="J439" s="57">
        <f t="shared" si="192"/>
        <v>21378.186779085001</v>
      </c>
      <c r="K439" s="57">
        <f t="shared" si="193"/>
        <v>12306.308479691594</v>
      </c>
      <c r="M439" s="41">
        <v>434</v>
      </c>
      <c r="N439" s="57">
        <f t="shared" si="194"/>
        <v>-19035.269254640501</v>
      </c>
      <c r="O439" s="57">
        <f t="shared" si="195"/>
        <v>13364.415935784116</v>
      </c>
      <c r="Q439" s="41">
        <v>434</v>
      </c>
      <c r="R439" s="57">
        <f t="shared" si="196"/>
        <v>-3621.8132209150008</v>
      </c>
      <c r="S439" s="41">
        <f t="shared" si="197"/>
        <v>-10193.691520308406</v>
      </c>
      <c r="U439" s="41">
        <v>433</v>
      </c>
      <c r="V439" s="41">
        <f t="shared" si="219"/>
        <v>216.5</v>
      </c>
      <c r="W439" s="57">
        <f t="shared" si="220"/>
        <v>31529.09162406301</v>
      </c>
      <c r="X439" s="57">
        <f t="shared" si="221"/>
        <v>92532.463681529844</v>
      </c>
      <c r="Y439" s="57">
        <f t="shared" si="222"/>
        <v>3415.7068498407475</v>
      </c>
      <c r="Z439" s="57">
        <f t="shared" si="223"/>
        <v>7068.1557970606009</v>
      </c>
      <c r="AA439" s="57">
        <f t="shared" si="198"/>
        <v>-116.36949917544143</v>
      </c>
      <c r="AB439" s="57">
        <f t="shared" si="199"/>
        <v>-377.95446194498828</v>
      </c>
      <c r="AC439" s="57">
        <f t="shared" si="200"/>
        <v>-9.3623561681293079</v>
      </c>
      <c r="AD439" s="57">
        <f t="shared" si="201"/>
        <v>-69.051772403162175</v>
      </c>
      <c r="AE439" s="57">
        <f t="shared" si="202"/>
        <v>-9.9695031734333597</v>
      </c>
      <c r="AF439" s="57">
        <f t="shared" si="203"/>
        <v>-15.967827738691426</v>
      </c>
      <c r="AG439" s="57">
        <f t="shared" si="204"/>
        <v>-12.907510265820893</v>
      </c>
      <c r="AH439" s="57">
        <f t="shared" si="205"/>
        <v>-37.9964657529028</v>
      </c>
      <c r="AJ439" s="57">
        <f t="shared" si="206"/>
        <v>85810.487898780368</v>
      </c>
      <c r="AK439" s="57">
        <f t="shared" si="207"/>
        <v>97297.763822937486</v>
      </c>
      <c r="AL439" s="57">
        <f t="shared" si="208"/>
        <v>113567.62426104865</v>
      </c>
      <c r="AN439" s="41">
        <v>434</v>
      </c>
      <c r="AO439" s="57">
        <f t="shared" si="209"/>
        <v>7067.2801686274988</v>
      </c>
      <c r="AP439" s="57">
        <f t="shared" si="210"/>
        <v>22209.462719537391</v>
      </c>
      <c r="AR439" s="41">
        <v>434</v>
      </c>
      <c r="AS439" s="57">
        <f t="shared" si="211"/>
        <v>15964.730745359499</v>
      </c>
      <c r="AT439" s="57">
        <f t="shared" si="212"/>
        <v>-1635.5840642158846</v>
      </c>
      <c r="AV439" s="57">
        <f t="shared" si="213"/>
        <v>-81.08648497892888</v>
      </c>
      <c r="AW439" s="57">
        <f t="shared" si="214"/>
        <v>-236.97890002344798</v>
      </c>
      <c r="AX439" s="57">
        <f t="shared" si="215"/>
        <v>-3.0436445891289807</v>
      </c>
      <c r="AY439" s="57">
        <f t="shared" si="216"/>
        <v>-17.959496026783931</v>
      </c>
      <c r="BA439" s="57">
        <f t="shared" si="217"/>
        <v>81945.565022920389</v>
      </c>
      <c r="BB439" s="57">
        <f t="shared" si="218"/>
        <v>98923.163827819459</v>
      </c>
    </row>
    <row r="440" spans="9:54" x14ac:dyDescent="0.25">
      <c r="I440" s="41">
        <v>435</v>
      </c>
      <c r="J440" s="57">
        <f t="shared" si="192"/>
        <v>21294.095225512603</v>
      </c>
      <c r="K440" s="57">
        <f t="shared" si="193"/>
        <v>12329.629131445341</v>
      </c>
      <c r="M440" s="41">
        <v>435</v>
      </c>
      <c r="N440" s="57">
        <f t="shared" si="194"/>
        <v>-19094.133342141176</v>
      </c>
      <c r="O440" s="57">
        <f t="shared" si="195"/>
        <v>13380.740392011739</v>
      </c>
      <c r="Q440" s="41">
        <v>435</v>
      </c>
      <c r="R440" s="57">
        <f t="shared" si="196"/>
        <v>-3705.904774487396</v>
      </c>
      <c r="S440" s="41">
        <f t="shared" si="197"/>
        <v>-10170.370868554659</v>
      </c>
      <c r="U440" s="41">
        <v>434</v>
      </c>
      <c r="V440" s="41">
        <f t="shared" si="219"/>
        <v>217</v>
      </c>
      <c r="W440" s="57">
        <f t="shared" si="220"/>
        <v>33222.398861586451</v>
      </c>
      <c r="X440" s="57">
        <f t="shared" si="221"/>
        <v>96019.297272317024</v>
      </c>
      <c r="Y440" s="57">
        <f t="shared" si="222"/>
        <v>3357.522100253027</v>
      </c>
      <c r="Z440" s="57">
        <f t="shared" si="223"/>
        <v>6879.1785660881069</v>
      </c>
      <c r="AA440" s="57">
        <f t="shared" si="198"/>
        <v>-109.37103369105938</v>
      </c>
      <c r="AB440" s="57">
        <f t="shared" si="199"/>
        <v>-347.1628965324615</v>
      </c>
      <c r="AC440" s="57">
        <f t="shared" si="200"/>
        <v>-9.4784562129234189</v>
      </c>
      <c r="AD440" s="57">
        <f t="shared" si="201"/>
        <v>-63.454921605181426</v>
      </c>
      <c r="AE440" s="57">
        <f t="shared" si="202"/>
        <v>-9.1693330023277877</v>
      </c>
      <c r="AF440" s="57">
        <f t="shared" si="203"/>
        <v>-14.819692426253603</v>
      </c>
      <c r="AG440" s="57">
        <f t="shared" si="204"/>
        <v>-12.230374145187184</v>
      </c>
      <c r="AH440" s="57">
        <f t="shared" si="205"/>
        <v>-35.523870385351294</v>
      </c>
      <c r="AJ440" s="57">
        <f t="shared" si="206"/>
        <v>89501.384465491457</v>
      </c>
      <c r="AK440" s="57">
        <f t="shared" si="207"/>
        <v>101153.06838551683</v>
      </c>
      <c r="AL440" s="57">
        <f t="shared" si="208"/>
        <v>117414.8037581859</v>
      </c>
      <c r="AN440" s="41">
        <v>435</v>
      </c>
      <c r="AO440" s="57">
        <f t="shared" si="209"/>
        <v>6941.1428382689055</v>
      </c>
      <c r="AP440" s="57">
        <f t="shared" si="210"/>
        <v>22244.443697168012</v>
      </c>
      <c r="AR440" s="41">
        <v>435</v>
      </c>
      <c r="AS440" s="57">
        <f t="shared" si="211"/>
        <v>15905.866657858822</v>
      </c>
      <c r="AT440" s="57">
        <f t="shared" si="212"/>
        <v>-1619.259607988261</v>
      </c>
      <c r="AV440" s="57">
        <f t="shared" si="213"/>
        <v>-75.488155419375133</v>
      </c>
      <c r="AW440" s="57">
        <f t="shared" si="214"/>
        <v>-216.70720956274613</v>
      </c>
      <c r="AX440" s="57">
        <f t="shared" si="215"/>
        <v>-3.0047149112458582</v>
      </c>
      <c r="AY440" s="57">
        <f t="shared" si="216"/>
        <v>-16.657202552929036</v>
      </c>
      <c r="BA440" s="57">
        <f t="shared" si="217"/>
        <v>85794.115928789397</v>
      </c>
      <c r="BB440" s="57">
        <f t="shared" si="218"/>
        <v>102649.66751852393</v>
      </c>
    </row>
    <row r="441" spans="9:54" x14ac:dyDescent="0.25">
      <c r="I441" s="41">
        <v>436</v>
      </c>
      <c r="J441" s="57">
        <f t="shared" si="192"/>
        <v>21209.609477998343</v>
      </c>
      <c r="K441" s="57">
        <f t="shared" si="193"/>
        <v>12351.478631379981</v>
      </c>
      <c r="M441" s="41">
        <v>436</v>
      </c>
      <c r="N441" s="57">
        <f t="shared" si="194"/>
        <v>-19153.273365401161</v>
      </c>
      <c r="O441" s="57">
        <f t="shared" si="195"/>
        <v>13396.035041965986</v>
      </c>
      <c r="Q441" s="41">
        <v>436</v>
      </c>
      <c r="R441" s="57">
        <f t="shared" si="196"/>
        <v>-3790.3905220016559</v>
      </c>
      <c r="S441" s="41">
        <f t="shared" si="197"/>
        <v>-10148.521368620019</v>
      </c>
      <c r="U441" s="41">
        <v>435</v>
      </c>
      <c r="V441" s="41">
        <f t="shared" si="219"/>
        <v>217.5</v>
      </c>
      <c r="W441" s="57">
        <f t="shared" si="220"/>
        <v>34887.488532501586</v>
      </c>
      <c r="X441" s="57">
        <f t="shared" si="221"/>
        <v>99415.491193294525</v>
      </c>
      <c r="Y441" s="57">
        <f t="shared" si="222"/>
        <v>3302.8365834074975</v>
      </c>
      <c r="Z441" s="57">
        <f t="shared" si="223"/>
        <v>6705.5971178218761</v>
      </c>
      <c r="AA441" s="57">
        <f t="shared" si="198"/>
        <v>-103.10178171063316</v>
      </c>
      <c r="AB441" s="57">
        <f t="shared" si="199"/>
        <v>-320.54052363221643</v>
      </c>
      <c r="AC441" s="57">
        <f t="shared" si="200"/>
        <v>-9.4910361544811472</v>
      </c>
      <c r="AD441" s="57">
        <f t="shared" si="201"/>
        <v>-58.59774455361844</v>
      </c>
      <c r="AE441" s="57">
        <f t="shared" si="202"/>
        <v>-8.4785951183317234</v>
      </c>
      <c r="AF441" s="57">
        <f t="shared" si="203"/>
        <v>-13.812214174925881</v>
      </c>
      <c r="AG441" s="57">
        <f t="shared" si="204"/>
        <v>-11.620885000972642</v>
      </c>
      <c r="AH441" s="57">
        <f t="shared" si="205"/>
        <v>-33.33399304906515</v>
      </c>
      <c r="AJ441" s="57">
        <f t="shared" si="206"/>
        <v>93113.344028178748</v>
      </c>
      <c r="AK441" s="57">
        <f t="shared" si="207"/>
        <v>104917.90344237548</v>
      </c>
      <c r="AL441" s="57">
        <f t="shared" si="208"/>
        <v>121168.95793243953</v>
      </c>
      <c r="AN441" s="41">
        <v>436</v>
      </c>
      <c r="AO441" s="57">
        <f t="shared" si="209"/>
        <v>6814.4142169975157</v>
      </c>
      <c r="AP441" s="57">
        <f t="shared" si="210"/>
        <v>22277.21794706997</v>
      </c>
      <c r="AR441" s="41">
        <v>436</v>
      </c>
      <c r="AS441" s="57">
        <f t="shared" si="211"/>
        <v>15846.726634598841</v>
      </c>
      <c r="AT441" s="57">
        <f t="shared" si="212"/>
        <v>-1603.9649580340133</v>
      </c>
      <c r="AV441" s="57">
        <f t="shared" si="213"/>
        <v>-70.556350663842281</v>
      </c>
      <c r="AW441" s="57">
        <f t="shared" si="214"/>
        <v>-199.28235159731091</v>
      </c>
      <c r="AX441" s="57">
        <f t="shared" si="215"/>
        <v>-2.9549147730053686</v>
      </c>
      <c r="AY441" s="57">
        <f t="shared" si="216"/>
        <v>-15.514220257295998</v>
      </c>
      <c r="BA441" s="57">
        <f t="shared" si="217"/>
        <v>89550.193322994004</v>
      </c>
      <c r="BB441" s="57">
        <f t="shared" si="218"/>
        <v>106292.55383735659</v>
      </c>
    </row>
    <row r="442" spans="9:54" x14ac:dyDescent="0.25">
      <c r="I442" s="41">
        <v>437</v>
      </c>
      <c r="J442" s="57">
        <f t="shared" si="192"/>
        <v>21124.755271719328</v>
      </c>
      <c r="K442" s="57">
        <f t="shared" si="193"/>
        <v>12371.850323926175</v>
      </c>
      <c r="M442" s="41">
        <v>437</v>
      </c>
      <c r="N442" s="57">
        <f t="shared" si="194"/>
        <v>-19212.671309796471</v>
      </c>
      <c r="O442" s="57">
        <f t="shared" si="195"/>
        <v>13410.295226748323</v>
      </c>
      <c r="Q442" s="41">
        <v>437</v>
      </c>
      <c r="R442" s="57">
        <f t="shared" si="196"/>
        <v>-3875.2447282806734</v>
      </c>
      <c r="S442" s="41">
        <f t="shared" si="197"/>
        <v>-10128.149676073825</v>
      </c>
      <c r="U442" s="41">
        <v>436</v>
      </c>
      <c r="V442" s="41">
        <f t="shared" si="219"/>
        <v>218</v>
      </c>
      <c r="W442" s="57">
        <f t="shared" si="220"/>
        <v>36526.019101491504</v>
      </c>
      <c r="X442" s="57">
        <f t="shared" si="221"/>
        <v>102728.22218675145</v>
      </c>
      <c r="Y442" s="57">
        <f t="shared" si="222"/>
        <v>3251.285692552181</v>
      </c>
      <c r="Z442" s="57">
        <f t="shared" si="223"/>
        <v>6545.3268560057677</v>
      </c>
      <c r="AA442" s="57">
        <f t="shared" si="198"/>
        <v>-97.46004596179182</v>
      </c>
      <c r="AB442" s="57">
        <f t="shared" si="199"/>
        <v>-297.32867700387254</v>
      </c>
      <c r="AC442" s="57">
        <f t="shared" si="200"/>
        <v>-9.4319990335991211</v>
      </c>
      <c r="AD442" s="57">
        <f t="shared" si="201"/>
        <v>-54.350203404747262</v>
      </c>
      <c r="AE442" s="57">
        <f t="shared" si="202"/>
        <v>-7.8770622942193276</v>
      </c>
      <c r="AF442" s="57">
        <f t="shared" si="203"/>
        <v>-12.921942747919051</v>
      </c>
      <c r="AG442" s="57">
        <f t="shared" si="204"/>
        <v>-11.069279661974575</v>
      </c>
      <c r="AH442" s="57">
        <f t="shared" si="205"/>
        <v>-31.381929780151388</v>
      </c>
      <c r="AJ442" s="57">
        <f t="shared" si="206"/>
        <v>96651.557712186725</v>
      </c>
      <c r="AK442" s="57">
        <f t="shared" si="207"/>
        <v>108598.86751425047</v>
      </c>
      <c r="AL442" s="57">
        <f t="shared" si="208"/>
        <v>124837.27232549801</v>
      </c>
      <c r="AN442" s="41">
        <v>437</v>
      </c>
      <c r="AO442" s="57">
        <f t="shared" si="209"/>
        <v>6687.1329075789909</v>
      </c>
      <c r="AP442" s="57">
        <f t="shared" si="210"/>
        <v>22307.775485889262</v>
      </c>
      <c r="AR442" s="41">
        <v>437</v>
      </c>
      <c r="AS442" s="57">
        <f t="shared" si="211"/>
        <v>15787.328690203529</v>
      </c>
      <c r="AT442" s="57">
        <f t="shared" si="212"/>
        <v>-1589.7047732516771</v>
      </c>
      <c r="AV442" s="57">
        <f t="shared" si="213"/>
        <v>-66.18353365839377</v>
      </c>
      <c r="AW442" s="57">
        <f t="shared" si="214"/>
        <v>-184.17053314584908</v>
      </c>
      <c r="AX442" s="57">
        <f t="shared" si="215"/>
        <v>-2.8981713136050171</v>
      </c>
      <c r="AY442" s="57">
        <f t="shared" si="216"/>
        <v>-14.504067925205815</v>
      </c>
      <c r="BA442" s="57">
        <f t="shared" si="217"/>
        <v>93220.871313433003</v>
      </c>
      <c r="BB442" s="57">
        <f t="shared" si="218"/>
        <v>109857.81425950483</v>
      </c>
    </row>
    <row r="443" spans="9:54" x14ac:dyDescent="0.25">
      <c r="I443" s="41">
        <v>438</v>
      </c>
      <c r="J443" s="57">
        <f t="shared" si="192"/>
        <v>21039.558454088794</v>
      </c>
      <c r="K443" s="57">
        <f t="shared" si="193"/>
        <v>12390.738003669028</v>
      </c>
      <c r="M443" s="41">
        <v>438</v>
      </c>
      <c r="N443" s="57">
        <f t="shared" si="194"/>
        <v>-19272.309082137843</v>
      </c>
      <c r="O443" s="57">
        <f t="shared" si="195"/>
        <v>13423.516602568319</v>
      </c>
      <c r="Q443" s="41">
        <v>438</v>
      </c>
      <c r="R443" s="57">
        <f t="shared" si="196"/>
        <v>-3960.4415459112051</v>
      </c>
      <c r="S443" s="41">
        <f t="shared" si="197"/>
        <v>-10109.261996330972</v>
      </c>
      <c r="U443" s="41">
        <v>437</v>
      </c>
      <c r="V443" s="41">
        <f t="shared" si="219"/>
        <v>218.5</v>
      </c>
      <c r="W443" s="57">
        <f t="shared" si="220"/>
        <v>38139.47944202237</v>
      </c>
      <c r="X443" s="57">
        <f t="shared" si="221"/>
        <v>105963.71953012884</v>
      </c>
      <c r="Y443" s="57">
        <f t="shared" si="222"/>
        <v>3202.5556695712849</v>
      </c>
      <c r="Z443" s="57">
        <f t="shared" si="223"/>
        <v>6396.6625175038316</v>
      </c>
      <c r="AA443" s="57">
        <f t="shared" si="198"/>
        <v>-92.361020425008817</v>
      </c>
      <c r="AB443" s="57">
        <f t="shared" si="199"/>
        <v>-276.93804661472342</v>
      </c>
      <c r="AC443" s="57">
        <f t="shared" si="200"/>
        <v>-9.3236491250955815</v>
      </c>
      <c r="AD443" s="57">
        <f t="shared" si="201"/>
        <v>-50.610116755830681</v>
      </c>
      <c r="AE443" s="57">
        <f t="shared" si="202"/>
        <v>-7.3491018362734861</v>
      </c>
      <c r="AF443" s="57">
        <f t="shared" si="203"/>
        <v>-12.130262502914009</v>
      </c>
      <c r="AG443" s="57">
        <f t="shared" si="204"/>
        <v>-10.567612560248849</v>
      </c>
      <c r="AH443" s="57">
        <f t="shared" si="205"/>
        <v>-29.631737294349747</v>
      </c>
      <c r="AJ443" s="57">
        <f t="shared" si="206"/>
        <v>100120.65110722875</v>
      </c>
      <c r="AK443" s="57">
        <f t="shared" si="207"/>
        <v>112201.75816735926</v>
      </c>
      <c r="AL443" s="57">
        <f t="shared" si="208"/>
        <v>128425.99475609424</v>
      </c>
      <c r="AN443" s="41">
        <v>438</v>
      </c>
      <c r="AO443" s="57">
        <f t="shared" si="209"/>
        <v>6559.3376811331927</v>
      </c>
      <c r="AP443" s="57">
        <f t="shared" si="210"/>
        <v>22336.107005503542</v>
      </c>
      <c r="AR443" s="41">
        <v>438</v>
      </c>
      <c r="AS443" s="57">
        <f t="shared" si="211"/>
        <v>15727.690917862157</v>
      </c>
      <c r="AT443" s="57">
        <f t="shared" si="212"/>
        <v>-1576.4833974316803</v>
      </c>
      <c r="AV443" s="57">
        <f t="shared" si="213"/>
        <v>-62.28343075375205</v>
      </c>
      <c r="AW443" s="57">
        <f t="shared" si="214"/>
        <v>-170.96021488117734</v>
      </c>
      <c r="AX443" s="57">
        <f t="shared" si="215"/>
        <v>-2.837226149638858</v>
      </c>
      <c r="AY443" s="57">
        <f t="shared" si="216"/>
        <v>-13.605715180451693</v>
      </c>
      <c r="BA443" s="57">
        <f t="shared" si="217"/>
        <v>96812.310004689833</v>
      </c>
      <c r="BB443" s="57">
        <f t="shared" si="218"/>
        <v>113350.70604459803</v>
      </c>
    </row>
    <row r="444" spans="9:54" x14ac:dyDescent="0.25">
      <c r="I444" s="41">
        <v>439</v>
      </c>
      <c r="J444" s="57">
        <f t="shared" si="192"/>
        <v>20954.044976882727</v>
      </c>
      <c r="K444" s="57">
        <f t="shared" si="193"/>
        <v>12408.13591723832</v>
      </c>
      <c r="M444" s="41">
        <v>439</v>
      </c>
      <c r="N444" s="57">
        <f t="shared" si="194"/>
        <v>-19332.16851618209</v>
      </c>
      <c r="O444" s="57">
        <f t="shared" si="195"/>
        <v>13435.695142066823</v>
      </c>
      <c r="Q444" s="41">
        <v>439</v>
      </c>
      <c r="R444" s="57">
        <f t="shared" si="196"/>
        <v>-4045.955023117272</v>
      </c>
      <c r="S444" s="41">
        <f t="shared" si="197"/>
        <v>-10091.86408276168</v>
      </c>
      <c r="U444" s="41">
        <v>438</v>
      </c>
      <c r="V444" s="41">
        <f t="shared" si="219"/>
        <v>219</v>
      </c>
      <c r="W444" s="57">
        <f t="shared" si="220"/>
        <v>39729.21214925489</v>
      </c>
      <c r="X444" s="57">
        <f t="shared" si="221"/>
        <v>109127.43353305392</v>
      </c>
      <c r="Y444" s="57">
        <f t="shared" si="222"/>
        <v>3156.3751593587804</v>
      </c>
      <c r="Z444" s="57">
        <f t="shared" si="223"/>
        <v>6258.1934941964701</v>
      </c>
      <c r="AA444" s="57">
        <f t="shared" si="198"/>
        <v>-87.733724791081684</v>
      </c>
      <c r="AB444" s="57">
        <f t="shared" si="199"/>
        <v>-258.90462830398184</v>
      </c>
      <c r="AC444" s="57">
        <f t="shared" si="200"/>
        <v>-9.1817489299863695</v>
      </c>
      <c r="AD444" s="57">
        <f t="shared" si="201"/>
        <v>-47.29624133189828</v>
      </c>
      <c r="AE444" s="57">
        <f t="shared" si="202"/>
        <v>-6.8824588095101955</v>
      </c>
      <c r="AF444" s="57">
        <f t="shared" si="203"/>
        <v>-11.422224630702987</v>
      </c>
      <c r="AG444" s="57">
        <f t="shared" si="204"/>
        <v>-10.109346366906093</v>
      </c>
      <c r="AH444" s="57">
        <f t="shared" si="205"/>
        <v>-28.054310794330853</v>
      </c>
      <c r="AJ444" s="57">
        <f t="shared" si="206"/>
        <v>103524.76543583954</v>
      </c>
      <c r="AK444" s="57">
        <f t="shared" si="207"/>
        <v>115731.70206482198</v>
      </c>
      <c r="AL444" s="57">
        <f t="shared" si="208"/>
        <v>131940.60093464699</v>
      </c>
      <c r="AN444" s="41">
        <v>439</v>
      </c>
      <c r="AO444" s="57">
        <f t="shared" si="209"/>
        <v>6431.0674653240922</v>
      </c>
      <c r="AP444" s="57">
        <f t="shared" si="210"/>
        <v>22362.203875857478</v>
      </c>
      <c r="AR444" s="41">
        <v>439</v>
      </c>
      <c r="AS444" s="57">
        <f t="shared" si="211"/>
        <v>15667.83148381791</v>
      </c>
      <c r="AT444" s="57">
        <f t="shared" si="212"/>
        <v>-1564.3048579331767</v>
      </c>
      <c r="AV444" s="57">
        <f t="shared" si="213"/>
        <v>-58.786167085233458</v>
      </c>
      <c r="AW444" s="57">
        <f t="shared" si="214"/>
        <v>-159.3295871843448</v>
      </c>
      <c r="AX444" s="57">
        <f t="shared" si="215"/>
        <v>-2.774003599445567</v>
      </c>
      <c r="AY444" s="57">
        <f t="shared" si="216"/>
        <v>-12.802264362704955</v>
      </c>
      <c r="BA444" s="57">
        <f t="shared" si="217"/>
        <v>100329.91537934954</v>
      </c>
      <c r="BB444" s="57">
        <f t="shared" si="218"/>
        <v>116775.87515563519</v>
      </c>
    </row>
    <row r="445" spans="9:54" x14ac:dyDescent="0.25">
      <c r="I445" s="41">
        <v>440</v>
      </c>
      <c r="J445" s="57">
        <f t="shared" si="192"/>
        <v>20868.240888334651</v>
      </c>
      <c r="K445" s="57">
        <f t="shared" si="193"/>
        <v>12424.038765061039</v>
      </c>
      <c r="M445" s="41">
        <v>440</v>
      </c>
      <c r="N445" s="57">
        <f t="shared" si="194"/>
        <v>-19392.231378165743</v>
      </c>
      <c r="O445" s="57">
        <f t="shared" si="195"/>
        <v>13446.827135542728</v>
      </c>
      <c r="Q445" s="41">
        <v>440</v>
      </c>
      <c r="R445" s="57">
        <f t="shared" si="196"/>
        <v>-4131.7591116653475</v>
      </c>
      <c r="S445" s="41">
        <f t="shared" si="197"/>
        <v>-10075.961234938961</v>
      </c>
      <c r="U445" s="41">
        <v>439</v>
      </c>
      <c r="V445" s="41">
        <f t="shared" si="219"/>
        <v>219.5</v>
      </c>
      <c r="W445" s="57">
        <f t="shared" si="220"/>
        <v>41296.433013335394</v>
      </c>
      <c r="X445" s="57">
        <f t="shared" si="221"/>
        <v>112224.16720161415</v>
      </c>
      <c r="Y445" s="57">
        <f t="shared" si="222"/>
        <v>3112.5082969632394</v>
      </c>
      <c r="Z445" s="57">
        <f t="shared" si="223"/>
        <v>6128.7411800444788</v>
      </c>
      <c r="AA445" s="57">
        <f t="shared" si="198"/>
        <v>-83.518484764792703</v>
      </c>
      <c r="AB445" s="57">
        <f t="shared" si="199"/>
        <v>-242.8585925741005</v>
      </c>
      <c r="AC445" s="57">
        <f t="shared" si="200"/>
        <v>-9.017534175154001</v>
      </c>
      <c r="AD445" s="57">
        <f t="shared" si="201"/>
        <v>-44.343283033067664</v>
      </c>
      <c r="AE445" s="57">
        <f t="shared" si="202"/>
        <v>-6.4674027088630108</v>
      </c>
      <c r="AF445" s="57">
        <f t="shared" si="203"/>
        <v>-10.785698667443718</v>
      </c>
      <c r="AG445" s="57">
        <f t="shared" si="204"/>
        <v>-9.6890496675357642</v>
      </c>
      <c r="AH445" s="57">
        <f t="shared" si="205"/>
        <v>-26.625836909989328</v>
      </c>
      <c r="AJ445" s="57">
        <f t="shared" si="206"/>
        <v>106867.62491588891</v>
      </c>
      <c r="AK445" s="57">
        <f t="shared" si="207"/>
        <v>119193.25929020433</v>
      </c>
      <c r="AL445" s="57">
        <f t="shared" si="208"/>
        <v>135385.92404641822</v>
      </c>
      <c r="AN445" s="41">
        <v>440</v>
      </c>
      <c r="AO445" s="57">
        <f t="shared" si="209"/>
        <v>6302.3613325019778</v>
      </c>
      <c r="AP445" s="57">
        <f t="shared" si="210"/>
        <v>22386.058147591561</v>
      </c>
      <c r="AR445" s="41">
        <v>440</v>
      </c>
      <c r="AS445" s="57">
        <f t="shared" si="211"/>
        <v>15607.768621834257</v>
      </c>
      <c r="AT445" s="57">
        <f t="shared" si="212"/>
        <v>-1553.1728644572718</v>
      </c>
      <c r="AV445" s="57">
        <f t="shared" si="213"/>
        <v>-55.634640918727676</v>
      </c>
      <c r="AW445" s="57">
        <f t="shared" si="214"/>
        <v>-149.02377952392331</v>
      </c>
      <c r="AX445" s="57">
        <f t="shared" si="215"/>
        <v>-2.7098572945122417</v>
      </c>
      <c r="AY445" s="57">
        <f t="shared" si="216"/>
        <v>-12.079994439676486</v>
      </c>
      <c r="BA445" s="57">
        <f t="shared" si="217"/>
        <v>103778.46470987595</v>
      </c>
      <c r="BB445" s="57">
        <f t="shared" si="218"/>
        <v>120137.45363264874</v>
      </c>
    </row>
    <row r="446" spans="9:54" x14ac:dyDescent="0.25">
      <c r="I446" s="41">
        <v>441</v>
      </c>
      <c r="J446" s="57">
        <f t="shared" si="192"/>
        <v>20782.172325201154</v>
      </c>
      <c r="K446" s="57">
        <f t="shared" si="193"/>
        <v>12438.441702975688</v>
      </c>
      <c r="M446" s="41">
        <v>441</v>
      </c>
      <c r="N446" s="57">
        <f t="shared" si="194"/>
        <v>-19452.47937235919</v>
      </c>
      <c r="O446" s="57">
        <f t="shared" si="195"/>
        <v>13456.909192082981</v>
      </c>
      <c r="Q446" s="41">
        <v>441</v>
      </c>
      <c r="R446" s="57">
        <f t="shared" si="196"/>
        <v>-4217.8276747988439</v>
      </c>
      <c r="S446" s="41">
        <f t="shared" si="197"/>
        <v>-10061.558297024312</v>
      </c>
      <c r="U446" s="41">
        <v>440</v>
      </c>
      <c r="V446" s="41">
        <f t="shared" si="219"/>
        <v>220</v>
      </c>
      <c r="W446" s="57">
        <f t="shared" si="220"/>
        <v>42842.247351221413</v>
      </c>
      <c r="X446" s="57">
        <f t="shared" si="221"/>
        <v>115258.18046756463</v>
      </c>
      <c r="Y446" s="57">
        <f t="shared" si="222"/>
        <v>3070.7490545808432</v>
      </c>
      <c r="Z446" s="57">
        <f t="shared" si="223"/>
        <v>6007.3118837574284</v>
      </c>
      <c r="AA446" s="57">
        <f t="shared" si="198"/>
        <v>-79.664887838496028</v>
      </c>
      <c r="AB446" s="57">
        <f t="shared" si="199"/>
        <v>-228.50189586461835</v>
      </c>
      <c r="AC446" s="57">
        <f t="shared" si="200"/>
        <v>-8.8390659074663596</v>
      </c>
      <c r="AD446" s="57">
        <f t="shared" si="201"/>
        <v>-41.698246436794982</v>
      </c>
      <c r="AE446" s="57">
        <f t="shared" si="202"/>
        <v>-6.0961178785090206</v>
      </c>
      <c r="AF446" s="57">
        <f t="shared" si="203"/>
        <v>-10.210746796202509</v>
      </c>
      <c r="AG446" s="57">
        <f t="shared" si="204"/>
        <v>-9.3021700971186885</v>
      </c>
      <c r="AH446" s="57">
        <f t="shared" si="205"/>
        <v>-25.326647854880399</v>
      </c>
      <c r="AJ446" s="57">
        <f t="shared" si="206"/>
        <v>110152.59289610304</v>
      </c>
      <c r="AK446" s="57">
        <f t="shared" si="207"/>
        <v>122590.50781971049</v>
      </c>
      <c r="AL446" s="57">
        <f t="shared" si="208"/>
        <v>138766.2574631747</v>
      </c>
      <c r="AN446" s="41">
        <v>441</v>
      </c>
      <c r="AO446" s="57">
        <f t="shared" si="209"/>
        <v>6173.2584878017333</v>
      </c>
      <c r="AP446" s="57">
        <f t="shared" si="210"/>
        <v>22407.662554463532</v>
      </c>
      <c r="AR446" s="41">
        <v>441</v>
      </c>
      <c r="AS446" s="57">
        <f t="shared" si="211"/>
        <v>15547.52062764081</v>
      </c>
      <c r="AT446" s="57">
        <f t="shared" si="212"/>
        <v>-1543.0908079170181</v>
      </c>
      <c r="AV446" s="57">
        <f t="shared" si="213"/>
        <v>-52.781795918111804</v>
      </c>
      <c r="AW446" s="57">
        <f t="shared" si="214"/>
        <v>-139.83859815316754</v>
      </c>
      <c r="AX446" s="57">
        <f t="shared" si="215"/>
        <v>-2.645738037290164</v>
      </c>
      <c r="AY446" s="57">
        <f t="shared" si="216"/>
        <v>-11.427656623572913</v>
      </c>
      <c r="BA446" s="57">
        <f t="shared" si="217"/>
        <v>107162.20618883218</v>
      </c>
      <c r="BB446" s="57">
        <f t="shared" si="218"/>
        <v>123439.137662801</v>
      </c>
    </row>
    <row r="447" spans="9:54" x14ac:dyDescent="0.25">
      <c r="I447" s="41">
        <v>442</v>
      </c>
      <c r="J447" s="57">
        <f t="shared" si="192"/>
        <v>20695.865504800324</v>
      </c>
      <c r="K447" s="57">
        <f t="shared" si="193"/>
        <v>12451.340343707852</v>
      </c>
      <c r="M447" s="41">
        <v>442</v>
      </c>
      <c r="N447" s="57">
        <f t="shared" si="194"/>
        <v>-19512.894146639774</v>
      </c>
      <c r="O447" s="57">
        <f t="shared" si="195"/>
        <v>13465.938240595497</v>
      </c>
      <c r="Q447" s="41">
        <v>442</v>
      </c>
      <c r="R447" s="57">
        <f t="shared" si="196"/>
        <v>-4304.1344951996743</v>
      </c>
      <c r="S447" s="41">
        <f t="shared" si="197"/>
        <v>-10048.659656292148</v>
      </c>
      <c r="U447" s="41">
        <v>441</v>
      </c>
      <c r="V447" s="41">
        <f t="shared" si="219"/>
        <v>220.5</v>
      </c>
      <c r="W447" s="57">
        <f t="shared" si="220"/>
        <v>44367.663767532023</v>
      </c>
      <c r="X447" s="57">
        <f t="shared" si="221"/>
        <v>118233.27367246026</v>
      </c>
      <c r="Y447" s="57">
        <f t="shared" si="222"/>
        <v>3030.9166106615953</v>
      </c>
      <c r="Z447" s="57">
        <f t="shared" si="223"/>
        <v>5893.0609358251195</v>
      </c>
      <c r="AA447" s="57">
        <f t="shared" si="198"/>
        <v>-76.130133601486861</v>
      </c>
      <c r="AB447" s="57">
        <f t="shared" si="199"/>
        <v>-215.59192184542366</v>
      </c>
      <c r="AC447" s="57">
        <f t="shared" si="200"/>
        <v>-8.6521524130224687</v>
      </c>
      <c r="AD447" s="57">
        <f t="shared" si="201"/>
        <v>-39.317727384420884</v>
      </c>
      <c r="AE447" s="57">
        <f t="shared" si="202"/>
        <v>-5.7622607415696434</v>
      </c>
      <c r="AF447" s="57">
        <f t="shared" si="203"/>
        <v>-9.689156127629543</v>
      </c>
      <c r="AG447" s="57">
        <f t="shared" si="204"/>
        <v>-8.9448616505832312</v>
      </c>
      <c r="AH447" s="57">
        <f t="shared" si="205"/>
        <v>-24.140360497233797</v>
      </c>
      <c r="AJ447" s="57">
        <f t="shared" si="206"/>
        <v>113382.71885833165</v>
      </c>
      <c r="AK447" s="57">
        <f t="shared" si="207"/>
        <v>125927.11252445891</v>
      </c>
      <c r="AL447" s="57">
        <f t="shared" si="208"/>
        <v>142085.43711212906</v>
      </c>
      <c r="AN447" s="41">
        <v>442</v>
      </c>
      <c r="AO447" s="57">
        <f t="shared" si="209"/>
        <v>6043.7982572004876</v>
      </c>
      <c r="AP447" s="57">
        <f t="shared" si="210"/>
        <v>22427.010515561778</v>
      </c>
      <c r="AR447" s="41">
        <v>442</v>
      </c>
      <c r="AS447" s="57">
        <f t="shared" si="211"/>
        <v>15487.105853360228</v>
      </c>
      <c r="AT447" s="57">
        <f t="shared" si="212"/>
        <v>-1534.0617594045038</v>
      </c>
      <c r="AV447" s="57">
        <f t="shared" si="213"/>
        <v>-50.188549091361963</v>
      </c>
      <c r="AW447" s="57">
        <f t="shared" si="214"/>
        <v>-131.60872979832106</v>
      </c>
      <c r="AX447" s="57">
        <f t="shared" si="215"/>
        <v>-2.5823097049495454</v>
      </c>
      <c r="AY447" s="57">
        <f t="shared" si="216"/>
        <v>-10.835948037818342</v>
      </c>
      <c r="BA447" s="57">
        <f t="shared" si="217"/>
        <v>110484.93899010186</v>
      </c>
      <c r="BB447" s="57">
        <f t="shared" si="218"/>
        <v>126684.25085698024</v>
      </c>
    </row>
    <row r="448" spans="9:54" x14ac:dyDescent="0.25">
      <c r="I448" s="41">
        <v>443</v>
      </c>
      <c r="J448" s="57">
        <f t="shared" si="192"/>
        <v>20609.346717025743</v>
      </c>
      <c r="K448" s="57">
        <f t="shared" si="193"/>
        <v>12462.73075820661</v>
      </c>
      <c r="M448" s="41">
        <v>443</v>
      </c>
      <c r="N448" s="57">
        <f t="shared" si="194"/>
        <v>-19573.457298081983</v>
      </c>
      <c r="O448" s="57">
        <f t="shared" si="195"/>
        <v>13473.911530744626</v>
      </c>
      <c r="Q448" s="41">
        <v>443</v>
      </c>
      <c r="R448" s="57">
        <f t="shared" si="196"/>
        <v>-4390.6532829742591</v>
      </c>
      <c r="S448" s="41">
        <f t="shared" si="197"/>
        <v>-10037.26924179339</v>
      </c>
      <c r="U448" s="41">
        <v>442</v>
      </c>
      <c r="V448" s="41">
        <f t="shared" si="219"/>
        <v>221</v>
      </c>
      <c r="W448" s="57">
        <f t="shared" si="220"/>
        <v>45873.605806162632</v>
      </c>
      <c r="X448" s="57">
        <f t="shared" si="221"/>
        <v>121152.85515014213</v>
      </c>
      <c r="Y448" s="57">
        <f t="shared" si="222"/>
        <v>2992.851543860852</v>
      </c>
      <c r="Z448" s="57">
        <f t="shared" si="223"/>
        <v>5785.2649749024076</v>
      </c>
      <c r="AA448" s="57">
        <f t="shared" si="198"/>
        <v>-72.877703790742743</v>
      </c>
      <c r="AB448" s="57">
        <f t="shared" si="199"/>
        <v>-203.92935472461232</v>
      </c>
      <c r="AC448" s="57">
        <f t="shared" si="200"/>
        <v>-8.4609869373026214</v>
      </c>
      <c r="AD448" s="57">
        <f t="shared" si="201"/>
        <v>-37.165879777895512</v>
      </c>
      <c r="AE448" s="57">
        <f t="shared" si="202"/>
        <v>-5.4606332962953505</v>
      </c>
      <c r="AF448" s="57">
        <f t="shared" si="203"/>
        <v>-9.2140846759959381</v>
      </c>
      <c r="AG448" s="57">
        <f t="shared" si="204"/>
        <v>-8.6138515296481053</v>
      </c>
      <c r="AH448" s="57">
        <f t="shared" si="205"/>
        <v>-23.053221037045901</v>
      </c>
      <c r="AJ448" s="57">
        <f t="shared" si="206"/>
        <v>116560.77797094476</v>
      </c>
      <c r="AK448" s="57">
        <f t="shared" si="207"/>
        <v>129206.38200156439</v>
      </c>
      <c r="AL448" s="57">
        <f t="shared" si="208"/>
        <v>145346.90823425315</v>
      </c>
      <c r="AN448" s="41">
        <v>443</v>
      </c>
      <c r="AO448" s="57">
        <f t="shared" si="209"/>
        <v>5914.0200755386113</v>
      </c>
      <c r="AP448" s="57">
        <f t="shared" si="210"/>
        <v>22444.096137309916</v>
      </c>
      <c r="AR448" s="41">
        <v>443</v>
      </c>
      <c r="AS448" s="57">
        <f t="shared" si="211"/>
        <v>15426.542701918019</v>
      </c>
      <c r="AT448" s="57">
        <f t="shared" si="212"/>
        <v>-1526.0884692553732</v>
      </c>
      <c r="AV448" s="57">
        <f t="shared" si="213"/>
        <v>-47.822201724168281</v>
      </c>
      <c r="AW448" s="57">
        <f t="shared" si="214"/>
        <v>-124.19905590568474</v>
      </c>
      <c r="AX448" s="57">
        <f t="shared" si="215"/>
        <v>-2.5200303033283866</v>
      </c>
      <c r="AY448" s="57">
        <f t="shared" si="216"/>
        <v>-10.29711332799026</v>
      </c>
      <c r="BA448" s="57">
        <f t="shared" si="217"/>
        <v>113750.07827744397</v>
      </c>
      <c r="BB448" s="57">
        <f t="shared" si="218"/>
        <v>129875.79604378586</v>
      </c>
    </row>
    <row r="449" spans="9:54" x14ac:dyDescent="0.25">
      <c r="I449" s="41">
        <v>444</v>
      </c>
      <c r="J449" s="57">
        <f t="shared" si="192"/>
        <v>20522.642316338268</v>
      </c>
      <c r="K449" s="57">
        <f t="shared" si="193"/>
        <v>12472.609476841368</v>
      </c>
      <c r="M449" s="41">
        <v>444</v>
      </c>
      <c r="N449" s="57">
        <f t="shared" si="194"/>
        <v>-19634.150378563212</v>
      </c>
      <c r="O449" s="57">
        <f t="shared" si="195"/>
        <v>13480.826633788956</v>
      </c>
      <c r="Q449" s="41">
        <v>444</v>
      </c>
      <c r="R449" s="57">
        <f t="shared" si="196"/>
        <v>-4477.3576836617322</v>
      </c>
      <c r="S449" s="41">
        <f t="shared" si="197"/>
        <v>-10027.390523158632</v>
      </c>
      <c r="U449" s="41">
        <v>443</v>
      </c>
      <c r="V449" s="41">
        <f t="shared" si="219"/>
        <v>221.5</v>
      </c>
      <c r="W449" s="57">
        <f t="shared" si="220"/>
        <v>47360.921865119213</v>
      </c>
      <c r="X449" s="57">
        <f t="shared" si="221"/>
        <v>124019.99646825276</v>
      </c>
      <c r="Y449" s="57">
        <f t="shared" si="222"/>
        <v>2956.4126919654805</v>
      </c>
      <c r="Z449" s="57">
        <f t="shared" si="223"/>
        <v>5683.3002975401014</v>
      </c>
      <c r="AA449" s="57">
        <f t="shared" si="198"/>
        <v>-69.87628852592789</v>
      </c>
      <c r="AB449" s="57">
        <f t="shared" si="199"/>
        <v>-193.34907021747813</v>
      </c>
      <c r="AC449" s="57">
        <f t="shared" si="200"/>
        <v>-8.2685945685187185</v>
      </c>
      <c r="AD449" s="57">
        <f t="shared" si="201"/>
        <v>-35.212870921190259</v>
      </c>
      <c r="AE449" s="57">
        <f t="shared" si="202"/>
        <v>-5.1869390101335791</v>
      </c>
      <c r="AF449" s="57">
        <f t="shared" si="203"/>
        <v>-8.7797902885102754</v>
      </c>
      <c r="AG449" s="57">
        <f t="shared" si="204"/>
        <v>-8.3063362710844082</v>
      </c>
      <c r="AH449" s="57">
        <f t="shared" si="205"/>
        <v>-22.053600241127938</v>
      </c>
      <c r="AJ449" s="57">
        <f t="shared" si="206"/>
        <v>119689.30454418555</v>
      </c>
      <c r="AK449" s="57">
        <f t="shared" si="207"/>
        <v>132431.31574193118</v>
      </c>
      <c r="AL449" s="57">
        <f t="shared" si="208"/>
        <v>148553.78001450564</v>
      </c>
      <c r="AN449" s="41">
        <v>444</v>
      </c>
      <c r="AO449" s="57">
        <f t="shared" si="209"/>
        <v>5783.9634745074009</v>
      </c>
      <c r="AP449" s="57">
        <f t="shared" si="210"/>
        <v>22458.914215262048</v>
      </c>
      <c r="AR449" s="41">
        <v>444</v>
      </c>
      <c r="AS449" s="57">
        <f t="shared" si="211"/>
        <v>15365.849621436788</v>
      </c>
      <c r="AT449" s="57">
        <f t="shared" si="212"/>
        <v>-1519.1733662110437</v>
      </c>
      <c r="AV449" s="57">
        <f t="shared" si="213"/>
        <v>-45.655209384971407</v>
      </c>
      <c r="AW449" s="57">
        <f t="shared" si="214"/>
        <v>-117.49816922670306</v>
      </c>
      <c r="AX449" s="57">
        <f t="shared" si="215"/>
        <v>-2.4592092912197794</v>
      </c>
      <c r="AY449" s="57">
        <f t="shared" si="216"/>
        <v>-9.8046395399466011</v>
      </c>
      <c r="BA449" s="57">
        <f t="shared" si="217"/>
        <v>116960.70849306865</v>
      </c>
      <c r="BB449" s="57">
        <f t="shared" si="218"/>
        <v>133016.4980467773</v>
      </c>
    </row>
    <row r="450" spans="9:54" x14ac:dyDescent="0.25">
      <c r="I450" s="41">
        <v>445</v>
      </c>
      <c r="J450" s="57">
        <f t="shared" si="192"/>
        <v>20435.778713738295</v>
      </c>
      <c r="K450" s="57">
        <f t="shared" si="193"/>
        <v>12480.973490458728</v>
      </c>
      <c r="M450" s="41">
        <v>445</v>
      </c>
      <c r="N450" s="57">
        <f t="shared" si="194"/>
        <v>-19694.954900383193</v>
      </c>
      <c r="O450" s="57">
        <f t="shared" si="195"/>
        <v>13486.681443321109</v>
      </c>
      <c r="Q450" s="41">
        <v>445</v>
      </c>
      <c r="R450" s="57">
        <f t="shared" si="196"/>
        <v>-4564.2212862617034</v>
      </c>
      <c r="S450" s="41">
        <f t="shared" si="197"/>
        <v>-10019.026509541272</v>
      </c>
      <c r="U450" s="41">
        <v>444</v>
      </c>
      <c r="V450" s="41">
        <f t="shared" si="219"/>
        <v>222</v>
      </c>
      <c r="W450" s="57">
        <f t="shared" si="220"/>
        <v>48830.393675036212</v>
      </c>
      <c r="X450" s="57">
        <f t="shared" si="221"/>
        <v>126837.47798324563</v>
      </c>
      <c r="Y450" s="57">
        <f t="shared" si="222"/>
        <v>2921.4745477025167</v>
      </c>
      <c r="Z450" s="57">
        <f t="shared" si="223"/>
        <v>5586.6257624313621</v>
      </c>
      <c r="AA450" s="57">
        <f t="shared" si="198"/>
        <v>-67.098916819270158</v>
      </c>
      <c r="AB450" s="57">
        <f t="shared" si="199"/>
        <v>-183.7132098243749</v>
      </c>
      <c r="AC450" s="57">
        <f t="shared" si="200"/>
        <v>-8.0771490667048482</v>
      </c>
      <c r="AD450" s="57">
        <f t="shared" si="201"/>
        <v>-33.433695348735888</v>
      </c>
      <c r="AE450" s="57">
        <f t="shared" si="202"/>
        <v>-4.9375980036240978</v>
      </c>
      <c r="AF450" s="57">
        <f t="shared" si="203"/>
        <v>-8.3814208700041206</v>
      </c>
      <c r="AG450" s="57">
        <f t="shared" si="204"/>
        <v>-8.0198998533021371</v>
      </c>
      <c r="AH450" s="57">
        <f t="shared" si="205"/>
        <v>-21.131600406595236</v>
      </c>
      <c r="AJ450" s="57">
        <f t="shared" si="206"/>
        <v>122770.62047110131</v>
      </c>
      <c r="AK450" s="57">
        <f t="shared" si="207"/>
        <v>135604.64355967264</v>
      </c>
      <c r="AL450" s="57">
        <f t="shared" si="208"/>
        <v>151708.87068282152</v>
      </c>
      <c r="AN450" s="41">
        <v>445</v>
      </c>
      <c r="AO450" s="57">
        <f t="shared" si="209"/>
        <v>5653.6680706074449</v>
      </c>
      <c r="AP450" s="57">
        <f t="shared" si="210"/>
        <v>22471.46023568809</v>
      </c>
      <c r="AR450" s="41">
        <v>445</v>
      </c>
      <c r="AS450" s="57">
        <f t="shared" si="211"/>
        <v>15305.045099616807</v>
      </c>
      <c r="AT450" s="57">
        <f t="shared" si="212"/>
        <v>-1513.3185566788911</v>
      </c>
      <c r="AV450" s="57">
        <f t="shared" si="213"/>
        <v>-43.664221368861497</v>
      </c>
      <c r="AW450" s="57">
        <f t="shared" si="214"/>
        <v>-111.41347331262764</v>
      </c>
      <c r="AX450" s="57">
        <f t="shared" si="215"/>
        <v>-2.4000485267775842</v>
      </c>
      <c r="AY450" s="57">
        <f t="shared" si="216"/>
        <v>-9.353019886412012</v>
      </c>
      <c r="BA450" s="57">
        <f t="shared" si="217"/>
        <v>120119.62741934227</v>
      </c>
      <c r="BB450" s="57">
        <f t="shared" si="218"/>
        <v>136108.8393058684</v>
      </c>
    </row>
    <row r="451" spans="9:54" x14ac:dyDescent="0.25">
      <c r="I451" s="41">
        <v>446</v>
      </c>
      <c r="J451" s="57">
        <f t="shared" si="192"/>
        <v>20348.782368720629</v>
      </c>
      <c r="K451" s="57">
        <f t="shared" si="193"/>
        <v>12487.820251299121</v>
      </c>
      <c r="M451" s="41">
        <v>446</v>
      </c>
      <c r="N451" s="57">
        <f t="shared" si="194"/>
        <v>-19755.852341895559</v>
      </c>
      <c r="O451" s="57">
        <f t="shared" si="195"/>
        <v>13491.474175909385</v>
      </c>
      <c r="Q451" s="41">
        <v>446</v>
      </c>
      <c r="R451" s="57">
        <f t="shared" si="196"/>
        <v>-4651.2176312793717</v>
      </c>
      <c r="S451" s="41">
        <f t="shared" si="197"/>
        <v>-10012.179748700879</v>
      </c>
      <c r="U451" s="41">
        <v>445</v>
      </c>
      <c r="V451" s="41">
        <f t="shared" si="219"/>
        <v>222.5</v>
      </c>
      <c r="W451" s="57">
        <f t="shared" si="220"/>
        <v>50282.743584285061</v>
      </c>
      <c r="X451" s="57">
        <f t="shared" si="221"/>
        <v>129607.82671323325</v>
      </c>
      <c r="Y451" s="57">
        <f t="shared" si="222"/>
        <v>2887.9250892928817</v>
      </c>
      <c r="Z451" s="57">
        <f t="shared" si="223"/>
        <v>5494.7691575191748</v>
      </c>
      <c r="AA451" s="57">
        <f t="shared" si="198"/>
        <v>-64.522249805986277</v>
      </c>
      <c r="AB451" s="57">
        <f t="shared" si="199"/>
        <v>-174.90585604327026</v>
      </c>
      <c r="AC451" s="57">
        <f t="shared" si="200"/>
        <v>-7.8881998585763275</v>
      </c>
      <c r="AD451" s="57">
        <f t="shared" si="201"/>
        <v>-31.807254806008999</v>
      </c>
      <c r="AE451" s="57">
        <f t="shared" si="202"/>
        <v>-4.7096054953263291</v>
      </c>
      <c r="AF451" s="57">
        <f t="shared" si="203"/>
        <v>-8.0148504347607119</v>
      </c>
      <c r="AG451" s="57">
        <f t="shared" si="204"/>
        <v>-7.7524485017831912</v>
      </c>
      <c r="AH451" s="57">
        <f t="shared" si="205"/>
        <v>-20.278746257228224</v>
      </c>
      <c r="AJ451" s="57">
        <f t="shared" si="206"/>
        <v>125806.85952530791</v>
      </c>
      <c r="AK451" s="57">
        <f t="shared" si="207"/>
        <v>138728.85877421897</v>
      </c>
      <c r="AL451" s="57">
        <f t="shared" si="208"/>
        <v>154814.7450501092</v>
      </c>
      <c r="AN451" s="41">
        <v>446</v>
      </c>
      <c r="AO451" s="57">
        <f t="shared" si="209"/>
        <v>5523.1735530809428</v>
      </c>
      <c r="AP451" s="57">
        <f t="shared" si="210"/>
        <v>22481.730376948683</v>
      </c>
      <c r="AR451" s="41">
        <v>446</v>
      </c>
      <c r="AS451" s="57">
        <f t="shared" si="211"/>
        <v>15244.147658104441</v>
      </c>
      <c r="AT451" s="57">
        <f t="shared" si="212"/>
        <v>-1508.5258240906155</v>
      </c>
      <c r="AV451" s="57">
        <f t="shared" si="213"/>
        <v>-41.829324179230944</v>
      </c>
      <c r="AW451" s="57">
        <f t="shared" si="214"/>
        <v>-105.86743553075388</v>
      </c>
      <c r="AX451" s="57">
        <f t="shared" si="215"/>
        <v>-2.3426717710694875</v>
      </c>
      <c r="AY451" s="57">
        <f t="shared" si="216"/>
        <v>-8.9375690145184219</v>
      </c>
      <c r="BA451" s="57">
        <f t="shared" si="217"/>
        <v>123229.38290217399</v>
      </c>
      <c r="BB451" s="57">
        <f t="shared" si="218"/>
        <v>139155.08976424197</v>
      </c>
    </row>
    <row r="452" spans="9:54" x14ac:dyDescent="0.25">
      <c r="I452" s="41">
        <v>447</v>
      </c>
      <c r="J452" s="57">
        <f t="shared" si="192"/>
        <v>20261.679781214723</v>
      </c>
      <c r="K452" s="57">
        <f t="shared" si="193"/>
        <v>12493.14767377287</v>
      </c>
      <c r="M452" s="41">
        <v>447</v>
      </c>
      <c r="N452" s="57">
        <f t="shared" si="194"/>
        <v>-19816.824153149693</v>
      </c>
      <c r="O452" s="57">
        <f t="shared" si="195"/>
        <v>13495.203371641008</v>
      </c>
      <c r="Q452" s="41">
        <v>447</v>
      </c>
      <c r="R452" s="57">
        <f t="shared" si="196"/>
        <v>-4738.3202187852776</v>
      </c>
      <c r="S452" s="41">
        <f t="shared" si="197"/>
        <v>-10006.85232622713</v>
      </c>
      <c r="U452" s="41">
        <v>446</v>
      </c>
      <c r="V452" s="41">
        <f t="shared" si="219"/>
        <v>223</v>
      </c>
      <c r="W452" s="57">
        <f t="shared" si="220"/>
        <v>51718.640847705756</v>
      </c>
      <c r="X452" s="57">
        <f t="shared" si="221"/>
        <v>132333.34805998742</v>
      </c>
      <c r="Y452" s="57">
        <f t="shared" si="222"/>
        <v>2855.6639643898884</v>
      </c>
      <c r="Z452" s="57">
        <f t="shared" si="223"/>
        <v>5407.31622949754</v>
      </c>
      <c r="AA452" s="57">
        <f t="shared" si="198"/>
        <v>-62.126003760743366</v>
      </c>
      <c r="AB452" s="57">
        <f t="shared" si="199"/>
        <v>-166.82889607025214</v>
      </c>
      <c r="AC452" s="57">
        <f t="shared" si="200"/>
        <v>-7.7028362113016744</v>
      </c>
      <c r="AD452" s="57">
        <f t="shared" si="201"/>
        <v>-30.315638000738868</v>
      </c>
      <c r="AE452" s="57">
        <f t="shared" si="202"/>
        <v>-4.5004222195989048</v>
      </c>
      <c r="AF452" s="57">
        <f t="shared" si="203"/>
        <v>-7.6765497965332088</v>
      </c>
      <c r="AG452" s="57">
        <f t="shared" si="204"/>
        <v>-7.5021583242577474</v>
      </c>
      <c r="AH452" s="57">
        <f t="shared" si="205"/>
        <v>-19.487739604989287</v>
      </c>
      <c r="AJ452" s="57">
        <f t="shared" si="206"/>
        <v>128799.9882185232</v>
      </c>
      <c r="AK452" s="57">
        <f t="shared" si="207"/>
        <v>141806.24631026742</v>
      </c>
      <c r="AL452" s="57">
        <f t="shared" si="208"/>
        <v>157873.74598132659</v>
      </c>
      <c r="AN452" s="41">
        <v>447</v>
      </c>
      <c r="AO452" s="57">
        <f t="shared" si="209"/>
        <v>5392.5196718220832</v>
      </c>
      <c r="AP452" s="57">
        <f t="shared" si="210"/>
        <v>22489.721510659303</v>
      </c>
      <c r="AR452" s="41">
        <v>447</v>
      </c>
      <c r="AS452" s="57">
        <f t="shared" si="211"/>
        <v>15183.175846850305</v>
      </c>
      <c r="AT452" s="57">
        <f t="shared" si="212"/>
        <v>-1504.7966283589917</v>
      </c>
      <c r="AV452" s="57">
        <f t="shared" si="213"/>
        <v>-40.133440897739611</v>
      </c>
      <c r="AW452" s="57">
        <f t="shared" si="214"/>
        <v>-100.79469146052145</v>
      </c>
      <c r="AX452" s="57">
        <f t="shared" si="215"/>
        <v>-2.2871461078454334</v>
      </c>
      <c r="AY452" s="57">
        <f t="shared" si="216"/>
        <v>-8.5542772074693509</v>
      </c>
      <c r="BA452" s="57">
        <f t="shared" si="217"/>
        <v>126292.3036832533</v>
      </c>
      <c r="BB452" s="57">
        <f t="shared" si="218"/>
        <v>142157.33211856661</v>
      </c>
    </row>
    <row r="453" spans="9:54" x14ac:dyDescent="0.25">
      <c r="I453" s="41">
        <v>448</v>
      </c>
      <c r="J453" s="57">
        <f t="shared" si="192"/>
        <v>20174.497483512503</v>
      </c>
      <c r="K453" s="57">
        <f t="shared" si="193"/>
        <v>12496.954135095479</v>
      </c>
      <c r="M453" s="41">
        <v>448</v>
      </c>
      <c r="N453" s="57">
        <f t="shared" si="194"/>
        <v>-19877.851761541246</v>
      </c>
      <c r="O453" s="57">
        <f t="shared" si="195"/>
        <v>13497.867894566836</v>
      </c>
      <c r="Q453" s="41">
        <v>448</v>
      </c>
      <c r="R453" s="57">
        <f t="shared" si="196"/>
        <v>-4825.502516487496</v>
      </c>
      <c r="S453" s="41">
        <f t="shared" si="197"/>
        <v>-10003.045864904521</v>
      </c>
      <c r="U453" s="41">
        <v>447</v>
      </c>
      <c r="V453" s="41">
        <f t="shared" si="219"/>
        <v>223.5</v>
      </c>
      <c r="W453" s="57">
        <f t="shared" si="220"/>
        <v>53138.707079430606</v>
      </c>
      <c r="X453" s="57">
        <f t="shared" si="221"/>
        <v>135016.15256272739</v>
      </c>
      <c r="Y453" s="57">
        <f t="shared" si="222"/>
        <v>2824.6009625095166</v>
      </c>
      <c r="Z453" s="57">
        <f t="shared" si="223"/>
        <v>5323.901781462414</v>
      </c>
      <c r="AA453" s="57">
        <f t="shared" si="198"/>
        <v>-59.892476909645495</v>
      </c>
      <c r="AB453" s="57">
        <f t="shared" si="199"/>
        <v>-159.39877793525426</v>
      </c>
      <c r="AC453" s="57">
        <f t="shared" si="200"/>
        <v>-7.5218069782180068</v>
      </c>
      <c r="AD453" s="57">
        <f t="shared" si="201"/>
        <v>-28.943551837518314</v>
      </c>
      <c r="AE453" s="57">
        <f t="shared" si="202"/>
        <v>-4.3078887557444032</v>
      </c>
      <c r="AF453" s="57">
        <f t="shared" si="203"/>
        <v>-7.3634837067397738</v>
      </c>
      <c r="AG453" s="57">
        <f t="shared" si="204"/>
        <v>-7.2674329044142052</v>
      </c>
      <c r="AH453" s="57">
        <f t="shared" si="205"/>
        <v>-18.752262960345558</v>
      </c>
      <c r="AJ453" s="57">
        <f t="shared" si="206"/>
        <v>131751.82378736575</v>
      </c>
      <c r="AK453" s="57">
        <f t="shared" si="207"/>
        <v>144838.90663367312</v>
      </c>
      <c r="AL453" s="57">
        <f t="shared" si="208"/>
        <v>160888.02096673119</v>
      </c>
      <c r="AN453" s="41">
        <v>448</v>
      </c>
      <c r="AO453" s="57">
        <f t="shared" si="209"/>
        <v>5261.7462252687565</v>
      </c>
      <c r="AP453" s="57">
        <f t="shared" si="210"/>
        <v>22495.431202643216</v>
      </c>
      <c r="AR453" s="41">
        <v>448</v>
      </c>
      <c r="AS453" s="57">
        <f t="shared" si="211"/>
        <v>15122.148238458753</v>
      </c>
      <c r="AT453" s="57">
        <f t="shared" si="212"/>
        <v>-1502.1321054331647</v>
      </c>
      <c r="AV453" s="57">
        <f t="shared" si="213"/>
        <v>-38.561850676161768</v>
      </c>
      <c r="AW453" s="57">
        <f t="shared" si="214"/>
        <v>-96.139785105048674</v>
      </c>
      <c r="AX453" s="57">
        <f t="shared" si="215"/>
        <v>-2.2334975951071065</v>
      </c>
      <c r="AY453" s="57">
        <f t="shared" si="216"/>
        <v>-8.1996943256019321</v>
      </c>
      <c r="BA453" s="57">
        <f t="shared" si="217"/>
        <v>129310.52546192471</v>
      </c>
      <c r="BB453" s="57">
        <f t="shared" si="218"/>
        <v>145117.48328909086</v>
      </c>
    </row>
    <row r="454" spans="9:54" x14ac:dyDescent="0.25">
      <c r="I454" s="41">
        <v>449</v>
      </c>
      <c r="J454" s="57">
        <f t="shared" si="192"/>
        <v>20087.26203218642</v>
      </c>
      <c r="K454" s="57">
        <f t="shared" si="193"/>
        <v>12499.238475781956</v>
      </c>
      <c r="M454" s="41">
        <v>449</v>
      </c>
      <c r="N454" s="57">
        <f t="shared" si="194"/>
        <v>-19938.916577469507</v>
      </c>
      <c r="O454" s="57">
        <f t="shared" si="195"/>
        <v>13499.46693304737</v>
      </c>
      <c r="Q454" s="41">
        <v>449</v>
      </c>
      <c r="R454" s="57">
        <f t="shared" si="196"/>
        <v>-4912.7379678135821</v>
      </c>
      <c r="S454" s="41">
        <f t="shared" si="197"/>
        <v>-10000.761524218044</v>
      </c>
      <c r="U454" s="41">
        <v>448</v>
      </c>
      <c r="V454" s="41">
        <f t="shared" si="219"/>
        <v>224</v>
      </c>
      <c r="W454" s="57">
        <f t="shared" si="220"/>
        <v>54543.521001071662</v>
      </c>
      <c r="X454" s="57">
        <f t="shared" si="221"/>
        <v>137658.17860621671</v>
      </c>
      <c r="Y454" s="57">
        <f t="shared" si="222"/>
        <v>2794.6547240546938</v>
      </c>
      <c r="Z454" s="57">
        <f t="shared" si="223"/>
        <v>5244.2023924947871</v>
      </c>
      <c r="AA454" s="57">
        <f t="shared" si="198"/>
        <v>-57.80615954618019</v>
      </c>
      <c r="AB454" s="57">
        <f t="shared" si="199"/>
        <v>-152.54394390463551</v>
      </c>
      <c r="AC454" s="57">
        <f t="shared" si="200"/>
        <v>-7.3456085990313476</v>
      </c>
      <c r="AD454" s="57">
        <f t="shared" si="201"/>
        <v>-27.677868621858845</v>
      </c>
      <c r="AE454" s="57">
        <f t="shared" si="202"/>
        <v>-4.1301579365505621</v>
      </c>
      <c r="AF454" s="57">
        <f t="shared" si="203"/>
        <v>-7.0730283793339348</v>
      </c>
      <c r="AG454" s="57">
        <f t="shared" si="204"/>
        <v>-7.0468686987950644</v>
      </c>
      <c r="AH454" s="57">
        <f t="shared" si="205"/>
        <v>-18.066821080598398</v>
      </c>
      <c r="AJ454" s="57">
        <f t="shared" si="206"/>
        <v>134664.04977290446</v>
      </c>
      <c r="AK454" s="57">
        <f t="shared" si="207"/>
        <v>147828.77625243989</v>
      </c>
      <c r="AL454" s="57">
        <f t="shared" si="208"/>
        <v>163859.54469780705</v>
      </c>
      <c r="AN454" s="41">
        <v>449</v>
      </c>
      <c r="AO454" s="57">
        <f t="shared" si="209"/>
        <v>5130.8930482796268</v>
      </c>
      <c r="AP454" s="57">
        <f t="shared" si="210"/>
        <v>22498.857713672936</v>
      </c>
      <c r="AR454" s="41">
        <v>449</v>
      </c>
      <c r="AS454" s="57">
        <f t="shared" si="211"/>
        <v>15061.083422530493</v>
      </c>
      <c r="AT454" s="57">
        <f t="shared" si="212"/>
        <v>-1500.5330669526306</v>
      </c>
      <c r="AV454" s="57">
        <f t="shared" si="213"/>
        <v>-37.101801548404858</v>
      </c>
      <c r="AW454" s="57">
        <f t="shared" si="214"/>
        <v>-91.855389140352244</v>
      </c>
      <c r="AX454" s="57">
        <f t="shared" si="215"/>
        <v>-2.1817227633983602</v>
      </c>
      <c r="AY454" s="57">
        <f t="shared" si="216"/>
        <v>-7.8708366824921088</v>
      </c>
      <c r="BA454" s="57">
        <f t="shared" si="217"/>
        <v>132286.01306327962</v>
      </c>
      <c r="BB454" s="57">
        <f t="shared" si="218"/>
        <v>148037.31278432955</v>
      </c>
    </row>
    <row r="455" spans="9:54" x14ac:dyDescent="0.25">
      <c r="I455" s="41">
        <v>450</v>
      </c>
      <c r="J455" s="57">
        <f t="shared" ref="J455:J518" si="224">$F$8*COS(I455*PI()/180)+$E$7</f>
        <v>20000</v>
      </c>
      <c r="K455" s="57">
        <f t="shared" ref="K455:K518" si="225">$F$8*SIN(I455*PI()/180)+$G$7</f>
        <v>12500</v>
      </c>
      <c r="M455" s="41">
        <v>450</v>
      </c>
      <c r="N455" s="57">
        <f t="shared" ref="N455:N518" si="226">$F$19*COS(M455*PI()/180)+$E$18</f>
        <v>-20000</v>
      </c>
      <c r="O455" s="57">
        <f t="shared" ref="O455:O518" si="227">$F$19*SIN(M455*PI()/180)+$G$18</f>
        <v>13500</v>
      </c>
      <c r="Q455" s="41">
        <v>450</v>
      </c>
      <c r="R455" s="57">
        <f t="shared" ref="R455:R518" si="228">$F$30*COS(Q455*PI()/180)+$E$29</f>
        <v>-4999.9999999999982</v>
      </c>
      <c r="S455" s="41">
        <f t="shared" ref="S455:S518" si="229">$F$30*SIN(Q455*PI()/180)+$G$29</f>
        <v>-10000</v>
      </c>
      <c r="U455" s="41">
        <v>449</v>
      </c>
      <c r="V455" s="41">
        <f t="shared" si="219"/>
        <v>224.5</v>
      </c>
      <c r="W455" s="57">
        <f t="shared" si="220"/>
        <v>55933.622593155735</v>
      </c>
      <c r="X455" s="57">
        <f t="shared" si="221"/>
        <v>140261.21180947602</v>
      </c>
      <c r="Y455" s="57">
        <f t="shared" si="222"/>
        <v>2765.7516442816036</v>
      </c>
      <c r="Z455" s="57">
        <f t="shared" si="223"/>
        <v>5167.9304205424696</v>
      </c>
      <c r="AA455" s="57">
        <f t="shared" ref="AA455:AA518" si="230">AC455+AE455+AG455+AV455+AX455</f>
        <v>-55.853411276357228</v>
      </c>
      <c r="AB455" s="57">
        <f t="shared" ref="AB455:AB518" si="231">AD455+AF455+AH455+AW455+AY455</f>
        <v>-146.20278294846761</v>
      </c>
      <c r="AC455" s="57">
        <f t="shared" ref="AC455:AC518" si="232">(($E$7-W455)/(AJ455^2+$F$12^2)^(3/2))*$E$11</f>
        <v>-7.1745502018014635</v>
      </c>
      <c r="AD455" s="57">
        <f t="shared" ref="AD455:AD518" si="233">(($G$7-X455)/(AJ455^2+$F$12^2)^(3/2))*$E$11</f>
        <v>-26.507262843031747</v>
      </c>
      <c r="AE455" s="57">
        <f t="shared" ref="AE455:AE518" si="234">(($E$18-W455)/(AK455^2+$F$23^2)^(3/2))*$E$22</f>
        <v>-3.9656410663607433</v>
      </c>
      <c r="AF455" s="57">
        <f t="shared" ref="AF455:AF518" si="235">(($G$18-X455)/(AK455^2+$F$23^2)^(3/2))*$E$22</f>
        <v>-6.8029048696029681</v>
      </c>
      <c r="AG455" s="57">
        <f t="shared" ref="AG455:AG518" si="236">(($E$29-W455)/(AL455^2+$F$34^2)^(3/2))*$E$33</f>
        <v>-6.8392266016429053</v>
      </c>
      <c r="AH455" s="57">
        <f t="shared" ref="AH455:AH518" si="237">(($G$29-X455)/(AL455^2+$F$34^2)^(3/2))*$E$33</f>
        <v>-17.426612185863281</v>
      </c>
      <c r="AJ455" s="57">
        <f t="shared" ref="AJ455:AJ518" si="238">SQRT(($E$7-W455)^2+($G$7-X455)^2)</f>
        <v>137538.22957195539</v>
      </c>
      <c r="AK455" s="57">
        <f t="shared" ref="AK455:AK518" si="239">SQRT(($E$18-W455)^2+($G$18-X455)^2)</f>
        <v>150777.64536625776</v>
      </c>
      <c r="AL455" s="57">
        <f t="shared" ref="AL455:AL518" si="240">SQRT(($E$29-W455)^2+($G$29-X455)^2)</f>
        <v>166790.1383621709</v>
      </c>
      <c r="AN455" s="41">
        <v>450</v>
      </c>
      <c r="AO455" s="57">
        <f t="shared" ref="AO455:AO518" si="241">$F$41*COS(AN455*PI()/180)+$E$40</f>
        <v>5000.0000000000027</v>
      </c>
      <c r="AP455" s="57">
        <f t="shared" ref="AP455:AP518" si="242">$F$41*SIN(AN455*PI()/180)+$G$40</f>
        <v>22500</v>
      </c>
      <c r="AR455" s="41">
        <v>450</v>
      </c>
      <c r="AS455" s="57">
        <f t="shared" ref="AS455:AS518" si="243">$F$52*COS(AR455*PI()/180)+$E$51</f>
        <v>15000.000000000002</v>
      </c>
      <c r="AT455" s="57">
        <f t="shared" ref="AT455:AT518" si="244">$F$52*SIN(AR455*PI()/180)+$G$51</f>
        <v>-1500</v>
      </c>
      <c r="AV455" s="57">
        <f t="shared" ref="AV455:AV518" si="245">(($E$40-W455)/(BA455^2+$F$45^2)^(3/2))*$E$44</f>
        <v>-35.74219630739897</v>
      </c>
      <c r="AW455" s="57">
        <f t="shared" ref="AW455:AW518" si="246">(($G$40-X455)/(BA455^2+$F$45^2)^(3/2))*$E$44</f>
        <v>-87.900891282737703</v>
      </c>
      <c r="AX455" s="57">
        <f t="shared" ref="AX455:AX518" si="247">(($E$51-W455)/(BB455^2+$F$56^2)^(3/2))*$E$55</f>
        <v>-2.1317970991531481</v>
      </c>
      <c r="AY455" s="57">
        <f t="shared" ref="AY455:AY518" si="248">(($G$51-X455)/(BB455^2+$F$56^2)^(3/2))*$E$55</f>
        <v>-7.5651117672319002</v>
      </c>
      <c r="BA455" s="57">
        <f t="shared" ref="BA455:BA518" si="249">SQRT(($E$40-W455)^2+($G$40-X455)^2)</f>
        <v>135220.57940432159</v>
      </c>
      <c r="BB455" s="57">
        <f t="shared" ref="BB455:BB518" si="250">SQRT(($E$51-W455)^2+($G$51-X455)^2)</f>
        <v>150918.45849648866</v>
      </c>
    </row>
    <row r="456" spans="9:54" x14ac:dyDescent="0.25">
      <c r="I456" s="41">
        <v>451</v>
      </c>
      <c r="J456" s="57">
        <f t="shared" si="224"/>
        <v>19912.73796781358</v>
      </c>
      <c r="K456" s="57">
        <f t="shared" si="225"/>
        <v>12499.238475781956</v>
      </c>
      <c r="M456" s="41">
        <v>451</v>
      </c>
      <c r="N456" s="57">
        <f t="shared" si="226"/>
        <v>-20061.083422530493</v>
      </c>
      <c r="O456" s="57">
        <f t="shared" si="227"/>
        <v>13499.46693304737</v>
      </c>
      <c r="Q456" s="41">
        <v>451</v>
      </c>
      <c r="R456" s="57">
        <f t="shared" si="228"/>
        <v>-5087.2620321864197</v>
      </c>
      <c r="S456" s="41">
        <f t="shared" si="229"/>
        <v>-10000.761524218044</v>
      </c>
      <c r="U456" s="41">
        <v>450</v>
      </c>
      <c r="V456" s="41">
        <f t="shared" ref="V456:V519" si="251">V455+0.5</f>
        <v>225</v>
      </c>
      <c r="W456" s="57">
        <f t="shared" ref="W456:W519" si="252">W455+Y455*$F$3+((1/2)*AA455)*$F$3^2</f>
        <v>57309.516738886989</v>
      </c>
      <c r="X456" s="57">
        <f t="shared" ref="X456:X519" si="253">X455+Z455*$F$3+((1/2)*AB455)*$F$3^2</f>
        <v>142826.9016718787</v>
      </c>
      <c r="Y456" s="57">
        <f t="shared" ref="Y456:Y519" si="254">Y455+AA455*$F$3</f>
        <v>2737.824938643425</v>
      </c>
      <c r="Z456" s="57">
        <f t="shared" ref="Z456:Z519" si="255">Z455+AB455*$F$3</f>
        <v>5094.8290290682362</v>
      </c>
      <c r="AA456" s="57">
        <f t="shared" si="230"/>
        <v>-54.022192594124427</v>
      </c>
      <c r="AB456" s="57">
        <f t="shared" si="231"/>
        <v>-140.32198469457182</v>
      </c>
      <c r="AC456" s="57">
        <f t="shared" si="232"/>
        <v>-7.0088020452360027</v>
      </c>
      <c r="AD456" s="57">
        <f t="shared" si="233"/>
        <v>-25.421917733518459</v>
      </c>
      <c r="AE456" s="57">
        <f t="shared" si="234"/>
        <v>-3.812964787513093</v>
      </c>
      <c r="AF456" s="57">
        <f t="shared" si="235"/>
        <v>-6.5511248844035777</v>
      </c>
      <c r="AG456" s="57">
        <f t="shared" si="236"/>
        <v>-6.643408424807431</v>
      </c>
      <c r="AH456" s="57">
        <f t="shared" si="237"/>
        <v>-16.827422568884174</v>
      </c>
      <c r="AJ456" s="57">
        <f t="shared" si="238"/>
        <v>140375.81827152288</v>
      </c>
      <c r="AK456" s="57">
        <f t="shared" si="239"/>
        <v>153687.17313475182</v>
      </c>
      <c r="AL456" s="57">
        <f t="shared" si="240"/>
        <v>169681.48622515806</v>
      </c>
      <c r="AN456" s="41">
        <v>451</v>
      </c>
      <c r="AO456" s="57">
        <f t="shared" si="241"/>
        <v>4869.1069517203705</v>
      </c>
      <c r="AP456" s="57">
        <f t="shared" si="242"/>
        <v>22498.857713672936</v>
      </c>
      <c r="AR456" s="41">
        <v>451</v>
      </c>
      <c r="AS456" s="57">
        <f t="shared" si="243"/>
        <v>14938.916577469507</v>
      </c>
      <c r="AT456" s="57">
        <f t="shared" si="244"/>
        <v>-1500.5330669526306</v>
      </c>
      <c r="AV456" s="57">
        <f t="shared" si="245"/>
        <v>-34.473336013180436</v>
      </c>
      <c r="AW456" s="57">
        <f t="shared" si="246"/>
        <v>-84.241262538419932</v>
      </c>
      <c r="AX456" s="57">
        <f t="shared" si="247"/>
        <v>-2.0836813233874687</v>
      </c>
      <c r="AY456" s="57">
        <f t="shared" si="248"/>
        <v>-7.2802569693456736</v>
      </c>
      <c r="BA456" s="57">
        <f t="shared" si="249"/>
        <v>138115.90180890847</v>
      </c>
      <c r="BB456" s="57">
        <f t="shared" si="250"/>
        <v>153762.44035714786</v>
      </c>
    </row>
    <row r="457" spans="9:54" x14ac:dyDescent="0.25">
      <c r="I457" s="41">
        <v>452</v>
      </c>
      <c r="J457" s="57">
        <f t="shared" si="224"/>
        <v>19825.502516487497</v>
      </c>
      <c r="K457" s="57">
        <f t="shared" si="225"/>
        <v>12496.954135095479</v>
      </c>
      <c r="M457" s="41">
        <v>452</v>
      </c>
      <c r="N457" s="57">
        <f t="shared" si="226"/>
        <v>-20122.148238458751</v>
      </c>
      <c r="O457" s="57">
        <f t="shared" si="227"/>
        <v>13497.867894566836</v>
      </c>
      <c r="Q457" s="41">
        <v>452</v>
      </c>
      <c r="R457" s="57">
        <f t="shared" si="228"/>
        <v>-5174.4974835125013</v>
      </c>
      <c r="S457" s="41">
        <f t="shared" si="229"/>
        <v>-10003.045864904521</v>
      </c>
      <c r="U457" s="41">
        <v>451</v>
      </c>
      <c r="V457" s="41">
        <f t="shared" si="251"/>
        <v>225.5</v>
      </c>
      <c r="W457" s="57">
        <f t="shared" si="252"/>
        <v>58671.676434134431</v>
      </c>
      <c r="X457" s="57">
        <f t="shared" si="253"/>
        <v>145356.775938326</v>
      </c>
      <c r="Y457" s="57">
        <f t="shared" si="254"/>
        <v>2710.8138423463629</v>
      </c>
      <c r="Z457" s="57">
        <f t="shared" si="255"/>
        <v>5024.6680367209501</v>
      </c>
      <c r="AA457" s="57">
        <f t="shared" si="230"/>
        <v>-52.301840625984646</v>
      </c>
      <c r="AB457" s="57">
        <f t="shared" si="231"/>
        <v>-134.85520660045373</v>
      </c>
      <c r="AC457" s="57">
        <f t="shared" si="232"/>
        <v>-6.8484317442365175</v>
      </c>
      <c r="AD457" s="57">
        <f t="shared" si="233"/>
        <v>-24.413286610476472</v>
      </c>
      <c r="AE457" s="57">
        <f t="shared" si="234"/>
        <v>-3.6709362304178885</v>
      </c>
      <c r="AF457" s="57">
        <f t="shared" si="235"/>
        <v>-6.3159464161229693</v>
      </c>
      <c r="AG457" s="57">
        <f t="shared" si="236"/>
        <v>-6.4584373239733495</v>
      </c>
      <c r="AH457" s="57">
        <f t="shared" si="237"/>
        <v>-16.265539795288021</v>
      </c>
      <c r="AJ457" s="57">
        <f t="shared" si="238"/>
        <v>143178.17302346125</v>
      </c>
      <c r="AK457" s="57">
        <f t="shared" si="239"/>
        <v>156558.90094585912</v>
      </c>
      <c r="AL457" s="57">
        <f t="shared" si="240"/>
        <v>172535.14995289393</v>
      </c>
      <c r="AN457" s="41">
        <v>452</v>
      </c>
      <c r="AO457" s="57">
        <f t="shared" si="241"/>
        <v>4738.2537747312481</v>
      </c>
      <c r="AP457" s="57">
        <f t="shared" si="242"/>
        <v>22495.431202643216</v>
      </c>
      <c r="AR457" s="41">
        <v>452</v>
      </c>
      <c r="AS457" s="57">
        <f t="shared" si="243"/>
        <v>14877.851761541249</v>
      </c>
      <c r="AT457" s="57">
        <f t="shared" si="244"/>
        <v>-1502.1321054331647</v>
      </c>
      <c r="AV457" s="57">
        <f t="shared" si="245"/>
        <v>-33.28670927964226</v>
      </c>
      <c r="AW457" s="57">
        <f t="shared" si="246"/>
        <v>-80.846144401982684</v>
      </c>
      <c r="AX457" s="57">
        <f t="shared" si="247"/>
        <v>-2.037326047714632</v>
      </c>
      <c r="AY457" s="57">
        <f t="shared" si="248"/>
        <v>-7.0142893765835703</v>
      </c>
      <c r="BA457" s="57">
        <f t="shared" si="249"/>
        <v>140973.53611329096</v>
      </c>
      <c r="BB457" s="57">
        <f t="shared" si="250"/>
        <v>156570.67219992288</v>
      </c>
    </row>
    <row r="458" spans="9:54" x14ac:dyDescent="0.25">
      <c r="I458" s="41">
        <v>453</v>
      </c>
      <c r="J458" s="57">
        <f t="shared" si="224"/>
        <v>19738.32021878528</v>
      </c>
      <c r="K458" s="57">
        <f t="shared" si="225"/>
        <v>12493.14767377287</v>
      </c>
      <c r="M458" s="41">
        <v>453</v>
      </c>
      <c r="N458" s="57">
        <f t="shared" si="226"/>
        <v>-20183.175846850303</v>
      </c>
      <c r="O458" s="57">
        <f t="shared" si="227"/>
        <v>13495.203371641008</v>
      </c>
      <c r="Q458" s="41">
        <v>453</v>
      </c>
      <c r="R458" s="57">
        <f t="shared" si="228"/>
        <v>-5261.6797812147188</v>
      </c>
      <c r="S458" s="41">
        <f t="shared" si="229"/>
        <v>-10006.85232622713</v>
      </c>
      <c r="U458" s="41">
        <v>452</v>
      </c>
      <c r="V458" s="41">
        <f t="shared" si="251"/>
        <v>226</v>
      </c>
      <c r="W458" s="57">
        <f t="shared" si="252"/>
        <v>60020.545625229366</v>
      </c>
      <c r="X458" s="57">
        <f t="shared" si="253"/>
        <v>147852.25305586142</v>
      </c>
      <c r="Y458" s="57">
        <f t="shared" si="254"/>
        <v>2684.6629220333707</v>
      </c>
      <c r="Z458" s="57">
        <f t="shared" si="255"/>
        <v>4957.2404334207231</v>
      </c>
      <c r="AA458" s="57">
        <f t="shared" si="230"/>
        <v>-50.682880947132119</v>
      </c>
      <c r="AB458" s="57">
        <f t="shared" si="231"/>
        <v>-129.76198745101439</v>
      </c>
      <c r="AC458" s="57">
        <f t="shared" si="232"/>
        <v>-6.6934314721211319</v>
      </c>
      <c r="AD458" s="57">
        <f t="shared" si="233"/>
        <v>-23.473897547138403</v>
      </c>
      <c r="AE458" s="57">
        <f t="shared" si="234"/>
        <v>-3.5385146611007587</v>
      </c>
      <c r="AF458" s="57">
        <f t="shared" si="235"/>
        <v>-6.095837196467996</v>
      </c>
      <c r="AG458" s="57">
        <f t="shared" si="236"/>
        <v>-6.2834414157804623</v>
      </c>
      <c r="AH458" s="57">
        <f t="shared" si="237"/>
        <v>-15.737680784815014</v>
      </c>
      <c r="AJ458" s="57">
        <f t="shared" si="238"/>
        <v>145946.56217258982</v>
      </c>
      <c r="AK458" s="57">
        <f t="shared" si="239"/>
        <v>159394.26399571809</v>
      </c>
      <c r="AL458" s="57">
        <f t="shared" si="240"/>
        <v>175352.58104394376</v>
      </c>
      <c r="AN458" s="41">
        <v>453</v>
      </c>
      <c r="AO458" s="57">
        <f t="shared" si="241"/>
        <v>4607.4803281779214</v>
      </c>
      <c r="AP458" s="57">
        <f t="shared" si="242"/>
        <v>22489.721510659303</v>
      </c>
      <c r="AR458" s="41">
        <v>453</v>
      </c>
      <c r="AS458" s="57">
        <f t="shared" si="243"/>
        <v>14816.824153149697</v>
      </c>
      <c r="AT458" s="57">
        <f t="shared" si="244"/>
        <v>-1504.7966283589917</v>
      </c>
      <c r="AV458" s="57">
        <f t="shared" si="245"/>
        <v>-32.17481816898519</v>
      </c>
      <c r="AW458" s="57">
        <f t="shared" si="246"/>
        <v>-77.689107529538958</v>
      </c>
      <c r="AX458" s="57">
        <f t="shared" si="247"/>
        <v>-1.9926752291445757</v>
      </c>
      <c r="AY458" s="57">
        <f t="shared" si="248"/>
        <v>-6.7654643930540219</v>
      </c>
      <c r="BA458" s="57">
        <f t="shared" si="249"/>
        <v>143794.92891933495</v>
      </c>
      <c r="BB458" s="57">
        <f t="shared" si="250"/>
        <v>159344.47211198279</v>
      </c>
    </row>
    <row r="459" spans="9:54" x14ac:dyDescent="0.25">
      <c r="I459" s="41">
        <v>454</v>
      </c>
      <c r="J459" s="57">
        <f t="shared" si="224"/>
        <v>19651.217631279378</v>
      </c>
      <c r="K459" s="57">
        <f t="shared" si="225"/>
        <v>12487.820251299123</v>
      </c>
      <c r="M459" s="41">
        <v>454</v>
      </c>
      <c r="N459" s="57">
        <f t="shared" si="226"/>
        <v>-20244.147658104434</v>
      </c>
      <c r="O459" s="57">
        <f t="shared" si="227"/>
        <v>13491.474175909385</v>
      </c>
      <c r="Q459" s="41">
        <v>454</v>
      </c>
      <c r="R459" s="57">
        <f t="shared" si="228"/>
        <v>-5348.782368720621</v>
      </c>
      <c r="S459" s="41">
        <f t="shared" si="229"/>
        <v>-10012.179748700877</v>
      </c>
      <c r="U459" s="41">
        <v>453</v>
      </c>
      <c r="V459" s="41">
        <f t="shared" si="251"/>
        <v>226.5</v>
      </c>
      <c r="W459" s="57">
        <f t="shared" si="252"/>
        <v>61356.54172612766</v>
      </c>
      <c r="X459" s="57">
        <f t="shared" si="253"/>
        <v>150314.6530241404</v>
      </c>
      <c r="Y459" s="57">
        <f t="shared" si="254"/>
        <v>2659.3214815598049</v>
      </c>
      <c r="Z459" s="57">
        <f t="shared" si="255"/>
        <v>4892.3594396952158</v>
      </c>
      <c r="AA459" s="57">
        <f t="shared" si="230"/>
        <v>-49.156868989182406</v>
      </c>
      <c r="AB459" s="57">
        <f t="shared" si="231"/>
        <v>-125.00685604066936</v>
      </c>
      <c r="AC459" s="57">
        <f t="shared" si="232"/>
        <v>-6.5437384544986514</v>
      </c>
      <c r="AD459" s="57">
        <f t="shared" si="233"/>
        <v>-22.597192556589853</v>
      </c>
      <c r="AE459" s="57">
        <f t="shared" si="234"/>
        <v>-3.4147882647597498</v>
      </c>
      <c r="AF459" s="57">
        <f t="shared" si="235"/>
        <v>-5.8894444178026486</v>
      </c>
      <c r="AG459" s="57">
        <f t="shared" si="236"/>
        <v>-6.1176399920570805</v>
      </c>
      <c r="AH459" s="57">
        <f t="shared" si="237"/>
        <v>-15.240931885624645</v>
      </c>
      <c r="AJ459" s="57">
        <f t="shared" si="238"/>
        <v>148682.17331593775</v>
      </c>
      <c r="AK459" s="57">
        <f t="shared" si="239"/>
        <v>162194.60143580631</v>
      </c>
      <c r="AL459" s="57">
        <f t="shared" si="240"/>
        <v>178135.13166790895</v>
      </c>
      <c r="AN459" s="41">
        <v>454</v>
      </c>
      <c r="AO459" s="57">
        <f t="shared" si="241"/>
        <v>4476.8264469190681</v>
      </c>
      <c r="AP459" s="57">
        <f t="shared" si="242"/>
        <v>22481.730376948683</v>
      </c>
      <c r="AR459" s="41">
        <v>454</v>
      </c>
      <c r="AS459" s="57">
        <f t="shared" si="243"/>
        <v>14755.852341895565</v>
      </c>
      <c r="AT459" s="57">
        <f t="shared" si="244"/>
        <v>-1508.5258240906151</v>
      </c>
      <c r="AV459" s="57">
        <f t="shared" si="245"/>
        <v>-31.13103354666892</v>
      </c>
      <c r="AW459" s="57">
        <f t="shared" si="246"/>
        <v>-74.747045748859605</v>
      </c>
      <c r="AX459" s="57">
        <f t="shared" si="247"/>
        <v>-1.9496687311980063</v>
      </c>
      <c r="AY459" s="57">
        <f t="shared" si="248"/>
        <v>-6.5322414317926185</v>
      </c>
      <c r="BA459" s="57">
        <f t="shared" si="249"/>
        <v>146581.42828602906</v>
      </c>
      <c r="BB459" s="57">
        <f t="shared" si="250"/>
        <v>162085.07150510605</v>
      </c>
    </row>
    <row r="460" spans="9:54" x14ac:dyDescent="0.25">
      <c r="I460" s="41">
        <v>455</v>
      </c>
      <c r="J460" s="57">
        <f t="shared" si="224"/>
        <v>19564.221286261713</v>
      </c>
      <c r="K460" s="57">
        <f t="shared" si="225"/>
        <v>12480.973490458728</v>
      </c>
      <c r="M460" s="41">
        <v>455</v>
      </c>
      <c r="N460" s="57">
        <f t="shared" si="226"/>
        <v>-20305.045099616804</v>
      </c>
      <c r="O460" s="57">
        <f t="shared" si="227"/>
        <v>13486.681443321109</v>
      </c>
      <c r="Q460" s="41">
        <v>455</v>
      </c>
      <c r="R460" s="57">
        <f t="shared" si="228"/>
        <v>-5435.7787137382893</v>
      </c>
      <c r="S460" s="41">
        <f t="shared" si="229"/>
        <v>-10019.026509541272</v>
      </c>
      <c r="U460" s="41">
        <v>454</v>
      </c>
      <c r="V460" s="41">
        <f t="shared" si="251"/>
        <v>227</v>
      </c>
      <c r="W460" s="57">
        <f t="shared" si="252"/>
        <v>62680.057858283915</v>
      </c>
      <c r="X460" s="57">
        <f t="shared" si="253"/>
        <v>152745.20688698292</v>
      </c>
      <c r="Y460" s="57">
        <f t="shared" si="254"/>
        <v>2634.7430470652134</v>
      </c>
      <c r="Z460" s="57">
        <f t="shared" si="255"/>
        <v>4829.8560116748813</v>
      </c>
      <c r="AA460" s="57">
        <f t="shared" si="230"/>
        <v>-47.716255831853708</v>
      </c>
      <c r="AB460" s="57">
        <f t="shared" si="231"/>
        <v>-120.55859561533124</v>
      </c>
      <c r="AC460" s="57">
        <f t="shared" si="232"/>
        <v>-6.3992504462737534</v>
      </c>
      <c r="AD460" s="57">
        <f t="shared" si="233"/>
        <v>-21.777394446766127</v>
      </c>
      <c r="AE460" s="57">
        <f t="shared" si="234"/>
        <v>-3.2989550187501915</v>
      </c>
      <c r="AF460" s="57">
        <f t="shared" si="235"/>
        <v>-5.6955695104797881</v>
      </c>
      <c r="AG460" s="57">
        <f t="shared" si="236"/>
        <v>-5.9603318609708005</v>
      </c>
      <c r="AH460" s="57">
        <f t="shared" si="237"/>
        <v>-14.772698676279973</v>
      </c>
      <c r="AJ460" s="57">
        <f t="shared" si="238"/>
        <v>151386.12044183223</v>
      </c>
      <c r="AK460" s="57">
        <f t="shared" si="239"/>
        <v>164961.16529855362</v>
      </c>
      <c r="AL460" s="57">
        <f t="shared" si="240"/>
        <v>180884.0641550752</v>
      </c>
      <c r="AN460" s="41">
        <v>455</v>
      </c>
      <c r="AO460" s="57">
        <f t="shared" si="241"/>
        <v>4346.331929392567</v>
      </c>
      <c r="AP460" s="57">
        <f t="shared" si="242"/>
        <v>22471.460235688093</v>
      </c>
      <c r="AR460" s="41">
        <v>455</v>
      </c>
      <c r="AS460" s="57">
        <f t="shared" si="243"/>
        <v>14694.954900383198</v>
      </c>
      <c r="AT460" s="57">
        <f t="shared" si="244"/>
        <v>-1513.3185566788907</v>
      </c>
      <c r="AV460" s="57">
        <f t="shared" si="245"/>
        <v>-30.149474288566246</v>
      </c>
      <c r="AW460" s="57">
        <f t="shared" si="246"/>
        <v>-71.999677663566885</v>
      </c>
      <c r="AX460" s="57">
        <f t="shared" si="247"/>
        <v>-1.908244217292719</v>
      </c>
      <c r="AY460" s="57">
        <f t="shared" si="248"/>
        <v>-6.3132553182384674</v>
      </c>
      <c r="BA460" s="57">
        <f t="shared" si="249"/>
        <v>149334.29309730805</v>
      </c>
      <c r="BB460" s="57">
        <f t="shared" si="250"/>
        <v>164793.62309624223</v>
      </c>
    </row>
    <row r="461" spans="9:54" x14ac:dyDescent="0.25">
      <c r="I461" s="41">
        <v>456</v>
      </c>
      <c r="J461" s="57">
        <f t="shared" si="224"/>
        <v>19477.357683661736</v>
      </c>
      <c r="K461" s="57">
        <f t="shared" si="225"/>
        <v>12472.609476841368</v>
      </c>
      <c r="M461" s="41">
        <v>456</v>
      </c>
      <c r="N461" s="57">
        <f t="shared" si="226"/>
        <v>-20365.849621436784</v>
      </c>
      <c r="O461" s="57">
        <f t="shared" si="227"/>
        <v>13480.826633788956</v>
      </c>
      <c r="Q461" s="41">
        <v>456</v>
      </c>
      <c r="R461" s="57">
        <f t="shared" si="228"/>
        <v>-5522.6423163382642</v>
      </c>
      <c r="S461" s="41">
        <f t="shared" si="229"/>
        <v>-10027.390523158632</v>
      </c>
      <c r="U461" s="41">
        <v>455</v>
      </c>
      <c r="V461" s="41">
        <f t="shared" si="251"/>
        <v>227.5</v>
      </c>
      <c r="W461" s="57">
        <f t="shared" si="252"/>
        <v>63991.464849837539</v>
      </c>
      <c r="X461" s="57">
        <f t="shared" si="253"/>
        <v>155145.06506836842</v>
      </c>
      <c r="Y461" s="57">
        <f t="shared" si="254"/>
        <v>2610.8849191492864</v>
      </c>
      <c r="Z461" s="57">
        <f t="shared" si="255"/>
        <v>4769.5767138672154</v>
      </c>
      <c r="AA461" s="57">
        <f t="shared" si="230"/>
        <v>-46.354274175166125</v>
      </c>
      <c r="AB461" s="57">
        <f t="shared" si="231"/>
        <v>-116.38963344442361</v>
      </c>
      <c r="AC461" s="57">
        <f t="shared" si="232"/>
        <v>-6.2598374367742826</v>
      </c>
      <c r="AD461" s="57">
        <f t="shared" si="233"/>
        <v>-21.009396000446227</v>
      </c>
      <c r="AE461" s="57">
        <f t="shared" si="234"/>
        <v>-3.1903068440020461</v>
      </c>
      <c r="AF461" s="57">
        <f t="shared" si="235"/>
        <v>-5.5131470237911184</v>
      </c>
      <c r="AG461" s="57">
        <f t="shared" si="236"/>
        <v>-5.8108854401591357</v>
      </c>
      <c r="AH461" s="57">
        <f t="shared" si="237"/>
        <v>-14.330663705614</v>
      </c>
      <c r="AJ461" s="57">
        <f t="shared" si="238"/>
        <v>154059.45027383824</v>
      </c>
      <c r="AK461" s="57">
        <f t="shared" si="239"/>
        <v>167695.1283768327</v>
      </c>
      <c r="AL461" s="57">
        <f t="shared" si="240"/>
        <v>183600.55933805238</v>
      </c>
      <c r="AN461" s="41">
        <v>456</v>
      </c>
      <c r="AO461" s="57">
        <f t="shared" si="241"/>
        <v>4216.0365254926037</v>
      </c>
      <c r="AP461" s="57">
        <f t="shared" si="242"/>
        <v>22458.914215262052</v>
      </c>
      <c r="AR461" s="41">
        <v>456</v>
      </c>
      <c r="AS461" s="57">
        <f t="shared" si="243"/>
        <v>14634.150378563216</v>
      </c>
      <c r="AT461" s="57">
        <f t="shared" si="244"/>
        <v>-1519.1733662110432</v>
      </c>
      <c r="AV461" s="57">
        <f t="shared" si="245"/>
        <v>-29.224905910757069</v>
      </c>
      <c r="AW461" s="57">
        <f t="shared" si="246"/>
        <v>-69.429134382501672</v>
      </c>
      <c r="AX461" s="57">
        <f t="shared" si="247"/>
        <v>-1.8683385434735904</v>
      </c>
      <c r="AY461" s="57">
        <f t="shared" si="248"/>
        <v>-6.1072923320705934</v>
      </c>
      <c r="BA461" s="57">
        <f t="shared" si="249"/>
        <v>152054.70130234986</v>
      </c>
      <c r="BB461" s="57">
        <f t="shared" si="250"/>
        <v>167471.20795493422</v>
      </c>
    </row>
    <row r="462" spans="9:54" x14ac:dyDescent="0.25">
      <c r="I462" s="41">
        <v>457</v>
      </c>
      <c r="J462" s="57">
        <f t="shared" si="224"/>
        <v>19390.653282974261</v>
      </c>
      <c r="K462" s="57">
        <f t="shared" si="225"/>
        <v>12462.73075820661</v>
      </c>
      <c r="M462" s="41">
        <v>457</v>
      </c>
      <c r="N462" s="57">
        <f t="shared" si="226"/>
        <v>-20426.542701918017</v>
      </c>
      <c r="O462" s="57">
        <f t="shared" si="227"/>
        <v>13473.911530744626</v>
      </c>
      <c r="Q462" s="41">
        <v>457</v>
      </c>
      <c r="R462" s="57">
        <f t="shared" si="228"/>
        <v>-5609.3467170257381</v>
      </c>
      <c r="S462" s="41">
        <f t="shared" si="229"/>
        <v>-10037.26924179339</v>
      </c>
      <c r="U462" s="41">
        <v>456</v>
      </c>
      <c r="V462" s="41">
        <f t="shared" si="251"/>
        <v>228</v>
      </c>
      <c r="W462" s="57">
        <f t="shared" si="252"/>
        <v>65291.113025140286</v>
      </c>
      <c r="X462" s="57">
        <f t="shared" si="253"/>
        <v>157515.30472112147</v>
      </c>
      <c r="Y462" s="57">
        <f t="shared" si="254"/>
        <v>2587.7077820617033</v>
      </c>
      <c r="Z462" s="57">
        <f t="shared" si="255"/>
        <v>4711.3818971450037</v>
      </c>
      <c r="AA462" s="57">
        <f t="shared" si="230"/>
        <v>-45.064841084414191</v>
      </c>
      <c r="AB462" s="57">
        <f t="shared" si="231"/>
        <v>-112.47553155045118</v>
      </c>
      <c r="AC462" s="57">
        <f t="shared" si="232"/>
        <v>-6.1253505055869955</v>
      </c>
      <c r="AD462" s="57">
        <f t="shared" si="233"/>
        <v>-20.28866727362707</v>
      </c>
      <c r="AE462" s="57">
        <f t="shared" si="234"/>
        <v>-3.0882164016830731</v>
      </c>
      <c r="AF462" s="57">
        <f t="shared" si="235"/>
        <v>-5.341226856832832</v>
      </c>
      <c r="AG462" s="57">
        <f t="shared" si="236"/>
        <v>-5.6687303008995853</v>
      </c>
      <c r="AH462" s="57">
        <f t="shared" si="237"/>
        <v>-13.912750746908447</v>
      </c>
      <c r="AJ462" s="57">
        <f t="shared" si="238"/>
        <v>156703.14792507188</v>
      </c>
      <c r="AK462" s="57">
        <f t="shared" si="239"/>
        <v>170397.59120372735</v>
      </c>
      <c r="AL462" s="57">
        <f t="shared" si="240"/>
        <v>186285.72391177603</v>
      </c>
      <c r="AN462" s="41">
        <v>457</v>
      </c>
      <c r="AO462" s="57">
        <f t="shared" si="241"/>
        <v>4085.9799244613932</v>
      </c>
      <c r="AP462" s="57">
        <f t="shared" si="242"/>
        <v>22444.096137309916</v>
      </c>
      <c r="AR462" s="41">
        <v>457</v>
      </c>
      <c r="AS462" s="57">
        <f t="shared" si="243"/>
        <v>14573.457298081983</v>
      </c>
      <c r="AT462" s="57">
        <f t="shared" si="244"/>
        <v>-1526.0884692553732</v>
      </c>
      <c r="AV462" s="57">
        <f t="shared" si="245"/>
        <v>-28.352655101514063</v>
      </c>
      <c r="AW462" s="57">
        <f t="shared" si="246"/>
        <v>-67.019616635046091</v>
      </c>
      <c r="AX462" s="57">
        <f t="shared" si="247"/>
        <v>-1.8298887747304686</v>
      </c>
      <c r="AY462" s="57">
        <f t="shared" si="248"/>
        <v>-5.9132700380367487</v>
      </c>
      <c r="BA462" s="57">
        <f t="shared" si="249"/>
        <v>154743.75719092629</v>
      </c>
      <c r="BB462" s="57">
        <f t="shared" si="250"/>
        <v>170118.84174866229</v>
      </c>
    </row>
    <row r="463" spans="9:54" x14ac:dyDescent="0.25">
      <c r="I463" s="41">
        <v>458</v>
      </c>
      <c r="J463" s="57">
        <f t="shared" si="224"/>
        <v>19304.134495199676</v>
      </c>
      <c r="K463" s="57">
        <f t="shared" si="225"/>
        <v>12451.340343707852</v>
      </c>
      <c r="M463" s="41">
        <v>458</v>
      </c>
      <c r="N463" s="57">
        <f t="shared" si="226"/>
        <v>-20487.105853360226</v>
      </c>
      <c r="O463" s="57">
        <f t="shared" si="227"/>
        <v>13465.938240595497</v>
      </c>
      <c r="Q463" s="41">
        <v>458</v>
      </c>
      <c r="R463" s="57">
        <f t="shared" si="228"/>
        <v>-5695.865504800322</v>
      </c>
      <c r="S463" s="41">
        <f t="shared" si="229"/>
        <v>-10048.659656292148</v>
      </c>
      <c r="U463" s="41">
        <v>457</v>
      </c>
      <c r="V463" s="41">
        <f t="shared" si="251"/>
        <v>228.5</v>
      </c>
      <c r="W463" s="57">
        <f t="shared" si="252"/>
        <v>66579.333811035583</v>
      </c>
      <c r="X463" s="57">
        <f t="shared" si="253"/>
        <v>159856.93622825018</v>
      </c>
      <c r="Y463" s="57">
        <f t="shared" si="254"/>
        <v>2565.1753615194962</v>
      </c>
      <c r="Z463" s="57">
        <f t="shared" si="255"/>
        <v>4655.1441313697778</v>
      </c>
      <c r="AA463" s="57">
        <f t="shared" si="230"/>
        <v>-43.842474733263565</v>
      </c>
      <c r="AB463" s="57">
        <f t="shared" si="231"/>
        <v>-108.79455970355626</v>
      </c>
      <c r="AC463" s="57">
        <f t="shared" si="232"/>
        <v>-5.9956285170702683</v>
      </c>
      <c r="AD463" s="57">
        <f t="shared" si="233"/>
        <v>-19.611177680843781</v>
      </c>
      <c r="AE463" s="57">
        <f t="shared" si="234"/>
        <v>-2.9921260372261576</v>
      </c>
      <c r="AF463" s="57">
        <f t="shared" si="235"/>
        <v>-5.1789592390041514</v>
      </c>
      <c r="AG463" s="57">
        <f t="shared" si="236"/>
        <v>-5.5333499202787051</v>
      </c>
      <c r="AH463" s="57">
        <f t="shared" si="237"/>
        <v>-13.517094426905629</v>
      </c>
      <c r="AJ463" s="57">
        <f t="shared" si="238"/>
        <v>159318.14195231808</v>
      </c>
      <c r="AK463" s="57">
        <f t="shared" si="239"/>
        <v>173069.58825536209</v>
      </c>
      <c r="AL463" s="57">
        <f t="shared" si="240"/>
        <v>188940.5969503696</v>
      </c>
      <c r="AN463" s="41">
        <v>458</v>
      </c>
      <c r="AO463" s="57">
        <f t="shared" si="241"/>
        <v>3956.201742799517</v>
      </c>
      <c r="AP463" s="57">
        <f t="shared" si="242"/>
        <v>22427.010515561778</v>
      </c>
      <c r="AR463" s="41">
        <v>458</v>
      </c>
      <c r="AS463" s="57">
        <f t="shared" si="243"/>
        <v>14512.894146639774</v>
      </c>
      <c r="AT463" s="57">
        <f t="shared" si="244"/>
        <v>-1534.0617594045034</v>
      </c>
      <c r="AV463" s="57">
        <f t="shared" si="245"/>
        <v>-27.528537340911651</v>
      </c>
      <c r="AW463" s="57">
        <f t="shared" si="246"/>
        <v>-64.757108127967598</v>
      </c>
      <c r="AX463" s="57">
        <f t="shared" si="247"/>
        <v>-1.7928329177767828</v>
      </c>
      <c r="AY463" s="57">
        <f t="shared" si="248"/>
        <v>-5.7302202288351092</v>
      </c>
      <c r="BA463" s="57">
        <f t="shared" si="249"/>
        <v>157402.49783928556</v>
      </c>
      <c r="BB463" s="57">
        <f t="shared" si="250"/>
        <v>172737.48029583963</v>
      </c>
    </row>
    <row r="464" spans="9:54" x14ac:dyDescent="0.25">
      <c r="I464" s="41">
        <v>459</v>
      </c>
      <c r="J464" s="57">
        <f t="shared" si="224"/>
        <v>19217.827674798853</v>
      </c>
      <c r="K464" s="57">
        <f t="shared" si="225"/>
        <v>12438.44170297569</v>
      </c>
      <c r="M464" s="41">
        <v>459</v>
      </c>
      <c r="N464" s="57">
        <f t="shared" si="226"/>
        <v>-20547.520627640803</v>
      </c>
      <c r="O464" s="57">
        <f t="shared" si="227"/>
        <v>13456.909192082981</v>
      </c>
      <c r="Q464" s="41">
        <v>459</v>
      </c>
      <c r="R464" s="57">
        <f t="shared" si="228"/>
        <v>-5782.1723252011489</v>
      </c>
      <c r="S464" s="41">
        <f t="shared" si="229"/>
        <v>-10061.55829702431</v>
      </c>
      <c r="U464" s="41">
        <v>458</v>
      </c>
      <c r="V464" s="41">
        <f t="shared" si="251"/>
        <v>229</v>
      </c>
      <c r="W464" s="57">
        <f t="shared" si="252"/>
        <v>67856.44118245368</v>
      </c>
      <c r="X464" s="57">
        <f t="shared" si="253"/>
        <v>162170.90897397214</v>
      </c>
      <c r="Y464" s="57">
        <f t="shared" si="254"/>
        <v>2543.2541241528643</v>
      </c>
      <c r="Z464" s="57">
        <f t="shared" si="255"/>
        <v>4600.7468515179999</v>
      </c>
      <c r="AA464" s="57">
        <f t="shared" si="230"/>
        <v>-42.682222876134098</v>
      </c>
      <c r="AB464" s="57">
        <f t="shared" si="231"/>
        <v>-105.32733569399539</v>
      </c>
      <c r="AC464" s="57">
        <f t="shared" si="232"/>
        <v>-5.8705031695290639</v>
      </c>
      <c r="AD464" s="57">
        <f t="shared" si="233"/>
        <v>-18.973330212831556</v>
      </c>
      <c r="AE464" s="57">
        <f t="shared" si="234"/>
        <v>-2.9015384775947899</v>
      </c>
      <c r="AF464" s="57">
        <f t="shared" si="235"/>
        <v>-5.0255819791473062</v>
      </c>
      <c r="AG464" s="57">
        <f t="shared" si="236"/>
        <v>-5.4042754439343703</v>
      </c>
      <c r="AH464" s="57">
        <f t="shared" si="237"/>
        <v>-13.142014312087525</v>
      </c>
      <c r="AJ464" s="57">
        <f t="shared" si="238"/>
        <v>161905.30888604122</v>
      </c>
      <c r="AK464" s="57">
        <f t="shared" si="239"/>
        <v>175712.0934802464</v>
      </c>
      <c r="AL464" s="57">
        <f t="shared" si="240"/>
        <v>191566.15569676145</v>
      </c>
      <c r="AN464" s="41">
        <v>459</v>
      </c>
      <c r="AO464" s="57">
        <f t="shared" si="241"/>
        <v>3826.7415121982776</v>
      </c>
      <c r="AP464" s="57">
        <f t="shared" si="242"/>
        <v>22407.662554463535</v>
      </c>
      <c r="AR464" s="41">
        <v>459</v>
      </c>
      <c r="AS464" s="57">
        <f t="shared" si="243"/>
        <v>14452.479372359196</v>
      </c>
      <c r="AT464" s="57">
        <f t="shared" si="244"/>
        <v>-1543.0908079170176</v>
      </c>
      <c r="AV464" s="57">
        <f t="shared" si="245"/>
        <v>-26.748795345039596</v>
      </c>
      <c r="AW464" s="57">
        <f t="shared" si="246"/>
        <v>-62.629134752655119</v>
      </c>
      <c r="AX464" s="57">
        <f t="shared" si="247"/>
        <v>-1.7571104400362765</v>
      </c>
      <c r="AY464" s="57">
        <f t="shared" si="248"/>
        <v>-5.5572744372738851</v>
      </c>
      <c r="BA464" s="57">
        <f t="shared" si="249"/>
        <v>160031.89884003892</v>
      </c>
      <c r="BB464" s="57">
        <f t="shared" si="250"/>
        <v>175328.02451878099</v>
      </c>
    </row>
    <row r="465" spans="9:54" x14ac:dyDescent="0.25">
      <c r="I465" s="41">
        <v>460</v>
      </c>
      <c r="J465" s="57">
        <f t="shared" si="224"/>
        <v>19131.759111665349</v>
      </c>
      <c r="K465" s="57">
        <f t="shared" si="225"/>
        <v>12424.038765061041</v>
      </c>
      <c r="M465" s="41">
        <v>460</v>
      </c>
      <c r="N465" s="57">
        <f t="shared" si="226"/>
        <v>-20607.768621834253</v>
      </c>
      <c r="O465" s="57">
        <f t="shared" si="227"/>
        <v>13446.827135542728</v>
      </c>
      <c r="Q465" s="41">
        <v>460</v>
      </c>
      <c r="R465" s="57">
        <f t="shared" si="228"/>
        <v>-5868.2408883346488</v>
      </c>
      <c r="S465" s="41">
        <f t="shared" si="229"/>
        <v>-10075.961234938959</v>
      </c>
      <c r="U465" s="41">
        <v>459</v>
      </c>
      <c r="V465" s="41">
        <f t="shared" si="251"/>
        <v>229.5</v>
      </c>
      <c r="W465" s="57">
        <f t="shared" si="252"/>
        <v>69122.732966670592</v>
      </c>
      <c r="X465" s="57">
        <f t="shared" si="253"/>
        <v>164458.11648276937</v>
      </c>
      <c r="Y465" s="57">
        <f t="shared" si="254"/>
        <v>2521.9130127147973</v>
      </c>
      <c r="Z465" s="57">
        <f t="shared" si="255"/>
        <v>4548.0831836710022</v>
      </c>
      <c r="AA465" s="57">
        <f t="shared" si="230"/>
        <v>-41.579601186867926</v>
      </c>
      <c r="AB465" s="57">
        <f t="shared" si="231"/>
        <v>-102.05652091959765</v>
      </c>
      <c r="AC465" s="57">
        <f t="shared" si="232"/>
        <v>-5.7498027881110767</v>
      </c>
      <c r="AD465" s="57">
        <f t="shared" si="233"/>
        <v>-18.371905658865014</v>
      </c>
      <c r="AE465" s="57">
        <f t="shared" si="234"/>
        <v>-2.8160089678089086</v>
      </c>
      <c r="AF465" s="57">
        <f t="shared" si="235"/>
        <v>-4.8804095957090174</v>
      </c>
      <c r="AG465" s="57">
        <f t="shared" si="236"/>
        <v>-5.2810802981155627</v>
      </c>
      <c r="AH465" s="57">
        <f t="shared" si="237"/>
        <v>-12.785992709149442</v>
      </c>
      <c r="AJ465" s="57">
        <f t="shared" si="238"/>
        <v>164465.47730126657</v>
      </c>
      <c r="AK465" s="57">
        <f t="shared" si="239"/>
        <v>178326.0252426808</v>
      </c>
      <c r="AL465" s="57">
        <f t="shared" si="240"/>
        <v>194163.32072250819</v>
      </c>
      <c r="AN465" s="41">
        <v>460</v>
      </c>
      <c r="AO465" s="57">
        <f t="shared" si="241"/>
        <v>3697.6386674980258</v>
      </c>
      <c r="AP465" s="57">
        <f t="shared" si="242"/>
        <v>22386.058147591561</v>
      </c>
      <c r="AR465" s="41">
        <v>460</v>
      </c>
      <c r="AS465" s="57">
        <f t="shared" si="243"/>
        <v>14392.231378165745</v>
      </c>
      <c r="AT465" s="57">
        <f t="shared" si="244"/>
        <v>-1553.1728644572713</v>
      </c>
      <c r="AV465" s="57">
        <f t="shared" si="245"/>
        <v>-26.010046505400446</v>
      </c>
      <c r="AW465" s="57">
        <f t="shared" si="246"/>
        <v>-60.624561375869121</v>
      </c>
      <c r="AX465" s="57">
        <f t="shared" si="247"/>
        <v>-1.7226626274319372</v>
      </c>
      <c r="AY465" s="57">
        <f t="shared" si="248"/>
        <v>-5.3936515800050602</v>
      </c>
      <c r="BA465" s="57">
        <f t="shared" si="249"/>
        <v>162632.87941155073</v>
      </c>
      <c r="BB465" s="57">
        <f t="shared" si="250"/>
        <v>177891.32487468119</v>
      </c>
    </row>
    <row r="466" spans="9:54" x14ac:dyDescent="0.25">
      <c r="I466" s="41">
        <v>461</v>
      </c>
      <c r="J466" s="57">
        <f t="shared" si="224"/>
        <v>19045.955023117276</v>
      </c>
      <c r="K466" s="57">
        <f t="shared" si="225"/>
        <v>12408.13591723832</v>
      </c>
      <c r="M466" s="41">
        <v>461</v>
      </c>
      <c r="N466" s="57">
        <f t="shared" si="226"/>
        <v>-20667.831483817907</v>
      </c>
      <c r="O466" s="57">
        <f t="shared" si="227"/>
        <v>13435.695142066823</v>
      </c>
      <c r="Q466" s="41">
        <v>461</v>
      </c>
      <c r="R466" s="57">
        <f t="shared" si="228"/>
        <v>-5954.0449768827248</v>
      </c>
      <c r="S466" s="41">
        <f t="shared" si="229"/>
        <v>-10091.86408276168</v>
      </c>
      <c r="U466" s="41">
        <v>460</v>
      </c>
      <c r="V466" s="41">
        <f t="shared" si="251"/>
        <v>230</v>
      </c>
      <c r="W466" s="57">
        <f t="shared" si="252"/>
        <v>70378.492022879625</v>
      </c>
      <c r="X466" s="57">
        <f t="shared" si="253"/>
        <v>166719.40100948993</v>
      </c>
      <c r="Y466" s="57">
        <f t="shared" si="254"/>
        <v>2501.1232121213634</v>
      </c>
      <c r="Z466" s="57">
        <f t="shared" si="255"/>
        <v>4497.0549232112035</v>
      </c>
      <c r="AA466" s="57">
        <f t="shared" si="230"/>
        <v>-40.530539927678845</v>
      </c>
      <c r="AB466" s="57">
        <f t="shared" si="231"/>
        <v>-98.96656168282064</v>
      </c>
      <c r="AC466" s="57">
        <f t="shared" si="232"/>
        <v>-5.6333551562100546</v>
      </c>
      <c r="AD466" s="57">
        <f t="shared" si="233"/>
        <v>-17.80401511895468</v>
      </c>
      <c r="AE466" s="57">
        <f t="shared" si="234"/>
        <v>-2.7351385950939591</v>
      </c>
      <c r="AF466" s="57">
        <f t="shared" si="235"/>
        <v>-4.7428240138433493</v>
      </c>
      <c r="AG466" s="57">
        <f t="shared" si="236"/>
        <v>-5.1633755186602963</v>
      </c>
      <c r="AH466" s="57">
        <f t="shared" si="237"/>
        <v>-12.447655574659358</v>
      </c>
      <c r="AJ466" s="57">
        <f t="shared" si="238"/>
        <v>166999.43148502067</v>
      </c>
      <c r="AK466" s="57">
        <f t="shared" si="239"/>
        <v>180912.25075462143</v>
      </c>
      <c r="AL466" s="57">
        <f t="shared" si="240"/>
        <v>196732.96054014727</v>
      </c>
      <c r="AN466" s="41">
        <v>461</v>
      </c>
      <c r="AO466" s="57">
        <f t="shared" si="241"/>
        <v>3568.9325346759124</v>
      </c>
      <c r="AP466" s="57">
        <f t="shared" si="242"/>
        <v>22362.203875857478</v>
      </c>
      <c r="AR466" s="41">
        <v>461</v>
      </c>
      <c r="AS466" s="57">
        <f t="shared" si="243"/>
        <v>14332.168516182093</v>
      </c>
      <c r="AT466" s="57">
        <f t="shared" si="244"/>
        <v>-1564.3048579331767</v>
      </c>
      <c r="AV466" s="57">
        <f t="shared" si="245"/>
        <v>-25.30923783693585</v>
      </c>
      <c r="AW466" s="57">
        <f t="shared" si="246"/>
        <v>-58.733419597423982</v>
      </c>
      <c r="AX466" s="57">
        <f t="shared" si="247"/>
        <v>-1.6894328207786824</v>
      </c>
      <c r="AY466" s="57">
        <f t="shared" si="248"/>
        <v>-5.2386473779392553</v>
      </c>
      <c r="BA466" s="57">
        <f t="shared" si="249"/>
        <v>165206.30696757356</v>
      </c>
      <c r="BB466" s="57">
        <f t="shared" si="250"/>
        <v>180428.1853308572</v>
      </c>
    </row>
    <row r="467" spans="9:54" x14ac:dyDescent="0.25">
      <c r="I467" s="41">
        <v>462</v>
      </c>
      <c r="J467" s="57">
        <f t="shared" si="224"/>
        <v>18960.441545911199</v>
      </c>
      <c r="K467" s="57">
        <f t="shared" si="225"/>
        <v>12390.738003669027</v>
      </c>
      <c r="M467" s="41">
        <v>462</v>
      </c>
      <c r="N467" s="57">
        <f t="shared" si="226"/>
        <v>-20727.690917862161</v>
      </c>
      <c r="O467" s="57">
        <f t="shared" si="227"/>
        <v>13423.516602568319</v>
      </c>
      <c r="Q467" s="41">
        <v>462</v>
      </c>
      <c r="R467" s="57">
        <f t="shared" si="228"/>
        <v>-6039.5584540888012</v>
      </c>
      <c r="S467" s="41">
        <f t="shared" si="229"/>
        <v>-10109.261996330973</v>
      </c>
      <c r="U467" s="41">
        <v>461</v>
      </c>
      <c r="V467" s="41">
        <f t="shared" si="251"/>
        <v>230.5</v>
      </c>
      <c r="W467" s="57">
        <f t="shared" si="252"/>
        <v>71623.987311449353</v>
      </c>
      <c r="X467" s="57">
        <f t="shared" si="253"/>
        <v>168955.5576508852</v>
      </c>
      <c r="Y467" s="57">
        <f t="shared" si="254"/>
        <v>2480.8579421575241</v>
      </c>
      <c r="Z467" s="57">
        <f t="shared" si="255"/>
        <v>4447.5716423697932</v>
      </c>
      <c r="AA467" s="57">
        <f t="shared" si="230"/>
        <v>-39.531337676938286</v>
      </c>
      <c r="AB467" s="57">
        <f t="shared" si="231"/>
        <v>-96.043468441726972</v>
      </c>
      <c r="AC467" s="57">
        <f t="shared" si="232"/>
        <v>-5.520989609723979</v>
      </c>
      <c r="AD467" s="57">
        <f t="shared" si="233"/>
        <v>-17.267059416486244</v>
      </c>
      <c r="AE467" s="57">
        <f t="shared" si="234"/>
        <v>-2.6585685978247029</v>
      </c>
      <c r="AF467" s="57">
        <f t="shared" si="235"/>
        <v>-4.6122665736415733</v>
      </c>
      <c r="AG467" s="57">
        <f t="shared" si="236"/>
        <v>-5.0508056876455871</v>
      </c>
      <c r="AH467" s="57">
        <f t="shared" si="237"/>
        <v>-12.125756038778661</v>
      </c>
      <c r="AJ467" s="57">
        <f t="shared" si="238"/>
        <v>169507.91474822347</v>
      </c>
      <c r="AK467" s="57">
        <f t="shared" si="239"/>
        <v>183471.59005947629</v>
      </c>
      <c r="AL467" s="57">
        <f t="shared" si="240"/>
        <v>199275.89573792738</v>
      </c>
      <c r="AN467" s="41">
        <v>462</v>
      </c>
      <c r="AO467" s="57">
        <f t="shared" si="241"/>
        <v>3440.6623188667986</v>
      </c>
      <c r="AP467" s="57">
        <f t="shared" si="242"/>
        <v>22336.107005503542</v>
      </c>
      <c r="AR467" s="41">
        <v>462</v>
      </c>
      <c r="AS467" s="57">
        <f t="shared" si="243"/>
        <v>14272.309082137839</v>
      </c>
      <c r="AT467" s="57">
        <f t="shared" si="244"/>
        <v>-1576.4833974316807</v>
      </c>
      <c r="AV467" s="57">
        <f t="shared" si="245"/>
        <v>-24.643607220752955</v>
      </c>
      <c r="AW467" s="57">
        <f t="shared" si="246"/>
        <v>-56.946761148719155</v>
      </c>
      <c r="AX467" s="57">
        <f t="shared" si="247"/>
        <v>-1.6573665609910564</v>
      </c>
      <c r="AY467" s="57">
        <f t="shared" si="248"/>
        <v>-5.0916252641013369</v>
      </c>
      <c r="BA467" s="57">
        <f t="shared" si="249"/>
        <v>167753.00121568973</v>
      </c>
      <c r="BB467" s="57">
        <f t="shared" si="250"/>
        <v>182939.366940737</v>
      </c>
    </row>
    <row r="468" spans="9:54" x14ac:dyDescent="0.25">
      <c r="I468" s="41">
        <v>463</v>
      </c>
      <c r="J468" s="57">
        <f t="shared" si="224"/>
        <v>18875.244728280675</v>
      </c>
      <c r="K468" s="57">
        <f t="shared" si="225"/>
        <v>12371.850323926177</v>
      </c>
      <c r="M468" s="41">
        <v>463</v>
      </c>
      <c r="N468" s="57">
        <f t="shared" si="226"/>
        <v>-20787.328690203525</v>
      </c>
      <c r="O468" s="57">
        <f t="shared" si="227"/>
        <v>13410.295226748323</v>
      </c>
      <c r="Q468" s="41">
        <v>463</v>
      </c>
      <c r="R468" s="57">
        <f t="shared" si="228"/>
        <v>-6124.7552717193239</v>
      </c>
      <c r="S468" s="41">
        <f t="shared" si="229"/>
        <v>-10128.149676073823</v>
      </c>
      <c r="U468" s="41">
        <v>462</v>
      </c>
      <c r="V468" s="41">
        <f t="shared" si="251"/>
        <v>231</v>
      </c>
      <c r="W468" s="57">
        <f t="shared" si="252"/>
        <v>72859.474865318494</v>
      </c>
      <c r="X468" s="57">
        <f t="shared" si="253"/>
        <v>171167.33803851486</v>
      </c>
      <c r="Y468" s="57">
        <f t="shared" si="254"/>
        <v>2461.092273319055</v>
      </c>
      <c r="Z468" s="57">
        <f t="shared" si="255"/>
        <v>4399.5499081489297</v>
      </c>
      <c r="AA468" s="57">
        <f t="shared" si="230"/>
        <v>-38.578621059291407</v>
      </c>
      <c r="AB468" s="57">
        <f t="shared" si="231"/>
        <v>-93.27462671938072</v>
      </c>
      <c r="AC468" s="57">
        <f t="shared" si="232"/>
        <v>-5.4125385655964839</v>
      </c>
      <c r="AD468" s="57">
        <f t="shared" si="233"/>
        <v>-16.758694279863057</v>
      </c>
      <c r="AE468" s="57">
        <f t="shared" si="234"/>
        <v>-2.5859754948883227</v>
      </c>
      <c r="AF468" s="57">
        <f t="shared" si="235"/>
        <v>-4.4882311401013606</v>
      </c>
      <c r="AG468" s="57">
        <f t="shared" si="236"/>
        <v>-4.9430453871468627</v>
      </c>
      <c r="AH468" s="57">
        <f t="shared" si="237"/>
        <v>-11.819160135879594</v>
      </c>
      <c r="AJ468" s="57">
        <f t="shared" si="238"/>
        <v>171991.6324233558</v>
      </c>
      <c r="AK468" s="57">
        <f t="shared" si="239"/>
        <v>186004.81962219055</v>
      </c>
      <c r="AL468" s="57">
        <f t="shared" si="240"/>
        <v>201792.90269642742</v>
      </c>
      <c r="AN468" s="41">
        <v>463</v>
      </c>
      <c r="AO468" s="57">
        <f t="shared" si="241"/>
        <v>3312.8670924210141</v>
      </c>
      <c r="AP468" s="57">
        <f t="shared" si="242"/>
        <v>22307.775485889266</v>
      </c>
      <c r="AR468" s="41">
        <v>463</v>
      </c>
      <c r="AS468" s="57">
        <f t="shared" si="243"/>
        <v>14212.671309796473</v>
      </c>
      <c r="AT468" s="57">
        <f t="shared" si="244"/>
        <v>-1589.7047732516767</v>
      </c>
      <c r="AV468" s="57">
        <f t="shared" si="245"/>
        <v>-24.010649945565572</v>
      </c>
      <c r="AW468" s="57">
        <f t="shared" si="246"/>
        <v>-55.25653262150378</v>
      </c>
      <c r="AX468" s="57">
        <f t="shared" si="247"/>
        <v>-1.6264116660941741</v>
      </c>
      <c r="AY468" s="57">
        <f t="shared" si="248"/>
        <v>-4.9520085420329254</v>
      </c>
      <c r="BA468" s="57">
        <f t="shared" si="249"/>
        <v>170273.73784301724</v>
      </c>
      <c r="BB468" s="57">
        <f t="shared" si="250"/>
        <v>185425.59106894277</v>
      </c>
    </row>
    <row r="469" spans="9:54" x14ac:dyDescent="0.25">
      <c r="I469" s="41">
        <v>464</v>
      </c>
      <c r="J469" s="57">
        <f t="shared" si="224"/>
        <v>18790.39052200166</v>
      </c>
      <c r="K469" s="57">
        <f t="shared" si="225"/>
        <v>12351.478631379981</v>
      </c>
      <c r="M469" s="41">
        <v>464</v>
      </c>
      <c r="N469" s="57">
        <f t="shared" si="226"/>
        <v>-20846.726634598839</v>
      </c>
      <c r="O469" s="57">
        <f t="shared" si="227"/>
        <v>13396.035041965988</v>
      </c>
      <c r="Q469" s="41">
        <v>464</v>
      </c>
      <c r="R469" s="57">
        <f t="shared" si="228"/>
        <v>-6209.6094779983414</v>
      </c>
      <c r="S469" s="41">
        <f t="shared" si="229"/>
        <v>-10148.521368620019</v>
      </c>
      <c r="U469" s="41">
        <v>463</v>
      </c>
      <c r="V469" s="41">
        <f t="shared" si="251"/>
        <v>231.5</v>
      </c>
      <c r="W469" s="57">
        <f t="shared" si="252"/>
        <v>74085.198674345607</v>
      </c>
      <c r="X469" s="57">
        <f t="shared" si="253"/>
        <v>173355.45366424942</v>
      </c>
      <c r="Y469" s="57">
        <f t="shared" si="254"/>
        <v>2441.8029627894093</v>
      </c>
      <c r="Z469" s="57">
        <f t="shared" si="255"/>
        <v>4352.9125947892389</v>
      </c>
      <c r="AA469" s="57">
        <f t="shared" si="230"/>
        <v>-37.669309596900227</v>
      </c>
      <c r="AB469" s="57">
        <f t="shared" si="231"/>
        <v>-90.648634535489293</v>
      </c>
      <c r="AC469" s="57">
        <f t="shared" si="232"/>
        <v>-5.307838616102809</v>
      </c>
      <c r="AD469" s="57">
        <f t="shared" si="233"/>
        <v>-16.276800367341991</v>
      </c>
      <c r="AE469" s="57">
        <f t="shared" si="234"/>
        <v>-2.5170669015645055</v>
      </c>
      <c r="AF469" s="57">
        <f t="shared" si="235"/>
        <v>-4.3702581426386757</v>
      </c>
      <c r="AG469" s="57">
        <f t="shared" si="236"/>
        <v>-4.8397960946949565</v>
      </c>
      <c r="AH469" s="57">
        <f t="shared" si="237"/>
        <v>-11.526834405670463</v>
      </c>
      <c r="AJ469" s="57">
        <f t="shared" si="238"/>
        <v>174451.25458367282</v>
      </c>
      <c r="AK469" s="57">
        <f t="shared" si="239"/>
        <v>188512.67557234401</v>
      </c>
      <c r="AL469" s="57">
        <f t="shared" si="240"/>
        <v>204284.71693796854</v>
      </c>
      <c r="AN469" s="41">
        <v>464</v>
      </c>
      <c r="AO469" s="57">
        <f t="shared" si="241"/>
        <v>3185.5857830024888</v>
      </c>
      <c r="AP469" s="57">
        <f t="shared" si="242"/>
        <v>22277.217947069974</v>
      </c>
      <c r="AR469" s="41">
        <v>464</v>
      </c>
      <c r="AS469" s="57">
        <f t="shared" si="243"/>
        <v>14153.273365401161</v>
      </c>
      <c r="AT469" s="57">
        <f t="shared" si="244"/>
        <v>-1603.9649580340129</v>
      </c>
      <c r="AV469" s="57">
        <f t="shared" si="245"/>
        <v>-23.408089726976041</v>
      </c>
      <c r="AW469" s="57">
        <f t="shared" si="246"/>
        <v>-53.65546802002968</v>
      </c>
      <c r="AX469" s="57">
        <f t="shared" si="247"/>
        <v>-1.5965182575619192</v>
      </c>
      <c r="AY469" s="57">
        <f t="shared" si="248"/>
        <v>-4.8192735998084855</v>
      </c>
      <c r="BA469" s="57">
        <f t="shared" si="249"/>
        <v>172769.25183922067</v>
      </c>
      <c r="BB469" s="57">
        <f t="shared" si="250"/>
        <v>187887.5423070064</v>
      </c>
    </row>
    <row r="470" spans="9:54" x14ac:dyDescent="0.25">
      <c r="I470" s="41">
        <v>465</v>
      </c>
      <c r="J470" s="57">
        <f t="shared" si="224"/>
        <v>18705.904774487401</v>
      </c>
      <c r="K470" s="57">
        <f t="shared" si="225"/>
        <v>12329.629131445341</v>
      </c>
      <c r="M470" s="41">
        <v>465</v>
      </c>
      <c r="N470" s="57">
        <f t="shared" si="226"/>
        <v>-20905.86665785882</v>
      </c>
      <c r="O470" s="57">
        <f t="shared" si="227"/>
        <v>13380.740392011739</v>
      </c>
      <c r="Q470" s="41">
        <v>465</v>
      </c>
      <c r="R470" s="57">
        <f t="shared" si="228"/>
        <v>-6294.0952255126012</v>
      </c>
      <c r="S470" s="41">
        <f t="shared" si="229"/>
        <v>-10170.370868554659</v>
      </c>
      <c r="U470" s="41">
        <v>464</v>
      </c>
      <c r="V470" s="41">
        <f t="shared" si="251"/>
        <v>232</v>
      </c>
      <c r="W470" s="57">
        <f t="shared" si="252"/>
        <v>75301.391492040697</v>
      </c>
      <c r="X470" s="57">
        <f t="shared" si="253"/>
        <v>175520.5788823271</v>
      </c>
      <c r="Y470" s="57">
        <f t="shared" si="254"/>
        <v>2422.9683079909591</v>
      </c>
      <c r="Z470" s="57">
        <f t="shared" si="255"/>
        <v>4307.5882775214941</v>
      </c>
      <c r="AA470" s="57">
        <f t="shared" si="230"/>
        <v>-36.800584944170083</v>
      </c>
      <c r="AB470" s="57">
        <f t="shared" si="231"/>
        <v>-88.155162149733712</v>
      </c>
      <c r="AC470" s="57">
        <f t="shared" si="232"/>
        <v>-5.2067312900115796</v>
      </c>
      <c r="AD470" s="57">
        <f t="shared" si="233"/>
        <v>-15.819457374022553</v>
      </c>
      <c r="AE470" s="57">
        <f t="shared" si="234"/>
        <v>-2.4515779223085477</v>
      </c>
      <c r="AF470" s="57">
        <f t="shared" si="235"/>
        <v>-4.2579294018968623</v>
      </c>
      <c r="AG470" s="57">
        <f t="shared" si="236"/>
        <v>-4.7407834573680763</v>
      </c>
      <c r="AH470" s="57">
        <f t="shared" si="237"/>
        <v>-11.247835085685296</v>
      </c>
      <c r="AJ470" s="57">
        <f t="shared" si="238"/>
        <v>176887.41851502119</v>
      </c>
      <c r="AK470" s="57">
        <f t="shared" si="239"/>
        <v>190995.85664055616</v>
      </c>
      <c r="AL470" s="57">
        <f t="shared" si="240"/>
        <v>206752.03615252499</v>
      </c>
      <c r="AN470" s="41">
        <v>465</v>
      </c>
      <c r="AO470" s="57">
        <f t="shared" si="241"/>
        <v>3058.8571617310986</v>
      </c>
      <c r="AP470" s="57">
        <f t="shared" si="242"/>
        <v>22244.443697168012</v>
      </c>
      <c r="AR470" s="41">
        <v>465</v>
      </c>
      <c r="AS470" s="57">
        <f t="shared" si="243"/>
        <v>14094.13334214118</v>
      </c>
      <c r="AT470" s="57">
        <f t="shared" si="244"/>
        <v>-1619.2596079882605</v>
      </c>
      <c r="AV470" s="57">
        <f t="shared" si="245"/>
        <v>-22.833853525124177</v>
      </c>
      <c r="AW470" s="57">
        <f t="shared" si="246"/>
        <v>-52.136996269585531</v>
      </c>
      <c r="AX470" s="57">
        <f t="shared" si="247"/>
        <v>-1.5676387493577071</v>
      </c>
      <c r="AY470" s="57">
        <f t="shared" si="248"/>
        <v>-4.6929440185434714</v>
      </c>
      <c r="BA470" s="57">
        <f t="shared" si="249"/>
        <v>175240.24049981945</v>
      </c>
      <c r="BB470" s="57">
        <f t="shared" si="250"/>
        <v>190325.87111553396</v>
      </c>
    </row>
    <row r="471" spans="9:54" x14ac:dyDescent="0.25">
      <c r="I471" s="41">
        <v>466</v>
      </c>
      <c r="J471" s="57">
        <f t="shared" si="224"/>
        <v>18621.813220915003</v>
      </c>
      <c r="K471" s="57">
        <f t="shared" si="225"/>
        <v>12306.308479691594</v>
      </c>
      <c r="M471" s="41">
        <v>466</v>
      </c>
      <c r="N471" s="57">
        <f t="shared" si="226"/>
        <v>-20964.730745359499</v>
      </c>
      <c r="O471" s="57">
        <f t="shared" si="227"/>
        <v>13364.415935784116</v>
      </c>
      <c r="Q471" s="41">
        <v>466</v>
      </c>
      <c r="R471" s="57">
        <f t="shared" si="228"/>
        <v>-6378.1867790849965</v>
      </c>
      <c r="S471" s="41">
        <f t="shared" si="229"/>
        <v>-10193.691520308406</v>
      </c>
      <c r="U471" s="41">
        <v>465</v>
      </c>
      <c r="V471" s="41">
        <f t="shared" si="251"/>
        <v>232.5</v>
      </c>
      <c r="W471" s="57">
        <f t="shared" si="252"/>
        <v>76508.275572918152</v>
      </c>
      <c r="X471" s="57">
        <f t="shared" si="253"/>
        <v>177663.35362581912</v>
      </c>
      <c r="Y471" s="57">
        <f t="shared" si="254"/>
        <v>2404.5680155188743</v>
      </c>
      <c r="Z471" s="57">
        <f t="shared" si="255"/>
        <v>4263.5106964466277</v>
      </c>
      <c r="AA471" s="57">
        <f t="shared" si="230"/>
        <v>-35.969863886308652</v>
      </c>
      <c r="AB471" s="57">
        <f t="shared" si="231"/>
        <v>-85.784830649104435</v>
      </c>
      <c r="AC471" s="57">
        <f t="shared" si="232"/>
        <v>-5.1090635586359952</v>
      </c>
      <c r="AD471" s="57">
        <f t="shared" si="233"/>
        <v>-15.384921592645711</v>
      </c>
      <c r="AE471" s="57">
        <f t="shared" si="234"/>
        <v>-2.3892680302820071</v>
      </c>
      <c r="AF471" s="57">
        <f t="shared" si="235"/>
        <v>-4.1508636258386273</v>
      </c>
      <c r="AG471" s="57">
        <f t="shared" si="236"/>
        <v>-4.6457548915716416</v>
      </c>
      <c r="AH471" s="57">
        <f t="shared" si="237"/>
        <v>-10.981298662526729</v>
      </c>
      <c r="AJ471" s="57">
        <f t="shared" si="238"/>
        <v>179300.7309673065</v>
      </c>
      <c r="AK471" s="57">
        <f t="shared" si="239"/>
        <v>193455.02682307013</v>
      </c>
      <c r="AL471" s="57">
        <f t="shared" si="240"/>
        <v>209195.52293779663</v>
      </c>
      <c r="AN471" s="41">
        <v>466</v>
      </c>
      <c r="AO471" s="57">
        <f t="shared" si="241"/>
        <v>2932.7198313725053</v>
      </c>
      <c r="AP471" s="57">
        <f t="shared" si="242"/>
        <v>22209.462719537391</v>
      </c>
      <c r="AR471" s="41">
        <v>466</v>
      </c>
      <c r="AS471" s="57">
        <f t="shared" si="243"/>
        <v>14035.269254640503</v>
      </c>
      <c r="AT471" s="57">
        <f t="shared" si="244"/>
        <v>-1635.5840642158837</v>
      </c>
      <c r="AV471" s="57">
        <f t="shared" si="245"/>
        <v>-22.286049595928343</v>
      </c>
      <c r="AW471" s="57">
        <f t="shared" si="246"/>
        <v>-50.695161326445891</v>
      </c>
      <c r="AX471" s="57">
        <f t="shared" si="247"/>
        <v>-1.5397278098906673</v>
      </c>
      <c r="AY471" s="57">
        <f t="shared" si="248"/>
        <v>-4.5725854416474814</v>
      </c>
      <c r="BA471" s="57">
        <f t="shared" si="249"/>
        <v>177687.36614686676</v>
      </c>
      <c r="BB471" s="57">
        <f t="shared" si="250"/>
        <v>192741.19622380962</v>
      </c>
    </row>
    <row r="472" spans="9:54" x14ac:dyDescent="0.25">
      <c r="I472" s="41">
        <v>467</v>
      </c>
      <c r="J472" s="57">
        <f t="shared" si="224"/>
        <v>18538.141476386321</v>
      </c>
      <c r="K472" s="57">
        <f t="shared" si="225"/>
        <v>12281.523779815179</v>
      </c>
      <c r="M472" s="41">
        <v>467</v>
      </c>
      <c r="N472" s="57">
        <f t="shared" si="226"/>
        <v>-21023.300966529576</v>
      </c>
      <c r="O472" s="57">
        <f t="shared" si="227"/>
        <v>13347.066645870626</v>
      </c>
      <c r="Q472" s="41">
        <v>467</v>
      </c>
      <c r="R472" s="57">
        <f t="shared" si="228"/>
        <v>-6461.8585236136787</v>
      </c>
      <c r="S472" s="41">
        <f t="shared" si="229"/>
        <v>-10218.476220184821</v>
      </c>
      <c r="U472" s="41">
        <v>466</v>
      </c>
      <c r="V472" s="41">
        <f t="shared" si="251"/>
        <v>233</v>
      </c>
      <c r="W472" s="57">
        <f t="shared" si="252"/>
        <v>77706.063347691786</v>
      </c>
      <c r="X472" s="57">
        <f t="shared" si="253"/>
        <v>179784.38587021129</v>
      </c>
      <c r="Y472" s="57">
        <f t="shared" si="254"/>
        <v>2386.5830835757201</v>
      </c>
      <c r="Z472" s="57">
        <f t="shared" si="255"/>
        <v>4220.6182811220751</v>
      </c>
      <c r="AA472" s="57">
        <f t="shared" si="230"/>
        <v>-35.174774579428288</v>
      </c>
      <c r="AB472" s="57">
        <f t="shared" si="231"/>
        <v>-83.52910651082685</v>
      </c>
      <c r="AC472" s="57">
        <f t="shared" si="232"/>
        <v>-5.0146881470906424</v>
      </c>
      <c r="AD472" s="57">
        <f t="shared" si="233"/>
        <v>-14.971606407226821</v>
      </c>
      <c r="AE472" s="57">
        <f t="shared" si="234"/>
        <v>-2.3299183591508825</v>
      </c>
      <c r="AF472" s="57">
        <f t="shared" si="235"/>
        <v>-4.0487124768138374</v>
      </c>
      <c r="AG472" s="57">
        <f t="shared" si="236"/>
        <v>-4.554477463876224</v>
      </c>
      <c r="AH472" s="57">
        <f t="shared" si="237"/>
        <v>-10.726433587237189</v>
      </c>
      <c r="AJ472" s="57">
        <f t="shared" si="238"/>
        <v>181691.7702092301</v>
      </c>
      <c r="AK472" s="57">
        <f t="shared" si="239"/>
        <v>195890.81780478626</v>
      </c>
      <c r="AL472" s="57">
        <f t="shared" si="240"/>
        <v>211615.80728600538</v>
      </c>
      <c r="AN472" s="41">
        <v>467</v>
      </c>
      <c r="AO472" s="57">
        <f t="shared" si="241"/>
        <v>2807.2122145794815</v>
      </c>
      <c r="AP472" s="57">
        <f t="shared" si="242"/>
        <v>22172.285669722769</v>
      </c>
      <c r="AR472" s="41">
        <v>467</v>
      </c>
      <c r="AS472" s="57">
        <f t="shared" si="243"/>
        <v>13976.699033470424</v>
      </c>
      <c r="AT472" s="57">
        <f t="shared" si="244"/>
        <v>-1652.9333541293749</v>
      </c>
      <c r="AV472" s="57">
        <f t="shared" si="245"/>
        <v>-21.762948304626708</v>
      </c>
      <c r="AW472" s="57">
        <f t="shared" si="246"/>
        <v>-49.324552946200996</v>
      </c>
      <c r="AX472" s="57">
        <f t="shared" si="247"/>
        <v>-1.5127423046838315</v>
      </c>
      <c r="AY472" s="57">
        <f t="shared" si="248"/>
        <v>-4.4578010933480074</v>
      </c>
      <c r="BA472" s="57">
        <f t="shared" si="249"/>
        <v>180111.25859907054</v>
      </c>
      <c r="BB472" s="57">
        <f t="shared" si="250"/>
        <v>195134.10681373946</v>
      </c>
    </row>
    <row r="473" spans="9:54" x14ac:dyDescent="0.25">
      <c r="I473" s="41">
        <v>468</v>
      </c>
      <c r="J473" s="57">
        <f t="shared" si="224"/>
        <v>18454.915028125266</v>
      </c>
      <c r="K473" s="57">
        <f t="shared" si="225"/>
        <v>12255.282581475767</v>
      </c>
      <c r="M473" s="41">
        <v>468</v>
      </c>
      <c r="N473" s="57">
        <f t="shared" si="226"/>
        <v>-21081.559480312317</v>
      </c>
      <c r="O473" s="57">
        <f t="shared" si="227"/>
        <v>13328.697807033037</v>
      </c>
      <c r="Q473" s="41">
        <v>468</v>
      </c>
      <c r="R473" s="57">
        <f t="shared" si="228"/>
        <v>-6545.0849718747359</v>
      </c>
      <c r="S473" s="41">
        <f t="shared" si="229"/>
        <v>-10244.717418524233</v>
      </c>
      <c r="U473" s="41">
        <v>467</v>
      </c>
      <c r="V473" s="41">
        <f t="shared" si="251"/>
        <v>233.5</v>
      </c>
      <c r="W473" s="57">
        <f t="shared" si="252"/>
        <v>78894.958042657207</v>
      </c>
      <c r="X473" s="57">
        <f t="shared" si="253"/>
        <v>181884.25387245847</v>
      </c>
      <c r="Y473" s="57">
        <f t="shared" si="254"/>
        <v>2368.995696286006</v>
      </c>
      <c r="Z473" s="57">
        <f t="shared" si="255"/>
        <v>4178.8537278666618</v>
      </c>
      <c r="AA473" s="57">
        <f t="shared" si="230"/>
        <v>-34.4131355905009</v>
      </c>
      <c r="AB473" s="57">
        <f t="shared" si="231"/>
        <v>-81.380209758143394</v>
      </c>
      <c r="AC473" s="57">
        <f t="shared" si="232"/>
        <v>-4.9234636974742489</v>
      </c>
      <c r="AD473" s="57">
        <f t="shared" si="233"/>
        <v>-14.578065285831819</v>
      </c>
      <c r="AE473" s="57">
        <f t="shared" si="234"/>
        <v>-2.2733293453540142</v>
      </c>
      <c r="AF473" s="57">
        <f t="shared" si="235"/>
        <v>-3.9511571273835209</v>
      </c>
      <c r="AG473" s="57">
        <f t="shared" si="236"/>
        <v>-4.4667360151589399</v>
      </c>
      <c r="AH473" s="57">
        <f t="shared" si="237"/>
        <v>-10.482512991336755</v>
      </c>
      <c r="AJ473" s="57">
        <f t="shared" si="238"/>
        <v>184061.08790697833</v>
      </c>
      <c r="AK473" s="57">
        <f t="shared" si="239"/>
        <v>198303.8311671025</v>
      </c>
      <c r="AL473" s="57">
        <f t="shared" si="240"/>
        <v>214013.48884566574</v>
      </c>
      <c r="AN473" s="41">
        <v>468</v>
      </c>
      <c r="AO473" s="57">
        <f t="shared" si="241"/>
        <v>2682.3725421878967</v>
      </c>
      <c r="AP473" s="57">
        <f t="shared" si="242"/>
        <v>22132.923872213651</v>
      </c>
      <c r="AR473" s="41">
        <v>468</v>
      </c>
      <c r="AS473" s="57">
        <f t="shared" si="243"/>
        <v>13918.440519687685</v>
      </c>
      <c r="AT473" s="57">
        <f t="shared" si="244"/>
        <v>-1671.3021929669621</v>
      </c>
      <c r="AV473" s="57">
        <f t="shared" si="245"/>
        <v>-21.262965306815502</v>
      </c>
      <c r="AW473" s="57">
        <f t="shared" si="246"/>
        <v>-48.02024650038323</v>
      </c>
      <c r="AX473" s="57">
        <f t="shared" si="247"/>
        <v>-1.48664122569819</v>
      </c>
      <c r="AY473" s="57">
        <f t="shared" si="248"/>
        <v>-4.3482278532080754</v>
      </c>
      <c r="BA473" s="57">
        <f t="shared" si="249"/>
        <v>182512.51741919853</v>
      </c>
      <c r="BB473" s="57">
        <f t="shared" si="250"/>
        <v>197505.16451156014</v>
      </c>
    </row>
    <row r="474" spans="9:54" x14ac:dyDescent="0.25">
      <c r="I474" s="41">
        <v>469</v>
      </c>
      <c r="J474" s="57">
        <f t="shared" si="224"/>
        <v>18372.159227714223</v>
      </c>
      <c r="K474" s="57">
        <f t="shared" si="225"/>
        <v>12227.592877996587</v>
      </c>
      <c r="M474" s="41">
        <v>469</v>
      </c>
      <c r="N474" s="57">
        <f t="shared" si="226"/>
        <v>-21139.488540600043</v>
      </c>
      <c r="O474" s="57">
        <f t="shared" si="227"/>
        <v>13309.315014597611</v>
      </c>
      <c r="Q474" s="41">
        <v>469</v>
      </c>
      <c r="R474" s="57">
        <f t="shared" si="228"/>
        <v>-6627.8407722857773</v>
      </c>
      <c r="S474" s="41">
        <f t="shared" si="229"/>
        <v>-10272.407122003413</v>
      </c>
      <c r="U474" s="41">
        <v>468</v>
      </c>
      <c r="V474" s="41">
        <f t="shared" si="251"/>
        <v>234</v>
      </c>
      <c r="W474" s="57">
        <f t="shared" si="252"/>
        <v>80075.154248851395</v>
      </c>
      <c r="X474" s="57">
        <f t="shared" si="253"/>
        <v>183963.50821017203</v>
      </c>
      <c r="Y474" s="57">
        <f t="shared" si="254"/>
        <v>2351.7891284907555</v>
      </c>
      <c r="Z474" s="57">
        <f t="shared" si="255"/>
        <v>4138.1636229875903</v>
      </c>
      <c r="AA474" s="57">
        <f t="shared" si="230"/>
        <v>-33.682937362472302</v>
      </c>
      <c r="AB474" s="57">
        <f t="shared" si="231"/>
        <v>-79.331033721752675</v>
      </c>
      <c r="AC474" s="57">
        <f t="shared" si="232"/>
        <v>-4.8352548202147458</v>
      </c>
      <c r="AD474" s="57">
        <f t="shared" si="233"/>
        <v>-14.202976910068481</v>
      </c>
      <c r="AE474" s="57">
        <f t="shared" si="234"/>
        <v>-2.2193186693602187</v>
      </c>
      <c r="AF474" s="57">
        <f t="shared" si="235"/>
        <v>-3.8579052358809194</v>
      </c>
      <c r="AG474" s="57">
        <f t="shared" si="236"/>
        <v>-4.3823314959947863</v>
      </c>
      <c r="AH474" s="57">
        <f t="shared" si="237"/>
        <v>-10.248868265729017</v>
      </c>
      <c r="AJ474" s="57">
        <f t="shared" si="238"/>
        <v>186409.21084502432</v>
      </c>
      <c r="AK474" s="57">
        <f t="shared" si="239"/>
        <v>200694.64040357928</v>
      </c>
      <c r="AL474" s="57">
        <f t="shared" si="240"/>
        <v>216389.13898290979</v>
      </c>
      <c r="AN474" s="41">
        <v>469</v>
      </c>
      <c r="AO474" s="57">
        <f t="shared" si="241"/>
        <v>2558.2388415713349</v>
      </c>
      <c r="AP474" s="57">
        <f t="shared" si="242"/>
        <v>22091.389316994879</v>
      </c>
      <c r="AR474" s="41">
        <v>469</v>
      </c>
      <c r="AS474" s="57">
        <f t="shared" si="243"/>
        <v>13860.511459399957</v>
      </c>
      <c r="AT474" s="57">
        <f t="shared" si="244"/>
        <v>-1690.6849854023894</v>
      </c>
      <c r="AV474" s="57">
        <f t="shared" si="245"/>
        <v>-20.784646765068764</v>
      </c>
      <c r="AW474" s="57">
        <f t="shared" si="246"/>
        <v>-46.777750501777369</v>
      </c>
      <c r="AX474" s="57">
        <f t="shared" si="247"/>
        <v>-1.4613856118337907</v>
      </c>
      <c r="AY474" s="57">
        <f t="shared" si="248"/>
        <v>-4.2435328082968917</v>
      </c>
      <c r="BA474" s="57">
        <f t="shared" si="249"/>
        <v>184891.71396300511</v>
      </c>
      <c r="BB474" s="57">
        <f t="shared" si="250"/>
        <v>199854.90520777207</v>
      </c>
    </row>
    <row r="475" spans="9:54" x14ac:dyDescent="0.25">
      <c r="I475" s="41">
        <v>470</v>
      </c>
      <c r="J475" s="57">
        <f t="shared" si="224"/>
        <v>18289.899283371658</v>
      </c>
      <c r="K475" s="57">
        <f t="shared" si="225"/>
        <v>12198.463103929544</v>
      </c>
      <c r="M475" s="41">
        <v>470</v>
      </c>
      <c r="N475" s="57">
        <f t="shared" si="226"/>
        <v>-21197.070501639839</v>
      </c>
      <c r="O475" s="57">
        <f t="shared" si="227"/>
        <v>13288.92417275068</v>
      </c>
      <c r="Q475" s="41">
        <v>470</v>
      </c>
      <c r="R475" s="57">
        <f t="shared" si="228"/>
        <v>-6710.1007166283398</v>
      </c>
      <c r="S475" s="41">
        <f t="shared" si="229"/>
        <v>-10301.536896070456</v>
      </c>
      <c r="U475" s="41">
        <v>469</v>
      </c>
      <c r="V475" s="41">
        <f t="shared" si="251"/>
        <v>234.5</v>
      </c>
      <c r="W475" s="57">
        <f t="shared" si="252"/>
        <v>81246.838445926463</v>
      </c>
      <c r="X475" s="57">
        <f t="shared" si="253"/>
        <v>186022.67364245059</v>
      </c>
      <c r="Y475" s="57">
        <f t="shared" si="254"/>
        <v>2334.9476598095193</v>
      </c>
      <c r="Z475" s="57">
        <f t="shared" si="255"/>
        <v>4098.4981061267135</v>
      </c>
      <c r="AA475" s="57">
        <f t="shared" si="230"/>
        <v>-32.982325785672906</v>
      </c>
      <c r="AB475" s="57">
        <f t="shared" si="231"/>
        <v>-77.375074743129019</v>
      </c>
      <c r="AC475" s="57">
        <f t="shared" si="232"/>
        <v>-4.749932061703408</v>
      </c>
      <c r="AD475" s="57">
        <f t="shared" si="233"/>
        <v>-13.845132137293017</v>
      </c>
      <c r="AE475" s="57">
        <f t="shared" si="234"/>
        <v>-2.1677194528569474</v>
      </c>
      <c r="AF475" s="57">
        <f t="shared" si="235"/>
        <v>-3.7686882835597508</v>
      </c>
      <c r="AG475" s="57">
        <f t="shared" si="236"/>
        <v>-4.3010794859927488</v>
      </c>
      <c r="AH475" s="57">
        <f t="shared" si="237"/>
        <v>-10.024883385899884</v>
      </c>
      <c r="AJ475" s="57">
        <f t="shared" si="238"/>
        <v>188736.64250502695</v>
      </c>
      <c r="AK475" s="57">
        <f t="shared" si="239"/>
        <v>203063.79276358502</v>
      </c>
      <c r="AL475" s="57">
        <f t="shared" si="240"/>
        <v>218743.30266382315</v>
      </c>
      <c r="AN475" s="41">
        <v>470</v>
      </c>
      <c r="AO475" s="57">
        <f t="shared" si="241"/>
        <v>2434.8489250574899</v>
      </c>
      <c r="AP475" s="57">
        <f t="shared" si="242"/>
        <v>22047.694655894316</v>
      </c>
      <c r="AR475" s="41">
        <v>470</v>
      </c>
      <c r="AS475" s="57">
        <f t="shared" si="243"/>
        <v>13802.929498360161</v>
      </c>
      <c r="AT475" s="57">
        <f t="shared" si="244"/>
        <v>-1711.0758272493199</v>
      </c>
      <c r="AV475" s="57">
        <f t="shared" si="245"/>
        <v>-20.326656321085771</v>
      </c>
      <c r="AW475" s="57">
        <f t="shared" si="246"/>
        <v>-45.59296071939665</v>
      </c>
      <c r="AX475" s="57">
        <f t="shared" si="247"/>
        <v>-1.4369384640340279</v>
      </c>
      <c r="AY475" s="57">
        <f t="shared" si="248"/>
        <v>-4.1434102169797153</v>
      </c>
      <c r="BA475" s="57">
        <f t="shared" si="249"/>
        <v>187249.39325084974</v>
      </c>
      <c r="BB475" s="57">
        <f t="shared" si="250"/>
        <v>202183.84072321621</v>
      </c>
    </row>
    <row r="476" spans="9:54" x14ac:dyDescent="0.25">
      <c r="I476" s="41">
        <v>471</v>
      </c>
      <c r="J476" s="57">
        <f t="shared" si="224"/>
        <v>18208.160252273497</v>
      </c>
      <c r="K476" s="57">
        <f t="shared" si="225"/>
        <v>12167.902132486008</v>
      </c>
      <c r="M476" s="41">
        <v>471</v>
      </c>
      <c r="N476" s="57">
        <f t="shared" si="226"/>
        <v>-21254.287823408551</v>
      </c>
      <c r="O476" s="57">
        <f t="shared" si="227"/>
        <v>13267.531492740207</v>
      </c>
      <c r="Q476" s="41">
        <v>471</v>
      </c>
      <c r="R476" s="57">
        <f t="shared" si="228"/>
        <v>-6791.8397477265016</v>
      </c>
      <c r="S476" s="41">
        <f t="shared" si="229"/>
        <v>-10332.097867513992</v>
      </c>
      <c r="U476" s="41">
        <v>470</v>
      </c>
      <c r="V476" s="41">
        <f t="shared" si="251"/>
        <v>235</v>
      </c>
      <c r="W476" s="57">
        <f t="shared" si="252"/>
        <v>82410.189485108014</v>
      </c>
      <c r="X476" s="57">
        <f t="shared" si="253"/>
        <v>188062.25081117108</v>
      </c>
      <c r="Y476" s="57">
        <f t="shared" si="254"/>
        <v>2318.4564969166827</v>
      </c>
      <c r="Z476" s="57">
        <f t="shared" si="255"/>
        <v>4059.8105687551492</v>
      </c>
      <c r="AA476" s="57">
        <f t="shared" si="230"/>
        <v>-32.309587603389652</v>
      </c>
      <c r="AB476" s="57">
        <f t="shared" si="231"/>
        <v>-75.506370421637058</v>
      </c>
      <c r="AC476" s="57">
        <f t="shared" si="232"/>
        <v>-4.6673718100554682</v>
      </c>
      <c r="AD476" s="57">
        <f t="shared" si="233"/>
        <v>-13.503422539637022</v>
      </c>
      <c r="AE476" s="57">
        <f t="shared" si="234"/>
        <v>-2.1183786757236551</v>
      </c>
      <c r="AF476" s="57">
        <f t="shared" si="235"/>
        <v>-3.6832592241672684</v>
      </c>
      <c r="AG476" s="57">
        <f t="shared" si="236"/>
        <v>-4.2228088737422445</v>
      </c>
      <c r="AH476" s="57">
        <f t="shared" si="237"/>
        <v>-9.8099898844582274</v>
      </c>
      <c r="AJ476" s="57">
        <f t="shared" si="238"/>
        <v>191043.86451693063</v>
      </c>
      <c r="AK476" s="57">
        <f t="shared" si="239"/>
        <v>205411.8109416207</v>
      </c>
      <c r="AL476" s="57">
        <f t="shared" si="240"/>
        <v>221076.50017657108</v>
      </c>
      <c r="AN476" s="41">
        <v>471</v>
      </c>
      <c r="AO476" s="57">
        <f t="shared" si="241"/>
        <v>2312.240378410248</v>
      </c>
      <c r="AP476" s="57">
        <f t="shared" si="242"/>
        <v>22001.853198729012</v>
      </c>
      <c r="AR476" s="41">
        <v>471</v>
      </c>
      <c r="AS476" s="57">
        <f t="shared" si="243"/>
        <v>13745.712176591449</v>
      </c>
      <c r="AT476" s="57">
        <f t="shared" si="244"/>
        <v>-1732.468507259794</v>
      </c>
      <c r="AV476" s="57">
        <f t="shared" si="245"/>
        <v>-19.887763586292721</v>
      </c>
      <c r="AW476" s="57">
        <f t="shared" si="246"/>
        <v>-44.462119944899442</v>
      </c>
      <c r="AX476" s="57">
        <f t="shared" si="247"/>
        <v>-1.4132646575755665</v>
      </c>
      <c r="AY476" s="57">
        <f t="shared" si="248"/>
        <v>-4.047578828475098</v>
      </c>
      <c r="BA476" s="57">
        <f t="shared" si="249"/>
        <v>189586.07568054413</v>
      </c>
      <c r="BB476" s="57">
        <f t="shared" si="250"/>
        <v>204492.46033703466</v>
      </c>
    </row>
    <row r="477" spans="9:54" x14ac:dyDescent="0.25">
      <c r="I477" s="41">
        <v>472</v>
      </c>
      <c r="J477" s="57">
        <f t="shared" si="224"/>
        <v>18126.967032920445</v>
      </c>
      <c r="K477" s="57">
        <f t="shared" si="225"/>
        <v>12135.91927283394</v>
      </c>
      <c r="M477" s="41">
        <v>472</v>
      </c>
      <c r="N477" s="57">
        <f t="shared" si="226"/>
        <v>-21311.12307695569</v>
      </c>
      <c r="O477" s="57">
        <f t="shared" si="227"/>
        <v>13245.143490983757</v>
      </c>
      <c r="Q477" s="41">
        <v>472</v>
      </c>
      <c r="R477" s="57">
        <f t="shared" si="228"/>
        <v>-6873.0329670795545</v>
      </c>
      <c r="S477" s="41">
        <f t="shared" si="229"/>
        <v>-10364.08072716606</v>
      </c>
      <c r="U477" s="41">
        <v>471</v>
      </c>
      <c r="V477" s="41">
        <f t="shared" si="251"/>
        <v>235.5</v>
      </c>
      <c r="W477" s="57">
        <f t="shared" si="252"/>
        <v>83565.379035115926</v>
      </c>
      <c r="X477" s="57">
        <f t="shared" si="253"/>
        <v>190082.71779924593</v>
      </c>
      <c r="Y477" s="57">
        <f t="shared" si="254"/>
        <v>2302.301703114988</v>
      </c>
      <c r="Z477" s="57">
        <f t="shared" si="255"/>
        <v>4022.0573835443306</v>
      </c>
      <c r="AA477" s="57">
        <f t="shared" si="230"/>
        <v>-31.663137418658238</v>
      </c>
      <c r="AB477" s="57">
        <f t="shared" si="231"/>
        <v>-73.719445226410187</v>
      </c>
      <c r="AC477" s="57">
        <f t="shared" si="232"/>
        <v>-4.587456155941898</v>
      </c>
      <c r="AD477" s="57">
        <f t="shared" si="233"/>
        <v>-13.176830303710396</v>
      </c>
      <c r="AE477" s="57">
        <f t="shared" si="234"/>
        <v>-2.0711557823353552</v>
      </c>
      <c r="AF477" s="57">
        <f t="shared" si="235"/>
        <v>-3.601390404240282</v>
      </c>
      <c r="AG477" s="57">
        <f t="shared" si="236"/>
        <v>-4.1473606773645475</v>
      </c>
      <c r="AH477" s="57">
        <f t="shared" si="237"/>
        <v>-9.6036623867482298</v>
      </c>
      <c r="AJ477" s="57">
        <f t="shared" si="238"/>
        <v>193331.33799474163</v>
      </c>
      <c r="AK477" s="57">
        <f t="shared" si="239"/>
        <v>207739.19462790375</v>
      </c>
      <c r="AL477" s="57">
        <f t="shared" si="240"/>
        <v>223389.22870979903</v>
      </c>
      <c r="AN477" s="41">
        <v>472</v>
      </c>
      <c r="AO477" s="57">
        <f t="shared" si="241"/>
        <v>2190.4505493806673</v>
      </c>
      <c r="AP477" s="57">
        <f t="shared" si="242"/>
        <v>21953.878909250911</v>
      </c>
      <c r="AR477" s="41">
        <v>472</v>
      </c>
      <c r="AS477" s="57">
        <f t="shared" si="243"/>
        <v>13688.876923044312</v>
      </c>
      <c r="AT477" s="57">
        <f t="shared" si="244"/>
        <v>-1754.8565090162424</v>
      </c>
      <c r="AV477" s="57">
        <f t="shared" si="245"/>
        <v>-19.466833949540522</v>
      </c>
      <c r="AW477" s="57">
        <f t="shared" si="246"/>
        <v>-43.381782620927616</v>
      </c>
      <c r="AX477" s="57">
        <f t="shared" si="247"/>
        <v>-1.3903308534759153</v>
      </c>
      <c r="AY477" s="57">
        <f t="shared" si="248"/>
        <v>-3.9557795107836551</v>
      </c>
      <c r="BA477" s="57">
        <f t="shared" si="249"/>
        <v>191902.2585977086</v>
      </c>
      <c r="BB477" s="57">
        <f t="shared" si="250"/>
        <v>206781.23219037394</v>
      </c>
    </row>
    <row r="478" spans="9:54" x14ac:dyDescent="0.25">
      <c r="I478" s="41">
        <v>473</v>
      </c>
      <c r="J478" s="57">
        <f t="shared" si="224"/>
        <v>18046.344357553633</v>
      </c>
      <c r="K478" s="57">
        <f t="shared" si="225"/>
        <v>12102.524267262203</v>
      </c>
      <c r="M478" s="41">
        <v>473</v>
      </c>
      <c r="N478" s="57">
        <f t="shared" si="226"/>
        <v>-21367.558949712457</v>
      </c>
      <c r="O478" s="57">
        <f t="shared" si="227"/>
        <v>13221.766987083542</v>
      </c>
      <c r="Q478" s="41">
        <v>473</v>
      </c>
      <c r="R478" s="57">
        <f t="shared" si="228"/>
        <v>-6953.655642446367</v>
      </c>
      <c r="S478" s="41">
        <f t="shared" si="229"/>
        <v>-10397.475732737797</v>
      </c>
      <c r="U478" s="41">
        <v>472</v>
      </c>
      <c r="V478" s="41">
        <f t="shared" si="251"/>
        <v>236</v>
      </c>
      <c r="W478" s="57">
        <f t="shared" si="252"/>
        <v>84712.571994496087</v>
      </c>
      <c r="X478" s="57">
        <f t="shared" si="253"/>
        <v>192084.53156036479</v>
      </c>
      <c r="Y478" s="57">
        <f t="shared" si="254"/>
        <v>2286.4701344056589</v>
      </c>
      <c r="Z478" s="57">
        <f t="shared" si="255"/>
        <v>3985.1976609311255</v>
      </c>
      <c r="AA478" s="57">
        <f t="shared" si="230"/>
        <v>-31.041506102342929</v>
      </c>
      <c r="AB478" s="57">
        <f t="shared" si="231"/>
        <v>-72.009262475342851</v>
      </c>
      <c r="AC478" s="57">
        <f t="shared" si="232"/>
        <v>-4.51007272162596</v>
      </c>
      <c r="AD478" s="57">
        <f t="shared" si="233"/>
        <v>-12.86441930781722</v>
      </c>
      <c r="AE478" s="57">
        <f t="shared" si="234"/>
        <v>-2.0259214514489226</v>
      </c>
      <c r="AF478" s="57">
        <f t="shared" si="235"/>
        <v>-3.5228717186371941</v>
      </c>
      <c r="AG478" s="57">
        <f t="shared" si="236"/>
        <v>-4.0745869884693136</v>
      </c>
      <c r="AH478" s="57">
        <f t="shared" si="237"/>
        <v>-9.4054146375481444</v>
      </c>
      <c r="AJ478" s="57">
        <f t="shared" si="238"/>
        <v>195599.50476803907</v>
      </c>
      <c r="AK478" s="57">
        <f t="shared" si="239"/>
        <v>210046.42193396203</v>
      </c>
      <c r="AL478" s="57">
        <f t="shared" si="240"/>
        <v>225681.96380181418</v>
      </c>
      <c r="AN478" s="41">
        <v>473</v>
      </c>
      <c r="AO478" s="57">
        <f t="shared" si="241"/>
        <v>2069.5165363304495</v>
      </c>
      <c r="AP478" s="57">
        <f t="shared" si="242"/>
        <v>21903.786400893303</v>
      </c>
      <c r="AR478" s="41">
        <v>473</v>
      </c>
      <c r="AS478" s="57">
        <f t="shared" si="243"/>
        <v>13632.441050287543</v>
      </c>
      <c r="AT478" s="57">
        <f t="shared" si="244"/>
        <v>-1778.2330129164584</v>
      </c>
      <c r="AV478" s="57">
        <f t="shared" si="245"/>
        <v>-19.062819530350087</v>
      </c>
      <c r="AW478" s="57">
        <f t="shared" si="246"/>
        <v>-42.348783664700989</v>
      </c>
      <c r="AX478" s="57">
        <f t="shared" si="247"/>
        <v>-1.3681054104486445</v>
      </c>
      <c r="AY478" s="57">
        <f t="shared" si="248"/>
        <v>-3.8677731466393119</v>
      </c>
      <c r="BA478" s="57">
        <f t="shared" si="249"/>
        <v>194198.41773797118</v>
      </c>
      <c r="BB478" s="57">
        <f t="shared" si="250"/>
        <v>209050.60457806915</v>
      </c>
    </row>
    <row r="479" spans="9:54" x14ac:dyDescent="0.25">
      <c r="I479" s="41">
        <v>474</v>
      </c>
      <c r="J479" s="57">
        <f t="shared" si="224"/>
        <v>17966.316784620998</v>
      </c>
      <c r="K479" s="57">
        <f t="shared" si="225"/>
        <v>12067.727288213004</v>
      </c>
      <c r="M479" s="41">
        <v>474</v>
      </c>
      <c r="N479" s="57">
        <f t="shared" si="226"/>
        <v>-21423.578250765302</v>
      </c>
      <c r="O479" s="57">
        <f t="shared" si="227"/>
        <v>13197.409101749103</v>
      </c>
      <c r="Q479" s="41">
        <v>474</v>
      </c>
      <c r="R479" s="57">
        <f t="shared" si="228"/>
        <v>-7033.6832153790019</v>
      </c>
      <c r="S479" s="41">
        <f t="shared" si="229"/>
        <v>-10432.272711786996</v>
      </c>
      <c r="U479" s="41">
        <v>473</v>
      </c>
      <c r="V479" s="41">
        <f t="shared" si="251"/>
        <v>236.5</v>
      </c>
      <c r="W479" s="57">
        <f t="shared" si="252"/>
        <v>85851.926873436125</v>
      </c>
      <c r="X479" s="57">
        <f t="shared" si="253"/>
        <v>194068.12923302094</v>
      </c>
      <c r="Y479" s="57">
        <f t="shared" si="254"/>
        <v>2270.9493813544873</v>
      </c>
      <c r="Z479" s="57">
        <f t="shared" si="255"/>
        <v>3949.1930296934543</v>
      </c>
      <c r="AA479" s="57">
        <f t="shared" si="230"/>
        <v>-30.44333043042689</v>
      </c>
      <c r="AB479" s="57">
        <f t="shared" si="231"/>
        <v>-70.371181834228977</v>
      </c>
      <c r="AC479" s="57">
        <f t="shared" si="232"/>
        <v>-4.435114468359906</v>
      </c>
      <c r="AD479" s="57">
        <f t="shared" si="233"/>
        <v>-12.565327220971504</v>
      </c>
      <c r="AE479" s="57">
        <f t="shared" si="234"/>
        <v>-1.9825565078315852</v>
      </c>
      <c r="AF479" s="57">
        <f t="shared" si="235"/>
        <v>-3.4475089710142077</v>
      </c>
      <c r="AG479" s="57">
        <f t="shared" si="236"/>
        <v>-4.004350024683303</v>
      </c>
      <c r="AH479" s="57">
        <f t="shared" si="237"/>
        <v>-9.2147959571732549</v>
      </c>
      <c r="AJ479" s="57">
        <f t="shared" si="238"/>
        <v>197848.78851904446</v>
      </c>
      <c r="AK479" s="57">
        <f t="shared" si="239"/>
        <v>212333.95070540032</v>
      </c>
      <c r="AL479" s="57">
        <f t="shared" si="240"/>
        <v>227955.16067334675</v>
      </c>
      <c r="AN479" s="41">
        <v>474</v>
      </c>
      <c r="AO479" s="57">
        <f t="shared" si="241"/>
        <v>1949.4751769314967</v>
      </c>
      <c r="AP479" s="57">
        <f t="shared" si="242"/>
        <v>21851.590932319505</v>
      </c>
      <c r="AR479" s="41">
        <v>474</v>
      </c>
      <c r="AS479" s="57">
        <f t="shared" si="243"/>
        <v>13576.421749234698</v>
      </c>
      <c r="AT479" s="57">
        <f t="shared" si="244"/>
        <v>-1802.5908982508972</v>
      </c>
      <c r="AV479" s="57">
        <f t="shared" si="245"/>
        <v>-18.674751131102621</v>
      </c>
      <c r="AW479" s="57">
        <f t="shared" si="246"/>
        <v>-41.360210922041439</v>
      </c>
      <c r="AX479" s="57">
        <f t="shared" si="247"/>
        <v>-1.3465582984494722</v>
      </c>
      <c r="AY479" s="57">
        <f t="shared" si="248"/>
        <v>-3.7833387630285675</v>
      </c>
      <c r="BA479" s="57">
        <f t="shared" si="249"/>
        <v>196475.00855366149</v>
      </c>
      <c r="BB479" s="57">
        <f t="shared" si="250"/>
        <v>211301.00713913664</v>
      </c>
    </row>
    <row r="480" spans="9:54" x14ac:dyDescent="0.25">
      <c r="I480" s="41">
        <v>475</v>
      </c>
      <c r="J480" s="57">
        <f t="shared" si="224"/>
        <v>17886.908691296507</v>
      </c>
      <c r="K480" s="57">
        <f t="shared" si="225"/>
        <v>12031.538935183251</v>
      </c>
      <c r="M480" s="41">
        <v>475</v>
      </c>
      <c r="N480" s="57">
        <f t="shared" si="226"/>
        <v>-21479.163916092446</v>
      </c>
      <c r="O480" s="57">
        <f t="shared" si="227"/>
        <v>13172.077254628275</v>
      </c>
      <c r="Q480" s="41">
        <v>475</v>
      </c>
      <c r="R480" s="57">
        <f t="shared" si="228"/>
        <v>-7113.0913087034933</v>
      </c>
      <c r="S480" s="41">
        <f t="shared" si="229"/>
        <v>-10468.461064816749</v>
      </c>
      <c r="U480" s="41">
        <v>474</v>
      </c>
      <c r="V480" s="41">
        <f t="shared" si="251"/>
        <v>237</v>
      </c>
      <c r="W480" s="57">
        <f t="shared" si="252"/>
        <v>86983.596147809571</v>
      </c>
      <c r="X480" s="57">
        <f t="shared" si="253"/>
        <v>196033.92935013838</v>
      </c>
      <c r="Y480" s="57">
        <f t="shared" si="254"/>
        <v>2255.727716139274</v>
      </c>
      <c r="Z480" s="57">
        <f t="shared" si="255"/>
        <v>3914.0074387763398</v>
      </c>
      <c r="AA480" s="57">
        <f t="shared" si="230"/>
        <v>-29.867343802036501</v>
      </c>
      <c r="AB480" s="57">
        <f t="shared" si="231"/>
        <v>-68.800921614768868</v>
      </c>
      <c r="AC480" s="57">
        <f t="shared" si="232"/>
        <v>-4.3624794899705428</v>
      </c>
      <c r="AD480" s="57">
        <f t="shared" si="233"/>
        <v>-12.278758490938827</v>
      </c>
      <c r="AE480" s="57">
        <f t="shared" si="234"/>
        <v>-1.9409509570461736</v>
      </c>
      <c r="AF480" s="57">
        <f t="shared" si="235"/>
        <v>-3.375122413312186</v>
      </c>
      <c r="AG480" s="57">
        <f t="shared" si="236"/>
        <v>-3.9365212779265919</v>
      </c>
      <c r="AH480" s="57">
        <f t="shared" si="237"/>
        <v>-9.0313880739817058</v>
      </c>
      <c r="AJ480" s="57">
        <f t="shared" si="238"/>
        <v>200079.59583399759</v>
      </c>
      <c r="AK480" s="57">
        <f t="shared" si="239"/>
        <v>214602.21973262506</v>
      </c>
      <c r="AL480" s="57">
        <f t="shared" si="240"/>
        <v>230209.25545521083</v>
      </c>
      <c r="AN480" s="41">
        <v>475</v>
      </c>
      <c r="AO480" s="57">
        <f t="shared" si="241"/>
        <v>1830.3630369447596</v>
      </c>
      <c r="AP480" s="57">
        <f t="shared" si="242"/>
        <v>21797.308402774877</v>
      </c>
      <c r="AR480" s="41">
        <v>475</v>
      </c>
      <c r="AS480" s="57">
        <f t="shared" si="243"/>
        <v>13520.836083907554</v>
      </c>
      <c r="AT480" s="57">
        <f t="shared" si="244"/>
        <v>-1827.922745371724</v>
      </c>
      <c r="AV480" s="57">
        <f t="shared" si="245"/>
        <v>-18.301731062534536</v>
      </c>
      <c r="AW480" s="57">
        <f t="shared" si="246"/>
        <v>-40.413380771765922</v>
      </c>
      <c r="AX480" s="57">
        <f t="shared" si="247"/>
        <v>-1.3256610145586543</v>
      </c>
      <c r="AY480" s="57">
        <f t="shared" si="248"/>
        <v>-3.7022718647702195</v>
      </c>
      <c r="BA480" s="57">
        <f t="shared" si="249"/>
        <v>198732.4674361943</v>
      </c>
      <c r="BB480" s="57">
        <f t="shared" si="250"/>
        <v>213532.85195568239</v>
      </c>
    </row>
    <row r="481" spans="9:54" x14ac:dyDescent="0.25">
      <c r="I481" s="41">
        <v>476</v>
      </c>
      <c r="J481" s="57">
        <f t="shared" si="224"/>
        <v>17808.144266054613</v>
      </c>
      <c r="K481" s="57">
        <f t="shared" si="225"/>
        <v>11993.970231495834</v>
      </c>
      <c r="M481" s="41">
        <v>476</v>
      </c>
      <c r="N481" s="57">
        <f t="shared" si="226"/>
        <v>-21534.299013761771</v>
      </c>
      <c r="O481" s="57">
        <f t="shared" si="227"/>
        <v>13145.779162047085</v>
      </c>
      <c r="Q481" s="41">
        <v>476</v>
      </c>
      <c r="R481" s="57">
        <f t="shared" si="228"/>
        <v>-7191.8557339453864</v>
      </c>
      <c r="S481" s="41">
        <f t="shared" si="229"/>
        <v>-10506.029768504166</v>
      </c>
      <c r="U481" s="41">
        <v>475</v>
      </c>
      <c r="V481" s="41">
        <f t="shared" si="251"/>
        <v>237.5</v>
      </c>
      <c r="W481" s="57">
        <f t="shared" si="252"/>
        <v>88107.726587903962</v>
      </c>
      <c r="X481" s="57">
        <f t="shared" si="253"/>
        <v>197982.33295432469</v>
      </c>
      <c r="Y481" s="57">
        <f t="shared" si="254"/>
        <v>2240.7940442382555</v>
      </c>
      <c r="Z481" s="57">
        <f t="shared" si="255"/>
        <v>3879.6069779689551</v>
      </c>
      <c r="AA481" s="57">
        <f t="shared" si="230"/>
        <v>-29.312367909753767</v>
      </c>
      <c r="AB481" s="57">
        <f t="shared" si="231"/>
        <v>-67.294525255321872</v>
      </c>
      <c r="AC481" s="57">
        <f t="shared" si="232"/>
        <v>-4.2920707986396787</v>
      </c>
      <c r="AD481" s="57">
        <f t="shared" si="233"/>
        <v>-12.003978107752875</v>
      </c>
      <c r="AE481" s="57">
        <f t="shared" si="234"/>
        <v>-1.9010031275288739</v>
      </c>
      <c r="AF481" s="57">
        <f t="shared" si="235"/>
        <v>-3.3055454419881345</v>
      </c>
      <c r="AG481" s="57">
        <f t="shared" si="236"/>
        <v>-3.87098074731631</v>
      </c>
      <c r="AH481" s="57">
        <f t="shared" si="237"/>
        <v>-8.8548022876096191</v>
      </c>
      <c r="AJ481" s="57">
        <f t="shared" si="238"/>
        <v>202292.31717664143</v>
      </c>
      <c r="AK481" s="57">
        <f t="shared" si="239"/>
        <v>216851.64986911116</v>
      </c>
      <c r="AL481" s="57">
        <f t="shared" si="240"/>
        <v>232444.66632090035</v>
      </c>
      <c r="AN481" s="41">
        <v>476</v>
      </c>
      <c r="AO481" s="57">
        <f t="shared" si="241"/>
        <v>1712.2163990819204</v>
      </c>
      <c r="AP481" s="57">
        <f t="shared" si="242"/>
        <v>21740.955347243755</v>
      </c>
      <c r="AR481" s="41">
        <v>476</v>
      </c>
      <c r="AS481" s="57">
        <f t="shared" si="243"/>
        <v>13465.700986238229</v>
      </c>
      <c r="AT481" s="57">
        <f t="shared" si="244"/>
        <v>-1854.2208379529152</v>
      </c>
      <c r="AV481" s="57">
        <f t="shared" si="245"/>
        <v>-17.942926734552977</v>
      </c>
      <c r="AW481" s="57">
        <f t="shared" si="246"/>
        <v>-39.505816471159378</v>
      </c>
      <c r="AX481" s="57">
        <f t="shared" si="247"/>
        <v>-1.3053865017159283</v>
      </c>
      <c r="AY481" s="57">
        <f t="shared" si="248"/>
        <v>-3.6243829468118682</v>
      </c>
      <c r="BA481" s="57">
        <f t="shared" si="249"/>
        <v>200971.21284407165</v>
      </c>
      <c r="BB481" s="57">
        <f t="shared" si="250"/>
        <v>215746.53456876671</v>
      </c>
    </row>
    <row r="482" spans="9:54" x14ac:dyDescent="0.25">
      <c r="I482" s="41">
        <v>477</v>
      </c>
      <c r="J482" s="57">
        <f t="shared" si="224"/>
        <v>17730.047501302262</v>
      </c>
      <c r="K482" s="57">
        <f t="shared" si="225"/>
        <v>11955.032620941838</v>
      </c>
      <c r="M482" s="41">
        <v>477</v>
      </c>
      <c r="N482" s="57">
        <f t="shared" si="226"/>
        <v>-21588.966749088417</v>
      </c>
      <c r="O482" s="57">
        <f t="shared" si="227"/>
        <v>13118.522834659287</v>
      </c>
      <c r="Q482" s="41">
        <v>477</v>
      </c>
      <c r="R482" s="57">
        <f t="shared" si="228"/>
        <v>-7269.9524986977367</v>
      </c>
      <c r="S482" s="41">
        <f t="shared" si="229"/>
        <v>-10544.967379058162</v>
      </c>
      <c r="U482" s="41">
        <v>476</v>
      </c>
      <c r="V482" s="41">
        <f t="shared" si="251"/>
        <v>238</v>
      </c>
      <c r="W482" s="57">
        <f t="shared" si="252"/>
        <v>89224.459564034376</v>
      </c>
      <c r="X482" s="57">
        <f t="shared" si="253"/>
        <v>199913.72462765226</v>
      </c>
      <c r="Y482" s="57">
        <f t="shared" si="254"/>
        <v>2226.1378602833788</v>
      </c>
      <c r="Z482" s="57">
        <f t="shared" si="255"/>
        <v>3845.9597153412942</v>
      </c>
      <c r="AA482" s="57">
        <f t="shared" si="230"/>
        <v>-28.777305250834857</v>
      </c>
      <c r="AB482" s="57">
        <f t="shared" si="231"/>
        <v>-65.848331456585626</v>
      </c>
      <c r="AC482" s="57">
        <f t="shared" si="232"/>
        <v>-4.2237961074586527</v>
      </c>
      <c r="AD482" s="57">
        <f t="shared" si="233"/>
        <v>-11.740306045323697</v>
      </c>
      <c r="AE482" s="57">
        <f t="shared" si="234"/>
        <v>-1.8626189063778607</v>
      </c>
      <c r="AF482" s="57">
        <f t="shared" si="235"/>
        <v>-3.2386234318213369</v>
      </c>
      <c r="AG482" s="57">
        <f t="shared" si="236"/>
        <v>-3.8076162470339354</v>
      </c>
      <c r="AH482" s="57">
        <f t="shared" si="237"/>
        <v>-8.6846769234766263</v>
      </c>
      <c r="AJ482" s="57">
        <f t="shared" si="238"/>
        <v>204487.32779079155</v>
      </c>
      <c r="AK482" s="57">
        <f t="shared" si="239"/>
        <v>219082.64506574479</v>
      </c>
      <c r="AL482" s="57">
        <f t="shared" si="240"/>
        <v>234661.79453303575</v>
      </c>
      <c r="AN482" s="41">
        <v>477</v>
      </c>
      <c r="AO482" s="57">
        <f t="shared" si="241"/>
        <v>1595.0712519533954</v>
      </c>
      <c r="AP482" s="57">
        <f t="shared" si="242"/>
        <v>21682.548931412755</v>
      </c>
      <c r="AR482" s="41">
        <v>477</v>
      </c>
      <c r="AS482" s="57">
        <f t="shared" si="243"/>
        <v>13411.033250911585</v>
      </c>
      <c r="AT482" s="57">
        <f t="shared" si="244"/>
        <v>-1881.4771653407133</v>
      </c>
      <c r="AV482" s="57">
        <f t="shared" si="245"/>
        <v>-17.597564919315246</v>
      </c>
      <c r="AW482" s="57">
        <f t="shared" si="246"/>
        <v>-38.635228892546479</v>
      </c>
      <c r="AX482" s="57">
        <f t="shared" si="247"/>
        <v>-1.285709070649161</v>
      </c>
      <c r="AY482" s="57">
        <f t="shared" si="248"/>
        <v>-3.5494961634174933</v>
      </c>
      <c r="BA482" s="57">
        <f t="shared" si="249"/>
        <v>203191.64634532807</v>
      </c>
      <c r="BB482" s="57">
        <f t="shared" si="250"/>
        <v>217942.43491883419</v>
      </c>
    </row>
    <row r="483" spans="9:54" x14ac:dyDescent="0.25">
      <c r="I483" s="41">
        <v>478</v>
      </c>
      <c r="J483" s="57">
        <f t="shared" si="224"/>
        <v>17652.642186070549</v>
      </c>
      <c r="K483" s="57">
        <f t="shared" si="225"/>
        <v>11914.737964294636</v>
      </c>
      <c r="M483" s="41">
        <v>478</v>
      </c>
      <c r="N483" s="57">
        <f t="shared" si="226"/>
        <v>-21643.150469750617</v>
      </c>
      <c r="O483" s="57">
        <f t="shared" si="227"/>
        <v>13090.316575006245</v>
      </c>
      <c r="Q483" s="41">
        <v>478</v>
      </c>
      <c r="R483" s="57">
        <f t="shared" si="228"/>
        <v>-7347.3578139294514</v>
      </c>
      <c r="S483" s="41">
        <f t="shared" si="229"/>
        <v>-10585.262035705364</v>
      </c>
      <c r="U483" s="41">
        <v>477</v>
      </c>
      <c r="V483" s="41">
        <f t="shared" si="251"/>
        <v>238.5</v>
      </c>
      <c r="W483" s="57">
        <f t="shared" si="252"/>
        <v>90333.931331019703</v>
      </c>
      <c r="X483" s="57">
        <f t="shared" si="253"/>
        <v>201828.47344389083</v>
      </c>
      <c r="Y483" s="57">
        <f t="shared" si="254"/>
        <v>2211.7492076579615</v>
      </c>
      <c r="Z483" s="57">
        <f t="shared" si="255"/>
        <v>3813.0355496130014</v>
      </c>
      <c r="AA483" s="57">
        <f t="shared" si="230"/>
        <v>-28.261132382515989</v>
      </c>
      <c r="AB483" s="57">
        <f t="shared" si="231"/>
        <v>-64.458947518748985</v>
      </c>
      <c r="AC483" s="57">
        <f t="shared" si="232"/>
        <v>-4.1575676132168393</v>
      </c>
      <c r="AD483" s="57">
        <f t="shared" si="233"/>
        <v>-11.487112297387851</v>
      </c>
      <c r="AE483" s="57">
        <f t="shared" si="234"/>
        <v>-1.825711057192738</v>
      </c>
      <c r="AF483" s="57">
        <f t="shared" si="235"/>
        <v>-3.1742126907468569</v>
      </c>
      <c r="AG483" s="57">
        <f t="shared" si="236"/>
        <v>-3.7463227807334762</v>
      </c>
      <c r="AH483" s="57">
        <f t="shared" si="237"/>
        <v>-8.5206750443763877</v>
      </c>
      <c r="AJ483" s="57">
        <f t="shared" si="238"/>
        <v>206664.98853823685</v>
      </c>
      <c r="AK483" s="57">
        <f t="shared" si="239"/>
        <v>221295.5933288589</v>
      </c>
      <c r="AL483" s="57">
        <f t="shared" si="240"/>
        <v>236861.02541160217</v>
      </c>
      <c r="AN483" s="41">
        <v>478</v>
      </c>
      <c r="AO483" s="57">
        <f t="shared" si="241"/>
        <v>1478.9632791058225</v>
      </c>
      <c r="AP483" s="57">
        <f t="shared" si="242"/>
        <v>21622.106946441956</v>
      </c>
      <c r="AR483" s="41">
        <v>478</v>
      </c>
      <c r="AS483" s="57">
        <f t="shared" si="243"/>
        <v>13356.849530249383</v>
      </c>
      <c r="AT483" s="57">
        <f t="shared" si="244"/>
        <v>-1909.6834249937547</v>
      </c>
      <c r="AV483" s="57">
        <f t="shared" si="245"/>
        <v>-17.264926606168814</v>
      </c>
      <c r="AW483" s="57">
        <f t="shared" si="246"/>
        <v>-37.799499350838005</v>
      </c>
      <c r="AX483" s="57">
        <f t="shared" si="247"/>
        <v>-1.2666043252041188</v>
      </c>
      <c r="AY483" s="57">
        <f t="shared" si="248"/>
        <v>-3.4774481353998836</v>
      </c>
      <c r="BA483" s="57">
        <f t="shared" si="249"/>
        <v>205394.15358228143</v>
      </c>
      <c r="BB483" s="57">
        <f t="shared" si="250"/>
        <v>220120.9182175039</v>
      </c>
    </row>
    <row r="484" spans="9:54" x14ac:dyDescent="0.25">
      <c r="I484" s="41">
        <v>479</v>
      </c>
      <c r="J484" s="57">
        <f t="shared" si="224"/>
        <v>17575.951898768315</v>
      </c>
      <c r="K484" s="57">
        <f t="shared" si="225"/>
        <v>11873.09853569698</v>
      </c>
      <c r="M484" s="41">
        <v>479</v>
      </c>
      <c r="N484" s="57">
        <f t="shared" si="226"/>
        <v>-21696.833670862179</v>
      </c>
      <c r="O484" s="57">
        <f t="shared" si="227"/>
        <v>13061.168974987886</v>
      </c>
      <c r="Q484" s="41">
        <v>479</v>
      </c>
      <c r="R484" s="57">
        <f t="shared" si="228"/>
        <v>-7424.0481012316859</v>
      </c>
      <c r="S484" s="41">
        <f t="shared" si="229"/>
        <v>-10626.90146430302</v>
      </c>
      <c r="U484" s="41">
        <v>478</v>
      </c>
      <c r="V484" s="41">
        <f t="shared" si="251"/>
        <v>239</v>
      </c>
      <c r="W484" s="57">
        <f t="shared" si="252"/>
        <v>91436.273293300866</v>
      </c>
      <c r="X484" s="57">
        <f t="shared" si="253"/>
        <v>203726.93385025748</v>
      </c>
      <c r="Y484" s="57">
        <f t="shared" si="254"/>
        <v>2197.6186414667036</v>
      </c>
      <c r="Z484" s="57">
        <f t="shared" si="255"/>
        <v>3780.8060758536271</v>
      </c>
      <c r="AA484" s="57">
        <f t="shared" si="230"/>
        <v>-27.76289383705538</v>
      </c>
      <c r="AB484" s="57">
        <f t="shared" si="231"/>
        <v>-63.123225489501493</v>
      </c>
      <c r="AC484" s="57">
        <f t="shared" si="232"/>
        <v>-4.0933017820092861</v>
      </c>
      <c r="AD484" s="57">
        <f t="shared" si="233"/>
        <v>-11.243812435590772</v>
      </c>
      <c r="AE484" s="57">
        <f t="shared" si="234"/>
        <v>-1.7901986099254972</v>
      </c>
      <c r="AF484" s="57">
        <f t="shared" si="235"/>
        <v>-3.1121795213938528</v>
      </c>
      <c r="AG484" s="57">
        <f t="shared" si="236"/>
        <v>-3.6870019751358587</v>
      </c>
      <c r="AH484" s="57">
        <f t="shared" si="237"/>
        <v>-8.362482389469637</v>
      </c>
      <c r="AJ484" s="57">
        <f t="shared" si="238"/>
        <v>208825.64667757764</v>
      </c>
      <c r="AK484" s="57">
        <f t="shared" si="239"/>
        <v>223490.86760877116</v>
      </c>
      <c r="AL484" s="57">
        <f t="shared" si="240"/>
        <v>239042.72923106264</v>
      </c>
      <c r="AN484" s="41">
        <v>479</v>
      </c>
      <c r="AO484" s="57">
        <f t="shared" si="241"/>
        <v>1363.9278481524711</v>
      </c>
      <c r="AP484" s="57">
        <f t="shared" si="242"/>
        <v>21559.647803545467</v>
      </c>
      <c r="AR484" s="41">
        <v>479</v>
      </c>
      <c r="AS484" s="57">
        <f t="shared" si="243"/>
        <v>13303.166329137821</v>
      </c>
      <c r="AT484" s="57">
        <f t="shared" si="244"/>
        <v>-1938.8310250121149</v>
      </c>
      <c r="AV484" s="57">
        <f t="shared" si="245"/>
        <v>-16.944342378803636</v>
      </c>
      <c r="AW484" s="57">
        <f t="shared" si="246"/>
        <v>-36.996664263965137</v>
      </c>
      <c r="AX484" s="57">
        <f t="shared" si="247"/>
        <v>-1.248049091181102</v>
      </c>
      <c r="AY484" s="57">
        <f t="shared" si="248"/>
        <v>-3.4080868790820951</v>
      </c>
      <c r="BA484" s="57">
        <f t="shared" si="249"/>
        <v>207579.10516560587</v>
      </c>
      <c r="BB484" s="57">
        <f t="shared" si="250"/>
        <v>222282.33575679813</v>
      </c>
    </row>
    <row r="485" spans="9:54" x14ac:dyDescent="0.25">
      <c r="I485" s="41">
        <v>480</v>
      </c>
      <c r="J485" s="57">
        <f t="shared" si="224"/>
        <v>17500.000000000004</v>
      </c>
      <c r="K485" s="57">
        <f t="shared" si="225"/>
        <v>11830.127018922196</v>
      </c>
      <c r="M485" s="41">
        <v>480</v>
      </c>
      <c r="N485" s="57">
        <f t="shared" si="226"/>
        <v>-21749.999999999996</v>
      </c>
      <c r="O485" s="57">
        <f t="shared" si="227"/>
        <v>13031.088913245538</v>
      </c>
      <c r="Q485" s="41">
        <v>480</v>
      </c>
      <c r="R485" s="57">
        <f t="shared" si="228"/>
        <v>-7499.9999999999964</v>
      </c>
      <c r="S485" s="41">
        <f t="shared" si="229"/>
        <v>-10669.872981077804</v>
      </c>
      <c r="U485" s="41">
        <v>479</v>
      </c>
      <c r="V485" s="41">
        <f t="shared" si="251"/>
        <v>239.5</v>
      </c>
      <c r="W485" s="57">
        <f t="shared" si="252"/>
        <v>92531.612252304592</v>
      </c>
      <c r="X485" s="57">
        <f t="shared" si="253"/>
        <v>205609.44648499813</v>
      </c>
      <c r="Y485" s="57">
        <f t="shared" si="254"/>
        <v>2183.7371945481759</v>
      </c>
      <c r="Z485" s="57">
        <f t="shared" si="255"/>
        <v>3749.2444631088765</v>
      </c>
      <c r="AA485" s="57">
        <f t="shared" si="230"/>
        <v>-27.281696622863087</v>
      </c>
      <c r="AB485" s="57">
        <f t="shared" si="231"/>
        <v>-61.838240785538602</v>
      </c>
      <c r="AC485" s="57">
        <f t="shared" si="232"/>
        <v>-4.030919139562287</v>
      </c>
      <c r="AD485" s="57">
        <f t="shared" si="233"/>
        <v>-11.009863627277863</v>
      </c>
      <c r="AE485" s="57">
        <f t="shared" si="234"/>
        <v>-1.7560063140783093</v>
      </c>
      <c r="AF485" s="57">
        <f t="shared" si="235"/>
        <v>-3.0523993769047362</v>
      </c>
      <c r="AG485" s="57">
        <f t="shared" si="236"/>
        <v>-3.6295615663695373</v>
      </c>
      <c r="AH485" s="57">
        <f t="shared" si="237"/>
        <v>-8.2098055148379459</v>
      </c>
      <c r="AJ485" s="57">
        <f t="shared" si="238"/>
        <v>210969.63658903856</v>
      </c>
      <c r="AK485" s="57">
        <f t="shared" si="239"/>
        <v>225668.82662492481</v>
      </c>
      <c r="AL485" s="57">
        <f t="shared" si="240"/>
        <v>241207.26205268188</v>
      </c>
      <c r="AN485" s="41">
        <v>480</v>
      </c>
      <c r="AO485" s="57">
        <f t="shared" si="241"/>
        <v>1250.0000000000059</v>
      </c>
      <c r="AP485" s="57">
        <f t="shared" si="242"/>
        <v>21495.190528383293</v>
      </c>
      <c r="AR485" s="41">
        <v>480</v>
      </c>
      <c r="AS485" s="57">
        <f t="shared" si="243"/>
        <v>13250.000000000004</v>
      </c>
      <c r="AT485" s="57">
        <f t="shared" si="244"/>
        <v>-1968.9110867544628</v>
      </c>
      <c r="AV485" s="57">
        <f t="shared" si="245"/>
        <v>-16.635188254144424</v>
      </c>
      <c r="AW485" s="57">
        <f t="shared" si="246"/>
        <v>-36.22490142368796</v>
      </c>
      <c r="AX485" s="57">
        <f t="shared" si="247"/>
        <v>-1.2300213487085299</v>
      </c>
      <c r="AY485" s="57">
        <f t="shared" si="248"/>
        <v>-3.3412708428301006</v>
      </c>
      <c r="BA485" s="57">
        <f t="shared" si="249"/>
        <v>209746.8575040045</v>
      </c>
      <c r="BB485" s="57">
        <f t="shared" si="250"/>
        <v>224427.02566125809</v>
      </c>
    </row>
    <row r="486" spans="9:54" x14ac:dyDescent="0.25">
      <c r="I486" s="41">
        <v>481</v>
      </c>
      <c r="J486" s="57">
        <f t="shared" si="224"/>
        <v>17424.809625449729</v>
      </c>
      <c r="K486" s="57">
        <f t="shared" si="225"/>
        <v>11785.836503510563</v>
      </c>
      <c r="M486" s="41">
        <v>481</v>
      </c>
      <c r="N486" s="57">
        <f t="shared" si="226"/>
        <v>-21802.633262185191</v>
      </c>
      <c r="O486" s="57">
        <f t="shared" si="227"/>
        <v>13000.085552457393</v>
      </c>
      <c r="Q486" s="41">
        <v>481</v>
      </c>
      <c r="R486" s="57">
        <f t="shared" si="228"/>
        <v>-7575.1903745502696</v>
      </c>
      <c r="S486" s="41">
        <f t="shared" si="229"/>
        <v>-10714.163496489437</v>
      </c>
      <c r="U486" s="41">
        <v>480</v>
      </c>
      <c r="V486" s="41">
        <f t="shared" si="251"/>
        <v>240</v>
      </c>
      <c r="W486" s="57">
        <f t="shared" si="252"/>
        <v>93620.07063750083</v>
      </c>
      <c r="X486" s="57">
        <f t="shared" si="253"/>
        <v>207476.33893645438</v>
      </c>
      <c r="Y486" s="57">
        <f t="shared" si="254"/>
        <v>2170.0963462367445</v>
      </c>
      <c r="Z486" s="57">
        <f t="shared" si="255"/>
        <v>3718.3253427161071</v>
      </c>
      <c r="AA486" s="57">
        <f t="shared" si="230"/>
        <v>-26.816705247265624</v>
      </c>
      <c r="AB486" s="57">
        <f t="shared" si="231"/>
        <v>-60.601272995438187</v>
      </c>
      <c r="AC486" s="57">
        <f t="shared" si="232"/>
        <v>-3.9703440676410495</v>
      </c>
      <c r="AD486" s="57">
        <f t="shared" si="233"/>
        <v>-10.784761058901919</v>
      </c>
      <c r="AE486" s="57">
        <f t="shared" si="234"/>
        <v>-1.7230641477485056</v>
      </c>
      <c r="AF486" s="57">
        <f t="shared" si="235"/>
        <v>-2.9947561002283951</v>
      </c>
      <c r="AG486" s="57">
        <f t="shared" si="236"/>
        <v>-3.5739149334082523</v>
      </c>
      <c r="AH486" s="57">
        <f t="shared" si="237"/>
        <v>-8.0623701130532819</v>
      </c>
      <c r="AJ486" s="57">
        <f t="shared" si="238"/>
        <v>213097.28044979434</v>
      </c>
      <c r="AK486" s="57">
        <f t="shared" si="239"/>
        <v>227829.81563310823</v>
      </c>
      <c r="AL486" s="57">
        <f t="shared" si="240"/>
        <v>243354.96649773512</v>
      </c>
      <c r="AN486" s="41">
        <v>481</v>
      </c>
      <c r="AO486" s="57">
        <f t="shared" si="241"/>
        <v>1137.2144381745948</v>
      </c>
      <c r="AP486" s="57">
        <f t="shared" si="242"/>
        <v>21428.754755265843</v>
      </c>
      <c r="AR486" s="41">
        <v>481</v>
      </c>
      <c r="AS486" s="57">
        <f t="shared" si="243"/>
        <v>13197.366737814811</v>
      </c>
      <c r="AT486" s="57">
        <f t="shared" si="244"/>
        <v>-1999.9144475426065</v>
      </c>
      <c r="AV486" s="57">
        <f t="shared" si="245"/>
        <v>-16.336881930341359</v>
      </c>
      <c r="AW486" s="57">
        <f t="shared" si="246"/>
        <v>-35.482517684414901</v>
      </c>
      <c r="AX486" s="57">
        <f t="shared" si="247"/>
        <v>-1.2125001681264571</v>
      </c>
      <c r="AY486" s="57">
        <f t="shared" si="248"/>
        <v>-3.2768680388396878</v>
      </c>
      <c r="BA486" s="57">
        <f t="shared" si="249"/>
        <v>211897.75357510638</v>
      </c>
      <c r="BB486" s="57">
        <f t="shared" si="250"/>
        <v>226555.3135878403</v>
      </c>
    </row>
    <row r="487" spans="9:54" x14ac:dyDescent="0.25">
      <c r="I487" s="41">
        <v>482</v>
      </c>
      <c r="J487" s="57">
        <f t="shared" si="224"/>
        <v>17350.403678833973</v>
      </c>
      <c r="K487" s="57">
        <f t="shared" si="225"/>
        <v>11740.240480782129</v>
      </c>
      <c r="M487" s="41">
        <v>482</v>
      </c>
      <c r="N487" s="57">
        <f t="shared" si="226"/>
        <v>-21854.717424816219</v>
      </c>
      <c r="O487" s="57">
        <f t="shared" si="227"/>
        <v>12968.168336547489</v>
      </c>
      <c r="Q487" s="41">
        <v>482</v>
      </c>
      <c r="R487" s="57">
        <f t="shared" si="228"/>
        <v>-7649.5963211660273</v>
      </c>
      <c r="S487" s="41">
        <f t="shared" si="229"/>
        <v>-10759.759519217871</v>
      </c>
      <c r="U487" s="41">
        <v>481</v>
      </c>
      <c r="V487" s="41">
        <f t="shared" si="251"/>
        <v>240.5</v>
      </c>
      <c r="W487" s="57">
        <f t="shared" si="252"/>
        <v>94701.76672246329</v>
      </c>
      <c r="X487" s="57">
        <f t="shared" si="253"/>
        <v>209327.92644868803</v>
      </c>
      <c r="Y487" s="57">
        <f t="shared" si="254"/>
        <v>2156.6879936131118</v>
      </c>
      <c r="Z487" s="57">
        <f t="shared" si="255"/>
        <v>3688.024706218388</v>
      </c>
      <c r="AA487" s="57">
        <f t="shared" si="230"/>
        <v>-26.367137204396027</v>
      </c>
      <c r="AB487" s="57">
        <f t="shared" si="231"/>
        <v>-59.409788610367158</v>
      </c>
      <c r="AC487" s="57">
        <f t="shared" si="232"/>
        <v>-3.9115046074852526</v>
      </c>
      <c r="AD487" s="57">
        <f t="shared" si="233"/>
        <v>-10.568034718057678</v>
      </c>
      <c r="AE487" s="57">
        <f t="shared" si="234"/>
        <v>-1.6913068760151353</v>
      </c>
      <c r="AF487" s="57">
        <f t="shared" si="235"/>
        <v>-2.9391412374686854</v>
      </c>
      <c r="AG487" s="57">
        <f t="shared" si="236"/>
        <v>-3.5199806736374302</v>
      </c>
      <c r="AH487" s="57">
        <f t="shared" si="237"/>
        <v>-7.9199194920448024</v>
      </c>
      <c r="AJ487" s="57">
        <f t="shared" si="238"/>
        <v>215208.88886389975</v>
      </c>
      <c r="AK487" s="57">
        <f t="shared" si="239"/>
        <v>229974.16713967675</v>
      </c>
      <c r="AL487" s="57">
        <f t="shared" si="240"/>
        <v>245486.17246669612</v>
      </c>
      <c r="AN487" s="41">
        <v>482</v>
      </c>
      <c r="AO487" s="57">
        <f t="shared" si="241"/>
        <v>1025.6055182509599</v>
      </c>
      <c r="AP487" s="57">
        <f t="shared" si="242"/>
        <v>21360.360721173194</v>
      </c>
      <c r="AR487" s="41">
        <v>482</v>
      </c>
      <c r="AS487" s="57">
        <f t="shared" si="243"/>
        <v>13145.282575183781</v>
      </c>
      <c r="AT487" s="57">
        <f t="shared" si="244"/>
        <v>-2031.8316634525099</v>
      </c>
      <c r="AV487" s="57">
        <f t="shared" si="245"/>
        <v>-16.048879397946223</v>
      </c>
      <c r="AW487" s="57">
        <f t="shared" si="246"/>
        <v>-34.767937903356327</v>
      </c>
      <c r="AX487" s="57">
        <f t="shared" si="247"/>
        <v>-1.1954656493119866</v>
      </c>
      <c r="AY487" s="57">
        <f t="shared" si="248"/>
        <v>-3.2147552594396709</v>
      </c>
      <c r="BA487" s="57">
        <f t="shared" si="249"/>
        <v>214032.12364263905</v>
      </c>
      <c r="BB487" s="57">
        <f t="shared" si="250"/>
        <v>228667.51337799645</v>
      </c>
    </row>
    <row r="488" spans="9:54" x14ac:dyDescent="0.25">
      <c r="I488" s="41">
        <v>483</v>
      </c>
      <c r="J488" s="57">
        <f t="shared" si="224"/>
        <v>17276.804824924868</v>
      </c>
      <c r="K488" s="57">
        <f t="shared" si="225"/>
        <v>11693.352839727122</v>
      </c>
      <c r="M488" s="41">
        <v>483</v>
      </c>
      <c r="N488" s="57">
        <f t="shared" si="226"/>
        <v>-21906.236622552591</v>
      </c>
      <c r="O488" s="57">
        <f t="shared" si="227"/>
        <v>12935.346987808985</v>
      </c>
      <c r="Q488" s="41">
        <v>483</v>
      </c>
      <c r="R488" s="57">
        <f t="shared" si="228"/>
        <v>-7723.1951750751323</v>
      </c>
      <c r="S488" s="41">
        <f t="shared" si="229"/>
        <v>-10806.647160272878</v>
      </c>
      <c r="U488" s="41">
        <v>482</v>
      </c>
      <c r="V488" s="41">
        <f t="shared" si="251"/>
        <v>241</v>
      </c>
      <c r="W488" s="57">
        <f t="shared" si="252"/>
        <v>95776.814827119291</v>
      </c>
      <c r="X488" s="57">
        <f t="shared" si="253"/>
        <v>211164.51257822092</v>
      </c>
      <c r="Y488" s="57">
        <f t="shared" si="254"/>
        <v>2143.5044250109136</v>
      </c>
      <c r="Z488" s="57">
        <f t="shared" si="255"/>
        <v>3658.3198119132044</v>
      </c>
      <c r="AA488" s="57">
        <f t="shared" si="230"/>
        <v>-25.932258878550371</v>
      </c>
      <c r="AB488" s="57">
        <f t="shared" si="231"/>
        <v>-58.261425462016582</v>
      </c>
      <c r="AC488" s="57">
        <f t="shared" si="232"/>
        <v>-3.854332270895521</v>
      </c>
      <c r="AD488" s="57">
        <f t="shared" si="233"/>
        <v>-10.35924649323619</v>
      </c>
      <c r="AE488" s="57">
        <f t="shared" si="234"/>
        <v>-1.6606736530094968</v>
      </c>
      <c r="AF488" s="57">
        <f t="shared" si="235"/>
        <v>-2.8854534170592636</v>
      </c>
      <c r="AG488" s="57">
        <f t="shared" si="236"/>
        <v>-3.4676822161737495</v>
      </c>
      <c r="AH488" s="57">
        <f t="shared" si="237"/>
        <v>-7.7822131959865528</v>
      </c>
      <c r="AJ488" s="57">
        <f t="shared" si="238"/>
        <v>217304.76145052098</v>
      </c>
      <c r="AK488" s="57">
        <f t="shared" si="239"/>
        <v>232102.20156721107</v>
      </c>
      <c r="AL488" s="57">
        <f t="shared" si="240"/>
        <v>247601.19780898423</v>
      </c>
      <c r="AN488" s="41">
        <v>483</v>
      </c>
      <c r="AO488" s="57">
        <f t="shared" si="241"/>
        <v>915.20723738730112</v>
      </c>
      <c r="AP488" s="57">
        <f t="shared" si="242"/>
        <v>21290.029259590683</v>
      </c>
      <c r="AR488" s="41">
        <v>483</v>
      </c>
      <c r="AS488" s="57">
        <f t="shared" si="243"/>
        <v>13093.763377447407</v>
      </c>
      <c r="AT488" s="57">
        <f t="shared" si="244"/>
        <v>-2064.6530121910146</v>
      </c>
      <c r="AV488" s="57">
        <f t="shared" si="245"/>
        <v>-15.77067187412308</v>
      </c>
      <c r="AW488" s="57">
        <f t="shared" si="246"/>
        <v>-34.079694987207176</v>
      </c>
      <c r="AX488" s="57">
        <f t="shared" si="247"/>
        <v>-1.178898864348525</v>
      </c>
      <c r="AY488" s="57">
        <f t="shared" si="248"/>
        <v>-3.1548173685273944</v>
      </c>
      <c r="BA488" s="57">
        <f t="shared" si="249"/>
        <v>216150.28592441903</v>
      </c>
      <c r="BB488" s="57">
        <f t="shared" si="250"/>
        <v>230763.92766590396</v>
      </c>
    </row>
    <row r="489" spans="9:54" x14ac:dyDescent="0.25">
      <c r="I489" s="41">
        <v>484</v>
      </c>
      <c r="J489" s="57">
        <f t="shared" si="224"/>
        <v>17204.035482646264</v>
      </c>
      <c r="K489" s="57">
        <f t="shared" si="225"/>
        <v>11645.187862775208</v>
      </c>
      <c r="M489" s="41">
        <v>484</v>
      </c>
      <c r="N489" s="57">
        <f t="shared" si="226"/>
        <v>-21957.175162147614</v>
      </c>
      <c r="O489" s="57">
        <f t="shared" si="227"/>
        <v>12901.631503942646</v>
      </c>
      <c r="Q489" s="41">
        <v>484</v>
      </c>
      <c r="R489" s="57">
        <f t="shared" si="228"/>
        <v>-7795.9645173537347</v>
      </c>
      <c r="S489" s="41">
        <f t="shared" si="229"/>
        <v>-10854.812137224792</v>
      </c>
      <c r="U489" s="41">
        <v>483</v>
      </c>
      <c r="V489" s="41">
        <f t="shared" si="251"/>
        <v>241.5</v>
      </c>
      <c r="W489" s="57">
        <f t="shared" si="252"/>
        <v>96845.325507264919</v>
      </c>
      <c r="X489" s="57">
        <f t="shared" si="253"/>
        <v>212986.38980599475</v>
      </c>
      <c r="Y489" s="57">
        <f t="shared" si="254"/>
        <v>2130.5382955716382</v>
      </c>
      <c r="Z489" s="57">
        <f t="shared" si="255"/>
        <v>3629.1890991821961</v>
      </c>
      <c r="AA489" s="57">
        <f t="shared" si="230"/>
        <v>-25.511381819295369</v>
      </c>
      <c r="AB489" s="57">
        <f t="shared" si="231"/>
        <v>-57.153978675405213</v>
      </c>
      <c r="AC489" s="57">
        <f t="shared" si="232"/>
        <v>-3.7987618593419086</v>
      </c>
      <c r="AD489" s="57">
        <f t="shared" si="233"/>
        <v>-10.157987555600631</v>
      </c>
      <c r="AE489" s="57">
        <f t="shared" si="234"/>
        <v>-1.6311076627377592</v>
      </c>
      <c r="AF489" s="57">
        <f t="shared" si="235"/>
        <v>-2.8335977875592975</v>
      </c>
      <c r="AG489" s="57">
        <f t="shared" si="236"/>
        <v>-3.4169474690724302</v>
      </c>
      <c r="AH489" s="57">
        <f t="shared" si="237"/>
        <v>-7.6490257530276615</v>
      </c>
      <c r="AJ489" s="57">
        <f t="shared" si="238"/>
        <v>219385.18739381363</v>
      </c>
      <c r="AK489" s="57">
        <f t="shared" si="239"/>
        <v>234214.22787561381</v>
      </c>
      <c r="AL489" s="57">
        <f t="shared" si="240"/>
        <v>249700.34894739682</v>
      </c>
      <c r="AN489" s="41">
        <v>484</v>
      </c>
      <c r="AO489" s="57">
        <f t="shared" si="241"/>
        <v>806.05322396939846</v>
      </c>
      <c r="AP489" s="57">
        <f t="shared" si="242"/>
        <v>21217.781794162813</v>
      </c>
      <c r="AR489" s="41">
        <v>484</v>
      </c>
      <c r="AS489" s="57">
        <f t="shared" si="243"/>
        <v>13042.824837852386</v>
      </c>
      <c r="AT489" s="57">
        <f t="shared" si="244"/>
        <v>-2098.3684960573542</v>
      </c>
      <c r="AV489" s="57">
        <f t="shared" si="245"/>
        <v>-15.501783024722574</v>
      </c>
      <c r="AW489" s="57">
        <f t="shared" si="246"/>
        <v>-33.416420919297721</v>
      </c>
      <c r="AX489" s="57">
        <f t="shared" si="247"/>
        <v>-1.1627818034206951</v>
      </c>
      <c r="AY489" s="57">
        <f t="shared" si="248"/>
        <v>-3.0969466599199014</v>
      </c>
      <c r="BA489" s="57">
        <f t="shared" si="249"/>
        <v>218252.54721525416</v>
      </c>
      <c r="BB489" s="57">
        <f t="shared" si="250"/>
        <v>232844.84844643061</v>
      </c>
    </row>
    <row r="490" spans="9:54" x14ac:dyDescent="0.25">
      <c r="I490" s="41">
        <v>485</v>
      </c>
      <c r="J490" s="57">
        <f t="shared" si="224"/>
        <v>17132.117818244773</v>
      </c>
      <c r="K490" s="57">
        <f t="shared" si="225"/>
        <v>11595.760221444962</v>
      </c>
      <c r="M490" s="41">
        <v>485</v>
      </c>
      <c r="N490" s="57">
        <f t="shared" si="226"/>
        <v>-22007.517527228658</v>
      </c>
      <c r="O490" s="57">
        <f t="shared" si="227"/>
        <v>12867.032155011473</v>
      </c>
      <c r="Q490" s="41">
        <v>485</v>
      </c>
      <c r="R490" s="57">
        <f t="shared" si="228"/>
        <v>-7867.8821817552262</v>
      </c>
      <c r="S490" s="41">
        <f t="shared" si="229"/>
        <v>-10904.239778555038</v>
      </c>
      <c r="U490" s="41">
        <v>484</v>
      </c>
      <c r="V490" s="41">
        <f t="shared" si="251"/>
        <v>242</v>
      </c>
      <c r="W490" s="57">
        <f t="shared" si="252"/>
        <v>97907.405732323328</v>
      </c>
      <c r="X490" s="57">
        <f t="shared" si="253"/>
        <v>214793.84010825143</v>
      </c>
      <c r="Y490" s="57">
        <f t="shared" si="254"/>
        <v>2117.7826046619903</v>
      </c>
      <c r="Z490" s="57">
        <f t="shared" si="255"/>
        <v>3600.6121098444933</v>
      </c>
      <c r="AA490" s="57">
        <f t="shared" si="230"/>
        <v>-25.103859349765425</v>
      </c>
      <c r="AB490" s="57">
        <f t="shared" si="231"/>
        <v>-56.085387968437011</v>
      </c>
      <c r="AC490" s="57">
        <f t="shared" si="232"/>
        <v>-3.7447312912739497</v>
      </c>
      <c r="AD490" s="57">
        <f t="shared" si="233"/>
        <v>-9.9638759915688269</v>
      </c>
      <c r="AE490" s="57">
        <f t="shared" si="234"/>
        <v>-1.6025557943479667</v>
      </c>
      <c r="AF490" s="57">
        <f t="shared" si="235"/>
        <v>-2.7834855077493903</v>
      </c>
      <c r="AG490" s="57">
        <f t="shared" si="236"/>
        <v>-3.367708497005157</v>
      </c>
      <c r="AH490" s="57">
        <f t="shared" si="237"/>
        <v>-7.5201455365124099</v>
      </c>
      <c r="AJ490" s="57">
        <f t="shared" si="238"/>
        <v>221450.44595747863</v>
      </c>
      <c r="AK490" s="57">
        <f t="shared" si="239"/>
        <v>236310.54414225946</v>
      </c>
      <c r="AL490" s="57">
        <f t="shared" si="240"/>
        <v>251783.92146094961</v>
      </c>
      <c r="AN490" s="41">
        <v>485</v>
      </c>
      <c r="AO490" s="57">
        <f t="shared" si="241"/>
        <v>698.17672736716031</v>
      </c>
      <c r="AP490" s="57">
        <f t="shared" si="242"/>
        <v>21143.640332167444</v>
      </c>
      <c r="AR490" s="41">
        <v>485</v>
      </c>
      <c r="AS490" s="57">
        <f t="shared" si="243"/>
        <v>12992.482472771342</v>
      </c>
      <c r="AT490" s="57">
        <f t="shared" si="244"/>
        <v>-2132.9678449885268</v>
      </c>
      <c r="AV490" s="57">
        <f t="shared" si="245"/>
        <v>-15.241766443335489</v>
      </c>
      <c r="AW490" s="57">
        <f t="shared" si="246"/>
        <v>-32.776838657196805</v>
      </c>
      <c r="AX490" s="57">
        <f t="shared" si="247"/>
        <v>-1.1470973238028648</v>
      </c>
      <c r="AY490" s="57">
        <f t="shared" si="248"/>
        <v>-3.0410422754095823</v>
      </c>
      <c r="BA490" s="57">
        <f t="shared" si="249"/>
        <v>220339.20346845244</v>
      </c>
      <c r="BB490" s="57">
        <f t="shared" si="250"/>
        <v>234910.55760607199</v>
      </c>
    </row>
    <row r="491" spans="9:54" x14ac:dyDescent="0.25">
      <c r="I491" s="41">
        <v>486</v>
      </c>
      <c r="J491" s="57">
        <f t="shared" si="224"/>
        <v>17061.073738537634</v>
      </c>
      <c r="K491" s="57">
        <f t="shared" si="225"/>
        <v>11545.084971874738</v>
      </c>
      <c r="M491" s="41">
        <v>486</v>
      </c>
      <c r="N491" s="57">
        <f t="shared" si="226"/>
        <v>-22057.248383023656</v>
      </c>
      <c r="O491" s="57">
        <f t="shared" si="227"/>
        <v>12831.559480312317</v>
      </c>
      <c r="Q491" s="41">
        <v>486</v>
      </c>
      <c r="R491" s="57">
        <f t="shared" si="228"/>
        <v>-7938.926261462364</v>
      </c>
      <c r="S491" s="41">
        <f t="shared" si="229"/>
        <v>-10954.915028125262</v>
      </c>
      <c r="U491" s="41">
        <v>485</v>
      </c>
      <c r="V491" s="41">
        <f t="shared" si="251"/>
        <v>242.5</v>
      </c>
      <c r="W491" s="57">
        <f t="shared" si="252"/>
        <v>98963.159052235613</v>
      </c>
      <c r="X491" s="57">
        <f t="shared" si="253"/>
        <v>216587.13548967763</v>
      </c>
      <c r="Y491" s="57">
        <f t="shared" si="254"/>
        <v>2105.2306749871077</v>
      </c>
      <c r="Z491" s="57">
        <f t="shared" si="255"/>
        <v>3572.5694158602746</v>
      </c>
      <c r="AA491" s="57">
        <f t="shared" si="230"/>
        <v>-24.709083474070155</v>
      </c>
      <c r="AB491" s="57">
        <f t="shared" si="231"/>
        <v>-55.053726150972437</v>
      </c>
      <c r="AC491" s="57">
        <f t="shared" si="232"/>
        <v>-3.6921814376649489</v>
      </c>
      <c r="AD491" s="57">
        <f t="shared" si="233"/>
        <v>-9.7765546588484327</v>
      </c>
      <c r="AE491" s="57">
        <f t="shared" si="234"/>
        <v>-1.5749683480694592</v>
      </c>
      <c r="AF491" s="57">
        <f t="shared" si="235"/>
        <v>-2.7350332834698263</v>
      </c>
      <c r="AG491" s="57">
        <f t="shared" si="236"/>
        <v>-3.3199012263790846</v>
      </c>
      <c r="AH491" s="57">
        <f t="shared" si="237"/>
        <v>-7.3953737279135412</v>
      </c>
      <c r="AJ491" s="57">
        <f t="shared" si="238"/>
        <v>223500.80696674783</v>
      </c>
      <c r="AK491" s="57">
        <f t="shared" si="239"/>
        <v>238391.43810447122</v>
      </c>
      <c r="AL491" s="57">
        <f t="shared" si="240"/>
        <v>253852.20062948982</v>
      </c>
      <c r="AN491" s="41">
        <v>486</v>
      </c>
      <c r="AO491" s="57">
        <f t="shared" si="241"/>
        <v>591.61060780645312</v>
      </c>
      <c r="AP491" s="57">
        <f t="shared" si="242"/>
        <v>21067.627457812108</v>
      </c>
      <c r="AR491" s="41">
        <v>486</v>
      </c>
      <c r="AS491" s="57">
        <f t="shared" si="243"/>
        <v>12942.751616976344</v>
      </c>
      <c r="AT491" s="57">
        <f t="shared" si="244"/>
        <v>-2168.4405196876833</v>
      </c>
      <c r="AV491" s="57">
        <f t="shared" si="245"/>
        <v>-14.990203360155528</v>
      </c>
      <c r="AW491" s="57">
        <f t="shared" si="246"/>
        <v>-32.15975480455706</v>
      </c>
      <c r="AX491" s="57">
        <f t="shared" si="247"/>
        <v>-1.1318291018011355</v>
      </c>
      <c r="AY491" s="57">
        <f t="shared" si="248"/>
        <v>-2.9870096761835754</v>
      </c>
      <c r="BA491" s="57">
        <f t="shared" si="249"/>
        <v>222410.54033927748</v>
      </c>
      <c r="BB491" s="57">
        <f t="shared" si="250"/>
        <v>236961.327419796</v>
      </c>
    </row>
    <row r="492" spans="9:54" x14ac:dyDescent="0.25">
      <c r="I492" s="41">
        <v>487</v>
      </c>
      <c r="J492" s="57">
        <f t="shared" si="224"/>
        <v>16990.924884239765</v>
      </c>
      <c r="K492" s="57">
        <f t="shared" si="225"/>
        <v>11493.177550236469</v>
      </c>
      <c r="M492" s="41">
        <v>487</v>
      </c>
      <c r="N492" s="57">
        <f t="shared" si="226"/>
        <v>-22106.352581032166</v>
      </c>
      <c r="O492" s="57">
        <f t="shared" si="227"/>
        <v>12795.224285165528</v>
      </c>
      <c r="Q492" s="41">
        <v>487</v>
      </c>
      <c r="R492" s="57">
        <f t="shared" si="228"/>
        <v>-8009.0751157602353</v>
      </c>
      <c r="S492" s="41">
        <f t="shared" si="229"/>
        <v>-11006.822449763531</v>
      </c>
      <c r="U492" s="41">
        <v>486</v>
      </c>
      <c r="V492" s="41">
        <f t="shared" si="251"/>
        <v>243</v>
      </c>
      <c r="W492" s="57">
        <f t="shared" si="252"/>
        <v>100012.6857542949</v>
      </c>
      <c r="X492" s="57">
        <f t="shared" si="253"/>
        <v>218366.53848183891</v>
      </c>
      <c r="Y492" s="57">
        <f t="shared" si="254"/>
        <v>2092.8761332500726</v>
      </c>
      <c r="Z492" s="57">
        <f t="shared" si="255"/>
        <v>3545.0425527847883</v>
      </c>
      <c r="AA492" s="57">
        <f t="shared" si="230"/>
        <v>-24.326482053646078</v>
      </c>
      <c r="AB492" s="57">
        <f t="shared" si="231"/>
        <v>-54.057188694200626</v>
      </c>
      <c r="AC492" s="57">
        <f t="shared" si="232"/>
        <v>-3.6410559657123778</v>
      </c>
      <c r="AD492" s="57">
        <f t="shared" si="233"/>
        <v>-9.595689241905065</v>
      </c>
      <c r="AE492" s="57">
        <f t="shared" si="234"/>
        <v>-1.5482987685159062</v>
      </c>
      <c r="AF492" s="57">
        <f t="shared" si="235"/>
        <v>-2.6881629463059324</v>
      </c>
      <c r="AG492" s="57">
        <f t="shared" si="236"/>
        <v>-3.2734651752075115</v>
      </c>
      <c r="AH492" s="57">
        <f t="shared" si="237"/>
        <v>-7.2745233710754791</v>
      </c>
      <c r="AJ492" s="57">
        <f t="shared" si="238"/>
        <v>225536.53126030025</v>
      </c>
      <c r="AK492" s="57">
        <f t="shared" si="239"/>
        <v>240457.18766729097</v>
      </c>
      <c r="AL492" s="57">
        <f t="shared" si="240"/>
        <v>255905.46194312832</v>
      </c>
      <c r="AN492" s="41">
        <v>487</v>
      </c>
      <c r="AO492" s="57">
        <f t="shared" si="241"/>
        <v>486.38732635964607</v>
      </c>
      <c r="AP492" s="57">
        <f t="shared" si="242"/>
        <v>20989.766325354703</v>
      </c>
      <c r="AR492" s="41">
        <v>487</v>
      </c>
      <c r="AS492" s="57">
        <f t="shared" si="243"/>
        <v>12893.647418967836</v>
      </c>
      <c r="AT492" s="57">
        <f t="shared" si="244"/>
        <v>-2204.7757148344722</v>
      </c>
      <c r="AV492" s="57">
        <f t="shared" si="245"/>
        <v>-14.746700556705459</v>
      </c>
      <c r="AW492" s="57">
        <f t="shared" si="246"/>
        <v>-31.564052972892952</v>
      </c>
      <c r="AX492" s="57">
        <f t="shared" si="247"/>
        <v>-1.1169615875048229</v>
      </c>
      <c r="AY492" s="57">
        <f t="shared" si="248"/>
        <v>-2.9347601620212007</v>
      </c>
      <c r="BA492" s="57">
        <f t="shared" si="249"/>
        <v>224466.83369337587</v>
      </c>
      <c r="BB492" s="57">
        <f t="shared" si="250"/>
        <v>238997.42101645641</v>
      </c>
    </row>
    <row r="493" spans="9:54" x14ac:dyDescent="0.25">
      <c r="I493" s="41">
        <v>488</v>
      </c>
      <c r="J493" s="57">
        <f t="shared" si="224"/>
        <v>16921.692623371709</v>
      </c>
      <c r="K493" s="57">
        <f t="shared" si="225"/>
        <v>11440.053768033613</v>
      </c>
      <c r="M493" s="41">
        <v>488</v>
      </c>
      <c r="N493" s="57">
        <f t="shared" si="226"/>
        <v>-22154.815163639803</v>
      </c>
      <c r="O493" s="57">
        <f t="shared" si="227"/>
        <v>12758.037637623529</v>
      </c>
      <c r="Q493" s="41">
        <v>488</v>
      </c>
      <c r="R493" s="57">
        <f t="shared" si="228"/>
        <v>-8078.3073766282887</v>
      </c>
      <c r="S493" s="41">
        <f t="shared" si="229"/>
        <v>-11059.946231966387</v>
      </c>
      <c r="U493" s="41">
        <v>487</v>
      </c>
      <c r="V493" s="41">
        <f t="shared" si="251"/>
        <v>243.5</v>
      </c>
      <c r="W493" s="57">
        <f t="shared" si="252"/>
        <v>101056.08301066323</v>
      </c>
      <c r="X493" s="57">
        <f t="shared" si="253"/>
        <v>220132.30260964454</v>
      </c>
      <c r="Y493" s="57">
        <f t="shared" si="254"/>
        <v>2080.7128922232496</v>
      </c>
      <c r="Z493" s="57">
        <f t="shared" si="255"/>
        <v>3518.013958437688</v>
      </c>
      <c r="AA493" s="57">
        <f t="shared" si="230"/>
        <v>-23.955516225791996</v>
      </c>
      <c r="AB493" s="57">
        <f t="shared" si="231"/>
        <v>-53.094084256667927</v>
      </c>
      <c r="AC493" s="57">
        <f t="shared" si="232"/>
        <v>-3.5913011905342684</v>
      </c>
      <c r="AD493" s="57">
        <f t="shared" si="233"/>
        <v>-9.4209664857306432</v>
      </c>
      <c r="AE493" s="57">
        <f t="shared" si="234"/>
        <v>-1.5225034024427073</v>
      </c>
      <c r="AF493" s="57">
        <f t="shared" si="235"/>
        <v>-2.6428010697993884</v>
      </c>
      <c r="AG493" s="57">
        <f t="shared" si="236"/>
        <v>-3.2283432053403645</v>
      </c>
      <c r="AH493" s="57">
        <f t="shared" si="237"/>
        <v>-7.1574185085598447</v>
      </c>
      <c r="AJ493" s="57">
        <f t="shared" si="238"/>
        <v>227557.87111438482</v>
      </c>
      <c r="AK493" s="57">
        <f t="shared" si="239"/>
        <v>242508.06137923707</v>
      </c>
      <c r="AL493" s="57">
        <f t="shared" si="240"/>
        <v>257943.97157925233</v>
      </c>
      <c r="AN493" s="41">
        <v>488</v>
      </c>
      <c r="AO493" s="57">
        <f t="shared" si="241"/>
        <v>382.53893505756696</v>
      </c>
      <c r="AP493" s="57">
        <f t="shared" si="242"/>
        <v>20910.080652050419</v>
      </c>
      <c r="AR493" s="41">
        <v>488</v>
      </c>
      <c r="AS493" s="57">
        <f t="shared" si="243"/>
        <v>12845.184836360198</v>
      </c>
      <c r="AT493" s="57">
        <f t="shared" si="244"/>
        <v>-2241.9623623764714</v>
      </c>
      <c r="AV493" s="57">
        <f t="shared" si="245"/>
        <v>-14.510888465272583</v>
      </c>
      <c r="AW493" s="57">
        <f t="shared" si="246"/>
        <v>-30.98868775924015</v>
      </c>
      <c r="AX493" s="57">
        <f t="shared" si="247"/>
        <v>-1.1024799622020753</v>
      </c>
      <c r="AY493" s="57">
        <f t="shared" si="248"/>
        <v>-2.8842104333378975</v>
      </c>
      <c r="BA493" s="57">
        <f t="shared" si="249"/>
        <v>226508.35008291903</v>
      </c>
      <c r="BB493" s="57">
        <f t="shared" si="250"/>
        <v>241019.09281519323</v>
      </c>
    </row>
    <row r="494" spans="9:54" x14ac:dyDescent="0.25">
      <c r="I494" s="41">
        <v>489</v>
      </c>
      <c r="J494" s="57">
        <f t="shared" si="224"/>
        <v>16853.398044750815</v>
      </c>
      <c r="K494" s="57">
        <f t="shared" si="225"/>
        <v>11385.729807284853</v>
      </c>
      <c r="M494" s="41">
        <v>489</v>
      </c>
      <c r="N494" s="57">
        <f t="shared" si="226"/>
        <v>-22202.62136867443</v>
      </c>
      <c r="O494" s="57">
        <f t="shared" si="227"/>
        <v>12720.010865099397</v>
      </c>
      <c r="Q494" s="41">
        <v>489</v>
      </c>
      <c r="R494" s="57">
        <f t="shared" si="228"/>
        <v>-8146.6019552491871</v>
      </c>
      <c r="S494" s="41">
        <f t="shared" si="229"/>
        <v>-11114.270192715147</v>
      </c>
      <c r="U494" s="41">
        <v>488</v>
      </c>
      <c r="V494" s="41">
        <f t="shared" si="251"/>
        <v>244</v>
      </c>
      <c r="W494" s="57">
        <f t="shared" si="252"/>
        <v>102093.44501724663</v>
      </c>
      <c r="X494" s="57">
        <f t="shared" si="253"/>
        <v>221884.6728283313</v>
      </c>
      <c r="Y494" s="57">
        <f t="shared" si="254"/>
        <v>2068.7351341103536</v>
      </c>
      <c r="Z494" s="57">
        <f t="shared" si="255"/>
        <v>3491.466916309354</v>
      </c>
      <c r="AA494" s="57">
        <f t="shared" si="230"/>
        <v>-23.59567804062323</v>
      </c>
      <c r="AB494" s="57">
        <f t="shared" si="231"/>
        <v>-52.162826066848922</v>
      </c>
      <c r="AC494" s="57">
        <f t="shared" si="232"/>
        <v>-3.5428659346423759</v>
      </c>
      <c r="AD494" s="57">
        <f t="shared" si="233"/>
        <v>-9.2520925892850325</v>
      </c>
      <c r="AE494" s="57">
        <f t="shared" si="234"/>
        <v>-1.4975412783967159</v>
      </c>
      <c r="AF494" s="57">
        <f t="shared" si="235"/>
        <v>-2.5988786193655793</v>
      </c>
      <c r="AG494" s="57">
        <f t="shared" si="236"/>
        <v>-3.184481294923021</v>
      </c>
      <c r="AH494" s="57">
        <f t="shared" si="237"/>
        <v>-7.0438933919279298</v>
      </c>
      <c r="AJ494" s="57">
        <f t="shared" si="238"/>
        <v>229565.07064122442</v>
      </c>
      <c r="AK494" s="57">
        <f t="shared" si="239"/>
        <v>244544.31887849781</v>
      </c>
      <c r="AL494" s="57">
        <f t="shared" si="240"/>
        <v>259967.98684962653</v>
      </c>
      <c r="AN494" s="41">
        <v>489</v>
      </c>
      <c r="AO494" s="57">
        <f t="shared" si="241"/>
        <v>280.09706712621937</v>
      </c>
      <c r="AP494" s="57">
        <f t="shared" si="242"/>
        <v>20828.594710927282</v>
      </c>
      <c r="AR494" s="41">
        <v>489</v>
      </c>
      <c r="AS494" s="57">
        <f t="shared" si="243"/>
        <v>12797.37863132557</v>
      </c>
      <c r="AT494" s="57">
        <f t="shared" si="244"/>
        <v>-2279.989134900602</v>
      </c>
      <c r="AV494" s="57">
        <f t="shared" si="245"/>
        <v>-14.282419434345284</v>
      </c>
      <c r="AW494" s="57">
        <f t="shared" si="246"/>
        <v>-30.432679274555184</v>
      </c>
      <c r="AX494" s="57">
        <f t="shared" si="247"/>
        <v>-1.0883700983158304</v>
      </c>
      <c r="AY494" s="57">
        <f t="shared" si="248"/>
        <v>-2.8352821917151965</v>
      </c>
      <c r="BA494" s="57">
        <f t="shared" si="249"/>
        <v>228535.34719295127</v>
      </c>
      <c r="BB494" s="57">
        <f t="shared" si="250"/>
        <v>243026.58893501983</v>
      </c>
    </row>
    <row r="495" spans="9:54" x14ac:dyDescent="0.25">
      <c r="I495" s="41">
        <v>490</v>
      </c>
      <c r="J495" s="57">
        <f t="shared" si="224"/>
        <v>16786.061951567306</v>
      </c>
      <c r="K495" s="57">
        <f t="shared" si="225"/>
        <v>11330.222215594895</v>
      </c>
      <c r="M495" s="41">
        <v>490</v>
      </c>
      <c r="N495" s="57">
        <f t="shared" si="226"/>
        <v>-22249.756633902885</v>
      </c>
      <c r="O495" s="57">
        <f t="shared" si="227"/>
        <v>12681.155550916426</v>
      </c>
      <c r="Q495" s="41">
        <v>490</v>
      </c>
      <c r="R495" s="57">
        <f t="shared" si="228"/>
        <v>-8213.9380484326921</v>
      </c>
      <c r="S495" s="41">
        <f t="shared" si="229"/>
        <v>-11169.777784405105</v>
      </c>
      <c r="U495" s="41">
        <v>489</v>
      </c>
      <c r="V495" s="41">
        <f t="shared" si="251"/>
        <v>244.5</v>
      </c>
      <c r="W495" s="57">
        <f t="shared" si="252"/>
        <v>103124.86312454673</v>
      </c>
      <c r="X495" s="57">
        <f t="shared" si="253"/>
        <v>223623.88593322763</v>
      </c>
      <c r="Y495" s="57">
        <f t="shared" si="254"/>
        <v>2056.937295090042</v>
      </c>
      <c r="Z495" s="57">
        <f t="shared" si="255"/>
        <v>3465.3855032759298</v>
      </c>
      <c r="AA495" s="57">
        <f t="shared" si="230"/>
        <v>-23.246488295289033</v>
      </c>
      <c r="AB495" s="57">
        <f t="shared" si="231"/>
        <v>-51.261924073863987</v>
      </c>
      <c r="AC495" s="57">
        <f t="shared" si="232"/>
        <v>-3.4957013949299305</v>
      </c>
      <c r="AD495" s="57">
        <f t="shared" si="233"/>
        <v>-9.0887917421588025</v>
      </c>
      <c r="AE495" s="57">
        <f t="shared" si="234"/>
        <v>-1.4733739059966562</v>
      </c>
      <c r="AF495" s="57">
        <f t="shared" si="235"/>
        <v>-2.5563306325322865</v>
      </c>
      <c r="AG495" s="57">
        <f t="shared" si="236"/>
        <v>-3.1418283291817293</v>
      </c>
      <c r="AH495" s="57">
        <f t="shared" si="237"/>
        <v>-6.9337917587082902</v>
      </c>
      <c r="AJ495" s="57">
        <f t="shared" si="238"/>
        <v>231558.36616359476</v>
      </c>
      <c r="AK495" s="57">
        <f t="shared" si="239"/>
        <v>246566.2113117915</v>
      </c>
      <c r="AL495" s="57">
        <f t="shared" si="240"/>
        <v>261977.75661986266</v>
      </c>
      <c r="AN495" s="41">
        <v>490</v>
      </c>
      <c r="AO495" s="57">
        <f t="shared" si="241"/>
        <v>179.09292735096187</v>
      </c>
      <c r="AP495" s="57">
        <f t="shared" si="242"/>
        <v>20745.33332339234</v>
      </c>
      <c r="AR495" s="41">
        <v>490</v>
      </c>
      <c r="AS495" s="57">
        <f t="shared" si="243"/>
        <v>12750.243366097115</v>
      </c>
      <c r="AT495" s="57">
        <f t="shared" si="244"/>
        <v>-2318.8444490835741</v>
      </c>
      <c r="AV495" s="57">
        <f t="shared" si="245"/>
        <v>-14.060966143461517</v>
      </c>
      <c r="AW495" s="57">
        <f t="shared" si="246"/>
        <v>-29.895108165411177</v>
      </c>
      <c r="AX495" s="57">
        <f t="shared" si="247"/>
        <v>-1.0746185217192026</v>
      </c>
      <c r="AY495" s="57">
        <f t="shared" si="248"/>
        <v>-2.7879017750534332</v>
      </c>
      <c r="BA495" s="57">
        <f t="shared" si="249"/>
        <v>230548.07426021021</v>
      </c>
      <c r="BB495" s="57">
        <f t="shared" si="250"/>
        <v>245020.14757960124</v>
      </c>
    </row>
    <row r="496" spans="9:54" x14ac:dyDescent="0.25">
      <c r="I496" s="41">
        <v>491</v>
      </c>
      <c r="J496" s="57">
        <f t="shared" si="224"/>
        <v>16719.704855047465</v>
      </c>
      <c r="K496" s="57">
        <f t="shared" si="225"/>
        <v>11273.547901113861</v>
      </c>
      <c r="M496" s="41">
        <v>491</v>
      </c>
      <c r="N496" s="57">
        <f t="shared" si="226"/>
        <v>-22296.206601466773</v>
      </c>
      <c r="O496" s="57">
        <f t="shared" si="227"/>
        <v>12641.483530779704</v>
      </c>
      <c r="Q496" s="41">
        <v>491</v>
      </c>
      <c r="R496" s="57">
        <f t="shared" si="228"/>
        <v>-8280.2951449525353</v>
      </c>
      <c r="S496" s="41">
        <f t="shared" si="229"/>
        <v>-11226.452098886139</v>
      </c>
      <c r="U496" s="41">
        <v>490</v>
      </c>
      <c r="V496" s="41">
        <f t="shared" si="251"/>
        <v>245</v>
      </c>
      <c r="W496" s="57">
        <f t="shared" si="252"/>
        <v>104150.42596105483</v>
      </c>
      <c r="X496" s="57">
        <f t="shared" si="253"/>
        <v>225350.17094435636</v>
      </c>
      <c r="Y496" s="57">
        <f t="shared" si="254"/>
        <v>2045.3140509423974</v>
      </c>
      <c r="Z496" s="57">
        <f t="shared" si="255"/>
        <v>3439.7545412389977</v>
      </c>
      <c r="AA496" s="57">
        <f t="shared" si="230"/>
        <v>-22.907494546601676</v>
      </c>
      <c r="AB496" s="57">
        <f t="shared" si="231"/>
        <v>-50.389977788175877</v>
      </c>
      <c r="AC496" s="57">
        <f t="shared" si="232"/>
        <v>-3.4497610168843758</v>
      </c>
      <c r="AD496" s="57">
        <f t="shared" si="233"/>
        <v>-8.930804789903851</v>
      </c>
      <c r="AE496" s="57">
        <f t="shared" si="234"/>
        <v>-1.4499650928449672</v>
      </c>
      <c r="AF496" s="57">
        <f t="shared" si="235"/>
        <v>-2.5150959264969743</v>
      </c>
      <c r="AG496" s="57">
        <f t="shared" si="236"/>
        <v>-3.1003359078357184</v>
      </c>
      <c r="AH496" s="57">
        <f t="shared" si="237"/>
        <v>-6.8269661695971626</v>
      </c>
      <c r="AJ496" s="57">
        <f t="shared" si="238"/>
        <v>233537.98656730828</v>
      </c>
      <c r="AK496" s="57">
        <f t="shared" si="239"/>
        <v>248573.98172792513</v>
      </c>
      <c r="AL496" s="57">
        <f t="shared" si="240"/>
        <v>263973.52170333493</v>
      </c>
      <c r="AN496" s="41">
        <v>491</v>
      </c>
      <c r="AO496" s="57">
        <f t="shared" si="241"/>
        <v>79.557282571197902</v>
      </c>
      <c r="AP496" s="57">
        <f t="shared" si="242"/>
        <v>20660.321851670793</v>
      </c>
      <c r="AR496" s="41">
        <v>491</v>
      </c>
      <c r="AS496" s="57">
        <f t="shared" si="243"/>
        <v>12703.793398533226</v>
      </c>
      <c r="AT496" s="57">
        <f t="shared" si="244"/>
        <v>-2358.516469220297</v>
      </c>
      <c r="AV496" s="57">
        <f t="shared" si="245"/>
        <v>-13.846220152742891</v>
      </c>
      <c r="AW496" s="57">
        <f t="shared" si="246"/>
        <v>-29.375111078258783</v>
      </c>
      <c r="AX496" s="57">
        <f t="shared" si="247"/>
        <v>-1.0612123762937238</v>
      </c>
      <c r="AY496" s="57">
        <f t="shared" si="248"/>
        <v>-2.7419998239191088</v>
      </c>
      <c r="BA496" s="57">
        <f t="shared" si="249"/>
        <v>232546.77246648373</v>
      </c>
      <c r="BB496" s="57">
        <f t="shared" si="250"/>
        <v>246999.99939905206</v>
      </c>
    </row>
    <row r="497" spans="9:54" x14ac:dyDescent="0.25">
      <c r="I497" s="41">
        <v>492</v>
      </c>
      <c r="J497" s="57">
        <f t="shared" si="224"/>
        <v>16654.346968205708</v>
      </c>
      <c r="K497" s="57">
        <f t="shared" si="225"/>
        <v>11215.724127386969</v>
      </c>
      <c r="M497" s="41">
        <v>492</v>
      </c>
      <c r="N497" s="57">
        <f t="shared" si="226"/>
        <v>-22341.957122256004</v>
      </c>
      <c r="O497" s="57">
        <f t="shared" si="227"/>
        <v>12601.00688917088</v>
      </c>
      <c r="Q497" s="41">
        <v>492</v>
      </c>
      <c r="R497" s="57">
        <f t="shared" si="228"/>
        <v>-8345.6530317942925</v>
      </c>
      <c r="S497" s="41">
        <f t="shared" si="229"/>
        <v>-11284.275872613031</v>
      </c>
      <c r="U497" s="41">
        <v>491</v>
      </c>
      <c r="V497" s="41">
        <f t="shared" si="251"/>
        <v>245.5</v>
      </c>
      <c r="W497" s="57">
        <f t="shared" si="252"/>
        <v>105170.2195497077</v>
      </c>
      <c r="X497" s="57">
        <f t="shared" si="253"/>
        <v>227063.74946775235</v>
      </c>
      <c r="Y497" s="57">
        <f t="shared" si="254"/>
        <v>2033.8603036690965</v>
      </c>
      <c r="Z497" s="57">
        <f t="shared" si="255"/>
        <v>3414.5595523449097</v>
      </c>
      <c r="AA497" s="57">
        <f t="shared" si="230"/>
        <v>-22.578269285249362</v>
      </c>
      <c r="AB497" s="57">
        <f t="shared" si="231"/>
        <v>-49.545669743013157</v>
      </c>
      <c r="AC497" s="57">
        <f t="shared" si="232"/>
        <v>-3.4050003757167056</v>
      </c>
      <c r="AD497" s="57">
        <f t="shared" si="233"/>
        <v>-8.7778880151311185</v>
      </c>
      <c r="AE497" s="57">
        <f t="shared" si="234"/>
        <v>-1.42728077730002</v>
      </c>
      <c r="AF497" s="57">
        <f t="shared" si="235"/>
        <v>-2.4751168303332567</v>
      </c>
      <c r="AG497" s="57">
        <f t="shared" si="236"/>
        <v>-3.0599581676134555</v>
      </c>
      <c r="AH497" s="57">
        <f t="shared" si="237"/>
        <v>-6.7232774001397653</v>
      </c>
      <c r="AJ497" s="57">
        <f t="shared" si="238"/>
        <v>235504.15363318613</v>
      </c>
      <c r="AK497" s="57">
        <f t="shared" si="239"/>
        <v>250567.86544790852</v>
      </c>
      <c r="AL497" s="57">
        <f t="shared" si="240"/>
        <v>265955.51523143408</v>
      </c>
      <c r="AN497" s="41">
        <v>492</v>
      </c>
      <c r="AO497" s="57">
        <f t="shared" si="241"/>
        <v>-18.479547691438711</v>
      </c>
      <c r="AP497" s="57">
        <f t="shared" si="242"/>
        <v>20573.586191080456</v>
      </c>
      <c r="AR497" s="41">
        <v>492</v>
      </c>
      <c r="AS497" s="57">
        <f t="shared" si="243"/>
        <v>12658.042877743996</v>
      </c>
      <c r="AT497" s="57">
        <f t="shared" si="244"/>
        <v>-2398.9931108291207</v>
      </c>
      <c r="AV497" s="57">
        <f t="shared" si="245"/>
        <v>-13.637890574020698</v>
      </c>
      <c r="AW497" s="57">
        <f t="shared" si="246"/>
        <v>-28.871876521370623</v>
      </c>
      <c r="AX497" s="57">
        <f t="shared" si="247"/>
        <v>-1.0481393905984808</v>
      </c>
      <c r="AY497" s="57">
        <f t="shared" si="248"/>
        <v>-2.6975109760383957</v>
      </c>
      <c r="BA497" s="57">
        <f t="shared" si="249"/>
        <v>234531.67530838615</v>
      </c>
      <c r="BB497" s="57">
        <f t="shared" si="250"/>
        <v>248966.36783042448</v>
      </c>
    </row>
    <row r="498" spans="9:54" x14ac:dyDescent="0.25">
      <c r="I498" s="41">
        <v>493</v>
      </c>
      <c r="J498" s="57">
        <f t="shared" si="224"/>
        <v>16590.008199687505</v>
      </c>
      <c r="K498" s="57">
        <f t="shared" si="225"/>
        <v>11156.768508095849</v>
      </c>
      <c r="M498" s="41">
        <v>493</v>
      </c>
      <c r="N498" s="57">
        <f t="shared" si="226"/>
        <v>-22386.994260218748</v>
      </c>
      <c r="O498" s="57">
        <f t="shared" si="227"/>
        <v>12559.737955667095</v>
      </c>
      <c r="Q498" s="41">
        <v>493</v>
      </c>
      <c r="R498" s="57">
        <f t="shared" si="228"/>
        <v>-8409.9918003124949</v>
      </c>
      <c r="S498" s="41">
        <f t="shared" si="229"/>
        <v>-11343.231491904151</v>
      </c>
      <c r="U498" s="41">
        <v>492</v>
      </c>
      <c r="V498" s="41">
        <f t="shared" si="251"/>
        <v>246</v>
      </c>
      <c r="W498" s="57">
        <f t="shared" si="252"/>
        <v>106184.32741788159</v>
      </c>
      <c r="X498" s="57">
        <f t="shared" si="253"/>
        <v>228764.83603520691</v>
      </c>
      <c r="Y498" s="57">
        <f t="shared" si="254"/>
        <v>2022.5711690264718</v>
      </c>
      <c r="Z498" s="57">
        <f t="shared" si="255"/>
        <v>3389.7867174734029</v>
      </c>
      <c r="AA498" s="57">
        <f t="shared" si="230"/>
        <v>-22.258408256543341</v>
      </c>
      <c r="AB498" s="57">
        <f t="shared" si="231"/>
        <v>-48.727759515049627</v>
      </c>
      <c r="AC498" s="57">
        <f t="shared" si="232"/>
        <v>-3.3613770640908949</v>
      </c>
      <c r="AD498" s="57">
        <f t="shared" si="233"/>
        <v>-8.6298120229254387</v>
      </c>
      <c r="AE498" s="57">
        <f t="shared" si="234"/>
        <v>-1.4052888755372008</v>
      </c>
      <c r="AF498" s="57">
        <f t="shared" si="235"/>
        <v>-2.4363389394698345</v>
      </c>
      <c r="AG498" s="57">
        <f t="shared" si="236"/>
        <v>-3.0206516185088486</v>
      </c>
      <c r="AH498" s="57">
        <f t="shared" si="237"/>
        <v>-6.6225938817602579</v>
      </c>
      <c r="AJ498" s="57">
        <f t="shared" si="238"/>
        <v>237457.08234996829</v>
      </c>
      <c r="AK498" s="57">
        <f t="shared" si="239"/>
        <v>252548.09041331933</v>
      </c>
      <c r="AL498" s="57">
        <f t="shared" si="240"/>
        <v>267923.96300188976</v>
      </c>
      <c r="AN498" s="41">
        <v>493</v>
      </c>
      <c r="AO498" s="57">
        <f t="shared" si="241"/>
        <v>-114.98770046874324</v>
      </c>
      <c r="AP498" s="57">
        <f t="shared" si="242"/>
        <v>20485.152762143774</v>
      </c>
      <c r="AR498" s="41">
        <v>493</v>
      </c>
      <c r="AS498" s="57">
        <f t="shared" si="243"/>
        <v>12613.005739781252</v>
      </c>
      <c r="AT498" s="57">
        <f t="shared" si="244"/>
        <v>-2440.2620443329056</v>
      </c>
      <c r="AV498" s="57">
        <f t="shared" si="245"/>
        <v>-13.435702851882018</v>
      </c>
      <c r="AW498" s="57">
        <f t="shared" si="246"/>
        <v>-28.384641084670186</v>
      </c>
      <c r="AX498" s="57">
        <f t="shared" si="247"/>
        <v>-1.0353878465243802</v>
      </c>
      <c r="AY498" s="57">
        <f t="shared" si="248"/>
        <v>-2.6543735862239117</v>
      </c>
      <c r="BA498" s="57">
        <f t="shared" si="249"/>
        <v>236503.00894527318</v>
      </c>
      <c r="BB498" s="57">
        <f t="shared" si="250"/>
        <v>250919.4694184144</v>
      </c>
    </row>
    <row r="499" spans="9:54" x14ac:dyDescent="0.25">
      <c r="I499" s="41">
        <v>494</v>
      </c>
      <c r="J499" s="57">
        <f t="shared" si="224"/>
        <v>16526.708147705016</v>
      </c>
      <c r="K499" s="57">
        <f t="shared" si="225"/>
        <v>11096.699001693256</v>
      </c>
      <c r="M499" s="41">
        <v>494</v>
      </c>
      <c r="N499" s="57">
        <f t="shared" si="226"/>
        <v>-22431.30429660649</v>
      </c>
      <c r="O499" s="57">
        <f t="shared" si="227"/>
        <v>12517.689301185279</v>
      </c>
      <c r="Q499" s="41">
        <v>494</v>
      </c>
      <c r="R499" s="57">
        <f t="shared" si="228"/>
        <v>-8473.2918522949858</v>
      </c>
      <c r="S499" s="41">
        <f t="shared" si="229"/>
        <v>-11403.300998306744</v>
      </c>
      <c r="U499" s="41">
        <v>493</v>
      </c>
      <c r="V499" s="41">
        <f t="shared" si="251"/>
        <v>246.5</v>
      </c>
      <c r="W499" s="57">
        <f t="shared" si="252"/>
        <v>107192.83070136275</v>
      </c>
      <c r="X499" s="57">
        <f t="shared" si="253"/>
        <v>230453.63842400425</v>
      </c>
      <c r="Y499" s="57">
        <f t="shared" si="254"/>
        <v>2011.4419648982002</v>
      </c>
      <c r="Z499" s="57">
        <f t="shared" si="255"/>
        <v>3365.4228377158779</v>
      </c>
      <c r="AA499" s="57">
        <f t="shared" si="230"/>
        <v>-21.947528914228201</v>
      </c>
      <c r="AB499" s="57">
        <f t="shared" si="231"/>
        <v>-47.935078249700965</v>
      </c>
      <c r="AC499" s="57">
        <f t="shared" si="232"/>
        <v>-3.3188505861324265</v>
      </c>
      <c r="AD499" s="57">
        <f t="shared" si="233"/>
        <v>-8.4863607203923337</v>
      </c>
      <c r="AE499" s="57">
        <f t="shared" si="234"/>
        <v>-1.3839591415022079</v>
      </c>
      <c r="AF499" s="57">
        <f t="shared" si="235"/>
        <v>-2.3987108903226431</v>
      </c>
      <c r="AG499" s="57">
        <f t="shared" si="236"/>
        <v>-2.9823749925515388</v>
      </c>
      <c r="AH499" s="57">
        <f t="shared" si="237"/>
        <v>-6.5247911875499733</v>
      </c>
      <c r="AJ499" s="57">
        <f t="shared" si="238"/>
        <v>239396.98120949254</v>
      </c>
      <c r="AK499" s="57">
        <f t="shared" si="239"/>
        <v>254514.8775144729</v>
      </c>
      <c r="AL499" s="57">
        <f t="shared" si="240"/>
        <v>269879.08380674198</v>
      </c>
      <c r="AN499" s="41">
        <v>494</v>
      </c>
      <c r="AO499" s="57">
        <f t="shared" si="241"/>
        <v>-209.9377784424787</v>
      </c>
      <c r="AP499" s="57">
        <f t="shared" si="242"/>
        <v>20395.048502539885</v>
      </c>
      <c r="AR499" s="41">
        <v>494</v>
      </c>
      <c r="AS499" s="57">
        <f t="shared" si="243"/>
        <v>12568.69570339351</v>
      </c>
      <c r="AT499" s="57">
        <f t="shared" si="244"/>
        <v>-2482.310698814721</v>
      </c>
      <c r="AV499" s="57">
        <f t="shared" si="245"/>
        <v>-13.239397644229053</v>
      </c>
      <c r="AW499" s="57">
        <f t="shared" si="246"/>
        <v>-27.912685982122444</v>
      </c>
      <c r="AX499" s="57">
        <f t="shared" si="247"/>
        <v>-1.0229465498129759</v>
      </c>
      <c r="AY499" s="57">
        <f t="shared" si="248"/>
        <v>-2.612529469313571</v>
      </c>
      <c r="BA499" s="57">
        <f t="shared" si="249"/>
        <v>238460.99252686792</v>
      </c>
      <c r="BB499" s="57">
        <f t="shared" si="250"/>
        <v>252859.51411768523</v>
      </c>
    </row>
    <row r="500" spans="9:54" x14ac:dyDescent="0.25">
      <c r="I500" s="41">
        <v>495</v>
      </c>
      <c r="J500" s="57">
        <f t="shared" si="224"/>
        <v>16464.466094067262</v>
      </c>
      <c r="K500" s="57">
        <f t="shared" si="225"/>
        <v>11035.533905932736</v>
      </c>
      <c r="M500" s="41">
        <v>495</v>
      </c>
      <c r="N500" s="57">
        <f t="shared" si="226"/>
        <v>-22474.873734152919</v>
      </c>
      <c r="O500" s="57">
        <f t="shared" si="227"/>
        <v>12474.873734152916</v>
      </c>
      <c r="Q500" s="41">
        <v>495</v>
      </c>
      <c r="R500" s="57">
        <f t="shared" si="228"/>
        <v>-8535.5339059327398</v>
      </c>
      <c r="S500" s="41">
        <f t="shared" si="229"/>
        <v>-11464.466094067264</v>
      </c>
      <c r="U500" s="41">
        <v>494</v>
      </c>
      <c r="V500" s="41">
        <f t="shared" si="251"/>
        <v>247</v>
      </c>
      <c r="W500" s="57">
        <f t="shared" si="252"/>
        <v>108195.80824269757</v>
      </c>
      <c r="X500" s="57">
        <f t="shared" si="253"/>
        <v>232130.35795808097</v>
      </c>
      <c r="Y500" s="57">
        <f t="shared" si="254"/>
        <v>2000.4682004410861</v>
      </c>
      <c r="Z500" s="57">
        <f t="shared" si="255"/>
        <v>3341.4552985910273</v>
      </c>
      <c r="AA500" s="57">
        <f t="shared" si="230"/>
        <v>-21.645268995273131</v>
      </c>
      <c r="AB500" s="57">
        <f t="shared" si="231"/>
        <v>-47.166523642380568</v>
      </c>
      <c r="AC500" s="57">
        <f t="shared" si="232"/>
        <v>-3.2773822573981115</v>
      </c>
      <c r="AD500" s="57">
        <f t="shared" si="233"/>
        <v>-8.3473303812685113</v>
      </c>
      <c r="AE500" s="57">
        <f t="shared" si="234"/>
        <v>-1.363263038513006</v>
      </c>
      <c r="AF500" s="57">
        <f t="shared" si="235"/>
        <v>-2.3621841531871213</v>
      </c>
      <c r="AG500" s="57">
        <f t="shared" si="236"/>
        <v>-2.9450891039893929</v>
      </c>
      <c r="AH500" s="57">
        <f t="shared" si="237"/>
        <v>-6.4297515587048721</v>
      </c>
      <c r="AJ500" s="57">
        <f t="shared" si="238"/>
        <v>241324.05248536309</v>
      </c>
      <c r="AK500" s="57">
        <f t="shared" si="239"/>
        <v>256468.44089981847</v>
      </c>
      <c r="AL500" s="57">
        <f t="shared" si="240"/>
        <v>271821.08974140836</v>
      </c>
      <c r="AN500" s="41">
        <v>495</v>
      </c>
      <c r="AO500" s="57">
        <f t="shared" si="241"/>
        <v>-303.3008588991097</v>
      </c>
      <c r="AP500" s="57">
        <f t="shared" si="242"/>
        <v>20303.300858899103</v>
      </c>
      <c r="AR500" s="41">
        <v>495</v>
      </c>
      <c r="AS500" s="57">
        <f t="shared" si="243"/>
        <v>12525.126265847082</v>
      </c>
      <c r="AT500" s="57">
        <f t="shared" si="244"/>
        <v>-2525.1262658470851</v>
      </c>
      <c r="AV500" s="57">
        <f t="shared" si="245"/>
        <v>-13.048729793046592</v>
      </c>
      <c r="AW500" s="57">
        <f t="shared" si="246"/>
        <v>-27.455333885259563</v>
      </c>
      <c r="AX500" s="57">
        <f t="shared" si="247"/>
        <v>-1.0108048023260321</v>
      </c>
      <c r="AY500" s="57">
        <f t="shared" si="248"/>
        <v>-2.5719236639605034</v>
      </c>
      <c r="BA500" s="57">
        <f t="shared" si="249"/>
        <v>240405.83850203804</v>
      </c>
      <c r="BB500" s="57">
        <f t="shared" si="250"/>
        <v>254786.70557809187</v>
      </c>
    </row>
    <row r="501" spans="9:54" x14ac:dyDescent="0.25">
      <c r="I501" s="41">
        <v>496</v>
      </c>
      <c r="J501" s="57">
        <f t="shared" si="224"/>
        <v>16403.300998306746</v>
      </c>
      <c r="K501" s="57">
        <f t="shared" si="225"/>
        <v>10973.291852294988</v>
      </c>
      <c r="M501" s="41">
        <v>496</v>
      </c>
      <c r="N501" s="57">
        <f t="shared" si="226"/>
        <v>-22517.689301185277</v>
      </c>
      <c r="O501" s="57">
        <f t="shared" si="227"/>
        <v>12431.304296606491</v>
      </c>
      <c r="Q501" s="41">
        <v>496</v>
      </c>
      <c r="R501" s="57">
        <f t="shared" si="228"/>
        <v>-8596.6990016932541</v>
      </c>
      <c r="S501" s="41">
        <f t="shared" si="229"/>
        <v>-11526.708147705012</v>
      </c>
      <c r="U501" s="41">
        <v>495</v>
      </c>
      <c r="V501" s="41">
        <f t="shared" si="251"/>
        <v>247.5</v>
      </c>
      <c r="W501" s="57">
        <f t="shared" si="252"/>
        <v>109193.3366842937</v>
      </c>
      <c r="X501" s="57">
        <f t="shared" si="253"/>
        <v>233795.18979192121</v>
      </c>
      <c r="Y501" s="57">
        <f t="shared" si="254"/>
        <v>1989.6455659434496</v>
      </c>
      <c r="Z501" s="57">
        <f t="shared" si="255"/>
        <v>3317.872036769837</v>
      </c>
      <c r="AA501" s="57">
        <f t="shared" si="230"/>
        <v>-21.351285204795378</v>
      </c>
      <c r="AB501" s="57">
        <f t="shared" si="231"/>
        <v>-46.421055332318176</v>
      </c>
      <c r="AC501" s="57">
        <f t="shared" si="232"/>
        <v>-3.2369351104932282</v>
      </c>
      <c r="AD501" s="57">
        <f t="shared" si="233"/>
        <v>-8.2125287875028778</v>
      </c>
      <c r="AE501" s="57">
        <f t="shared" si="234"/>
        <v>-1.3431736214015353</v>
      </c>
      <c r="AF501" s="57">
        <f t="shared" si="235"/>
        <v>-2.32671284169722</v>
      </c>
      <c r="AG501" s="57">
        <f t="shared" si="236"/>
        <v>-2.9087567198906594</v>
      </c>
      <c r="AH501" s="57">
        <f t="shared" si="237"/>
        <v>-6.3373634679269282</v>
      </c>
      <c r="AJ501" s="57">
        <f t="shared" si="238"/>
        <v>243238.4924962318</v>
      </c>
      <c r="AK501" s="57">
        <f t="shared" si="239"/>
        <v>258408.98826786832</v>
      </c>
      <c r="AL501" s="57">
        <f t="shared" si="240"/>
        <v>273750.18649617495</v>
      </c>
      <c r="AN501" s="41">
        <v>496</v>
      </c>
      <c r="AO501" s="57">
        <f t="shared" si="241"/>
        <v>-395.04850253988025</v>
      </c>
      <c r="AP501" s="57">
        <f t="shared" si="242"/>
        <v>20209.937778442483</v>
      </c>
      <c r="AR501" s="41">
        <v>496</v>
      </c>
      <c r="AS501" s="57">
        <f t="shared" si="243"/>
        <v>12482.310698814723</v>
      </c>
      <c r="AT501" s="57">
        <f t="shared" si="244"/>
        <v>-2568.6957033935082</v>
      </c>
      <c r="AV501" s="57">
        <f t="shared" si="245"/>
        <v>-12.863467377052531</v>
      </c>
      <c r="AW501" s="57">
        <f t="shared" si="246"/>
        <v>-27.011946019851891</v>
      </c>
      <c r="AX501" s="57">
        <f t="shared" si="247"/>
        <v>-0.99895237595742392</v>
      </c>
      <c r="AY501" s="57">
        <f t="shared" si="248"/>
        <v>-2.532504215339257</v>
      </c>
      <c r="BA501" s="57">
        <f t="shared" si="249"/>
        <v>242337.75291004372</v>
      </c>
      <c r="BB501" s="57">
        <f t="shared" si="250"/>
        <v>256701.24141398378</v>
      </c>
    </row>
    <row r="502" spans="9:54" x14ac:dyDescent="0.25">
      <c r="I502" s="41">
        <v>497</v>
      </c>
      <c r="J502" s="57">
        <f t="shared" si="224"/>
        <v>16343.231491904147</v>
      </c>
      <c r="K502" s="57">
        <f t="shared" si="225"/>
        <v>10909.991800312491</v>
      </c>
      <c r="M502" s="41">
        <v>497</v>
      </c>
      <c r="N502" s="57">
        <f t="shared" si="226"/>
        <v>-22559.737955667097</v>
      </c>
      <c r="O502" s="57">
        <f t="shared" si="227"/>
        <v>12386.994260218744</v>
      </c>
      <c r="Q502" s="41">
        <v>497</v>
      </c>
      <c r="R502" s="57">
        <f t="shared" si="228"/>
        <v>-8656.7685080958527</v>
      </c>
      <c r="S502" s="41">
        <f t="shared" si="229"/>
        <v>-11590.008199687509</v>
      </c>
      <c r="U502" s="41">
        <v>496</v>
      </c>
      <c r="V502" s="41">
        <f t="shared" si="251"/>
        <v>248</v>
      </c>
      <c r="W502" s="57">
        <f t="shared" si="252"/>
        <v>110185.49055661482</v>
      </c>
      <c r="X502" s="57">
        <f t="shared" si="253"/>
        <v>235448.32317838958</v>
      </c>
      <c r="Y502" s="57">
        <f t="shared" si="254"/>
        <v>1978.969923341052</v>
      </c>
      <c r="Z502" s="57">
        <f t="shared" si="255"/>
        <v>3294.6615091036779</v>
      </c>
      <c r="AA502" s="57">
        <f t="shared" si="230"/>
        <v>-21.065252001361578</v>
      </c>
      <c r="AB502" s="57">
        <f t="shared" si="231"/>
        <v>-45.697690670180471</v>
      </c>
      <c r="AC502" s="57">
        <f t="shared" si="232"/>
        <v>-3.1974738060311343</v>
      </c>
      <c r="AD502" s="57">
        <f t="shared" si="233"/>
        <v>-8.0817744405800198</v>
      </c>
      <c r="AE502" s="57">
        <f t="shared" si="234"/>
        <v>-1.323665428204897</v>
      </c>
      <c r="AF502" s="57">
        <f t="shared" si="235"/>
        <v>-2.2922535373342816</v>
      </c>
      <c r="AG502" s="57">
        <f t="shared" si="236"/>
        <v>-2.8733424402708518</v>
      </c>
      <c r="AH502" s="57">
        <f t="shared" si="237"/>
        <v>-6.2475212164802532</v>
      </c>
      <c r="AJ502" s="57">
        <f t="shared" si="238"/>
        <v>245140.49185472564</v>
      </c>
      <c r="AK502" s="57">
        <f t="shared" si="239"/>
        <v>260336.72114285768</v>
      </c>
      <c r="AL502" s="57">
        <f t="shared" si="240"/>
        <v>275666.57363132562</v>
      </c>
      <c r="AN502" s="41">
        <v>497</v>
      </c>
      <c r="AO502" s="57">
        <f t="shared" si="241"/>
        <v>-485.152762143779</v>
      </c>
      <c r="AP502" s="57">
        <f t="shared" si="242"/>
        <v>20114.987700468737</v>
      </c>
      <c r="AR502" s="41">
        <v>497</v>
      </c>
      <c r="AS502" s="57">
        <f t="shared" si="243"/>
        <v>12440.262044332903</v>
      </c>
      <c r="AT502" s="57">
        <f t="shared" si="244"/>
        <v>-2613.0057397812557</v>
      </c>
      <c r="AV502" s="57">
        <f t="shared" si="245"/>
        <v>-12.683390838769123</v>
      </c>
      <c r="AW502" s="57">
        <f t="shared" si="246"/>
        <v>-26.581919500749684</v>
      </c>
      <c r="AX502" s="57">
        <f t="shared" si="247"/>
        <v>-0.98737948808557119</v>
      </c>
      <c r="AY502" s="57">
        <f t="shared" si="248"/>
        <v>-2.4942219750362304</v>
      </c>
      <c r="BA502" s="57">
        <f t="shared" si="249"/>
        <v>244256.93565546794</v>
      </c>
      <c r="BB502" s="57">
        <f t="shared" si="250"/>
        <v>258603.31345866914</v>
      </c>
    </row>
    <row r="503" spans="9:54" x14ac:dyDescent="0.25">
      <c r="I503" s="41">
        <v>498</v>
      </c>
      <c r="J503" s="57">
        <f t="shared" si="224"/>
        <v>16284.275872613032</v>
      </c>
      <c r="K503" s="57">
        <f t="shared" si="225"/>
        <v>10845.653031794294</v>
      </c>
      <c r="M503" s="41">
        <v>498</v>
      </c>
      <c r="N503" s="57">
        <f t="shared" si="226"/>
        <v>-22601.006889170876</v>
      </c>
      <c r="O503" s="57">
        <f t="shared" si="227"/>
        <v>12341.957122256006</v>
      </c>
      <c r="Q503" s="41">
        <v>498</v>
      </c>
      <c r="R503" s="57">
        <f t="shared" si="228"/>
        <v>-8715.7241273869677</v>
      </c>
      <c r="S503" s="41">
        <f t="shared" si="229"/>
        <v>-11654.346968205706</v>
      </c>
      <c r="U503" s="41">
        <v>497</v>
      </c>
      <c r="V503" s="41">
        <f t="shared" si="251"/>
        <v>248.5</v>
      </c>
      <c r="W503" s="57">
        <f t="shared" si="252"/>
        <v>111172.34236178518</v>
      </c>
      <c r="X503" s="57">
        <f t="shared" si="253"/>
        <v>237089.94172160764</v>
      </c>
      <c r="Y503" s="57">
        <f t="shared" si="254"/>
        <v>1968.4372973403713</v>
      </c>
      <c r="Z503" s="57">
        <f t="shared" si="255"/>
        <v>3271.8126637685878</v>
      </c>
      <c r="AA503" s="57">
        <f t="shared" si="230"/>
        <v>-20.786860473881184</v>
      </c>
      <c r="AB503" s="57">
        <f t="shared" si="231"/>
        <v>-44.995500824812204</v>
      </c>
      <c r="AC503" s="57">
        <f t="shared" si="232"/>
        <v>-3.1589645486401738</v>
      </c>
      <c r="AD503" s="57">
        <f t="shared" si="233"/>
        <v>-7.9548958361183555</v>
      </c>
      <c r="AE503" s="57">
        <f t="shared" si="234"/>
        <v>-1.3047143805200334</v>
      </c>
      <c r="AF503" s="57">
        <f t="shared" si="235"/>
        <v>-2.2587651276246179</v>
      </c>
      <c r="AG503" s="57">
        <f t="shared" si="236"/>
        <v>-2.838812586936295</v>
      </c>
      <c r="AH503" s="57">
        <f t="shared" si="237"/>
        <v>-6.1601245619262377</v>
      </c>
      <c r="AJ503" s="57">
        <f t="shared" si="238"/>
        <v>247030.23570297172</v>
      </c>
      <c r="AK503" s="57">
        <f t="shared" si="239"/>
        <v>262251.83513523894</v>
      </c>
      <c r="AL503" s="57">
        <f t="shared" si="240"/>
        <v>277570.44483703119</v>
      </c>
      <c r="AN503" s="41">
        <v>498</v>
      </c>
      <c r="AO503" s="57">
        <f t="shared" si="241"/>
        <v>-573.5861910804515</v>
      </c>
      <c r="AP503" s="57">
        <f t="shared" si="242"/>
        <v>20018.479547691441</v>
      </c>
      <c r="AR503" s="41">
        <v>498</v>
      </c>
      <c r="AS503" s="57">
        <f t="shared" si="243"/>
        <v>12398.993110829122</v>
      </c>
      <c r="AT503" s="57">
        <f t="shared" si="244"/>
        <v>-2658.0428777439938</v>
      </c>
      <c r="AV503" s="57">
        <f t="shared" si="245"/>
        <v>-12.50829217931452</v>
      </c>
      <c r="AW503" s="57">
        <f t="shared" si="246"/>
        <v>-26.16468488257334</v>
      </c>
      <c r="AX503" s="57">
        <f t="shared" si="247"/>
        <v>-0.97607677847016128</v>
      </c>
      <c r="AY503" s="57">
        <f t="shared" si="248"/>
        <v>-2.4570304165696482</v>
      </c>
      <c r="BA503" s="57">
        <f t="shared" si="249"/>
        <v>246163.58076794221</v>
      </c>
      <c r="BB503" s="57">
        <f t="shared" si="250"/>
        <v>260493.10800503689</v>
      </c>
    </row>
    <row r="504" spans="9:54" x14ac:dyDescent="0.25">
      <c r="I504" s="41">
        <v>499</v>
      </c>
      <c r="J504" s="57">
        <f t="shared" si="224"/>
        <v>16226.45209888614</v>
      </c>
      <c r="K504" s="57">
        <f t="shared" si="225"/>
        <v>10780.295144952537</v>
      </c>
      <c r="M504" s="41">
        <v>499</v>
      </c>
      <c r="N504" s="57">
        <f t="shared" si="226"/>
        <v>-22641.4835307797</v>
      </c>
      <c r="O504" s="57">
        <f t="shared" si="227"/>
        <v>12296.206601466776</v>
      </c>
      <c r="Q504" s="41">
        <v>499</v>
      </c>
      <c r="R504" s="57">
        <f t="shared" si="228"/>
        <v>-8773.5479011138596</v>
      </c>
      <c r="S504" s="41">
        <f t="shared" si="229"/>
        <v>-11719.704855047463</v>
      </c>
      <c r="U504" s="41">
        <v>498</v>
      </c>
      <c r="V504" s="41">
        <f t="shared" si="251"/>
        <v>249</v>
      </c>
      <c r="W504" s="57">
        <f t="shared" si="252"/>
        <v>112153.96265289612</v>
      </c>
      <c r="X504" s="57">
        <f t="shared" si="253"/>
        <v>238720.22361588883</v>
      </c>
      <c r="Y504" s="57">
        <f t="shared" si="254"/>
        <v>1958.0438671034308</v>
      </c>
      <c r="Z504" s="57">
        <f t="shared" si="255"/>
        <v>3249.3149133561815</v>
      </c>
      <c r="AA504" s="57">
        <f t="shared" si="230"/>
        <v>-20.515817302174398</v>
      </c>
      <c r="AB504" s="57">
        <f t="shared" si="231"/>
        <v>-44.313607198033687</v>
      </c>
      <c r="AC504" s="57">
        <f t="shared" si="232"/>
        <v>-3.1213750077329019</v>
      </c>
      <c r="AD504" s="57">
        <f t="shared" si="233"/>
        <v>-7.83173079594496</v>
      </c>
      <c r="AE504" s="57">
        <f t="shared" si="234"/>
        <v>-1.2862976917284858</v>
      </c>
      <c r="AF504" s="57">
        <f t="shared" si="235"/>
        <v>-2.226208656803327</v>
      </c>
      <c r="AG504" s="57">
        <f t="shared" si="236"/>
        <v>-2.805135100313497</v>
      </c>
      <c r="AH504" s="57">
        <f t="shared" si="237"/>
        <v>-6.0750783738575072</v>
      </c>
      <c r="AJ504" s="57">
        <f t="shared" si="238"/>
        <v>248907.90393559824</v>
      </c>
      <c r="AK504" s="57">
        <f t="shared" si="239"/>
        <v>264154.52018802415</v>
      </c>
      <c r="AL504" s="57">
        <f t="shared" si="240"/>
        <v>279461.98817902373</v>
      </c>
      <c r="AN504" s="41">
        <v>499</v>
      </c>
      <c r="AO504" s="57">
        <f t="shared" si="241"/>
        <v>-660.32185167078842</v>
      </c>
      <c r="AP504" s="57">
        <f t="shared" si="242"/>
        <v>19920.442717428807</v>
      </c>
      <c r="AR504" s="41">
        <v>499</v>
      </c>
      <c r="AS504" s="57">
        <f t="shared" si="243"/>
        <v>12358.5164692203</v>
      </c>
      <c r="AT504" s="57">
        <f t="shared" si="244"/>
        <v>-2703.7933985332238</v>
      </c>
      <c r="AV504" s="57">
        <f t="shared" si="245"/>
        <v>-12.337974214896919</v>
      </c>
      <c r="AW504" s="57">
        <f t="shared" si="246"/>
        <v>-25.759703906285782</v>
      </c>
      <c r="AX504" s="57">
        <f t="shared" si="247"/>
        <v>-0.96503528750259471</v>
      </c>
      <c r="AY504" s="57">
        <f t="shared" si="248"/>
        <v>-2.4208854651421134</v>
      </c>
      <c r="BA504" s="57">
        <f t="shared" si="249"/>
        <v>248057.87664769197</v>
      </c>
      <c r="BB504" s="57">
        <f t="shared" si="250"/>
        <v>262370.80603325361</v>
      </c>
    </row>
    <row r="505" spans="9:54" x14ac:dyDescent="0.25">
      <c r="I505" s="41">
        <v>500</v>
      </c>
      <c r="J505" s="57">
        <f t="shared" si="224"/>
        <v>16169.777784405114</v>
      </c>
      <c r="K505" s="57">
        <f t="shared" si="225"/>
        <v>10713.938048432701</v>
      </c>
      <c r="M505" s="41">
        <v>500</v>
      </c>
      <c r="N505" s="57">
        <f t="shared" si="226"/>
        <v>-22681.155550916421</v>
      </c>
      <c r="O505" s="57">
        <f t="shared" si="227"/>
        <v>12249.756633902891</v>
      </c>
      <c r="Q505" s="41">
        <v>500</v>
      </c>
      <c r="R505" s="57">
        <f t="shared" si="228"/>
        <v>-8830.2222155948857</v>
      </c>
      <c r="S505" s="41">
        <f t="shared" si="229"/>
        <v>-11786.061951567299</v>
      </c>
      <c r="U505" s="41">
        <v>499</v>
      </c>
      <c r="V505" s="41">
        <f t="shared" si="251"/>
        <v>249.5</v>
      </c>
      <c r="W505" s="57">
        <f t="shared" si="252"/>
        <v>113130.42010928507</v>
      </c>
      <c r="X505" s="57">
        <f t="shared" si="253"/>
        <v>240339.34187166716</v>
      </c>
      <c r="Y505" s="57">
        <f t="shared" si="254"/>
        <v>1947.7859584523435</v>
      </c>
      <c r="Z505" s="57">
        <f t="shared" si="255"/>
        <v>3227.1581097571648</v>
      </c>
      <c r="AA505" s="57">
        <f t="shared" si="230"/>
        <v>-20.251843794063134</v>
      </c>
      <c r="AB505" s="57">
        <f t="shared" si="231"/>
        <v>-43.651178119616958</v>
      </c>
      <c r="AC505" s="57">
        <f t="shared" si="232"/>
        <v>-3.0846742427663361</v>
      </c>
      <c r="AD505" s="57">
        <f t="shared" si="233"/>
        <v>-7.7121258524483931</v>
      </c>
      <c r="AE505" s="57">
        <f t="shared" si="234"/>
        <v>-1.2683937823791682</v>
      </c>
      <c r="AF505" s="57">
        <f t="shared" si="235"/>
        <v>-2.1945471878440781</v>
      </c>
      <c r="AG505" s="57">
        <f t="shared" si="236"/>
        <v>-2.7722794436031979</v>
      </c>
      <c r="AH505" s="57">
        <f t="shared" si="237"/>
        <v>-5.9922923152150318</v>
      </c>
      <c r="AJ505" s="57">
        <f t="shared" si="238"/>
        <v>250773.67141102158</v>
      </c>
      <c r="AK505" s="57">
        <f t="shared" si="239"/>
        <v>266044.96080991178</v>
      </c>
      <c r="AL505" s="57">
        <f t="shared" si="240"/>
        <v>281341.3863310059</v>
      </c>
      <c r="AN505" s="41">
        <v>500</v>
      </c>
      <c r="AO505" s="57">
        <f t="shared" si="241"/>
        <v>-745.33332339232948</v>
      </c>
      <c r="AP505" s="57">
        <f t="shared" si="242"/>
        <v>19820.907072649054</v>
      </c>
      <c r="AR505" s="41">
        <v>500</v>
      </c>
      <c r="AS505" s="57">
        <f t="shared" si="243"/>
        <v>12318.844449083579</v>
      </c>
      <c r="AT505" s="57">
        <f t="shared" si="244"/>
        <v>-2750.2433660971087</v>
      </c>
      <c r="AV505" s="57">
        <f t="shared" si="245"/>
        <v>-12.172249889588985</v>
      </c>
      <c r="AW505" s="57">
        <f t="shared" si="246"/>
        <v>-25.366467423739582</v>
      </c>
      <c r="AX505" s="57">
        <f t="shared" si="247"/>
        <v>-0.95424643572544687</v>
      </c>
      <c r="AY505" s="57">
        <f t="shared" si="248"/>
        <v>-2.3857453403698763</v>
      </c>
      <c r="BA505" s="57">
        <f t="shared" si="249"/>
        <v>249940.00629784455</v>
      </c>
      <c r="BB505" s="57">
        <f t="shared" si="250"/>
        <v>264236.58342638239</v>
      </c>
    </row>
    <row r="506" spans="9:54" x14ac:dyDescent="0.25">
      <c r="I506" s="41">
        <v>501</v>
      </c>
      <c r="J506" s="57">
        <f t="shared" si="224"/>
        <v>16114.270192715148</v>
      </c>
      <c r="K506" s="57">
        <f t="shared" si="225"/>
        <v>10646.601955249189</v>
      </c>
      <c r="M506" s="41">
        <v>501</v>
      </c>
      <c r="N506" s="57">
        <f t="shared" si="226"/>
        <v>-22720.010865099397</v>
      </c>
      <c r="O506" s="57">
        <f t="shared" si="227"/>
        <v>12202.621368674432</v>
      </c>
      <c r="Q506" s="41">
        <v>501</v>
      </c>
      <c r="R506" s="57">
        <f t="shared" si="228"/>
        <v>-8885.7298072848516</v>
      </c>
      <c r="S506" s="41">
        <f t="shared" si="229"/>
        <v>-11853.398044750811</v>
      </c>
      <c r="U506" s="41">
        <v>500</v>
      </c>
      <c r="V506" s="41">
        <f t="shared" si="251"/>
        <v>250</v>
      </c>
      <c r="W506" s="57">
        <f t="shared" si="252"/>
        <v>114101.781608037</v>
      </c>
      <c r="X506" s="57">
        <f t="shared" si="253"/>
        <v>241947.46452928078</v>
      </c>
      <c r="Y506" s="57">
        <f t="shared" si="254"/>
        <v>1937.660036555312</v>
      </c>
      <c r="Z506" s="57">
        <f t="shared" si="255"/>
        <v>3205.3325206973564</v>
      </c>
      <c r="AA506" s="57">
        <f t="shared" si="230"/>
        <v>-19.994674992523919</v>
      </c>
      <c r="AB506" s="57">
        <f t="shared" si="231"/>
        <v>-43.007425797399847</v>
      </c>
      <c r="AC506" s="57">
        <f t="shared" si="232"/>
        <v>-3.048832632732867</v>
      </c>
      <c r="AD506" s="57">
        <f t="shared" si="233"/>
        <v>-7.5959356805344909</v>
      </c>
      <c r="AE506" s="57">
        <f t="shared" si="234"/>
        <v>-1.2509822020897392</v>
      </c>
      <c r="AF506" s="57">
        <f t="shared" si="235"/>
        <v>-2.1637456748641832</v>
      </c>
      <c r="AG506" s="57">
        <f t="shared" si="236"/>
        <v>-2.7402165136591154</v>
      </c>
      <c r="AH506" s="57">
        <f t="shared" si="237"/>
        <v>-5.9116805470058793</v>
      </c>
      <c r="AJ506" s="57">
        <f t="shared" si="238"/>
        <v>252627.70815176837</v>
      </c>
      <c r="AK506" s="57">
        <f t="shared" si="239"/>
        <v>267923.33629605995</v>
      </c>
      <c r="AL506" s="57">
        <f t="shared" si="240"/>
        <v>283208.81679466576</v>
      </c>
      <c r="AN506" s="41">
        <v>501</v>
      </c>
      <c r="AO506" s="57">
        <f t="shared" si="241"/>
        <v>-828.59471092727836</v>
      </c>
      <c r="AP506" s="57">
        <f t="shared" si="242"/>
        <v>19719.902932873785</v>
      </c>
      <c r="AR506" s="41">
        <v>501</v>
      </c>
      <c r="AS506" s="57">
        <f t="shared" si="243"/>
        <v>12279.989134900603</v>
      </c>
      <c r="AT506" s="57">
        <f t="shared" si="244"/>
        <v>-2797.3786313255673</v>
      </c>
      <c r="AV506" s="57">
        <f t="shared" si="245"/>
        <v>-12.010941639501203</v>
      </c>
      <c r="AW506" s="57">
        <f t="shared" si="246"/>
        <v>-24.98449348413904</v>
      </c>
      <c r="AX506" s="57">
        <f t="shared" si="247"/>
        <v>-0.94370200454099384</v>
      </c>
      <c r="AY506" s="57">
        <f t="shared" si="248"/>
        <v>-2.3515704108562532</v>
      </c>
      <c r="BA506" s="57">
        <f t="shared" si="249"/>
        <v>251810.14754436913</v>
      </c>
      <c r="BB506" s="57">
        <f t="shared" si="250"/>
        <v>266090.61117470387</v>
      </c>
    </row>
    <row r="507" spans="9:54" x14ac:dyDescent="0.25">
      <c r="I507" s="41">
        <v>502</v>
      </c>
      <c r="J507" s="57">
        <f t="shared" si="224"/>
        <v>16059.946231966391</v>
      </c>
      <c r="K507" s="57">
        <f t="shared" si="225"/>
        <v>10578.307376628291</v>
      </c>
      <c r="M507" s="41">
        <v>502</v>
      </c>
      <c r="N507" s="57">
        <f t="shared" si="226"/>
        <v>-22758.037637623529</v>
      </c>
      <c r="O507" s="57">
        <f t="shared" si="227"/>
        <v>12154.815163639803</v>
      </c>
      <c r="Q507" s="41">
        <v>502</v>
      </c>
      <c r="R507" s="57">
        <f t="shared" si="228"/>
        <v>-8940.0537680336092</v>
      </c>
      <c r="S507" s="41">
        <f t="shared" si="229"/>
        <v>-11921.692623371709</v>
      </c>
      <c r="U507" s="41">
        <v>501</v>
      </c>
      <c r="V507" s="41">
        <f t="shared" si="251"/>
        <v>250.5</v>
      </c>
      <c r="W507" s="57">
        <f t="shared" si="252"/>
        <v>115068.11229194059</v>
      </c>
      <c r="X507" s="57">
        <f t="shared" si="253"/>
        <v>243544.7548614048</v>
      </c>
      <c r="Y507" s="57">
        <f t="shared" si="254"/>
        <v>1927.6626990590501</v>
      </c>
      <c r="Z507" s="57">
        <f t="shared" si="255"/>
        <v>3183.8288077986563</v>
      </c>
      <c r="AA507" s="57">
        <f t="shared" si="230"/>
        <v>-19.744058847052859</v>
      </c>
      <c r="AB507" s="57">
        <f t="shared" si="231"/>
        <v>-42.381603500004623</v>
      </c>
      <c r="AC507" s="57">
        <f t="shared" si="232"/>
        <v>-3.0138218096352447</v>
      </c>
      <c r="AD507" s="57">
        <f t="shared" si="233"/>
        <v>-7.4830225729812394</v>
      </c>
      <c r="AE507" s="57">
        <f t="shared" si="234"/>
        <v>-1.234043557391135</v>
      </c>
      <c r="AF507" s="57">
        <f t="shared" si="235"/>
        <v>-2.1337708450109543</v>
      </c>
      <c r="AG507" s="57">
        <f t="shared" si="236"/>
        <v>-2.7089185580477682</v>
      </c>
      <c r="AH507" s="57">
        <f t="shared" si="237"/>
        <v>-5.8331614544504031</v>
      </c>
      <c r="AJ507" s="57">
        <f t="shared" si="238"/>
        <v>254470.17953452564</v>
      </c>
      <c r="AK507" s="57">
        <f t="shared" si="239"/>
        <v>269789.82093730284</v>
      </c>
      <c r="AL507" s="57">
        <f t="shared" si="240"/>
        <v>285064.45210810477</v>
      </c>
      <c r="AN507" s="41">
        <v>502</v>
      </c>
      <c r="AO507" s="57">
        <f t="shared" si="241"/>
        <v>-910.08065205041476</v>
      </c>
      <c r="AP507" s="57">
        <f t="shared" si="242"/>
        <v>19617.461064942436</v>
      </c>
      <c r="AR507" s="41">
        <v>502</v>
      </c>
      <c r="AS507" s="57">
        <f t="shared" si="243"/>
        <v>12241.962362376473</v>
      </c>
      <c r="AT507" s="57">
        <f t="shared" si="244"/>
        <v>-2845.1848363601962</v>
      </c>
      <c r="AV507" s="57">
        <f t="shared" si="245"/>
        <v>-11.853880803944444</v>
      </c>
      <c r="AW507" s="57">
        <f t="shared" si="246"/>
        <v>-24.613325567973458</v>
      </c>
      <c r="AX507" s="57">
        <f t="shared" si="247"/>
        <v>-0.93339411803426864</v>
      </c>
      <c r="AY507" s="57">
        <f t="shared" si="248"/>
        <v>-2.3183230595885713</v>
      </c>
      <c r="BA507" s="57">
        <f t="shared" si="249"/>
        <v>253668.47324445122</v>
      </c>
      <c r="BB507" s="57">
        <f t="shared" si="250"/>
        <v>267933.05556946166</v>
      </c>
    </row>
    <row r="508" spans="9:54" x14ac:dyDescent="0.25">
      <c r="I508" s="41">
        <v>503</v>
      </c>
      <c r="J508" s="57">
        <f t="shared" si="224"/>
        <v>16006.822449763538</v>
      </c>
      <c r="K508" s="57">
        <f t="shared" si="225"/>
        <v>10509.075115760246</v>
      </c>
      <c r="M508" s="41">
        <v>503</v>
      </c>
      <c r="N508" s="57">
        <f t="shared" si="226"/>
        <v>-22795.224285165525</v>
      </c>
      <c r="O508" s="57">
        <f t="shared" si="227"/>
        <v>12106.352581032172</v>
      </c>
      <c r="Q508" s="41">
        <v>503</v>
      </c>
      <c r="R508" s="57">
        <f t="shared" si="228"/>
        <v>-8993.1775502364617</v>
      </c>
      <c r="S508" s="41">
        <f t="shared" si="229"/>
        <v>-11990.924884239754</v>
      </c>
      <c r="U508" s="41">
        <v>502</v>
      </c>
      <c r="V508" s="41">
        <f t="shared" si="251"/>
        <v>251</v>
      </c>
      <c r="W508" s="57">
        <f t="shared" si="252"/>
        <v>116029.47563411423</v>
      </c>
      <c r="X508" s="57">
        <f t="shared" si="253"/>
        <v>245131.37156486663</v>
      </c>
      <c r="Y508" s="57">
        <f t="shared" si="254"/>
        <v>1917.7906696355237</v>
      </c>
      <c r="Z508" s="57">
        <f t="shared" si="255"/>
        <v>3162.638006048654</v>
      </c>
      <c r="AA508" s="57">
        <f t="shared" si="230"/>
        <v>-19.499755443945457</v>
      </c>
      <c r="AB508" s="57">
        <f t="shared" si="231"/>
        <v>-41.773002951868357</v>
      </c>
      <c r="AC508" s="57">
        <f t="shared" si="232"/>
        <v>-2.979614595711138</v>
      </c>
      <c r="AD508" s="57">
        <f t="shared" si="233"/>
        <v>-7.3732559554037618</v>
      </c>
      <c r="AE508" s="57">
        <f t="shared" si="234"/>
        <v>-1.2175594449970411</v>
      </c>
      <c r="AF508" s="57">
        <f t="shared" si="235"/>
        <v>-2.1045910890221466</v>
      </c>
      <c r="AG508" s="57">
        <f t="shared" si="236"/>
        <v>-2.6783590977945715</v>
      </c>
      <c r="AH508" s="57">
        <f t="shared" si="237"/>
        <v>-5.7566573927728122</v>
      </c>
      <c r="AJ508" s="57">
        <f t="shared" si="238"/>
        <v>256301.2464705598</v>
      </c>
      <c r="AK508" s="57">
        <f t="shared" si="239"/>
        <v>271644.58421854733</v>
      </c>
      <c r="AL508" s="57">
        <f t="shared" si="240"/>
        <v>286908.46004342107</v>
      </c>
      <c r="AN508" s="41">
        <v>503</v>
      </c>
      <c r="AO508" s="57">
        <f t="shared" si="241"/>
        <v>-989.76632535469162</v>
      </c>
      <c r="AP508" s="57">
        <f t="shared" si="242"/>
        <v>19513.612673640368</v>
      </c>
      <c r="AR508" s="41">
        <v>503</v>
      </c>
      <c r="AS508" s="57">
        <f t="shared" si="243"/>
        <v>12204.775714834477</v>
      </c>
      <c r="AT508" s="57">
        <f t="shared" si="244"/>
        <v>-2893.6474189678279</v>
      </c>
      <c r="AV508" s="57">
        <f t="shared" si="245"/>
        <v>-11.700907079602063</v>
      </c>
      <c r="AW508" s="57">
        <f t="shared" si="246"/>
        <v>-24.252530955433283</v>
      </c>
      <c r="AX508" s="57">
        <f t="shared" si="247"/>
        <v>-0.92331522584064363</v>
      </c>
      <c r="AY508" s="57">
        <f t="shared" si="248"/>
        <v>-2.2859675592363535</v>
      </c>
      <c r="BA508" s="57">
        <f t="shared" si="249"/>
        <v>255515.15148404226</v>
      </c>
      <c r="BB508" s="57">
        <f t="shared" si="250"/>
        <v>269764.07838669966</v>
      </c>
    </row>
    <row r="509" spans="9:54" x14ac:dyDescent="0.25">
      <c r="I509" s="41">
        <v>504</v>
      </c>
      <c r="J509" s="57">
        <f t="shared" si="224"/>
        <v>15954.915028125264</v>
      </c>
      <c r="K509" s="57">
        <f t="shared" si="225"/>
        <v>10438.926261462366</v>
      </c>
      <c r="M509" s="41">
        <v>504</v>
      </c>
      <c r="N509" s="57">
        <f t="shared" si="226"/>
        <v>-22831.559480312317</v>
      </c>
      <c r="O509" s="57">
        <f t="shared" si="227"/>
        <v>12057.248383023656</v>
      </c>
      <c r="Q509" s="41">
        <v>504</v>
      </c>
      <c r="R509" s="57">
        <f t="shared" si="228"/>
        <v>-9045.0849718747359</v>
      </c>
      <c r="S509" s="41">
        <f t="shared" si="229"/>
        <v>-12061.073738537634</v>
      </c>
      <c r="U509" s="41">
        <v>503</v>
      </c>
      <c r="V509" s="41">
        <f t="shared" si="251"/>
        <v>251.5</v>
      </c>
      <c r="W509" s="57">
        <f t="shared" si="252"/>
        <v>116985.93349950151</v>
      </c>
      <c r="X509" s="57">
        <f t="shared" si="253"/>
        <v>246707.46894252195</v>
      </c>
      <c r="Y509" s="57">
        <f t="shared" si="254"/>
        <v>1908.0407919135509</v>
      </c>
      <c r="Z509" s="57">
        <f t="shared" si="255"/>
        <v>3141.75150457272</v>
      </c>
      <c r="AA509" s="57">
        <f t="shared" si="230"/>
        <v>-19.261536290681008</v>
      </c>
      <c r="AB509" s="57">
        <f t="shared" si="231"/>
        <v>-41.180951922270268</v>
      </c>
      <c r="AC509" s="57">
        <f t="shared" si="232"/>
        <v>-2.9461849441853403</v>
      </c>
      <c r="AD509" s="57">
        <f t="shared" si="233"/>
        <v>-7.2665119374116545</v>
      </c>
      <c r="AE509" s="57">
        <f t="shared" si="234"/>
        <v>-1.2015123900308557</v>
      </c>
      <c r="AF509" s="57">
        <f t="shared" si="235"/>
        <v>-2.0761763597305345</v>
      </c>
      <c r="AG509" s="57">
        <f t="shared" si="236"/>
        <v>-2.6485128553670485</v>
      </c>
      <c r="AH509" s="57">
        <f t="shared" si="237"/>
        <v>-5.6820944510186049</v>
      </c>
      <c r="AJ509" s="57">
        <f t="shared" si="238"/>
        <v>258121.06557709957</v>
      </c>
      <c r="AK509" s="57">
        <f t="shared" si="239"/>
        <v>273487.79100702988</v>
      </c>
      <c r="AL509" s="57">
        <f t="shared" si="240"/>
        <v>288741.0037941371</v>
      </c>
      <c r="AN509" s="41">
        <v>504</v>
      </c>
      <c r="AO509" s="57">
        <f t="shared" si="241"/>
        <v>-1067.6274578121038</v>
      </c>
      <c r="AP509" s="57">
        <f t="shared" si="242"/>
        <v>19408.389392193552</v>
      </c>
      <c r="AR509" s="41">
        <v>504</v>
      </c>
      <c r="AS509" s="57">
        <f t="shared" si="243"/>
        <v>12168.440519687685</v>
      </c>
      <c r="AT509" s="57">
        <f t="shared" si="244"/>
        <v>-2942.751616976343</v>
      </c>
      <c r="AV509" s="57">
        <f t="shared" si="245"/>
        <v>-11.551868014105336</v>
      </c>
      <c r="AW509" s="57">
        <f t="shared" si="246"/>
        <v>-23.901699217592714</v>
      </c>
      <c r="AX509" s="57">
        <f t="shared" si="247"/>
        <v>-0.91345808699242803</v>
      </c>
      <c r="AY509" s="57">
        <f t="shared" si="248"/>
        <v>-2.2544699565167576</v>
      </c>
      <c r="BA509" s="57">
        <f t="shared" si="249"/>
        <v>257350.34576527102</v>
      </c>
      <c r="BB509" s="57">
        <f t="shared" si="250"/>
        <v>271583.83706180932</v>
      </c>
    </row>
    <row r="510" spans="9:54" x14ac:dyDescent="0.25">
      <c r="I510" s="41">
        <v>505</v>
      </c>
      <c r="J510" s="57">
        <f t="shared" si="224"/>
        <v>15904.239778555046</v>
      </c>
      <c r="K510" s="57">
        <f t="shared" si="225"/>
        <v>10367.882181755236</v>
      </c>
      <c r="M510" s="41">
        <v>505</v>
      </c>
      <c r="N510" s="57">
        <f t="shared" si="226"/>
        <v>-22867.032155011468</v>
      </c>
      <c r="O510" s="57">
        <f t="shared" si="227"/>
        <v>12007.517527228665</v>
      </c>
      <c r="Q510" s="41">
        <v>505</v>
      </c>
      <c r="R510" s="57">
        <f t="shared" si="228"/>
        <v>-9095.7602214449544</v>
      </c>
      <c r="S510" s="41">
        <f t="shared" si="229"/>
        <v>-12132.117818244764</v>
      </c>
      <c r="U510" s="41">
        <v>504</v>
      </c>
      <c r="V510" s="41">
        <f t="shared" si="251"/>
        <v>252</v>
      </c>
      <c r="W510" s="57">
        <f t="shared" si="252"/>
        <v>117937.54620342195</v>
      </c>
      <c r="X510" s="57">
        <f t="shared" si="253"/>
        <v>248273.19707581805</v>
      </c>
      <c r="Y510" s="57">
        <f t="shared" si="254"/>
        <v>1898.4100237682105</v>
      </c>
      <c r="Z510" s="57">
        <f t="shared" si="255"/>
        <v>3121.1610286115847</v>
      </c>
      <c r="AA510" s="57">
        <f t="shared" si="230"/>
        <v>-19.029183650049472</v>
      </c>
      <c r="AB510" s="57">
        <f t="shared" si="231"/>
        <v>-40.604811991828385</v>
      </c>
      <c r="AC510" s="57">
        <f t="shared" si="232"/>
        <v>-2.9135078833407468</v>
      </c>
      <c r="AD510" s="57">
        <f t="shared" si="233"/>
        <v>-7.1626728968735467</v>
      </c>
      <c r="AE510" s="57">
        <f t="shared" si="234"/>
        <v>-1.1858857887879048</v>
      </c>
      <c r="AF510" s="57">
        <f t="shared" si="235"/>
        <v>-2.0484980778515727</v>
      </c>
      <c r="AG510" s="57">
        <f t="shared" si="236"/>
        <v>-2.6193556874852955</v>
      </c>
      <c r="AH510" s="57">
        <f t="shared" si="237"/>
        <v>-5.6094022324303241</v>
      </c>
      <c r="AJ510" s="57">
        <f t="shared" si="238"/>
        <v>259929.78934023343</v>
      </c>
      <c r="AK510" s="57">
        <f t="shared" si="239"/>
        <v>275319.60173106601</v>
      </c>
      <c r="AL510" s="57">
        <f t="shared" si="240"/>
        <v>290562.24215310748</v>
      </c>
      <c r="AN510" s="41">
        <v>505</v>
      </c>
      <c r="AO510" s="57">
        <f t="shared" si="241"/>
        <v>-1143.6403321674325</v>
      </c>
      <c r="AP510" s="57">
        <f t="shared" si="242"/>
        <v>19301.823272632853</v>
      </c>
      <c r="AR510" s="41">
        <v>505</v>
      </c>
      <c r="AS510" s="57">
        <f t="shared" si="243"/>
        <v>12132.967844988532</v>
      </c>
      <c r="AT510" s="57">
        <f t="shared" si="244"/>
        <v>-2992.4824727713349</v>
      </c>
      <c r="AV510" s="57">
        <f t="shared" si="245"/>
        <v>-11.406618535752227</v>
      </c>
      <c r="AW510" s="57">
        <f t="shared" si="246"/>
        <v>-23.560440819800505</v>
      </c>
      <c r="AX510" s="57">
        <f t="shared" si="247"/>
        <v>-0.90381575468329634</v>
      </c>
      <c r="AY510" s="57">
        <f t="shared" si="248"/>
        <v>-2.2237979648724324</v>
      </c>
      <c r="BA510" s="57">
        <f t="shared" si="249"/>
        <v>259174.21518434954</v>
      </c>
      <c r="BB510" s="57">
        <f t="shared" si="250"/>
        <v>273392.48485535919</v>
      </c>
    </row>
    <row r="511" spans="9:54" x14ac:dyDescent="0.25">
      <c r="I511" s="41">
        <v>506</v>
      </c>
      <c r="J511" s="57">
        <f t="shared" si="224"/>
        <v>15854.812137224793</v>
      </c>
      <c r="K511" s="57">
        <f t="shared" si="225"/>
        <v>10295.964517353737</v>
      </c>
      <c r="M511" s="41">
        <v>506</v>
      </c>
      <c r="N511" s="57">
        <f t="shared" si="226"/>
        <v>-22901.631503942644</v>
      </c>
      <c r="O511" s="57">
        <f t="shared" si="227"/>
        <v>11957.175162147616</v>
      </c>
      <c r="Q511" s="41">
        <v>506</v>
      </c>
      <c r="R511" s="57">
        <f t="shared" si="228"/>
        <v>-9145.1878627752067</v>
      </c>
      <c r="S511" s="41">
        <f t="shared" si="229"/>
        <v>-12204.035482646263</v>
      </c>
      <c r="U511" s="41">
        <v>505</v>
      </c>
      <c r="V511" s="41">
        <f t="shared" si="251"/>
        <v>252.5</v>
      </c>
      <c r="W511" s="57">
        <f t="shared" si="252"/>
        <v>118884.3725673498</v>
      </c>
      <c r="X511" s="57">
        <f t="shared" si="253"/>
        <v>249828.70198862487</v>
      </c>
      <c r="Y511" s="57">
        <f t="shared" si="254"/>
        <v>1888.8954319431857</v>
      </c>
      <c r="Z511" s="57">
        <f t="shared" si="255"/>
        <v>3100.8586226156704</v>
      </c>
      <c r="AA511" s="57">
        <f t="shared" si="230"/>
        <v>-18.802489920048913</v>
      </c>
      <c r="AB511" s="57">
        <f t="shared" si="231"/>
        <v>-40.043976481507165</v>
      </c>
      <c r="AC511" s="57">
        <f t="shared" si="232"/>
        <v>-2.8815594637093196</v>
      </c>
      <c r="AD511" s="57">
        <f t="shared" si="233"/>
        <v>-7.0616270944948178</v>
      </c>
      <c r="AE511" s="57">
        <f t="shared" si="234"/>
        <v>-1.1706638556512423</v>
      </c>
      <c r="AF511" s="57">
        <f t="shared" si="235"/>
        <v>-2.0215290444552125</v>
      </c>
      <c r="AG511" s="57">
        <f t="shared" si="236"/>
        <v>-2.5908645223865432</v>
      </c>
      <c r="AH511" s="57">
        <f t="shared" si="237"/>
        <v>-5.5385136500488708</v>
      </c>
      <c r="AJ511" s="57">
        <f t="shared" si="238"/>
        <v>261727.56626983374</v>
      </c>
      <c r="AK511" s="57">
        <f t="shared" si="239"/>
        <v>277140.17254987604</v>
      </c>
      <c r="AL511" s="57">
        <f t="shared" si="240"/>
        <v>292372.32968149672</v>
      </c>
      <c r="AN511" s="41">
        <v>506</v>
      </c>
      <c r="AO511" s="57">
        <f t="shared" si="241"/>
        <v>-1217.78179416281</v>
      </c>
      <c r="AP511" s="57">
        <f t="shared" si="242"/>
        <v>19193.946776030607</v>
      </c>
      <c r="AR511" s="41">
        <v>506</v>
      </c>
      <c r="AS511" s="57">
        <f t="shared" si="243"/>
        <v>12098.368496057356</v>
      </c>
      <c r="AT511" s="57">
        <f t="shared" si="244"/>
        <v>-3042.824837852384</v>
      </c>
      <c r="AV511" s="57">
        <f t="shared" si="245"/>
        <v>-11.265020516408509</v>
      </c>
      <c r="AW511" s="57">
        <f t="shared" si="246"/>
        <v>-23.228385827730769</v>
      </c>
      <c r="AX511" s="57">
        <f t="shared" si="247"/>
        <v>-0.89438156189329709</v>
      </c>
      <c r="AY511" s="57">
        <f t="shared" si="248"/>
        <v>-2.1939208647774979</v>
      </c>
      <c r="BA511" s="57">
        <f t="shared" si="249"/>
        <v>260986.91460056254</v>
      </c>
      <c r="BB511" s="57">
        <f t="shared" si="250"/>
        <v>275190.17101073818</v>
      </c>
    </row>
    <row r="512" spans="9:54" x14ac:dyDescent="0.25">
      <c r="I512" s="41">
        <v>507</v>
      </c>
      <c r="J512" s="57">
        <f t="shared" si="224"/>
        <v>15806.64716027288</v>
      </c>
      <c r="K512" s="57">
        <f t="shared" si="225"/>
        <v>10223.195175075136</v>
      </c>
      <c r="M512" s="41">
        <v>507</v>
      </c>
      <c r="N512" s="57">
        <f t="shared" si="226"/>
        <v>-22935.346987808985</v>
      </c>
      <c r="O512" s="57">
        <f t="shared" si="227"/>
        <v>11906.236622552595</v>
      </c>
      <c r="Q512" s="41">
        <v>507</v>
      </c>
      <c r="R512" s="57">
        <f t="shared" si="228"/>
        <v>-9193.3528397271202</v>
      </c>
      <c r="S512" s="41">
        <f t="shared" si="229"/>
        <v>-12276.804824924864</v>
      </c>
      <c r="U512" s="41">
        <v>506</v>
      </c>
      <c r="V512" s="41">
        <f t="shared" si="251"/>
        <v>253</v>
      </c>
      <c r="W512" s="57">
        <f t="shared" si="252"/>
        <v>119826.46997208138</v>
      </c>
      <c r="X512" s="57">
        <f t="shared" si="253"/>
        <v>251374.12580287253</v>
      </c>
      <c r="Y512" s="57">
        <f t="shared" si="254"/>
        <v>1879.4941869831612</v>
      </c>
      <c r="Z512" s="57">
        <f t="shared" si="255"/>
        <v>3080.8366343749167</v>
      </c>
      <c r="AA512" s="57">
        <f t="shared" si="230"/>
        <v>-18.58125705594237</v>
      </c>
      <c r="AB512" s="57">
        <f t="shared" si="231"/>
        <v>-39.497868530602531</v>
      </c>
      <c r="AC512" s="57">
        <f t="shared" si="232"/>
        <v>-2.8503167081980507</v>
      </c>
      <c r="AD512" s="57">
        <f t="shared" si="233"/>
        <v>-6.9632683161843332</v>
      </c>
      <c r="AE512" s="57">
        <f t="shared" si="234"/>
        <v>-1.1558315738152938</v>
      </c>
      <c r="AF512" s="57">
        <f t="shared" si="235"/>
        <v>-1.9952433595779779</v>
      </c>
      <c r="AG512" s="57">
        <f t="shared" si="236"/>
        <v>-2.5630173012034532</v>
      </c>
      <c r="AH512" s="57">
        <f t="shared" si="237"/>
        <v>-5.4693647363287976</v>
      </c>
      <c r="AJ512" s="57">
        <f t="shared" si="238"/>
        <v>263514.54104698315</v>
      </c>
      <c r="AK512" s="57">
        <f t="shared" si="239"/>
        <v>278949.65551503072</v>
      </c>
      <c r="AL512" s="57">
        <f t="shared" si="240"/>
        <v>294171.41686937481</v>
      </c>
      <c r="AN512" s="41">
        <v>507</v>
      </c>
      <c r="AO512" s="57">
        <f t="shared" si="241"/>
        <v>-1290.0292595906803</v>
      </c>
      <c r="AP512" s="57">
        <f t="shared" si="242"/>
        <v>19084.792762612702</v>
      </c>
      <c r="AR512" s="41">
        <v>507</v>
      </c>
      <c r="AS512" s="57">
        <f t="shared" si="243"/>
        <v>12064.653012191016</v>
      </c>
      <c r="AT512" s="57">
        <f t="shared" si="244"/>
        <v>-3093.7633774474052</v>
      </c>
      <c r="AV512" s="57">
        <f t="shared" si="245"/>
        <v>-11.126942364904734</v>
      </c>
      <c r="AW512" s="57">
        <f t="shared" si="246"/>
        <v>-22.905182707460959</v>
      </c>
      <c r="AX512" s="57">
        <f t="shared" si="247"/>
        <v>-0.88514910782084133</v>
      </c>
      <c r="AY512" s="57">
        <f t="shared" si="248"/>
        <v>-2.1648094110504648</v>
      </c>
      <c r="BA512" s="57">
        <f t="shared" si="249"/>
        <v>262788.59479688521</v>
      </c>
      <c r="BB512" s="57">
        <f t="shared" si="250"/>
        <v>276977.04090410599</v>
      </c>
    </row>
    <row r="513" spans="9:54" x14ac:dyDescent="0.25">
      <c r="I513" s="41">
        <v>508</v>
      </c>
      <c r="J513" s="57">
        <f t="shared" si="224"/>
        <v>15759.759519217869</v>
      </c>
      <c r="K513" s="57">
        <f t="shared" si="225"/>
        <v>10149.596321166022</v>
      </c>
      <c r="M513" s="41">
        <v>508</v>
      </c>
      <c r="N513" s="57">
        <f t="shared" si="226"/>
        <v>-22968.168336547493</v>
      </c>
      <c r="O513" s="57">
        <f t="shared" si="227"/>
        <v>11854.717424816215</v>
      </c>
      <c r="Q513" s="41">
        <v>508</v>
      </c>
      <c r="R513" s="57">
        <f t="shared" si="228"/>
        <v>-9240.2404807821313</v>
      </c>
      <c r="S513" s="41">
        <f t="shared" si="229"/>
        <v>-12350.403678833978</v>
      </c>
      <c r="U513" s="41">
        <v>507</v>
      </c>
      <c r="V513" s="41">
        <f t="shared" si="251"/>
        <v>253.5</v>
      </c>
      <c r="W513" s="57">
        <f t="shared" si="252"/>
        <v>120763.89440844096</v>
      </c>
      <c r="X513" s="57">
        <f t="shared" si="253"/>
        <v>252909.60688649365</v>
      </c>
      <c r="Y513" s="57">
        <f t="shared" si="254"/>
        <v>1870.20355845519</v>
      </c>
      <c r="Z513" s="57">
        <f t="shared" si="255"/>
        <v>3061.0877001096155</v>
      </c>
      <c r="AA513" s="57">
        <f t="shared" si="230"/>
        <v>-18.365296031182478</v>
      </c>
      <c r="AB513" s="57">
        <f t="shared" si="231"/>
        <v>-38.96593931143321</v>
      </c>
      <c r="AC513" s="57">
        <f t="shared" si="232"/>
        <v>-2.8197575649735653</v>
      </c>
      <c r="AD513" s="57">
        <f t="shared" si="233"/>
        <v>-6.8674955409167966</v>
      </c>
      <c r="AE513" s="57">
        <f t="shared" si="234"/>
        <v>-1.1413746495042956</v>
      </c>
      <c r="AF513" s="57">
        <f t="shared" si="235"/>
        <v>-1.9696163464817609</v>
      </c>
      <c r="AG513" s="57">
        <f t="shared" si="236"/>
        <v>-2.5357929231445238</v>
      </c>
      <c r="AH513" s="57">
        <f t="shared" si="237"/>
        <v>-5.4018944656631485</v>
      </c>
      <c r="AJ513" s="57">
        <f t="shared" si="238"/>
        <v>265290.85466434533</v>
      </c>
      <c r="AK513" s="57">
        <f t="shared" si="239"/>
        <v>280748.19872401957</v>
      </c>
      <c r="AL513" s="57">
        <f t="shared" si="240"/>
        <v>295959.65028843546</v>
      </c>
      <c r="AN513" s="41">
        <v>508</v>
      </c>
      <c r="AO513" s="57">
        <f t="shared" si="241"/>
        <v>-1360.3607211731969</v>
      </c>
      <c r="AP513" s="57">
        <f t="shared" si="242"/>
        <v>18974.394481749034</v>
      </c>
      <c r="AR513" s="41">
        <v>508</v>
      </c>
      <c r="AS513" s="57">
        <f t="shared" si="243"/>
        <v>12031.831663452507</v>
      </c>
      <c r="AT513" s="57">
        <f t="shared" si="244"/>
        <v>-3145.2825751837845</v>
      </c>
      <c r="AV513" s="57">
        <f t="shared" si="245"/>
        <v>-10.992258648488452</v>
      </c>
      <c r="AW513" s="57">
        <f t="shared" si="246"/>
        <v>-22.590497211761583</v>
      </c>
      <c r="AX513" s="57">
        <f t="shared" si="247"/>
        <v>-0.87611224507164265</v>
      </c>
      <c r="AY513" s="57">
        <f t="shared" si="248"/>
        <v>-2.1364357466099237</v>
      </c>
      <c r="BA513" s="57">
        <f t="shared" si="249"/>
        <v>264579.40263273445</v>
      </c>
      <c r="BB513" s="57">
        <f t="shared" si="250"/>
        <v>278753.23618710786</v>
      </c>
    </row>
    <row r="514" spans="9:54" x14ac:dyDescent="0.25">
      <c r="I514" s="41">
        <v>509</v>
      </c>
      <c r="J514" s="57">
        <f t="shared" si="224"/>
        <v>15714.16349648944</v>
      </c>
      <c r="K514" s="57">
        <f t="shared" si="225"/>
        <v>10075.190374550273</v>
      </c>
      <c r="M514" s="41">
        <v>509</v>
      </c>
      <c r="N514" s="57">
        <f t="shared" si="226"/>
        <v>-23000.085552457393</v>
      </c>
      <c r="O514" s="57">
        <f t="shared" si="227"/>
        <v>11802.633262185191</v>
      </c>
      <c r="Q514" s="41">
        <v>509</v>
      </c>
      <c r="R514" s="57">
        <f t="shared" si="228"/>
        <v>-9285.8365035105599</v>
      </c>
      <c r="S514" s="41">
        <f t="shared" si="229"/>
        <v>-12424.809625449727</v>
      </c>
      <c r="U514" s="41">
        <v>508</v>
      </c>
      <c r="V514" s="41">
        <f t="shared" si="251"/>
        <v>254</v>
      </c>
      <c r="W514" s="57">
        <f t="shared" si="252"/>
        <v>121696.70052566465</v>
      </c>
      <c r="X514" s="57">
        <f t="shared" si="253"/>
        <v>254435.27999413453</v>
      </c>
      <c r="Y514" s="57">
        <f t="shared" si="254"/>
        <v>1861.0209104395988</v>
      </c>
      <c r="Z514" s="57">
        <f t="shared" si="255"/>
        <v>3041.6047304538988</v>
      </c>
      <c r="AA514" s="57">
        <f t="shared" si="230"/>
        <v>-18.154426334201144</v>
      </c>
      <c r="AB514" s="57">
        <f t="shared" si="231"/>
        <v>-38.447666369603262</v>
      </c>
      <c r="AC514" s="57">
        <f t="shared" si="232"/>
        <v>-2.7898608629410147</v>
      </c>
      <c r="AD514" s="57">
        <f t="shared" si="233"/>
        <v>-6.7742126320131639</v>
      </c>
      <c r="AE514" s="57">
        <f t="shared" si="234"/>
        <v>-1.127279469401028</v>
      </c>
      <c r="AF514" s="57">
        <f t="shared" si="235"/>
        <v>-1.9446244811097175</v>
      </c>
      <c r="AG514" s="57">
        <f t="shared" si="236"/>
        <v>-2.5091711941924228</v>
      </c>
      <c r="AH514" s="57">
        <f t="shared" si="237"/>
        <v>-5.3360445888131451</v>
      </c>
      <c r="AJ514" s="57">
        <f t="shared" si="238"/>
        <v>267056.64455989172</v>
      </c>
      <c r="AK514" s="57">
        <f t="shared" si="239"/>
        <v>282535.94646641129</v>
      </c>
      <c r="AL514" s="57">
        <f t="shared" si="240"/>
        <v>297737.17273731146</v>
      </c>
      <c r="AN514" s="41">
        <v>509</v>
      </c>
      <c r="AO514" s="57">
        <f t="shared" si="241"/>
        <v>-1428.7547552658407</v>
      </c>
      <c r="AP514" s="57">
        <f t="shared" si="242"/>
        <v>18862.785561825411</v>
      </c>
      <c r="AR514" s="41">
        <v>509</v>
      </c>
      <c r="AS514" s="57">
        <f t="shared" si="243"/>
        <v>11999.914447542607</v>
      </c>
      <c r="AT514" s="57">
        <f t="shared" si="244"/>
        <v>-3197.3667378148089</v>
      </c>
      <c r="AV514" s="57">
        <f t="shared" si="245"/>
        <v>-10.860849740108684</v>
      </c>
      <c r="AW514" s="57">
        <f t="shared" si="246"/>
        <v>-22.284011345507018</v>
      </c>
      <c r="AX514" s="57">
        <f t="shared" si="247"/>
        <v>-0.86726506755799337</v>
      </c>
      <c r="AY514" s="57">
        <f t="shared" si="248"/>
        <v>-2.1087733221602205</v>
      </c>
      <c r="BA514" s="57">
        <f t="shared" si="249"/>
        <v>266359.48118932475</v>
      </c>
      <c r="BB514" s="57">
        <f t="shared" si="250"/>
        <v>280518.89492278115</v>
      </c>
    </row>
    <row r="515" spans="9:54" x14ac:dyDescent="0.25">
      <c r="I515" s="41">
        <v>510</v>
      </c>
      <c r="J515" s="57">
        <f t="shared" si="224"/>
        <v>15669.872981077806</v>
      </c>
      <c r="K515" s="57">
        <f t="shared" si="225"/>
        <v>10000</v>
      </c>
      <c r="M515" s="41">
        <v>510</v>
      </c>
      <c r="N515" s="57">
        <f t="shared" si="226"/>
        <v>-23031.088913245534</v>
      </c>
      <c r="O515" s="57">
        <f t="shared" si="227"/>
        <v>11750</v>
      </c>
      <c r="Q515" s="41">
        <v>510</v>
      </c>
      <c r="R515" s="57">
        <f t="shared" si="228"/>
        <v>-9330.1270189221941</v>
      </c>
      <c r="S515" s="41">
        <f t="shared" si="229"/>
        <v>-12500</v>
      </c>
      <c r="U515" s="41">
        <v>509</v>
      </c>
      <c r="V515" s="41">
        <f t="shared" si="251"/>
        <v>254.5</v>
      </c>
      <c r="W515" s="57">
        <f t="shared" si="252"/>
        <v>122624.94167759268</v>
      </c>
      <c r="X515" s="57">
        <f t="shared" si="253"/>
        <v>255951.27640106529</v>
      </c>
      <c r="Y515" s="57">
        <f t="shared" si="254"/>
        <v>1851.9436972724982</v>
      </c>
      <c r="Z515" s="57">
        <f t="shared" si="255"/>
        <v>3022.3808972690972</v>
      </c>
      <c r="AA515" s="57">
        <f t="shared" si="230"/>
        <v>-17.948475498323877</v>
      </c>
      <c r="AB515" s="57">
        <f t="shared" si="231"/>
        <v>-37.942552079721032</v>
      </c>
      <c r="AC515" s="57">
        <f t="shared" si="232"/>
        <v>-2.7606062696623299</v>
      </c>
      <c r="AD515" s="57">
        <f t="shared" si="233"/>
        <v>-6.6833280499505001</v>
      </c>
      <c r="AE515" s="57">
        <f t="shared" si="234"/>
        <v>-1.113533061027715</v>
      </c>
      <c r="AF515" s="57">
        <f t="shared" si="235"/>
        <v>-1.92024532633046</v>
      </c>
      <c r="AG515" s="57">
        <f t="shared" si="236"/>
        <v>-2.4831327790596305</v>
      </c>
      <c r="AH515" s="57">
        <f t="shared" si="237"/>
        <v>-5.2717594783250536</v>
      </c>
      <c r="AJ515" s="57">
        <f t="shared" si="238"/>
        <v>268812.04474436754</v>
      </c>
      <c r="AK515" s="57">
        <f t="shared" si="239"/>
        <v>284313.03936304071</v>
      </c>
      <c r="AL515" s="57">
        <f t="shared" si="240"/>
        <v>299504.12337992183</v>
      </c>
      <c r="AN515" s="41">
        <v>510</v>
      </c>
      <c r="AO515" s="57">
        <f t="shared" si="241"/>
        <v>-1495.1905283832912</v>
      </c>
      <c r="AP515" s="57">
        <f t="shared" si="242"/>
        <v>18750</v>
      </c>
      <c r="AR515" s="41">
        <v>510</v>
      </c>
      <c r="AS515" s="57">
        <f t="shared" si="243"/>
        <v>11968.911086754464</v>
      </c>
      <c r="AT515" s="57">
        <f t="shared" si="244"/>
        <v>-3250.0000000000009</v>
      </c>
      <c r="AV515" s="57">
        <f t="shared" si="245"/>
        <v>-10.732601489509699</v>
      </c>
      <c r="AW515" s="57">
        <f t="shared" si="246"/>
        <v>-21.985422403775534</v>
      </c>
      <c r="AX515" s="57">
        <f t="shared" si="247"/>
        <v>-0.85860189906450146</v>
      </c>
      <c r="AY515" s="57">
        <f t="shared" si="248"/>
        <v>-2.0817968213394886</v>
      </c>
      <c r="BA515" s="57">
        <f t="shared" si="249"/>
        <v>268128.96990806429</v>
      </c>
      <c r="BB515" s="57">
        <f t="shared" si="250"/>
        <v>282274.15171504882</v>
      </c>
    </row>
    <row r="516" spans="9:54" x14ac:dyDescent="0.25">
      <c r="I516" s="41">
        <v>511</v>
      </c>
      <c r="J516" s="57">
        <f t="shared" si="224"/>
        <v>15626.901464303024</v>
      </c>
      <c r="K516" s="57">
        <f t="shared" si="225"/>
        <v>9924.0481012316886</v>
      </c>
      <c r="M516" s="41">
        <v>511</v>
      </c>
      <c r="N516" s="57">
        <f t="shared" si="226"/>
        <v>-23061.168974987882</v>
      </c>
      <c r="O516" s="57">
        <f t="shared" si="227"/>
        <v>11696.833670862183</v>
      </c>
      <c r="Q516" s="41">
        <v>511</v>
      </c>
      <c r="R516" s="57">
        <f t="shared" si="228"/>
        <v>-9373.0985356969759</v>
      </c>
      <c r="S516" s="41">
        <f t="shared" si="229"/>
        <v>-12575.951898768311</v>
      </c>
      <c r="U516" s="41">
        <v>510</v>
      </c>
      <c r="V516" s="41">
        <f t="shared" si="251"/>
        <v>255</v>
      </c>
      <c r="W516" s="57">
        <f t="shared" si="252"/>
        <v>123548.66996679164</v>
      </c>
      <c r="X516" s="57">
        <f t="shared" si="253"/>
        <v>257457.72403068989</v>
      </c>
      <c r="Y516" s="57">
        <f t="shared" si="254"/>
        <v>1842.9694595233364</v>
      </c>
      <c r="Z516" s="57">
        <f t="shared" si="255"/>
        <v>3003.4096212292366</v>
      </c>
      <c r="AA516" s="57">
        <f t="shared" si="230"/>
        <v>-17.747278662303888</v>
      </c>
      <c r="AB516" s="57">
        <f t="shared" si="231"/>
        <v>-37.450122207375536</v>
      </c>
      <c r="AC516" s="57">
        <f t="shared" si="232"/>
        <v>-2.7319742515683259</v>
      </c>
      <c r="AD516" s="57">
        <f t="shared" si="233"/>
        <v>-6.5947545849837299</v>
      </c>
      <c r="AE516" s="57">
        <f t="shared" si="234"/>
        <v>-1.100123055844167</v>
      </c>
      <c r="AF516" s="57">
        <f t="shared" si="235"/>
        <v>-1.8964574705976958</v>
      </c>
      <c r="AG516" s="57">
        <f t="shared" si="236"/>
        <v>-2.4576591561626531</v>
      </c>
      <c r="AH516" s="57">
        <f t="shared" si="237"/>
        <v>-5.2089859840964845</v>
      </c>
      <c r="AJ516" s="57">
        <f t="shared" si="238"/>
        <v>270557.18592285452</v>
      </c>
      <c r="AK516" s="57">
        <f t="shared" si="239"/>
        <v>286079.61449862859</v>
      </c>
      <c r="AL516" s="57">
        <f t="shared" si="240"/>
        <v>301260.63787726185</v>
      </c>
      <c r="AN516" s="41">
        <v>511</v>
      </c>
      <c r="AO516" s="57">
        <f t="shared" si="241"/>
        <v>-1559.6478035454656</v>
      </c>
      <c r="AP516" s="57">
        <f t="shared" si="242"/>
        <v>18636.072151847533</v>
      </c>
      <c r="AR516" s="41">
        <v>511</v>
      </c>
      <c r="AS516" s="57">
        <f t="shared" si="243"/>
        <v>11938.831025012116</v>
      </c>
      <c r="AT516" s="57">
        <f t="shared" si="244"/>
        <v>-3303.1663291378177</v>
      </c>
      <c r="AV516" s="57">
        <f t="shared" si="245"/>
        <v>-10.607404916289141</v>
      </c>
      <c r="AW516" s="57">
        <f t="shared" si="246"/>
        <v>-21.694442076793038</v>
      </c>
      <c r="AX516" s="57">
        <f t="shared" si="247"/>
        <v>-0.85011728243960116</v>
      </c>
      <c r="AY516" s="57">
        <f t="shared" si="248"/>
        <v>-2.0554820909045879</v>
      </c>
      <c r="BA516" s="57">
        <f t="shared" si="249"/>
        <v>269888.00472239865</v>
      </c>
      <c r="BB516" s="57">
        <f t="shared" si="250"/>
        <v>284019.13783217006</v>
      </c>
    </row>
    <row r="517" spans="9:54" x14ac:dyDescent="0.25">
      <c r="I517" s="41">
        <v>512</v>
      </c>
      <c r="J517" s="57">
        <f t="shared" si="224"/>
        <v>15585.262035705366</v>
      </c>
      <c r="K517" s="57">
        <f t="shared" si="225"/>
        <v>9847.357813929455</v>
      </c>
      <c r="M517" s="41">
        <v>512</v>
      </c>
      <c r="N517" s="57">
        <f t="shared" si="226"/>
        <v>-23090.316575006244</v>
      </c>
      <c r="O517" s="57">
        <f t="shared" si="227"/>
        <v>11643.150469750619</v>
      </c>
      <c r="Q517" s="41">
        <v>512</v>
      </c>
      <c r="R517" s="57">
        <f t="shared" si="228"/>
        <v>-9414.7379642946344</v>
      </c>
      <c r="S517" s="41">
        <f t="shared" si="229"/>
        <v>-12652.642186070545</v>
      </c>
      <c r="U517" s="41">
        <v>511</v>
      </c>
      <c r="V517" s="41">
        <f t="shared" si="251"/>
        <v>255.5</v>
      </c>
      <c r="W517" s="57">
        <f t="shared" si="252"/>
        <v>124467.93628672052</v>
      </c>
      <c r="X517" s="57">
        <f t="shared" si="253"/>
        <v>258954.74757602857</v>
      </c>
      <c r="Y517" s="57">
        <f t="shared" si="254"/>
        <v>1834.0958201921844</v>
      </c>
      <c r="Z517" s="57">
        <f t="shared" si="255"/>
        <v>2984.6845601255486</v>
      </c>
      <c r="AA517" s="57">
        <f t="shared" si="230"/>
        <v>-17.550678159183395</v>
      </c>
      <c r="AB517" s="57">
        <f t="shared" si="231"/>
        <v>-36.969924568992383</v>
      </c>
      <c r="AC517" s="57">
        <f t="shared" si="232"/>
        <v>-2.7039460363276806</v>
      </c>
      <c r="AD517" s="57">
        <f t="shared" si="233"/>
        <v>-6.5084091080145914</v>
      </c>
      <c r="AE517" s="57">
        <f t="shared" si="234"/>
        <v>-1.0870376548493599</v>
      </c>
      <c r="AF517" s="57">
        <f t="shared" si="235"/>
        <v>-1.8732404706852324</v>
      </c>
      <c r="AG517" s="57">
        <f t="shared" si="236"/>
        <v>-2.4327325753960354</v>
      </c>
      <c r="AH517" s="57">
        <f t="shared" si="237"/>
        <v>-5.1476732983266169</v>
      </c>
      <c r="AJ517" s="57">
        <f t="shared" si="238"/>
        <v>272292.19561076397</v>
      </c>
      <c r="AK517" s="57">
        <f t="shared" si="239"/>
        <v>287835.80554821191</v>
      </c>
      <c r="AL517" s="57">
        <f t="shared" si="240"/>
        <v>303006.84851301275</v>
      </c>
      <c r="AN517" s="41">
        <v>512</v>
      </c>
      <c r="AO517" s="57">
        <f t="shared" si="241"/>
        <v>-1622.1069464419515</v>
      </c>
      <c r="AP517" s="57">
        <f t="shared" si="242"/>
        <v>18521.036720894183</v>
      </c>
      <c r="AR517" s="41">
        <v>512</v>
      </c>
      <c r="AS517" s="57">
        <f t="shared" si="243"/>
        <v>11909.683424993756</v>
      </c>
      <c r="AT517" s="57">
        <f t="shared" si="244"/>
        <v>-3356.849530249382</v>
      </c>
      <c r="AV517" s="57">
        <f t="shared" si="245"/>
        <v>-10.485155923235704</v>
      </c>
      <c r="AW517" s="57">
        <f t="shared" si="246"/>
        <v>-21.410795616401646</v>
      </c>
      <c r="AX517" s="57">
        <f t="shared" si="247"/>
        <v>-0.84180596937461605</v>
      </c>
      <c r="AY517" s="57">
        <f t="shared" si="248"/>
        <v>-2.0298060755642982</v>
      </c>
      <c r="BA517" s="57">
        <f t="shared" si="249"/>
        <v>271636.71818348073</v>
      </c>
      <c r="BB517" s="57">
        <f t="shared" si="250"/>
        <v>285753.9813244926</v>
      </c>
    </row>
    <row r="518" spans="9:54" x14ac:dyDescent="0.25">
      <c r="I518" s="41">
        <v>513</v>
      </c>
      <c r="J518" s="57">
        <f t="shared" si="224"/>
        <v>15544.967379058158</v>
      </c>
      <c r="K518" s="57">
        <f t="shared" si="225"/>
        <v>9769.9524986977322</v>
      </c>
      <c r="M518" s="41">
        <v>513</v>
      </c>
      <c r="N518" s="57">
        <f t="shared" si="226"/>
        <v>-23118.522834659288</v>
      </c>
      <c r="O518" s="57">
        <f t="shared" si="227"/>
        <v>11588.966749088413</v>
      </c>
      <c r="Q518" s="41">
        <v>513</v>
      </c>
      <c r="R518" s="57">
        <f t="shared" si="228"/>
        <v>-9455.0326209418417</v>
      </c>
      <c r="S518" s="41">
        <f t="shared" si="229"/>
        <v>-12730.047501302268</v>
      </c>
      <c r="U518" s="41">
        <v>512</v>
      </c>
      <c r="V518" s="41">
        <f t="shared" si="251"/>
        <v>256</v>
      </c>
      <c r="W518" s="57">
        <f t="shared" si="252"/>
        <v>125382.79036204671</v>
      </c>
      <c r="X518" s="57">
        <f t="shared" si="253"/>
        <v>260442.46861552025</v>
      </c>
      <c r="Y518" s="57">
        <f t="shared" si="254"/>
        <v>1825.3204811125927</v>
      </c>
      <c r="Z518" s="57">
        <f t="shared" si="255"/>
        <v>2966.1995978410523</v>
      </c>
      <c r="AA518" s="57">
        <f t="shared" si="230"/>
        <v>-17.358523131385525</v>
      </c>
      <c r="AB518" s="57">
        <f t="shared" si="231"/>
        <v>-36.501527781939906</v>
      </c>
      <c r="AC518" s="57">
        <f t="shared" si="232"/>
        <v>-2.6765035772454175</v>
      </c>
      <c r="AD518" s="57">
        <f t="shared" si="233"/>
        <v>-6.424212338284665</v>
      </c>
      <c r="AE518" s="57">
        <f t="shared" si="234"/>
        <v>-1.0742655964915018</v>
      </c>
      <c r="AF518" s="57">
        <f t="shared" si="235"/>
        <v>-1.8505747981866463</v>
      </c>
      <c r="AG518" s="57">
        <f t="shared" si="236"/>
        <v>-2.4083360185053593</v>
      </c>
      <c r="AH518" s="57">
        <f t="shared" si="237"/>
        <v>-5.087772829150059</v>
      </c>
      <c r="AJ518" s="57">
        <f t="shared" si="238"/>
        <v>274017.19824457105</v>
      </c>
      <c r="AK518" s="57">
        <f t="shared" si="239"/>
        <v>289581.74289773632</v>
      </c>
      <c r="AL518" s="57">
        <f t="shared" si="240"/>
        <v>304742.88431332615</v>
      </c>
      <c r="AN518" s="41">
        <v>513</v>
      </c>
      <c r="AO518" s="57">
        <f t="shared" si="241"/>
        <v>-1682.5489314127608</v>
      </c>
      <c r="AP518" s="57">
        <f t="shared" si="242"/>
        <v>18404.928748046597</v>
      </c>
      <c r="AR518" s="41">
        <v>513</v>
      </c>
      <c r="AS518" s="57">
        <f t="shared" si="243"/>
        <v>11881.477165340712</v>
      </c>
      <c r="AT518" s="57">
        <f t="shared" si="244"/>
        <v>-3411.0332509115879</v>
      </c>
      <c r="AV518" s="57">
        <f t="shared" si="245"/>
        <v>-10.365755028408396</v>
      </c>
      <c r="AW518" s="57">
        <f t="shared" si="246"/>
        <v>-21.13422105921223</v>
      </c>
      <c r="AX518" s="57">
        <f t="shared" si="247"/>
        <v>-0.83366291073485188</v>
      </c>
      <c r="AY518" s="57">
        <f t="shared" si="248"/>
        <v>-2.004746757106314</v>
      </c>
      <c r="BA518" s="57">
        <f t="shared" si="249"/>
        <v>273375.23958001961</v>
      </c>
      <c r="BB518" s="57">
        <f t="shared" si="250"/>
        <v>287478.80713682709</v>
      </c>
    </row>
    <row r="519" spans="9:54" x14ac:dyDescent="0.25">
      <c r="I519" s="41">
        <v>514</v>
      </c>
      <c r="J519" s="57">
        <f t="shared" ref="J519:J582" si="256">$F$8*COS(I519*PI()/180)+$E$7</f>
        <v>15506.029768504166</v>
      </c>
      <c r="K519" s="57">
        <f t="shared" ref="K519:K582" si="257">$F$8*SIN(I519*PI()/180)+$G$7</f>
        <v>9691.8557339453891</v>
      </c>
      <c r="M519" s="41">
        <v>514</v>
      </c>
      <c r="N519" s="57">
        <f t="shared" ref="N519:N582" si="258">$F$19*COS(M519*PI()/180)+$E$18</f>
        <v>-23145.779162047082</v>
      </c>
      <c r="O519" s="57">
        <f t="shared" ref="O519:O582" si="259">$F$19*SIN(M519*PI()/180)+$G$18</f>
        <v>11534.299013761773</v>
      </c>
      <c r="Q519" s="41">
        <v>514</v>
      </c>
      <c r="R519" s="57">
        <f t="shared" ref="R519:R582" si="260">$F$30*COS(Q519*PI()/180)+$E$29</f>
        <v>-9493.970231495834</v>
      </c>
      <c r="S519" s="41">
        <f t="shared" ref="S519:S582" si="261">$F$30*SIN(Q519*PI()/180)+$G$29</f>
        <v>-12808.144266054611</v>
      </c>
      <c r="U519" s="41">
        <v>513</v>
      </c>
      <c r="V519" s="41">
        <f t="shared" si="251"/>
        <v>256.5</v>
      </c>
      <c r="W519" s="57">
        <f t="shared" si="252"/>
        <v>126293.2807872116</v>
      </c>
      <c r="X519" s="57">
        <f t="shared" si="253"/>
        <v>261921.00572346806</v>
      </c>
      <c r="Y519" s="57">
        <f t="shared" si="254"/>
        <v>1816.6412195468999</v>
      </c>
      <c r="Z519" s="57">
        <f t="shared" si="255"/>
        <v>2947.9488339500822</v>
      </c>
      <c r="AA519" s="57">
        <f t="shared" ref="AA519:AA582" si="262">AC519+AE519+AG519+AV519+AX519</f>
        <v>-17.170669170111751</v>
      </c>
      <c r="AB519" s="57">
        <f t="shared" ref="AB519:AB582" si="263">AD519+AF519+AH519+AW519+AY519</f>
        <v>-36.044520097917072</v>
      </c>
      <c r="AC519" s="57">
        <f t="shared" ref="AC519:AC582" si="264">(($E$7-W519)/(AJ519^2+$F$12^2)^(3/2))*$E$11</f>
        <v>-2.6496295195698516</v>
      </c>
      <c r="AD519" s="57">
        <f t="shared" ref="AD519:AD582" si="265">(($G$7-X519)/(AJ519^2+$F$12^2)^(3/2))*$E$11</f>
        <v>-6.3420886265903684</v>
      </c>
      <c r="AE519" s="57">
        <f t="shared" ref="AE519:AE582" si="266">(($E$18-W519)/(AK519^2+$F$23^2)^(3/2))*$E$22</f>
        <v>-1.0617961267087768</v>
      </c>
      <c r="AF519" s="57">
        <f t="shared" ref="AF519:AF582" si="267">(($G$18-X519)/(AK519^2+$F$23^2)^(3/2))*$E$22</f>
        <v>-1.8284417894956442</v>
      </c>
      <c r="AG519" s="57">
        <f t="shared" ref="AG519:AG582" si="268">(($E$29-W519)/(AL519^2+$F$34^2)^(3/2))*$E$33</f>
        <v>-2.38445316187422</v>
      </c>
      <c r="AH519" s="57">
        <f t="shared" ref="AH519:AH582" si="269">(($G$29-X519)/(AL519^2+$F$34^2)^(3/2))*$E$33</f>
        <v>-5.0292380823118883</v>
      </c>
      <c r="AJ519" s="57">
        <f t="shared" ref="AJ519:AJ582" si="270">SQRT(($E$7-W519)^2+($G$7-X519)^2)</f>
        <v>275732.315287581</v>
      </c>
      <c r="AK519" s="57">
        <f t="shared" ref="AK519:AK582" si="271">SQRT(($E$18-W519)^2+($G$18-X519)^2)</f>
        <v>291317.55375914025</v>
      </c>
      <c r="AL519" s="57">
        <f t="shared" ref="AL519:AL582" si="272">SQRT(($E$29-W519)^2+($G$29-X519)^2)</f>
        <v>306468.87116111256</v>
      </c>
      <c r="AN519" s="41">
        <v>514</v>
      </c>
      <c r="AO519" s="57">
        <f t="shared" ref="AO519:AO582" si="273">$F$41*COS(AN519*PI()/180)+$E$40</f>
        <v>-1740.9553472437501</v>
      </c>
      <c r="AP519" s="57">
        <f t="shared" ref="AP519:AP582" si="274">$F$41*SIN(AN519*PI()/180)+$G$40</f>
        <v>18287.783600918083</v>
      </c>
      <c r="AR519" s="41">
        <v>514</v>
      </c>
      <c r="AS519" s="57">
        <f t="shared" ref="AS519:AS582" si="275">$F$52*COS(AR519*PI()/180)+$E$51</f>
        <v>11854.220837952917</v>
      </c>
      <c r="AT519" s="57">
        <f t="shared" ref="AT519:AT582" si="276">$F$52*SIN(AR519*PI()/180)+$G$51</f>
        <v>-3465.7009862382274</v>
      </c>
      <c r="AV519" s="57">
        <f t="shared" ref="AV519:AV582" si="277">(($E$40-W519)/(BA519^2+$F$45^2)^(3/2))*$E$44</f>
        <v>-10.249107114549703</v>
      </c>
      <c r="AW519" s="57">
        <f t="shared" ref="AW519:AW582" si="278">(($G$40-X519)/(BA519^2+$F$45^2)^(3/2))*$E$44</f>
        <v>-20.86446850202594</v>
      </c>
      <c r="AX519" s="57">
        <f t="shared" ref="AX519:AX582" si="279">(($E$51-W519)/(BB519^2+$F$56^2)^(3/2))*$E$55</f>
        <v>-0.82568324740920007</v>
      </c>
      <c r="AY519" s="57">
        <f t="shared" ref="AY519:AY582" si="280">(($G$51-X519)/(BB519^2+$F$56^2)^(3/2))*$E$55</f>
        <v>-1.9802830974932262</v>
      </c>
      <c r="BA519" s="57">
        <f t="shared" ref="BA519:BA582" si="281">SQRT(($E$40-W519)^2+($G$40-X519)^2)</f>
        <v>275103.69505263702</v>
      </c>
      <c r="BB519" s="57">
        <f t="shared" ref="BB519:BB582" si="282">SQRT(($E$51-W519)^2+($G$51-X519)^2)</f>
        <v>289193.73721574398</v>
      </c>
    </row>
    <row r="520" spans="9:54" x14ac:dyDescent="0.25">
      <c r="I520" s="41">
        <v>515</v>
      </c>
      <c r="J520" s="57">
        <f t="shared" si="256"/>
        <v>15468.461064816751</v>
      </c>
      <c r="K520" s="57">
        <f t="shared" si="257"/>
        <v>9613.0913087034969</v>
      </c>
      <c r="M520" s="41">
        <v>515</v>
      </c>
      <c r="N520" s="57">
        <f t="shared" si="258"/>
        <v>-23172.077254628275</v>
      </c>
      <c r="O520" s="57">
        <f t="shared" si="259"/>
        <v>11479.163916092448</v>
      </c>
      <c r="Q520" s="41">
        <v>515</v>
      </c>
      <c r="R520" s="57">
        <f t="shared" si="260"/>
        <v>-9531.5389351832491</v>
      </c>
      <c r="S520" s="41">
        <f t="shared" si="261"/>
        <v>-12886.908691296503</v>
      </c>
      <c r="U520" s="41">
        <v>514</v>
      </c>
      <c r="V520" s="41">
        <f t="shared" ref="V520:V583" si="283">V519+0.5</f>
        <v>257</v>
      </c>
      <c r="W520" s="57">
        <f t="shared" ref="W520:W583" si="284">W519+Y519*$F$3+((1/2)*AA519)*$F$3^2</f>
        <v>127199.45506333878</v>
      </c>
      <c r="X520" s="57">
        <f t="shared" ref="X520:X583" si="285">X519+Z519*$F$3+((1/2)*AB519)*$F$3^2</f>
        <v>263390.47457543085</v>
      </c>
      <c r="Y520" s="57">
        <f t="shared" ref="Y520:Y583" si="286">Y519+AA519*$F$3</f>
        <v>1808.0558849618442</v>
      </c>
      <c r="Z520" s="57">
        <f t="shared" ref="Z520:Z583" si="287">Z519+AB519*$F$3</f>
        <v>2929.9265739011234</v>
      </c>
      <c r="AA520" s="57">
        <f t="shared" si="262"/>
        <v>-16.986977977282233</v>
      </c>
      <c r="AB520" s="57">
        <f t="shared" si="263"/>
        <v>-35.59850831326721</v>
      </c>
      <c r="AC520" s="57">
        <f t="shared" si="264"/>
        <v>-2.6233071685958418</v>
      </c>
      <c r="AD520" s="57">
        <f t="shared" si="265"/>
        <v>-6.2619657528342332</v>
      </c>
      <c r="AE520" s="57">
        <f t="shared" si="266"/>
        <v>-1.0496189709383825</v>
      </c>
      <c r="AF520" s="57">
        <f t="shared" si="267"/>
        <v>-1.8068235990072794</v>
      </c>
      <c r="AG520" s="57">
        <f t="shared" si="268"/>
        <v>-2.3610683415558804</v>
      </c>
      <c r="AH520" s="57">
        <f t="shared" si="269"/>
        <v>-4.972024550296708</v>
      </c>
      <c r="AJ520" s="57">
        <f t="shared" si="270"/>
        <v>277437.66533100011</v>
      </c>
      <c r="AK520" s="57">
        <f t="shared" si="271"/>
        <v>293043.36228023656</v>
      </c>
      <c r="AL520" s="57">
        <f t="shared" si="272"/>
        <v>308184.93190514256</v>
      </c>
      <c r="AN520" s="41">
        <v>515</v>
      </c>
      <c r="AO520" s="57">
        <f t="shared" si="273"/>
        <v>-1797.3084027748755</v>
      </c>
      <c r="AP520" s="57">
        <f t="shared" si="274"/>
        <v>18169.636963055244</v>
      </c>
      <c r="AR520" s="41">
        <v>515</v>
      </c>
      <c r="AS520" s="57">
        <f t="shared" si="275"/>
        <v>11827.922745371725</v>
      </c>
      <c r="AT520" s="57">
        <f t="shared" si="276"/>
        <v>-3520.8360839075522</v>
      </c>
      <c r="AV520" s="57">
        <f t="shared" si="277"/>
        <v>-10.135121194544798</v>
      </c>
      <c r="AW520" s="57">
        <f t="shared" si="278"/>
        <v>-20.601299425497675</v>
      </c>
      <c r="AX520" s="57">
        <f t="shared" si="279"/>
        <v>-0.81786230164733176</v>
      </c>
      <c r="AY520" s="57">
        <f t="shared" si="280"/>
        <v>-1.9563949856313105</v>
      </c>
      <c r="BA520" s="57">
        <f t="shared" si="281"/>
        <v>276822.20770303946</v>
      </c>
      <c r="BB520" s="57">
        <f t="shared" si="282"/>
        <v>290898.89061207365</v>
      </c>
    </row>
    <row r="521" spans="9:54" x14ac:dyDescent="0.25">
      <c r="I521" s="41">
        <v>516</v>
      </c>
      <c r="J521" s="57">
        <f t="shared" si="256"/>
        <v>15432.272711786998</v>
      </c>
      <c r="K521" s="57">
        <f t="shared" si="257"/>
        <v>9533.6832153790056</v>
      </c>
      <c r="M521" s="41">
        <v>516</v>
      </c>
      <c r="N521" s="57">
        <f t="shared" si="258"/>
        <v>-23197.409101749101</v>
      </c>
      <c r="O521" s="57">
        <f t="shared" si="259"/>
        <v>11423.578250765304</v>
      </c>
      <c r="Q521" s="41">
        <v>516</v>
      </c>
      <c r="R521" s="57">
        <f t="shared" si="260"/>
        <v>-9567.7272882130019</v>
      </c>
      <c r="S521" s="41">
        <f t="shared" si="261"/>
        <v>-12966.316784620994</v>
      </c>
      <c r="U521" s="41">
        <v>515</v>
      </c>
      <c r="V521" s="41">
        <f t="shared" si="283"/>
        <v>257.5</v>
      </c>
      <c r="W521" s="57">
        <f t="shared" si="284"/>
        <v>128101.35963357255</v>
      </c>
      <c r="X521" s="57">
        <f t="shared" si="285"/>
        <v>264850.98804884224</v>
      </c>
      <c r="Y521" s="57">
        <f t="shared" si="286"/>
        <v>1799.5623959732031</v>
      </c>
      <c r="Z521" s="57">
        <f t="shared" si="287"/>
        <v>2912.1273197444898</v>
      </c>
      <c r="AA521" s="57">
        <f t="shared" si="262"/>
        <v>-16.807317048397977</v>
      </c>
      <c r="AB521" s="57">
        <f t="shared" si="263"/>
        <v>-35.163116750401464</v>
      </c>
      <c r="AC521" s="57">
        <f t="shared" si="264"/>
        <v>-2.5975204594581949</v>
      </c>
      <c r="AD521" s="57">
        <f t="shared" si="265"/>
        <v>-6.1837747368261962</v>
      </c>
      <c r="AE521" s="57">
        <f t="shared" si="266"/>
        <v>-1.0377243079454126</v>
      </c>
      <c r="AF521" s="57">
        <f t="shared" si="267"/>
        <v>-1.7857031553020182</v>
      </c>
      <c r="AG521" s="57">
        <f t="shared" si="268"/>
        <v>-2.3381665203929671</v>
      </c>
      <c r="AH521" s="57">
        <f t="shared" si="269"/>
        <v>-4.9160896083712853</v>
      </c>
      <c r="AJ521" s="57">
        <f t="shared" si="270"/>
        <v>279133.36419056455</v>
      </c>
      <c r="AK521" s="57">
        <f t="shared" si="271"/>
        <v>294759.28964967997</v>
      </c>
      <c r="AL521" s="57">
        <f t="shared" si="272"/>
        <v>309891.18646424724</v>
      </c>
      <c r="AN521" s="41">
        <v>516</v>
      </c>
      <c r="AO521" s="57">
        <f t="shared" si="273"/>
        <v>-1851.5909323195037</v>
      </c>
      <c r="AP521" s="57">
        <f t="shared" si="274"/>
        <v>18050.52482306851</v>
      </c>
      <c r="AR521" s="41">
        <v>516</v>
      </c>
      <c r="AS521" s="57">
        <f t="shared" si="275"/>
        <v>11802.590898250899</v>
      </c>
      <c r="AT521" s="57">
        <f t="shared" si="276"/>
        <v>-3576.4217492346961</v>
      </c>
      <c r="AV521" s="57">
        <f t="shared" si="277"/>
        <v>-10.023710191746209</v>
      </c>
      <c r="AW521" s="57">
        <f t="shared" si="278"/>
        <v>-20.344486062362094</v>
      </c>
      <c r="AX521" s="57">
        <f t="shared" si="279"/>
        <v>-0.81019556885519151</v>
      </c>
      <c r="AY521" s="57">
        <f t="shared" si="280"/>
        <v>-1.9330631875398723</v>
      </c>
      <c r="BA521" s="57">
        <f t="shared" si="281"/>
        <v>278530.89769829286</v>
      </c>
      <c r="BB521" s="57">
        <f t="shared" si="282"/>
        <v>292594.38357887033</v>
      </c>
    </row>
    <row r="522" spans="9:54" x14ac:dyDescent="0.25">
      <c r="I522" s="41">
        <v>517</v>
      </c>
      <c r="J522" s="57">
        <f t="shared" si="256"/>
        <v>15397.475732737799</v>
      </c>
      <c r="K522" s="57">
        <f t="shared" si="257"/>
        <v>9453.6556424463706</v>
      </c>
      <c r="M522" s="41">
        <v>517</v>
      </c>
      <c r="N522" s="57">
        <f t="shared" si="258"/>
        <v>-23221.766987083542</v>
      </c>
      <c r="O522" s="57">
        <f t="shared" si="259"/>
        <v>11367.558949712458</v>
      </c>
      <c r="Q522" s="41">
        <v>517</v>
      </c>
      <c r="R522" s="57">
        <f t="shared" si="260"/>
        <v>-9602.5242672622007</v>
      </c>
      <c r="S522" s="41">
        <f t="shared" si="261"/>
        <v>-13046.344357553629</v>
      </c>
      <c r="U522" s="41">
        <v>516</v>
      </c>
      <c r="V522" s="41">
        <f t="shared" si="283"/>
        <v>258</v>
      </c>
      <c r="W522" s="57">
        <f t="shared" si="284"/>
        <v>128999.03991692809</v>
      </c>
      <c r="X522" s="57">
        <f t="shared" si="285"/>
        <v>266302.65631912067</v>
      </c>
      <c r="Y522" s="57">
        <f t="shared" si="286"/>
        <v>1791.1587374490041</v>
      </c>
      <c r="Z522" s="57">
        <f t="shared" si="287"/>
        <v>2894.5457613692893</v>
      </c>
      <c r="AA522" s="57">
        <f t="shared" si="262"/>
        <v>-16.631559374836701</v>
      </c>
      <c r="AB522" s="57">
        <f t="shared" si="263"/>
        <v>-34.73798630501387</v>
      </c>
      <c r="AC522" s="57">
        <f t="shared" si="264"/>
        <v>-2.5722539285163264</v>
      </c>
      <c r="AD522" s="57">
        <f t="shared" si="265"/>
        <v>-6.1074496613426712</v>
      </c>
      <c r="AE522" s="57">
        <f t="shared" si="266"/>
        <v>-1.0261027453356357</v>
      </c>
      <c r="AF522" s="57">
        <f t="shared" si="267"/>
        <v>-1.7650641200942827</v>
      </c>
      <c r="AG522" s="57">
        <f t="shared" si="268"/>
        <v>-2.3157332570814626</v>
      </c>
      <c r="AH522" s="57">
        <f t="shared" si="269"/>
        <v>-4.8613924170455975</v>
      </c>
      <c r="AJ522" s="57">
        <f t="shared" si="270"/>
        <v>280819.52499896614</v>
      </c>
      <c r="AK522" s="57">
        <f t="shared" si="271"/>
        <v>296465.45419728686</v>
      </c>
      <c r="AL522" s="57">
        <f t="shared" si="272"/>
        <v>311587.75192688784</v>
      </c>
      <c r="AN522" s="41">
        <v>517</v>
      </c>
      <c r="AO522" s="57">
        <f t="shared" si="273"/>
        <v>-1903.786400893302</v>
      </c>
      <c r="AP522" s="57">
        <f t="shared" si="274"/>
        <v>17930.483463669556</v>
      </c>
      <c r="AR522" s="41">
        <v>517</v>
      </c>
      <c r="AS522" s="57">
        <f t="shared" si="275"/>
        <v>11778.233012916458</v>
      </c>
      <c r="AT522" s="57">
        <f t="shared" si="276"/>
        <v>-3632.4410502875407</v>
      </c>
      <c r="AV522" s="57">
        <f t="shared" si="277"/>
        <v>-9.9147907340815546</v>
      </c>
      <c r="AW522" s="57">
        <f t="shared" si="278"/>
        <v>-20.093810806858912</v>
      </c>
      <c r="AX522" s="57">
        <f t="shared" si="279"/>
        <v>-0.80267870982172007</v>
      </c>
      <c r="AY522" s="57">
        <f t="shared" si="280"/>
        <v>-1.9102692996724098</v>
      </c>
      <c r="BA522" s="57">
        <f t="shared" si="281"/>
        <v>280229.88237046741</v>
      </c>
      <c r="BB522" s="57">
        <f t="shared" si="282"/>
        <v>294280.32966508699</v>
      </c>
    </row>
    <row r="523" spans="9:54" x14ac:dyDescent="0.25">
      <c r="I523" s="41">
        <v>518</v>
      </c>
      <c r="J523" s="57">
        <f t="shared" si="256"/>
        <v>15364.080727166067</v>
      </c>
      <c r="K523" s="57">
        <f t="shared" si="257"/>
        <v>9373.0329670795672</v>
      </c>
      <c r="M523" s="41">
        <v>518</v>
      </c>
      <c r="N523" s="57">
        <f t="shared" si="258"/>
        <v>-23245.143490983755</v>
      </c>
      <c r="O523" s="57">
        <f t="shared" si="259"/>
        <v>11311.123076955697</v>
      </c>
      <c r="Q523" s="41">
        <v>518</v>
      </c>
      <c r="R523" s="57">
        <f t="shared" si="260"/>
        <v>-9635.9192728339331</v>
      </c>
      <c r="S523" s="41">
        <f t="shared" si="261"/>
        <v>-13126.967032920433</v>
      </c>
      <c r="U523" s="41">
        <v>517</v>
      </c>
      <c r="V523" s="41">
        <f t="shared" si="283"/>
        <v>258.5</v>
      </c>
      <c r="W523" s="57">
        <f t="shared" si="284"/>
        <v>129892.54034073073</v>
      </c>
      <c r="X523" s="57">
        <f t="shared" si="285"/>
        <v>267745.58695151721</v>
      </c>
      <c r="Y523" s="57">
        <f t="shared" si="286"/>
        <v>1782.8429577615857</v>
      </c>
      <c r="Z523" s="57">
        <f t="shared" si="287"/>
        <v>2877.1767682167824</v>
      </c>
      <c r="AA523" s="57">
        <f t="shared" si="262"/>
        <v>-16.459583164213154</v>
      </c>
      <c r="AB523" s="57">
        <f t="shared" si="263"/>
        <v>-34.32277355421612</v>
      </c>
      <c r="AC523" s="57">
        <f t="shared" si="264"/>
        <v>-2.5474926862371357</v>
      </c>
      <c r="AD523" s="57">
        <f t="shared" si="265"/>
        <v>-6.0329275065339001</v>
      </c>
      <c r="AE523" s="57">
        <f t="shared" si="266"/>
        <v>-1.0147452966278785</v>
      </c>
      <c r="AF523" s="57">
        <f t="shared" si="267"/>
        <v>-1.7448908497454645</v>
      </c>
      <c r="AG523" s="57">
        <f t="shared" si="268"/>
        <v>-2.2937546770461537</v>
      </c>
      <c r="AH523" s="57">
        <f t="shared" si="269"/>
        <v>-4.8078938304965222</v>
      </c>
      <c r="AJ523" s="57">
        <f t="shared" si="270"/>
        <v>282496.2582942982</v>
      </c>
      <c r="AK523" s="57">
        <f t="shared" si="271"/>
        <v>298161.97148995998</v>
      </c>
      <c r="AL523" s="57">
        <f t="shared" si="272"/>
        <v>313274.74264634494</v>
      </c>
      <c r="AN523" s="41">
        <v>518</v>
      </c>
      <c r="AO523" s="57">
        <f t="shared" si="273"/>
        <v>-1953.8789092509014</v>
      </c>
      <c r="AP523" s="57">
        <f t="shared" si="274"/>
        <v>17809.54945061935</v>
      </c>
      <c r="AR523" s="41">
        <v>518</v>
      </c>
      <c r="AS523" s="57">
        <f t="shared" si="275"/>
        <v>11754.856509016246</v>
      </c>
      <c r="AT523" s="57">
        <f t="shared" si="276"/>
        <v>-3688.8769230443036</v>
      </c>
      <c r="AV523" s="57">
        <f t="shared" si="277"/>
        <v>-9.8082829609508142</v>
      </c>
      <c r="AW523" s="57">
        <f t="shared" si="278"/>
        <v>-19.849065662279685</v>
      </c>
      <c r="AX523" s="57">
        <f t="shared" si="279"/>
        <v>-0.79530754335117171</v>
      </c>
      <c r="AY523" s="57">
        <f t="shared" si="280"/>
        <v>-1.8879957051605472</v>
      </c>
      <c r="BA523" s="57">
        <f t="shared" si="281"/>
        <v>281919.27631190454</v>
      </c>
      <c r="BB523" s="57">
        <f t="shared" si="282"/>
        <v>295956.83980518859</v>
      </c>
    </row>
    <row r="524" spans="9:54" x14ac:dyDescent="0.25">
      <c r="I524" s="41">
        <v>519</v>
      </c>
      <c r="J524" s="57">
        <f t="shared" si="256"/>
        <v>15332.097867513992</v>
      </c>
      <c r="K524" s="57">
        <f t="shared" si="257"/>
        <v>9291.8397477265044</v>
      </c>
      <c r="M524" s="41">
        <v>519</v>
      </c>
      <c r="N524" s="57">
        <f t="shared" si="258"/>
        <v>-23267.531492740207</v>
      </c>
      <c r="O524" s="57">
        <f t="shared" si="259"/>
        <v>11254.287823408553</v>
      </c>
      <c r="Q524" s="41">
        <v>519</v>
      </c>
      <c r="R524" s="57">
        <f t="shared" si="260"/>
        <v>-9667.9021324860078</v>
      </c>
      <c r="S524" s="41">
        <f t="shared" si="261"/>
        <v>-13208.160252273496</v>
      </c>
      <c r="U524" s="41">
        <v>518</v>
      </c>
      <c r="V524" s="41">
        <f t="shared" si="283"/>
        <v>259</v>
      </c>
      <c r="W524" s="57">
        <f t="shared" si="284"/>
        <v>130781.90437171599</v>
      </c>
      <c r="X524" s="57">
        <f t="shared" si="285"/>
        <v>269179.8849889313</v>
      </c>
      <c r="Y524" s="57">
        <f t="shared" si="286"/>
        <v>1774.6131661794791</v>
      </c>
      <c r="Z524" s="57">
        <f t="shared" si="287"/>
        <v>2860.0153814396745</v>
      </c>
      <c r="AA524" s="57">
        <f t="shared" si="262"/>
        <v>-16.291271577543217</v>
      </c>
      <c r="AB524" s="57">
        <f t="shared" si="263"/>
        <v>-33.917149921126018</v>
      </c>
      <c r="AC524" s="57">
        <f t="shared" si="264"/>
        <v>-2.5232223914889267</v>
      </c>
      <c r="AD524" s="57">
        <f t="shared" si="265"/>
        <v>-5.9601479948461282</v>
      </c>
      <c r="AE524" s="57">
        <f t="shared" si="266"/>
        <v>-1.0036433597718211</v>
      </c>
      <c r="AF524" s="57">
        <f t="shared" si="267"/>
        <v>-1.7251683591572933</v>
      </c>
      <c r="AG524" s="57">
        <f t="shared" si="268"/>
        <v>-2.2722174450051207</v>
      </c>
      <c r="AH524" s="57">
        <f t="shared" si="269"/>
        <v>-4.755556310535181</v>
      </c>
      <c r="AJ524" s="57">
        <f t="shared" si="270"/>
        <v>284163.67210472969</v>
      </c>
      <c r="AK524" s="57">
        <f t="shared" si="271"/>
        <v>299848.95442345127</v>
      </c>
      <c r="AL524" s="57">
        <f t="shared" si="272"/>
        <v>314952.2703317632</v>
      </c>
      <c r="AN524" s="41">
        <v>519</v>
      </c>
      <c r="AO524" s="57">
        <f t="shared" si="273"/>
        <v>-2001.8531987290116</v>
      </c>
      <c r="AP524" s="57">
        <f t="shared" si="274"/>
        <v>17687.759621589757</v>
      </c>
      <c r="AR524" s="41">
        <v>519</v>
      </c>
      <c r="AS524" s="57">
        <f t="shared" si="275"/>
        <v>11732.468507259795</v>
      </c>
      <c r="AT524" s="57">
        <f t="shared" si="276"/>
        <v>-3745.7121765914471</v>
      </c>
      <c r="AV524" s="57">
        <f t="shared" si="277"/>
        <v>-9.7041103419999661</v>
      </c>
      <c r="AW524" s="57">
        <f t="shared" si="278"/>
        <v>-19.61005172381617</v>
      </c>
      <c r="AX524" s="57">
        <f t="shared" si="279"/>
        <v>-0.78807803927738218</v>
      </c>
      <c r="AY524" s="57">
        <f t="shared" si="280"/>
        <v>-1.866225532771246</v>
      </c>
      <c r="BA524" s="57">
        <f t="shared" si="281"/>
        <v>283599.19146634015</v>
      </c>
      <c r="BB524" s="57">
        <f t="shared" si="282"/>
        <v>297624.02240492078</v>
      </c>
    </row>
    <row r="525" spans="9:54" x14ac:dyDescent="0.25">
      <c r="I525" s="41">
        <v>520</v>
      </c>
      <c r="J525" s="57">
        <f t="shared" si="256"/>
        <v>15301.536896070458</v>
      </c>
      <c r="K525" s="57">
        <f t="shared" si="257"/>
        <v>9210.1007166283434</v>
      </c>
      <c r="M525" s="41">
        <v>520</v>
      </c>
      <c r="N525" s="57">
        <f t="shared" si="258"/>
        <v>-23288.924172750681</v>
      </c>
      <c r="O525" s="57">
        <f t="shared" si="259"/>
        <v>11197.070501639841</v>
      </c>
      <c r="Q525" s="41">
        <v>520</v>
      </c>
      <c r="R525" s="57">
        <f t="shared" si="260"/>
        <v>-9698.4631039295418</v>
      </c>
      <c r="S525" s="41">
        <f t="shared" si="261"/>
        <v>-13289.899283371657</v>
      </c>
      <c r="U525" s="41">
        <v>519</v>
      </c>
      <c r="V525" s="41">
        <f t="shared" si="283"/>
        <v>259.5</v>
      </c>
      <c r="W525" s="57">
        <f t="shared" si="284"/>
        <v>131667.17454585855</v>
      </c>
      <c r="X525" s="57">
        <f t="shared" si="285"/>
        <v>270605.65303591103</v>
      </c>
      <c r="Y525" s="57">
        <f t="shared" si="286"/>
        <v>1766.4675303907075</v>
      </c>
      <c r="Z525" s="57">
        <f t="shared" si="287"/>
        <v>2843.0568064791114</v>
      </c>
      <c r="AA525" s="57">
        <f t="shared" si="262"/>
        <v>-16.126512482050408</v>
      </c>
      <c r="AB525" s="57">
        <f t="shared" si="263"/>
        <v>-33.52080089181176</v>
      </c>
      <c r="AC525" s="57">
        <f t="shared" si="264"/>
        <v>-2.4994292271645362</v>
      </c>
      <c r="AD525" s="57">
        <f t="shared" si="265"/>
        <v>-5.8890534456936958</v>
      </c>
      <c r="AE525" s="57">
        <f t="shared" si="266"/>
        <v>-0.99278869700668582</v>
      </c>
      <c r="AF525" s="57">
        <f t="shared" si="267"/>
        <v>-1.7058822878767961</v>
      </c>
      <c r="AG525" s="57">
        <f t="shared" si="268"/>
        <v>-2.2511087391101419</v>
      </c>
      <c r="AH525" s="57">
        <f t="shared" si="269"/>
        <v>-4.7043438457320548</v>
      </c>
      <c r="AJ525" s="57">
        <f t="shared" si="270"/>
        <v>285821.87202960596</v>
      </c>
      <c r="AK525" s="57">
        <f t="shared" si="271"/>
        <v>301526.51331018563</v>
      </c>
      <c r="AL525" s="57">
        <f t="shared" si="272"/>
        <v>316620.4441352727</v>
      </c>
      <c r="AN525" s="41">
        <v>520</v>
      </c>
      <c r="AO525" s="57">
        <f t="shared" si="273"/>
        <v>-2047.6946558943137</v>
      </c>
      <c r="AP525" s="57">
        <f t="shared" si="274"/>
        <v>17565.151074942514</v>
      </c>
      <c r="AR525" s="41">
        <v>520</v>
      </c>
      <c r="AS525" s="57">
        <f t="shared" si="275"/>
        <v>11711.07582724932</v>
      </c>
      <c r="AT525" s="57">
        <f t="shared" si="276"/>
        <v>-3802.9294983601594</v>
      </c>
      <c r="AV525" s="57">
        <f t="shared" si="277"/>
        <v>-9.6021995069315249</v>
      </c>
      <c r="AW525" s="57">
        <f t="shared" si="278"/>
        <v>-19.376578694125318</v>
      </c>
      <c r="AX525" s="57">
        <f t="shared" si="279"/>
        <v>-0.78098631183751899</v>
      </c>
      <c r="AY525" s="57">
        <f t="shared" si="280"/>
        <v>-1.8449426183838942</v>
      </c>
      <c r="BA525" s="57">
        <f t="shared" si="281"/>
        <v>285269.73721610487</v>
      </c>
      <c r="BB525" s="57">
        <f t="shared" si="282"/>
        <v>299281.98342343431</v>
      </c>
    </row>
    <row r="526" spans="9:54" x14ac:dyDescent="0.25">
      <c r="I526" s="41">
        <v>521</v>
      </c>
      <c r="J526" s="57">
        <f t="shared" si="256"/>
        <v>15272.407122003417</v>
      </c>
      <c r="K526" s="57">
        <f t="shared" si="257"/>
        <v>9127.8407722857883</v>
      </c>
      <c r="M526" s="41">
        <v>521</v>
      </c>
      <c r="N526" s="57">
        <f t="shared" si="258"/>
        <v>-23309.315014597607</v>
      </c>
      <c r="O526" s="57">
        <f t="shared" si="259"/>
        <v>11139.488540600052</v>
      </c>
      <c r="Q526" s="41">
        <v>521</v>
      </c>
      <c r="R526" s="57">
        <f t="shared" si="260"/>
        <v>-9727.5928779965834</v>
      </c>
      <c r="S526" s="41">
        <f t="shared" si="261"/>
        <v>-13372.159227714212</v>
      </c>
      <c r="U526" s="41">
        <v>520</v>
      </c>
      <c r="V526" s="41">
        <f t="shared" si="283"/>
        <v>260</v>
      </c>
      <c r="W526" s="57">
        <f t="shared" si="284"/>
        <v>132548.39249699365</v>
      </c>
      <c r="X526" s="57">
        <f t="shared" si="285"/>
        <v>272022.99133903912</v>
      </c>
      <c r="Y526" s="57">
        <f t="shared" si="286"/>
        <v>1758.4042741496824</v>
      </c>
      <c r="Z526" s="57">
        <f t="shared" si="287"/>
        <v>2826.2964060332056</v>
      </c>
      <c r="AA526" s="57">
        <f t="shared" si="262"/>
        <v>-15.965198218544648</v>
      </c>
      <c r="AB526" s="57">
        <f t="shared" si="263"/>
        <v>-33.133425280830387</v>
      </c>
      <c r="AC526" s="57">
        <f t="shared" si="264"/>
        <v>-2.476099877057135</v>
      </c>
      <c r="AD526" s="57">
        <f t="shared" si="265"/>
        <v>-5.8195886391791518</v>
      </c>
      <c r="AE526" s="57">
        <f t="shared" si="266"/>
        <v>-0.98217341596438157</v>
      </c>
      <c r="AF526" s="57">
        <f t="shared" si="267"/>
        <v>-1.6870188682567822</v>
      </c>
      <c r="AG526" s="57">
        <f t="shared" si="268"/>
        <v>-2.2304162265585203</v>
      </c>
      <c r="AH526" s="57">
        <f t="shared" si="269"/>
        <v>-4.6542218753443496</v>
      </c>
      <c r="AJ526" s="57">
        <f t="shared" si="270"/>
        <v>287470.96131715755</v>
      </c>
      <c r="AK526" s="57">
        <f t="shared" si="271"/>
        <v>303194.75596334942</v>
      </c>
      <c r="AL526" s="57">
        <f t="shared" si="272"/>
        <v>318279.37073539209</v>
      </c>
      <c r="AN526" s="41">
        <v>521</v>
      </c>
      <c r="AO526" s="57">
        <f t="shared" si="273"/>
        <v>-2091.3893169948742</v>
      </c>
      <c r="AP526" s="57">
        <f t="shared" si="274"/>
        <v>17441.761158428682</v>
      </c>
      <c r="AR526" s="41">
        <v>521</v>
      </c>
      <c r="AS526" s="57">
        <f t="shared" si="275"/>
        <v>11690.684985402393</v>
      </c>
      <c r="AT526" s="57">
        <f t="shared" si="276"/>
        <v>-3860.5114593999483</v>
      </c>
      <c r="AV526" s="57">
        <f t="shared" si="277"/>
        <v>-9.5024800855800109</v>
      </c>
      <c r="AW526" s="57">
        <f t="shared" si="278"/>
        <v>-19.148464429239983</v>
      </c>
      <c r="AX526" s="57">
        <f t="shared" si="279"/>
        <v>-0.77402861338459894</v>
      </c>
      <c r="AY526" s="57">
        <f t="shared" si="280"/>
        <v>-1.824131468810126</v>
      </c>
      <c r="BA526" s="57">
        <f t="shared" si="281"/>
        <v>286931.02046560758</v>
      </c>
      <c r="BB526" s="57">
        <f t="shared" si="282"/>
        <v>300930.8264519549</v>
      </c>
    </row>
    <row r="527" spans="9:54" x14ac:dyDescent="0.25">
      <c r="I527" s="41">
        <v>522</v>
      </c>
      <c r="J527" s="57">
        <f t="shared" si="256"/>
        <v>15244.717418524233</v>
      </c>
      <c r="K527" s="57">
        <f t="shared" si="257"/>
        <v>9045.0849718747395</v>
      </c>
      <c r="M527" s="41">
        <v>522</v>
      </c>
      <c r="N527" s="57">
        <f t="shared" si="258"/>
        <v>-23328.697807033037</v>
      </c>
      <c r="O527" s="57">
        <f t="shared" si="259"/>
        <v>11081.559480312317</v>
      </c>
      <c r="Q527" s="41">
        <v>522</v>
      </c>
      <c r="R527" s="57">
        <f t="shared" si="260"/>
        <v>-9755.2825814757671</v>
      </c>
      <c r="S527" s="41">
        <f t="shared" si="261"/>
        <v>-13454.915028125261</v>
      </c>
      <c r="U527" s="41">
        <v>521</v>
      </c>
      <c r="V527" s="41">
        <f t="shared" si="283"/>
        <v>260.5</v>
      </c>
      <c r="W527" s="57">
        <f t="shared" si="284"/>
        <v>133425.59898429117</v>
      </c>
      <c r="X527" s="57">
        <f t="shared" si="285"/>
        <v>273431.99786389561</v>
      </c>
      <c r="Y527" s="57">
        <f t="shared" si="286"/>
        <v>1750.42167504041</v>
      </c>
      <c r="Z527" s="57">
        <f t="shared" si="287"/>
        <v>2809.7296933927905</v>
      </c>
      <c r="AA527" s="57">
        <f t="shared" si="262"/>
        <v>-15.807225382383976</v>
      </c>
      <c r="AB527" s="57">
        <f t="shared" si="263"/>
        <v>-32.75473454189973</v>
      </c>
      <c r="AC527" s="57">
        <f t="shared" si="264"/>
        <v>-2.4532215039169238</v>
      </c>
      <c r="AD527" s="57">
        <f t="shared" si="265"/>
        <v>-5.7517006882163413</v>
      </c>
      <c r="AE527" s="57">
        <f t="shared" si="266"/>
        <v>-0.97178995192917061</v>
      </c>
      <c r="AF527" s="57">
        <f t="shared" si="267"/>
        <v>-1.6685648955294072</v>
      </c>
      <c r="AG527" s="57">
        <f t="shared" si="268"/>
        <v>-2.2101280405795118</v>
      </c>
      <c r="AH527" s="57">
        <f t="shared" si="269"/>
        <v>-4.6051572177174194</v>
      </c>
      <c r="AJ527" s="57">
        <f t="shared" si="270"/>
        <v>289111.04093899322</v>
      </c>
      <c r="AK527" s="57">
        <f t="shared" si="271"/>
        <v>304853.78777743934</v>
      </c>
      <c r="AL527" s="57">
        <f t="shared" si="272"/>
        <v>319929.15441690851</v>
      </c>
      <c r="AN527" s="41">
        <v>522</v>
      </c>
      <c r="AO527" s="57">
        <f t="shared" si="273"/>
        <v>-2132.9238722136506</v>
      </c>
      <c r="AP527" s="57">
        <f t="shared" si="274"/>
        <v>17317.627457812108</v>
      </c>
      <c r="AR527" s="41">
        <v>522</v>
      </c>
      <c r="AS527" s="57">
        <f t="shared" si="275"/>
        <v>11671.302192966963</v>
      </c>
      <c r="AT527" s="57">
        <f t="shared" si="276"/>
        <v>-3918.4405196876828</v>
      </c>
      <c r="AV527" s="57">
        <f t="shared" si="277"/>
        <v>-9.4048845575392637</v>
      </c>
      <c r="AW527" s="57">
        <f t="shared" si="278"/>
        <v>-18.925534512643932</v>
      </c>
      <c r="AX527" s="57">
        <f t="shared" si="279"/>
        <v>-0.76720132841910438</v>
      </c>
      <c r="AY527" s="57">
        <f t="shared" si="280"/>
        <v>-1.8037772277926261</v>
      </c>
      <c r="BA527" s="57">
        <f t="shared" si="281"/>
        <v>288583.14572129556</v>
      </c>
      <c r="BB527" s="57">
        <f t="shared" si="282"/>
        <v>302570.65278917667</v>
      </c>
    </row>
    <row r="528" spans="9:54" x14ac:dyDescent="0.25">
      <c r="I528" s="41">
        <v>523</v>
      </c>
      <c r="J528" s="57">
        <f t="shared" si="256"/>
        <v>15218.476220184823</v>
      </c>
      <c r="K528" s="57">
        <f t="shared" si="257"/>
        <v>8961.8585236136823</v>
      </c>
      <c r="M528" s="41">
        <v>523</v>
      </c>
      <c r="N528" s="57">
        <f t="shared" si="258"/>
        <v>-23347.066645870626</v>
      </c>
      <c r="O528" s="57">
        <f t="shared" si="259"/>
        <v>11023.300966529578</v>
      </c>
      <c r="Q528" s="41">
        <v>523</v>
      </c>
      <c r="R528" s="57">
        <f t="shared" si="260"/>
        <v>-9781.5237798151775</v>
      </c>
      <c r="S528" s="41">
        <f t="shared" si="261"/>
        <v>-13538.141476386318</v>
      </c>
      <c r="U528" s="41">
        <v>522</v>
      </c>
      <c r="V528" s="41">
        <f t="shared" si="283"/>
        <v>261</v>
      </c>
      <c r="W528" s="57">
        <f t="shared" si="284"/>
        <v>134298.83391863856</v>
      </c>
      <c r="X528" s="57">
        <f t="shared" si="285"/>
        <v>274832.76836877427</v>
      </c>
      <c r="Y528" s="57">
        <f t="shared" si="286"/>
        <v>1742.5180623492181</v>
      </c>
      <c r="Z528" s="57">
        <f t="shared" si="287"/>
        <v>2793.3523261218406</v>
      </c>
      <c r="AA528" s="57">
        <f t="shared" si="262"/>
        <v>-15.652494617108069</v>
      </c>
      <c r="AB528" s="57">
        <f t="shared" si="263"/>
        <v>-32.384452120524735</v>
      </c>
      <c r="AC528" s="57">
        <f t="shared" si="264"/>
        <v>-2.4307817286209521</v>
      </c>
      <c r="AD528" s="57">
        <f t="shared" si="265"/>
        <v>-5.6853389184621177</v>
      </c>
      <c r="AE528" s="57">
        <f t="shared" si="266"/>
        <v>-0.96163105117215719</v>
      </c>
      <c r="AF528" s="57">
        <f t="shared" si="267"/>
        <v>-1.6505076996601575</v>
      </c>
      <c r="AG528" s="57">
        <f t="shared" si="268"/>
        <v>-2.1902327587060633</v>
      </c>
      <c r="AH528" s="57">
        <f t="shared" si="269"/>
        <v>-4.5571180028580116</v>
      </c>
      <c r="AJ528" s="57">
        <f t="shared" si="270"/>
        <v>290742.2096615372</v>
      </c>
      <c r="AK528" s="57">
        <f t="shared" si="271"/>
        <v>306503.71180545341</v>
      </c>
      <c r="AL528" s="57">
        <f t="shared" si="272"/>
        <v>321569.89714741649</v>
      </c>
      <c r="AN528" s="41">
        <v>523</v>
      </c>
      <c r="AO528" s="57">
        <f t="shared" si="273"/>
        <v>-2172.2856697227662</v>
      </c>
      <c r="AP528" s="57">
        <f t="shared" si="274"/>
        <v>17192.787785420522</v>
      </c>
      <c r="AR528" s="41">
        <v>523</v>
      </c>
      <c r="AS528" s="57">
        <f t="shared" si="275"/>
        <v>11652.933354129374</v>
      </c>
      <c r="AT528" s="57">
        <f t="shared" si="276"/>
        <v>-3976.6990334704228</v>
      </c>
      <c r="AV528" s="57">
        <f t="shared" si="277"/>
        <v>-9.309348110687397</v>
      </c>
      <c r="AW528" s="57">
        <f t="shared" si="278"/>
        <v>-18.707621855511892</v>
      </c>
      <c r="AX528" s="57">
        <f t="shared" si="279"/>
        <v>-0.76050096792149791</v>
      </c>
      <c r="AY528" s="57">
        <f t="shared" si="280"/>
        <v>-1.7838656440325564</v>
      </c>
      <c r="BA528" s="57">
        <f t="shared" si="281"/>
        <v>290226.21516827313</v>
      </c>
      <c r="BB528" s="57">
        <f t="shared" si="282"/>
        <v>304201.56151354482</v>
      </c>
    </row>
    <row r="529" spans="9:54" x14ac:dyDescent="0.25">
      <c r="I529" s="41">
        <v>524</v>
      </c>
      <c r="J529" s="57">
        <f t="shared" si="256"/>
        <v>15193.691520308405</v>
      </c>
      <c r="K529" s="57">
        <f t="shared" si="257"/>
        <v>8878.1867790849901</v>
      </c>
      <c r="M529" s="41">
        <v>524</v>
      </c>
      <c r="N529" s="57">
        <f t="shared" si="258"/>
        <v>-23364.415935784116</v>
      </c>
      <c r="O529" s="57">
        <f t="shared" si="259"/>
        <v>10964.730745359493</v>
      </c>
      <c r="Q529" s="41">
        <v>524</v>
      </c>
      <c r="R529" s="57">
        <f t="shared" si="260"/>
        <v>-9806.3084796915955</v>
      </c>
      <c r="S529" s="41">
        <f t="shared" si="261"/>
        <v>-13621.81322091501</v>
      </c>
      <c r="U529" s="41">
        <v>523</v>
      </c>
      <c r="V529" s="41">
        <f t="shared" si="283"/>
        <v>261.5</v>
      </c>
      <c r="W529" s="57">
        <f t="shared" si="284"/>
        <v>135168.13638798604</v>
      </c>
      <c r="X529" s="57">
        <f t="shared" si="285"/>
        <v>276225.39647532016</v>
      </c>
      <c r="Y529" s="57">
        <f t="shared" si="286"/>
        <v>1734.6918150406641</v>
      </c>
      <c r="Z529" s="57">
        <f t="shared" si="287"/>
        <v>2777.1601000615783</v>
      </c>
      <c r="AA529" s="57">
        <f t="shared" si="262"/>
        <v>-15.500910419899084</v>
      </c>
      <c r="AB529" s="57">
        <f t="shared" si="263"/>
        <v>-32.02231284564737</v>
      </c>
      <c r="AC529" s="57">
        <f t="shared" si="264"/>
        <v>-2.4087686103931216</v>
      </c>
      <c r="AD529" s="57">
        <f t="shared" si="265"/>
        <v>-5.6204547555110169</v>
      </c>
      <c r="AE529" s="57">
        <f t="shared" si="266"/>
        <v>-0.95168975528597011</v>
      </c>
      <c r="AF529" s="57">
        <f t="shared" si="267"/>
        <v>-1.6328351188609405</v>
      </c>
      <c r="AG529" s="57">
        <f t="shared" si="268"/>
        <v>-2.1707193822489073</v>
      </c>
      <c r="AH529" s="57">
        <f t="shared" si="269"/>
        <v>-4.5100736088996314</v>
      </c>
      <c r="AJ529" s="57">
        <f t="shared" si="270"/>
        <v>292364.56411456532</v>
      </c>
      <c r="AK529" s="57">
        <f t="shared" si="271"/>
        <v>308144.62883289403</v>
      </c>
      <c r="AL529" s="57">
        <f t="shared" si="272"/>
        <v>323201.69865068543</v>
      </c>
      <c r="AN529" s="41">
        <v>524</v>
      </c>
      <c r="AO529" s="57">
        <f t="shared" si="273"/>
        <v>-2209.4627195373932</v>
      </c>
      <c r="AP529" s="57">
        <f t="shared" si="274"/>
        <v>17067.280168627487</v>
      </c>
      <c r="AR529" s="41">
        <v>524</v>
      </c>
      <c r="AS529" s="57">
        <f t="shared" si="275"/>
        <v>11635.584064215884</v>
      </c>
      <c r="AT529" s="57">
        <f t="shared" si="276"/>
        <v>-4035.269254640506</v>
      </c>
      <c r="AV529" s="57">
        <f t="shared" si="277"/>
        <v>-9.2158085080026773</v>
      </c>
      <c r="AW529" s="57">
        <f t="shared" si="278"/>
        <v>-18.494566321269243</v>
      </c>
      <c r="AX529" s="57">
        <f t="shared" si="279"/>
        <v>-0.75392416396840778</v>
      </c>
      <c r="AY529" s="57">
        <f t="shared" si="280"/>
        <v>-1.7643830411065358</v>
      </c>
      <c r="BA529" s="57">
        <f t="shared" si="281"/>
        <v>291860.32874374953</v>
      </c>
      <c r="BB529" s="57">
        <f t="shared" si="282"/>
        <v>305823.6495525855</v>
      </c>
    </row>
    <row r="530" spans="9:54" x14ac:dyDescent="0.25">
      <c r="I530" s="41">
        <v>525</v>
      </c>
      <c r="J530" s="57">
        <f t="shared" si="256"/>
        <v>15170.370868554659</v>
      </c>
      <c r="K530" s="57">
        <f t="shared" si="257"/>
        <v>8794.0952255126031</v>
      </c>
      <c r="M530" s="41">
        <v>525</v>
      </c>
      <c r="N530" s="57">
        <f t="shared" si="258"/>
        <v>-23380.740392011739</v>
      </c>
      <c r="O530" s="57">
        <f t="shared" si="259"/>
        <v>10905.866657858824</v>
      </c>
      <c r="Q530" s="41">
        <v>525</v>
      </c>
      <c r="R530" s="57">
        <f t="shared" si="260"/>
        <v>-9829.629131445341</v>
      </c>
      <c r="S530" s="41">
        <f t="shared" si="261"/>
        <v>-13705.904774487397</v>
      </c>
      <c r="U530" s="41">
        <v>524</v>
      </c>
      <c r="V530" s="41">
        <f t="shared" si="283"/>
        <v>262</v>
      </c>
      <c r="W530" s="57">
        <f t="shared" si="284"/>
        <v>136033.54468170388</v>
      </c>
      <c r="X530" s="57">
        <f t="shared" si="285"/>
        <v>277609.97373624524</v>
      </c>
      <c r="Y530" s="57">
        <f t="shared" si="286"/>
        <v>1726.9413598307146</v>
      </c>
      <c r="Z530" s="57">
        <f t="shared" si="287"/>
        <v>2761.1489436387546</v>
      </c>
      <c r="AA530" s="57">
        <f t="shared" si="262"/>
        <v>-15.352380958090867</v>
      </c>
      <c r="AB530" s="57">
        <f t="shared" si="263"/>
        <v>-31.668062357622969</v>
      </c>
      <c r="AC530" s="57">
        <f t="shared" si="264"/>
        <v>-2.387170628014827</v>
      </c>
      <c r="AD530" s="57">
        <f t="shared" si="265"/>
        <v>-5.557001618849041</v>
      </c>
      <c r="AE530" s="57">
        <f t="shared" si="266"/>
        <v>-0.94195938645063104</v>
      </c>
      <c r="AF530" s="57">
        <f t="shared" si="267"/>
        <v>-1.6155354746499013</v>
      </c>
      <c r="AG530" s="57">
        <f t="shared" si="268"/>
        <v>-2.1515773168959851</v>
      </c>
      <c r="AH530" s="57">
        <f t="shared" si="269"/>
        <v>-4.4639946022012529</v>
      </c>
      <c r="AJ530" s="57">
        <f t="shared" si="270"/>
        <v>293978.19885698339</v>
      </c>
      <c r="AK530" s="57">
        <f t="shared" si="271"/>
        <v>309776.63744874491</v>
      </c>
      <c r="AL530" s="57">
        <f t="shared" si="272"/>
        <v>324824.65647701727</v>
      </c>
      <c r="AN530" s="41">
        <v>525</v>
      </c>
      <c r="AO530" s="57">
        <f t="shared" si="273"/>
        <v>-2244.4436971680125</v>
      </c>
      <c r="AP530" s="57">
        <f t="shared" si="274"/>
        <v>16941.142838268905</v>
      </c>
      <c r="AR530" s="41">
        <v>525</v>
      </c>
      <c r="AS530" s="57">
        <f t="shared" si="275"/>
        <v>11619.259607988261</v>
      </c>
      <c r="AT530" s="57">
        <f t="shared" si="276"/>
        <v>-4094.1333421411773</v>
      </c>
      <c r="AV530" s="57">
        <f t="shared" si="277"/>
        <v>-9.1242059621129545</v>
      </c>
      <c r="AW530" s="57">
        <f t="shared" si="278"/>
        <v>-18.286214372777643</v>
      </c>
      <c r="AX530" s="57">
        <f t="shared" si="279"/>
        <v>-0.7474676646164683</v>
      </c>
      <c r="AY530" s="57">
        <f t="shared" si="280"/>
        <v>-1.7453162891451299</v>
      </c>
      <c r="BA530" s="57">
        <f t="shared" si="281"/>
        <v>293485.584207476</v>
      </c>
      <c r="BB530" s="57">
        <f t="shared" si="282"/>
        <v>307437.01174943009</v>
      </c>
    </row>
    <row r="531" spans="9:54" x14ac:dyDescent="0.25">
      <c r="I531" s="41">
        <v>526</v>
      </c>
      <c r="J531" s="57">
        <f t="shared" si="256"/>
        <v>15148.521368620017</v>
      </c>
      <c r="K531" s="57">
        <f t="shared" si="257"/>
        <v>8709.6094779983359</v>
      </c>
      <c r="M531" s="41">
        <v>526</v>
      </c>
      <c r="N531" s="57">
        <f t="shared" si="258"/>
        <v>-23396.035041965988</v>
      </c>
      <c r="O531" s="57">
        <f t="shared" si="259"/>
        <v>10846.726634598836</v>
      </c>
      <c r="Q531" s="41">
        <v>526</v>
      </c>
      <c r="R531" s="57">
        <f t="shared" si="260"/>
        <v>-9851.4786313799832</v>
      </c>
      <c r="S531" s="41">
        <f t="shared" si="261"/>
        <v>-13790.390522001664</v>
      </c>
      <c r="U531" s="41">
        <v>525</v>
      </c>
      <c r="V531" s="41">
        <f t="shared" si="283"/>
        <v>262.5</v>
      </c>
      <c r="W531" s="57">
        <f t="shared" si="284"/>
        <v>136895.09631399947</v>
      </c>
      <c r="X531" s="57">
        <f t="shared" si="285"/>
        <v>278986.58970026992</v>
      </c>
      <c r="Y531" s="57">
        <f t="shared" si="286"/>
        <v>1719.2651693516691</v>
      </c>
      <c r="Z531" s="57">
        <f t="shared" si="287"/>
        <v>2745.3149124599431</v>
      </c>
      <c r="AA531" s="57">
        <f t="shared" si="262"/>
        <v>-15.206817896002882</v>
      </c>
      <c r="AB531" s="57">
        <f t="shared" si="263"/>
        <v>-31.321456570031344</v>
      </c>
      <c r="AC531" s="57">
        <f t="shared" si="264"/>
        <v>-2.3659766619707288</v>
      </c>
      <c r="AD531" s="57">
        <f t="shared" si="265"/>
        <v>-5.4949348221028433</v>
      </c>
      <c r="AE531" s="57">
        <f t="shared" si="266"/>
        <v>-0.93243353356688818</v>
      </c>
      <c r="AF531" s="57">
        <f t="shared" si="267"/>
        <v>-1.5985975483540327</v>
      </c>
      <c r="AG531" s="57">
        <f t="shared" si="268"/>
        <v>-2.1327963543661519</v>
      </c>
      <c r="AH531" s="57">
        <f t="shared" si="269"/>
        <v>-4.4188526808407529</v>
      </c>
      <c r="AJ531" s="57">
        <f t="shared" si="270"/>
        <v>295583.20643998351</v>
      </c>
      <c r="AK531" s="57">
        <f t="shared" si="271"/>
        <v>311399.83411357261</v>
      </c>
      <c r="AL531" s="57">
        <f t="shared" si="272"/>
        <v>326438.8660707454</v>
      </c>
      <c r="AN531" s="41">
        <v>526</v>
      </c>
      <c r="AO531" s="57">
        <f t="shared" si="273"/>
        <v>-2277.2179470699748</v>
      </c>
      <c r="AP531" s="57">
        <f t="shared" si="274"/>
        <v>16814.414216997502</v>
      </c>
      <c r="AR531" s="41">
        <v>526</v>
      </c>
      <c r="AS531" s="57">
        <f t="shared" si="275"/>
        <v>11603.964958034012</v>
      </c>
      <c r="AT531" s="57">
        <f t="shared" si="276"/>
        <v>-4153.2733654011654</v>
      </c>
      <c r="AV531" s="57">
        <f t="shared" si="277"/>
        <v>-9.0344830170604045</v>
      </c>
      <c r="AW531" s="57">
        <f t="shared" si="278"/>
        <v>-18.082418740579342</v>
      </c>
      <c r="AX531" s="57">
        <f t="shared" si="279"/>
        <v>-0.7411283290387084</v>
      </c>
      <c r="AY531" s="57">
        <f t="shared" si="280"/>
        <v>-1.7266527781543755</v>
      </c>
      <c r="BA531" s="57">
        <f t="shared" si="281"/>
        <v>295102.07720932405</v>
      </c>
      <c r="BB531" s="57">
        <f t="shared" si="282"/>
        <v>309041.74092667265</v>
      </c>
    </row>
    <row r="532" spans="9:54" x14ac:dyDescent="0.25">
      <c r="I532" s="41">
        <v>527</v>
      </c>
      <c r="J532" s="57">
        <f t="shared" si="256"/>
        <v>15128.149676073825</v>
      </c>
      <c r="K532" s="57">
        <f t="shared" si="257"/>
        <v>8624.7552717193266</v>
      </c>
      <c r="M532" s="41">
        <v>527</v>
      </c>
      <c r="N532" s="57">
        <f t="shared" si="258"/>
        <v>-23410.295226748323</v>
      </c>
      <c r="O532" s="57">
        <f t="shared" si="259"/>
        <v>10787.328690203529</v>
      </c>
      <c r="Q532" s="41">
        <v>527</v>
      </c>
      <c r="R532" s="57">
        <f t="shared" si="260"/>
        <v>-9871.8503239261754</v>
      </c>
      <c r="S532" s="41">
        <f t="shared" si="261"/>
        <v>-13875.244728280673</v>
      </c>
      <c r="U532" s="41">
        <v>526</v>
      </c>
      <c r="V532" s="41">
        <f t="shared" si="283"/>
        <v>263</v>
      </c>
      <c r="W532" s="57">
        <f t="shared" si="284"/>
        <v>137752.82804643828</v>
      </c>
      <c r="X532" s="57">
        <f t="shared" si="285"/>
        <v>280355.33197442861</v>
      </c>
      <c r="Y532" s="57">
        <f t="shared" si="286"/>
        <v>1711.6617604036676</v>
      </c>
      <c r="Z532" s="57">
        <f t="shared" si="287"/>
        <v>2729.6541841749277</v>
      </c>
      <c r="AA532" s="57">
        <f t="shared" si="262"/>
        <v>-15.064136231432359</v>
      </c>
      <c r="AB532" s="57">
        <f t="shared" si="263"/>
        <v>-30.982261163030152</v>
      </c>
      <c r="AC532" s="57">
        <f t="shared" si="264"/>
        <v>-2.3451759774770018</v>
      </c>
      <c r="AD532" s="57">
        <f t="shared" si="265"/>
        <v>-5.4342114791551932</v>
      </c>
      <c r="AE532" s="57">
        <f t="shared" si="266"/>
        <v>-0.92310603919844991</v>
      </c>
      <c r="AF532" s="57">
        <f t="shared" si="267"/>
        <v>-1.5820105589589242</v>
      </c>
      <c r="AG532" s="57">
        <f t="shared" si="268"/>
        <v>-2.1143666550509286</v>
      </c>
      <c r="AH532" s="57">
        <f t="shared" si="269"/>
        <v>-4.3746206212816983</v>
      </c>
      <c r="AJ532" s="57">
        <f t="shared" si="270"/>
        <v>297179.67746770591</v>
      </c>
      <c r="AK532" s="57">
        <f t="shared" si="271"/>
        <v>313014.31322489493</v>
      </c>
      <c r="AL532" s="57">
        <f t="shared" si="272"/>
        <v>328044.42083501577</v>
      </c>
      <c r="AN532" s="41">
        <v>527</v>
      </c>
      <c r="AO532" s="57">
        <f t="shared" si="273"/>
        <v>-2307.7754858892631</v>
      </c>
      <c r="AP532" s="57">
        <f t="shared" si="274"/>
        <v>16687.132907578991</v>
      </c>
      <c r="AR532" s="41">
        <v>527</v>
      </c>
      <c r="AS532" s="57">
        <f t="shared" si="275"/>
        <v>11589.704773251677</v>
      </c>
      <c r="AT532" s="57">
        <f t="shared" si="276"/>
        <v>-4212.6713097964712</v>
      </c>
      <c r="AV532" s="57">
        <f t="shared" si="277"/>
        <v>-8.9465844368065852</v>
      </c>
      <c r="AW532" s="57">
        <f t="shared" si="278"/>
        <v>-17.883038110763337</v>
      </c>
      <c r="AX532" s="57">
        <f t="shared" si="279"/>
        <v>-0.73490312289939319</v>
      </c>
      <c r="AY532" s="57">
        <f t="shared" si="280"/>
        <v>-1.7083803928710009</v>
      </c>
      <c r="BA532" s="57">
        <f t="shared" si="281"/>
        <v>296709.90135414497</v>
      </c>
      <c r="BB532" s="57">
        <f t="shared" si="282"/>
        <v>310637.92794769089</v>
      </c>
    </row>
    <row r="533" spans="9:54" x14ac:dyDescent="0.25">
      <c r="I533" s="41">
        <v>528</v>
      </c>
      <c r="J533" s="57">
        <f t="shared" si="256"/>
        <v>15109.261996330972</v>
      </c>
      <c r="K533" s="57">
        <f t="shared" si="257"/>
        <v>8539.5584540887958</v>
      </c>
      <c r="M533" s="41">
        <v>528</v>
      </c>
      <c r="N533" s="57">
        <f t="shared" si="258"/>
        <v>-23423.516602568321</v>
      </c>
      <c r="O533" s="57">
        <f t="shared" si="259"/>
        <v>10727.690917862157</v>
      </c>
      <c r="Q533" s="41">
        <v>528</v>
      </c>
      <c r="R533" s="57">
        <f t="shared" si="260"/>
        <v>-9890.7380036690283</v>
      </c>
      <c r="S533" s="41">
        <f t="shared" si="261"/>
        <v>-13960.441545911204</v>
      </c>
      <c r="U533" s="41">
        <v>527</v>
      </c>
      <c r="V533" s="41">
        <f t="shared" si="283"/>
        <v>263.5</v>
      </c>
      <c r="W533" s="57">
        <f t="shared" si="284"/>
        <v>138606.7759096112</v>
      </c>
      <c r="X533" s="57">
        <f t="shared" si="285"/>
        <v>281716.28628387069</v>
      </c>
      <c r="Y533" s="57">
        <f t="shared" si="286"/>
        <v>1704.1296922879515</v>
      </c>
      <c r="Z533" s="57">
        <f t="shared" si="287"/>
        <v>2714.1630535934128</v>
      </c>
      <c r="AA533" s="57">
        <f t="shared" si="262"/>
        <v>-14.924254141182484</v>
      </c>
      <c r="AB533" s="57">
        <f t="shared" si="263"/>
        <v>-30.650251106124859</v>
      </c>
      <c r="AC533" s="57">
        <f t="shared" si="264"/>
        <v>-2.3247582083433991</v>
      </c>
      <c r="AD533" s="57">
        <f t="shared" si="265"/>
        <v>-5.3747904157321731</v>
      </c>
      <c r="AE533" s="57">
        <f t="shared" si="266"/>
        <v>-0.91397098726874548</v>
      </c>
      <c r="AF533" s="57">
        <f t="shared" si="267"/>
        <v>-1.565764142216685</v>
      </c>
      <c r="AG533" s="57">
        <f t="shared" si="268"/>
        <v>-2.0962787315828266</v>
      </c>
      <c r="AH533" s="57">
        <f t="shared" si="269"/>
        <v>-4.3312722280083626</v>
      </c>
      <c r="AJ533" s="57">
        <f t="shared" si="270"/>
        <v>298767.70065552677</v>
      </c>
      <c r="AK533" s="57">
        <f t="shared" si="271"/>
        <v>314620.16717995051</v>
      </c>
      <c r="AL533" s="57">
        <f t="shared" si="272"/>
        <v>329641.41219398571</v>
      </c>
      <c r="AN533" s="41">
        <v>528</v>
      </c>
      <c r="AO533" s="57">
        <f t="shared" si="273"/>
        <v>-2336.1070055035425</v>
      </c>
      <c r="AP533" s="57">
        <f t="shared" si="274"/>
        <v>16559.337681133195</v>
      </c>
      <c r="AR533" s="41">
        <v>528</v>
      </c>
      <c r="AS533" s="57">
        <f t="shared" si="275"/>
        <v>11576.483397431681</v>
      </c>
      <c r="AT533" s="57">
        <f t="shared" si="276"/>
        <v>-4272.3090821378428</v>
      </c>
      <c r="AV533" s="57">
        <f t="shared" si="277"/>
        <v>-8.8604571000334982</v>
      </c>
      <c r="AW533" s="57">
        <f t="shared" si="278"/>
        <v>-17.687936831117611</v>
      </c>
      <c r="AX533" s="57">
        <f t="shared" si="279"/>
        <v>-0.72878911395401569</v>
      </c>
      <c r="AY533" s="57">
        <f t="shared" si="280"/>
        <v>-1.6904874890500272</v>
      </c>
      <c r="BA533" s="57">
        <f t="shared" si="281"/>
        <v>298309.14826404629</v>
      </c>
      <c r="BB533" s="57">
        <f t="shared" si="282"/>
        <v>312225.66177555511</v>
      </c>
    </row>
    <row r="534" spans="9:54" x14ac:dyDescent="0.25">
      <c r="I534" s="41">
        <v>529</v>
      </c>
      <c r="J534" s="57">
        <f t="shared" si="256"/>
        <v>15091.86408276168</v>
      </c>
      <c r="K534" s="57">
        <f t="shared" si="257"/>
        <v>8454.0449768827275</v>
      </c>
      <c r="M534" s="41">
        <v>529</v>
      </c>
      <c r="N534" s="57">
        <f t="shared" si="258"/>
        <v>-23435.695142066823</v>
      </c>
      <c r="O534" s="57">
        <f t="shared" si="259"/>
        <v>10667.83148381791</v>
      </c>
      <c r="Q534" s="41">
        <v>529</v>
      </c>
      <c r="R534" s="57">
        <f t="shared" si="260"/>
        <v>-9908.13591723832</v>
      </c>
      <c r="S534" s="41">
        <f t="shared" si="261"/>
        <v>-14045.955023117273</v>
      </c>
      <c r="U534" s="41">
        <v>528</v>
      </c>
      <c r="V534" s="41">
        <f t="shared" si="283"/>
        <v>264</v>
      </c>
      <c r="W534" s="57">
        <f t="shared" si="284"/>
        <v>139456.97522398751</v>
      </c>
      <c r="X534" s="57">
        <f t="shared" si="285"/>
        <v>283069.53652927914</v>
      </c>
      <c r="Y534" s="57">
        <f t="shared" si="286"/>
        <v>1696.6675652173601</v>
      </c>
      <c r="Z534" s="57">
        <f t="shared" si="287"/>
        <v>2698.8379280403506</v>
      </c>
      <c r="AA534" s="57">
        <f t="shared" si="262"/>
        <v>-14.787092835053851</v>
      </c>
      <c r="AB534" s="57">
        <f t="shared" si="263"/>
        <v>-30.325210208399103</v>
      </c>
      <c r="AC534" s="57">
        <f t="shared" si="264"/>
        <v>-2.3047133416226657</v>
      </c>
      <c r="AD534" s="57">
        <f t="shared" si="265"/>
        <v>-5.316632086095809</v>
      </c>
      <c r="AE534" s="57">
        <f t="shared" si="266"/>
        <v>-0.90502269146215031</v>
      </c>
      <c r="AF534" s="57">
        <f t="shared" si="267"/>
        <v>-1.5498483309300424</v>
      </c>
      <c r="AG534" s="57">
        <f t="shared" si="268"/>
        <v>-2.0785234332728701</v>
      </c>
      <c r="AH534" s="57">
        <f t="shared" si="269"/>
        <v>-4.2887822859384732</v>
      </c>
      <c r="AJ534" s="57">
        <f t="shared" si="270"/>
        <v>300347.36288608576</v>
      </c>
      <c r="AK534" s="57">
        <f t="shared" si="271"/>
        <v>316217.48643599497</v>
      </c>
      <c r="AL534" s="57">
        <f t="shared" si="272"/>
        <v>331229.92965256475</v>
      </c>
      <c r="AN534" s="41">
        <v>529</v>
      </c>
      <c r="AO534" s="57">
        <f t="shared" si="273"/>
        <v>-2362.2038758574781</v>
      </c>
      <c r="AP534" s="57">
        <f t="shared" si="274"/>
        <v>16431.067465324093</v>
      </c>
      <c r="AR534" s="41">
        <v>529</v>
      </c>
      <c r="AS534" s="57">
        <f t="shared" si="275"/>
        <v>11564.304857933177</v>
      </c>
      <c r="AT534" s="57">
        <f t="shared" si="276"/>
        <v>-4332.1685161820906</v>
      </c>
      <c r="AV534" s="57">
        <f t="shared" si="277"/>
        <v>-8.7760499008340993</v>
      </c>
      <c r="AW534" s="57">
        <f t="shared" si="278"/>
        <v>-17.496984634343566</v>
      </c>
      <c r="AX534" s="57">
        <f t="shared" si="279"/>
        <v>-0.72278346786206449</v>
      </c>
      <c r="AY534" s="57">
        <f t="shared" si="280"/>
        <v>-1.6729628710912126</v>
      </c>
      <c r="BA534" s="57">
        <f t="shared" si="281"/>
        <v>299899.90763820935</v>
      </c>
      <c r="BB534" s="57">
        <f t="shared" si="282"/>
        <v>313805.02952963952</v>
      </c>
    </row>
    <row r="535" spans="9:54" x14ac:dyDescent="0.25">
      <c r="I535" s="41">
        <v>530</v>
      </c>
      <c r="J535" s="57">
        <f t="shared" si="256"/>
        <v>15075.961234938961</v>
      </c>
      <c r="K535" s="57">
        <f t="shared" si="257"/>
        <v>8368.2408883346525</v>
      </c>
      <c r="M535" s="41">
        <v>530</v>
      </c>
      <c r="N535" s="57">
        <f t="shared" si="258"/>
        <v>-23446.827135542728</v>
      </c>
      <c r="O535" s="57">
        <f t="shared" si="259"/>
        <v>10607.768621834257</v>
      </c>
      <c r="Q535" s="41">
        <v>530</v>
      </c>
      <c r="R535" s="57">
        <f t="shared" si="260"/>
        <v>-9924.0387650610392</v>
      </c>
      <c r="S535" s="41">
        <f t="shared" si="261"/>
        <v>-14131.759111665348</v>
      </c>
      <c r="U535" s="41">
        <v>529</v>
      </c>
      <c r="V535" s="41">
        <f t="shared" si="283"/>
        <v>264.5</v>
      </c>
      <c r="W535" s="57">
        <f t="shared" si="284"/>
        <v>140303.46061999182</v>
      </c>
      <c r="X535" s="57">
        <f t="shared" si="285"/>
        <v>284415.16484202322</v>
      </c>
      <c r="Y535" s="57">
        <f t="shared" si="286"/>
        <v>1689.2740187998331</v>
      </c>
      <c r="Z535" s="57">
        <f t="shared" si="287"/>
        <v>2683.6753229361511</v>
      </c>
      <c r="AA535" s="57">
        <f t="shared" si="262"/>
        <v>-14.652576417763617</v>
      </c>
      <c r="AB535" s="57">
        <f t="shared" si="263"/>
        <v>-30.006930694388213</v>
      </c>
      <c r="AC535" s="57">
        <f t="shared" si="264"/>
        <v>-2.2850317030042713</v>
      </c>
      <c r="AD535" s="57">
        <f t="shared" si="265"/>
        <v>-5.2596984945047032</v>
      </c>
      <c r="AE535" s="57">
        <f t="shared" si="266"/>
        <v>-0.89625568428331037</v>
      </c>
      <c r="AF535" s="57">
        <f t="shared" si="267"/>
        <v>-1.5342535363365226</v>
      </c>
      <c r="AG535" s="57">
        <f t="shared" si="268"/>
        <v>-2.0610919313647278</v>
      </c>
      <c r="AH535" s="57">
        <f t="shared" si="269"/>
        <v>-4.2471265154384499</v>
      </c>
      <c r="AJ535" s="57">
        <f t="shared" si="270"/>
        <v>301918.74926315987</v>
      </c>
      <c r="AK535" s="57">
        <f t="shared" si="271"/>
        <v>317806.35956824408</v>
      </c>
      <c r="AL535" s="57">
        <f t="shared" si="272"/>
        <v>332810.06085381709</v>
      </c>
      <c r="AN535" s="41">
        <v>530</v>
      </c>
      <c r="AO535" s="57">
        <f t="shared" si="273"/>
        <v>-2386.0581475915606</v>
      </c>
      <c r="AP535" s="57">
        <f t="shared" si="274"/>
        <v>16302.36133250198</v>
      </c>
      <c r="AR535" s="41">
        <v>530</v>
      </c>
      <c r="AS535" s="57">
        <f t="shared" si="275"/>
        <v>11553.172864457272</v>
      </c>
      <c r="AT535" s="57">
        <f t="shared" si="276"/>
        <v>-4392.2313781657431</v>
      </c>
      <c r="AV535" s="57">
        <f t="shared" si="277"/>
        <v>-8.6933136549105097</v>
      </c>
      <c r="AW535" s="57">
        <f t="shared" si="278"/>
        <v>-17.310056377191188</v>
      </c>
      <c r="AX535" s="57">
        <f t="shared" si="279"/>
        <v>-0.7168834442007973</v>
      </c>
      <c r="AY535" s="57">
        <f t="shared" si="280"/>
        <v>-1.6557957709173494</v>
      </c>
      <c r="BA535" s="57">
        <f t="shared" si="281"/>
        <v>301482.26731036807</v>
      </c>
      <c r="BB535" s="57">
        <f t="shared" si="282"/>
        <v>315376.11654004699</v>
      </c>
    </row>
    <row r="536" spans="9:54" x14ac:dyDescent="0.25">
      <c r="I536" s="41">
        <v>531</v>
      </c>
      <c r="J536" s="57">
        <f t="shared" si="256"/>
        <v>15061.558297024312</v>
      </c>
      <c r="K536" s="57">
        <f t="shared" si="257"/>
        <v>8282.1723252011598</v>
      </c>
      <c r="M536" s="41">
        <v>531</v>
      </c>
      <c r="N536" s="57">
        <f t="shared" si="258"/>
        <v>-23456.909192082981</v>
      </c>
      <c r="O536" s="57">
        <f t="shared" si="259"/>
        <v>10547.520627640812</v>
      </c>
      <c r="Q536" s="41">
        <v>531</v>
      </c>
      <c r="R536" s="57">
        <f t="shared" si="260"/>
        <v>-9938.4417029756878</v>
      </c>
      <c r="S536" s="41">
        <f t="shared" si="261"/>
        <v>-14217.82767479884</v>
      </c>
      <c r="U536" s="41">
        <v>530</v>
      </c>
      <c r="V536" s="41">
        <f t="shared" si="283"/>
        <v>265</v>
      </c>
      <c r="W536" s="57">
        <f t="shared" si="284"/>
        <v>141146.26605733953</v>
      </c>
      <c r="X536" s="57">
        <f t="shared" si="285"/>
        <v>285753.25163715449</v>
      </c>
      <c r="Y536" s="57">
        <f t="shared" si="286"/>
        <v>1681.9477305909513</v>
      </c>
      <c r="Z536" s="57">
        <f t="shared" si="287"/>
        <v>2668.6718575889572</v>
      </c>
      <c r="AA536" s="57">
        <f t="shared" si="262"/>
        <v>-14.520631758297808</v>
      </c>
      <c r="AB536" s="57">
        <f t="shared" si="263"/>
        <v>-29.69521280391967</v>
      </c>
      <c r="AC536" s="57">
        <f t="shared" si="264"/>
        <v>-2.265703942911379</v>
      </c>
      <c r="AD536" s="57">
        <f t="shared" si="265"/>
        <v>-5.2039531211289729</v>
      </c>
      <c r="AE536" s="57">
        <f t="shared" si="266"/>
        <v>-0.88766470673154796</v>
      </c>
      <c r="AF536" s="57">
        <f t="shared" si="267"/>
        <v>-1.5189705305220567</v>
      </c>
      <c r="AG536" s="57">
        <f t="shared" si="268"/>
        <v>-2.0439757050553413</v>
      </c>
      <c r="AH536" s="57">
        <f t="shared" si="269"/>
        <v>-4.2062815297761569</v>
      </c>
      <c r="AJ536" s="57">
        <f t="shared" si="270"/>
        <v>303481.94316348596</v>
      </c>
      <c r="AK536" s="57">
        <f t="shared" si="271"/>
        <v>319386.87332557474</v>
      </c>
      <c r="AL536" s="57">
        <f t="shared" si="272"/>
        <v>334381.89163413772</v>
      </c>
      <c r="AN536" s="41">
        <v>531</v>
      </c>
      <c r="AO536" s="57">
        <f t="shared" si="273"/>
        <v>-2407.6625544635317</v>
      </c>
      <c r="AP536" s="57">
        <f t="shared" si="274"/>
        <v>16173.258487801741</v>
      </c>
      <c r="AR536" s="41">
        <v>531</v>
      </c>
      <c r="AS536" s="57">
        <f t="shared" si="275"/>
        <v>11543.090807917019</v>
      </c>
      <c r="AT536" s="57">
        <f t="shared" si="276"/>
        <v>-4452.4793723591874</v>
      </c>
      <c r="AV536" s="57">
        <f t="shared" si="277"/>
        <v>-8.6122010109304163</v>
      </c>
      <c r="AW536" s="57">
        <f t="shared" si="278"/>
        <v>-17.127031794468337</v>
      </c>
      <c r="AX536" s="57">
        <f t="shared" si="279"/>
        <v>-0.71108639266912455</v>
      </c>
      <c r="AY536" s="57">
        <f t="shared" si="280"/>
        <v>-1.6389758280241471</v>
      </c>
      <c r="BA536" s="57">
        <f t="shared" si="281"/>
        <v>303056.31330405932</v>
      </c>
      <c r="BB536" s="57">
        <f t="shared" si="282"/>
        <v>316939.00639995001</v>
      </c>
    </row>
    <row r="537" spans="9:54" x14ac:dyDescent="0.25">
      <c r="I537" s="41">
        <v>532</v>
      </c>
      <c r="J537" s="57">
        <f t="shared" si="256"/>
        <v>15048.659656292148</v>
      </c>
      <c r="K537" s="57">
        <f t="shared" si="257"/>
        <v>8195.8655048003293</v>
      </c>
      <c r="M537" s="41">
        <v>532</v>
      </c>
      <c r="N537" s="57">
        <f t="shared" si="258"/>
        <v>-23465.938240595497</v>
      </c>
      <c r="O537" s="57">
        <f t="shared" si="259"/>
        <v>10487.105853360232</v>
      </c>
      <c r="Q537" s="41">
        <v>532</v>
      </c>
      <c r="R537" s="57">
        <f t="shared" si="260"/>
        <v>-9951.3403437078523</v>
      </c>
      <c r="S537" s="41">
        <f t="shared" si="261"/>
        <v>-14304.134495199671</v>
      </c>
      <c r="U537" s="41">
        <v>531</v>
      </c>
      <c r="V537" s="41">
        <f t="shared" si="283"/>
        <v>265.5</v>
      </c>
      <c r="W537" s="57">
        <f t="shared" si="284"/>
        <v>141985.42484366521</v>
      </c>
      <c r="X537" s="57">
        <f t="shared" si="285"/>
        <v>287083.87566434848</v>
      </c>
      <c r="Y537" s="57">
        <f t="shared" si="286"/>
        <v>1674.6874147118024</v>
      </c>
      <c r="Z537" s="57">
        <f t="shared" si="287"/>
        <v>2653.8242511869976</v>
      </c>
      <c r="AA537" s="57">
        <f t="shared" si="262"/>
        <v>-14.391188366236054</v>
      </c>
      <c r="AB537" s="57">
        <f t="shared" si="263"/>
        <v>-29.389864414365686</v>
      </c>
      <c r="AC537" s="57">
        <f t="shared" si="264"/>
        <v>-2.246721023263289</v>
      </c>
      <c r="AD537" s="57">
        <f t="shared" si="265"/>
        <v>-5.1493608521308616</v>
      </c>
      <c r="AE537" s="57">
        <f t="shared" si="266"/>
        <v>-0.87924469855067755</v>
      </c>
      <c r="AF537" s="57">
        <f t="shared" si="267"/>
        <v>-1.5039904297987274</v>
      </c>
      <c r="AG537" s="57">
        <f t="shared" si="268"/>
        <v>-2.0271665282364566</v>
      </c>
      <c r="AH537" s="57">
        <f t="shared" si="269"/>
        <v>-4.1662247948600113</v>
      </c>
      <c r="AJ537" s="57">
        <f t="shared" si="270"/>
        <v>305037.0262866253</v>
      </c>
      <c r="AK537" s="57">
        <f t="shared" si="271"/>
        <v>320959.11268409074</v>
      </c>
      <c r="AL537" s="57">
        <f t="shared" si="272"/>
        <v>335945.50607630744</v>
      </c>
      <c r="AN537" s="41">
        <v>532</v>
      </c>
      <c r="AO537" s="57">
        <f t="shared" si="273"/>
        <v>-2427.0105155617766</v>
      </c>
      <c r="AP537" s="57">
        <f t="shared" si="274"/>
        <v>16043.798257200495</v>
      </c>
      <c r="AR537" s="41">
        <v>532</v>
      </c>
      <c r="AS537" s="57">
        <f t="shared" si="275"/>
        <v>11534.061759404503</v>
      </c>
      <c r="AT537" s="57">
        <f t="shared" si="276"/>
        <v>-4512.8941466397691</v>
      </c>
      <c r="AV537" s="57">
        <f t="shared" si="277"/>
        <v>-8.5326663667143432</v>
      </c>
      <c r="AW537" s="57">
        <f t="shared" si="278"/>
        <v>-16.947795266949043</v>
      </c>
      <c r="AX537" s="57">
        <f t="shared" si="279"/>
        <v>-0.70538974947128785</v>
      </c>
      <c r="AY537" s="57">
        <f t="shared" si="280"/>
        <v>-1.6224930706270397</v>
      </c>
      <c r="BA537" s="57">
        <f t="shared" si="281"/>
        <v>304622.12988575222</v>
      </c>
      <c r="BB537" s="57">
        <f t="shared" si="282"/>
        <v>318493.78101594502</v>
      </c>
    </row>
    <row r="538" spans="9:54" x14ac:dyDescent="0.25">
      <c r="I538" s="41">
        <v>533</v>
      </c>
      <c r="J538" s="57">
        <f t="shared" si="256"/>
        <v>15037.26924179339</v>
      </c>
      <c r="K538" s="57">
        <f t="shared" si="257"/>
        <v>8109.3467170257454</v>
      </c>
      <c r="M538" s="41">
        <v>533</v>
      </c>
      <c r="N538" s="57">
        <f t="shared" si="258"/>
        <v>-23473.911530744626</v>
      </c>
      <c r="O538" s="57">
        <f t="shared" si="259"/>
        <v>10426.542701918022</v>
      </c>
      <c r="Q538" s="41">
        <v>533</v>
      </c>
      <c r="R538" s="57">
        <f t="shared" si="260"/>
        <v>-9962.7307582066096</v>
      </c>
      <c r="S538" s="41">
        <f t="shared" si="261"/>
        <v>-14390.653282974254</v>
      </c>
      <c r="U538" s="41">
        <v>532</v>
      </c>
      <c r="V538" s="41">
        <f t="shared" si="283"/>
        <v>266</v>
      </c>
      <c r="W538" s="57">
        <f t="shared" si="284"/>
        <v>142820.96965247532</v>
      </c>
      <c r="X538" s="57">
        <f t="shared" si="285"/>
        <v>288407.11405689019</v>
      </c>
      <c r="Y538" s="57">
        <f t="shared" si="286"/>
        <v>1667.4918205286845</v>
      </c>
      <c r="Z538" s="57">
        <f t="shared" si="287"/>
        <v>2639.1293189798148</v>
      </c>
      <c r="AA538" s="57">
        <f t="shared" si="262"/>
        <v>-14.264178274619624</v>
      </c>
      <c r="AB538" s="57">
        <f t="shared" si="263"/>
        <v>-29.090700683865453</v>
      </c>
      <c r="AC538" s="57">
        <f t="shared" si="264"/>
        <v>-2.2280742048668691</v>
      </c>
      <c r="AD538" s="57">
        <f t="shared" si="265"/>
        <v>-5.0958879136412891</v>
      </c>
      <c r="AE538" s="57">
        <f t="shared" si="266"/>
        <v>-0.87099078901726146</v>
      </c>
      <c r="AF538" s="57">
        <f t="shared" si="267"/>
        <v>-1.4893046789857571</v>
      </c>
      <c r="AG538" s="57">
        <f t="shared" si="268"/>
        <v>-2.0106564569139307</v>
      </c>
      <c r="AH538" s="57">
        <f t="shared" si="269"/>
        <v>-4.1269345911227564</v>
      </c>
      <c r="AJ538" s="57">
        <f t="shared" si="270"/>
        <v>306584.0787029636</v>
      </c>
      <c r="AK538" s="57">
        <f t="shared" si="271"/>
        <v>322523.16089865321</v>
      </c>
      <c r="AL538" s="57">
        <f t="shared" si="272"/>
        <v>337500.98656052665</v>
      </c>
      <c r="AN538" s="41">
        <v>533</v>
      </c>
      <c r="AO538" s="57">
        <f t="shared" si="273"/>
        <v>-2444.0961373099144</v>
      </c>
      <c r="AP538" s="57">
        <f t="shared" si="274"/>
        <v>15914.020075538618</v>
      </c>
      <c r="AR538" s="41">
        <v>533</v>
      </c>
      <c r="AS538" s="57">
        <f t="shared" si="275"/>
        <v>11526.088469255374</v>
      </c>
      <c r="AT538" s="57">
        <f t="shared" si="276"/>
        <v>-4573.4572980819785</v>
      </c>
      <c r="AV538" s="57">
        <f t="shared" si="277"/>
        <v>-8.4546657899509619</v>
      </c>
      <c r="AW538" s="57">
        <f t="shared" si="278"/>
        <v>-16.772235602280087</v>
      </c>
      <c r="AX538" s="57">
        <f t="shared" si="279"/>
        <v>-0.69979103387059982</v>
      </c>
      <c r="AY538" s="57">
        <f t="shared" si="280"/>
        <v>-1.6063378978355607</v>
      </c>
      <c r="BA538" s="57">
        <f t="shared" si="281"/>
        <v>306179.79961595422</v>
      </c>
      <c r="BB538" s="57">
        <f t="shared" si="282"/>
        <v>320040.52065651311</v>
      </c>
    </row>
    <row r="539" spans="9:54" x14ac:dyDescent="0.25">
      <c r="I539" s="41">
        <v>534</v>
      </c>
      <c r="J539" s="57">
        <f t="shared" si="256"/>
        <v>15027.390523158632</v>
      </c>
      <c r="K539" s="57">
        <f t="shared" si="257"/>
        <v>8022.6423163382724</v>
      </c>
      <c r="M539" s="41">
        <v>534</v>
      </c>
      <c r="N539" s="57">
        <f t="shared" si="258"/>
        <v>-23480.826633788958</v>
      </c>
      <c r="O539" s="57">
        <f t="shared" si="259"/>
        <v>10365.84962143679</v>
      </c>
      <c r="Q539" s="41">
        <v>534</v>
      </c>
      <c r="R539" s="57">
        <f t="shared" si="260"/>
        <v>-9972.6094768413677</v>
      </c>
      <c r="S539" s="41">
        <f t="shared" si="261"/>
        <v>-14477.357683661729</v>
      </c>
      <c r="U539" s="41">
        <v>533</v>
      </c>
      <c r="V539" s="41">
        <f t="shared" si="283"/>
        <v>266.5</v>
      </c>
      <c r="W539" s="57">
        <f t="shared" si="284"/>
        <v>143652.93254045534</v>
      </c>
      <c r="X539" s="57">
        <f t="shared" si="285"/>
        <v>289723.04237879463</v>
      </c>
      <c r="Y539" s="57">
        <f t="shared" si="286"/>
        <v>1660.3597313913747</v>
      </c>
      <c r="Z539" s="57">
        <f t="shared" si="287"/>
        <v>2624.5839686378822</v>
      </c>
      <c r="AA539" s="57">
        <f t="shared" si="262"/>
        <v>-14.139535928964939</v>
      </c>
      <c r="AB539" s="57">
        <f t="shared" si="263"/>
        <v>-28.797543714182066</v>
      </c>
      <c r="AC539" s="57">
        <f t="shared" si="264"/>
        <v>-2.2097550354036173</v>
      </c>
      <c r="AD539" s="57">
        <f t="shared" si="265"/>
        <v>-5.0435018093843702</v>
      </c>
      <c r="AE539" s="57">
        <f t="shared" si="266"/>
        <v>-0.86289828823319403</v>
      </c>
      <c r="AF539" s="57">
        <f t="shared" si="267"/>
        <v>-1.4749050365374619</v>
      </c>
      <c r="AG539" s="57">
        <f t="shared" si="268"/>
        <v>-1.9944378172646549</v>
      </c>
      <c r="AH539" s="57">
        <f t="shared" si="269"/>
        <v>-4.0883899774181103</v>
      </c>
      <c r="AJ539" s="57">
        <f t="shared" si="270"/>
        <v>308123.17889992846</v>
      </c>
      <c r="AK539" s="57">
        <f t="shared" si="271"/>
        <v>324079.09955247003</v>
      </c>
      <c r="AL539" s="57">
        <f t="shared" si="272"/>
        <v>339048.41381352284</v>
      </c>
      <c r="AN539" s="41">
        <v>534</v>
      </c>
      <c r="AO539" s="57">
        <f t="shared" si="273"/>
        <v>-2458.9142152620498</v>
      </c>
      <c r="AP539" s="57">
        <f t="shared" si="274"/>
        <v>15783.963474507409</v>
      </c>
      <c r="AR539" s="41">
        <v>534</v>
      </c>
      <c r="AS539" s="57">
        <f t="shared" si="275"/>
        <v>11519.173366211044</v>
      </c>
      <c r="AT539" s="57">
        <f t="shared" si="276"/>
        <v>-4634.1503785632094</v>
      </c>
      <c r="AV539" s="57">
        <f t="shared" si="277"/>
        <v>-8.3781569431592811</v>
      </c>
      <c r="AW539" s="57">
        <f t="shared" si="278"/>
        <v>-16.600245828051069</v>
      </c>
      <c r="AX539" s="57">
        <f t="shared" si="279"/>
        <v>-0.69428784490419215</v>
      </c>
      <c r="AY539" s="57">
        <f t="shared" si="280"/>
        <v>-1.5905010627910561</v>
      </c>
      <c r="BA539" s="57">
        <f t="shared" si="281"/>
        <v>307729.40339838999</v>
      </c>
      <c r="BB539" s="57">
        <f t="shared" si="282"/>
        <v>321579.30399867421</v>
      </c>
    </row>
    <row r="540" spans="9:54" x14ac:dyDescent="0.25">
      <c r="I540" s="41">
        <v>535</v>
      </c>
      <c r="J540" s="57">
        <f t="shared" si="256"/>
        <v>15019.026509541272</v>
      </c>
      <c r="K540" s="57">
        <f t="shared" si="257"/>
        <v>7935.778713738292</v>
      </c>
      <c r="M540" s="41">
        <v>535</v>
      </c>
      <c r="N540" s="57">
        <f t="shared" si="258"/>
        <v>-23486.681443321111</v>
      </c>
      <c r="O540" s="57">
        <f t="shared" si="259"/>
        <v>10305.045099616804</v>
      </c>
      <c r="Q540" s="41">
        <v>535</v>
      </c>
      <c r="R540" s="57">
        <f t="shared" si="260"/>
        <v>-9980.9734904587276</v>
      </c>
      <c r="S540" s="41">
        <f t="shared" si="261"/>
        <v>-14564.221286261707</v>
      </c>
      <c r="U540" s="41">
        <v>534</v>
      </c>
      <c r="V540" s="41">
        <f t="shared" si="283"/>
        <v>267</v>
      </c>
      <c r="W540" s="57">
        <f t="shared" si="284"/>
        <v>144481.34496415989</v>
      </c>
      <c r="X540" s="57">
        <f t="shared" si="285"/>
        <v>291031.73467014928</v>
      </c>
      <c r="Y540" s="57">
        <f t="shared" si="286"/>
        <v>1653.2899634268922</v>
      </c>
      <c r="Z540" s="57">
        <f t="shared" si="287"/>
        <v>2610.1851967807911</v>
      </c>
      <c r="AA540" s="57">
        <f t="shared" si="262"/>
        <v>-14.01719808205026</v>
      </c>
      <c r="AB540" s="57">
        <f t="shared" si="263"/>
        <v>-28.510222231951403</v>
      </c>
      <c r="AC540" s="57">
        <f t="shared" si="264"/>
        <v>-2.1917553379800978</v>
      </c>
      <c r="AD540" s="57">
        <f t="shared" si="265"/>
        <v>-4.9921712617177816</v>
      </c>
      <c r="AE540" s="57">
        <f t="shared" si="266"/>
        <v>-0.8549626788907323</v>
      </c>
      <c r="AF540" s="57">
        <f t="shared" si="267"/>
        <v>-1.4607835604655039</v>
      </c>
      <c r="AG540" s="57">
        <f t="shared" si="268"/>
        <v>-1.9785031942940488</v>
      </c>
      <c r="AH540" s="57">
        <f t="shared" si="269"/>
        <v>-4.0505707568085638</v>
      </c>
      <c r="AJ540" s="57">
        <f t="shared" si="270"/>
        <v>309654.40382650803</v>
      </c>
      <c r="AK540" s="57">
        <f t="shared" si="271"/>
        <v>325627.00860483322</v>
      </c>
      <c r="AL540" s="57">
        <f t="shared" si="272"/>
        <v>340587.86695581919</v>
      </c>
      <c r="AN540" s="41">
        <v>535</v>
      </c>
      <c r="AO540" s="57">
        <f t="shared" si="273"/>
        <v>-2471.4602356880914</v>
      </c>
      <c r="AP540" s="57">
        <f t="shared" si="274"/>
        <v>15653.668070607438</v>
      </c>
      <c r="AR540" s="41">
        <v>535</v>
      </c>
      <c r="AS540" s="57">
        <f t="shared" si="275"/>
        <v>11513.318556678891</v>
      </c>
      <c r="AT540" s="57">
        <f t="shared" si="276"/>
        <v>-4694.9549003831953</v>
      </c>
      <c r="AV540" s="57">
        <f t="shared" si="277"/>
        <v>-8.3030990126352116</v>
      </c>
      <c r="AW540" s="57">
        <f t="shared" si="278"/>
        <v>-16.431722996251693</v>
      </c>
      <c r="AX540" s="57">
        <f t="shared" si="279"/>
        <v>-0.68887785825017023</v>
      </c>
      <c r="AY540" s="57">
        <f t="shared" si="280"/>
        <v>-1.5749736567078623</v>
      </c>
      <c r="BA540" s="57">
        <f t="shared" si="281"/>
        <v>309271.02052734047</v>
      </c>
      <c r="BB540" s="57">
        <f t="shared" si="282"/>
        <v>323110.20817291649</v>
      </c>
    </row>
    <row r="541" spans="9:54" x14ac:dyDescent="0.25">
      <c r="I541" s="41">
        <v>536</v>
      </c>
      <c r="J541" s="57">
        <f t="shared" si="256"/>
        <v>15012.179748700879</v>
      </c>
      <c r="K541" s="57">
        <f t="shared" si="257"/>
        <v>7848.7823687206328</v>
      </c>
      <c r="M541" s="41">
        <v>536</v>
      </c>
      <c r="N541" s="57">
        <f t="shared" si="258"/>
        <v>-23491.474175909385</v>
      </c>
      <c r="O541" s="57">
        <f t="shared" si="259"/>
        <v>10244.147658104443</v>
      </c>
      <c r="Q541" s="41">
        <v>536</v>
      </c>
      <c r="R541" s="57">
        <f t="shared" si="260"/>
        <v>-9987.8202512991211</v>
      </c>
      <c r="S541" s="41">
        <f t="shared" si="261"/>
        <v>-14651.217631279367</v>
      </c>
      <c r="U541" s="41">
        <v>535</v>
      </c>
      <c r="V541" s="41">
        <f t="shared" si="283"/>
        <v>267.5</v>
      </c>
      <c r="W541" s="57">
        <f t="shared" si="284"/>
        <v>145306.23779611307</v>
      </c>
      <c r="X541" s="57">
        <f t="shared" si="285"/>
        <v>292333.2634907607</v>
      </c>
      <c r="Y541" s="57">
        <f t="shared" si="286"/>
        <v>1646.2813643858672</v>
      </c>
      <c r="Z541" s="57">
        <f t="shared" si="287"/>
        <v>2595.9300856648156</v>
      </c>
      <c r="AA541" s="57">
        <f t="shared" si="262"/>
        <v>-13.897103694130859</v>
      </c>
      <c r="AB541" s="57">
        <f t="shared" si="263"/>
        <v>-28.228571287173157</v>
      </c>
      <c r="AC541" s="57">
        <f t="shared" si="264"/>
        <v>-2.1740672002122072</v>
      </c>
      <c r="AD541" s="57">
        <f t="shared" si="265"/>
        <v>-4.9418661558752239</v>
      </c>
      <c r="AE541" s="57">
        <f t="shared" si="266"/>
        <v>-0.84717960848062046</v>
      </c>
      <c r="AF541" s="57">
        <f t="shared" si="267"/>
        <v>-1.4469325950069056</v>
      </c>
      <c r="AG541" s="57">
        <f t="shared" si="268"/>
        <v>-1.962845421058951</v>
      </c>
      <c r="AH541" s="57">
        <f t="shared" si="269"/>
        <v>-4.0134574441297319</v>
      </c>
      <c r="AJ541" s="57">
        <f t="shared" si="270"/>
        <v>311177.8289361457</v>
      </c>
      <c r="AK541" s="57">
        <f t="shared" si="271"/>
        <v>327166.96643709065</v>
      </c>
      <c r="AL541" s="57">
        <f t="shared" si="272"/>
        <v>342119.42354725057</v>
      </c>
      <c r="AN541" s="41">
        <v>536</v>
      </c>
      <c r="AO541" s="57">
        <f t="shared" si="273"/>
        <v>-2481.7303769486816</v>
      </c>
      <c r="AP541" s="57">
        <f t="shared" si="274"/>
        <v>15523.173553080949</v>
      </c>
      <c r="AR541" s="41">
        <v>536</v>
      </c>
      <c r="AS541" s="57">
        <f t="shared" si="275"/>
        <v>11508.525824090615</v>
      </c>
      <c r="AT541" s="57">
        <f t="shared" si="276"/>
        <v>-4755.8523418955565</v>
      </c>
      <c r="AV541" s="57">
        <f t="shared" si="277"/>
        <v>-8.2294526411399165</v>
      </c>
      <c r="AW541" s="57">
        <f t="shared" si="278"/>
        <v>-16.266567998398859</v>
      </c>
      <c r="AX541" s="57">
        <f t="shared" si="279"/>
        <v>-0.68355882323916284</v>
      </c>
      <c r="AY541" s="57">
        <f t="shared" si="280"/>
        <v>-1.5597470937624365</v>
      </c>
      <c r="BA541" s="57">
        <f t="shared" si="281"/>
        <v>310804.72873322747</v>
      </c>
      <c r="BB541" s="57">
        <f t="shared" si="282"/>
        <v>324633.30880647985</v>
      </c>
    </row>
    <row r="542" spans="9:54" x14ac:dyDescent="0.25">
      <c r="I542" s="41">
        <v>537</v>
      </c>
      <c r="J542" s="57">
        <f t="shared" si="256"/>
        <v>15006.85232622713</v>
      </c>
      <c r="K542" s="57">
        <f t="shared" si="257"/>
        <v>7761.6797812147224</v>
      </c>
      <c r="M542" s="41">
        <v>537</v>
      </c>
      <c r="N542" s="57">
        <f t="shared" si="258"/>
        <v>-23495.203371641008</v>
      </c>
      <c r="O542" s="57">
        <f t="shared" si="259"/>
        <v>10183.175846850305</v>
      </c>
      <c r="Q542" s="41">
        <v>537</v>
      </c>
      <c r="R542" s="57">
        <f t="shared" si="260"/>
        <v>-9993.1476737728699</v>
      </c>
      <c r="S542" s="41">
        <f t="shared" si="261"/>
        <v>-14738.320218785277</v>
      </c>
      <c r="U542" s="41">
        <v>536</v>
      </c>
      <c r="V542" s="41">
        <f t="shared" si="283"/>
        <v>268</v>
      </c>
      <c r="W542" s="57">
        <f t="shared" si="284"/>
        <v>146127.64134034424</v>
      </c>
      <c r="X542" s="57">
        <f t="shared" si="285"/>
        <v>293627.6999621822</v>
      </c>
      <c r="Y542" s="57">
        <f t="shared" si="286"/>
        <v>1639.3328125388018</v>
      </c>
      <c r="Z542" s="57">
        <f t="shared" si="287"/>
        <v>2581.8158000212288</v>
      </c>
      <c r="AA542" s="57">
        <f t="shared" si="262"/>
        <v>-13.779193838258845</v>
      </c>
      <c r="AB542" s="57">
        <f t="shared" si="263"/>
        <v>-27.952431967870282</v>
      </c>
      <c r="AC542" s="57">
        <f t="shared" si="264"/>
        <v>-2.1566829638147462</v>
      </c>
      <c r="AD542" s="57">
        <f t="shared" si="265"/>
        <v>-4.8925574872107669</v>
      </c>
      <c r="AE542" s="57">
        <f t="shared" si="266"/>
        <v>-0.83954488191575938</v>
      </c>
      <c r="AF542" s="57">
        <f t="shared" si="267"/>
        <v>-1.4333447579921879</v>
      </c>
      <c r="AG542" s="57">
        <f t="shared" si="268"/>
        <v>-1.9474575684233963</v>
      </c>
      <c r="AH542" s="57">
        <f t="shared" si="269"/>
        <v>-3.9770312352251769</v>
      </c>
      <c r="AJ542" s="57">
        <f t="shared" si="270"/>
        <v>312693.52822808322</v>
      </c>
      <c r="AK542" s="57">
        <f t="shared" si="271"/>
        <v>328699.04989692883</v>
      </c>
      <c r="AL542" s="57">
        <f t="shared" si="272"/>
        <v>343643.15963080432</v>
      </c>
      <c r="AN542" s="41">
        <v>537</v>
      </c>
      <c r="AO542" s="57">
        <f t="shared" si="273"/>
        <v>-2489.7215106593039</v>
      </c>
      <c r="AP542" s="57">
        <f t="shared" si="274"/>
        <v>15392.519671822083</v>
      </c>
      <c r="AR542" s="41">
        <v>537</v>
      </c>
      <c r="AS542" s="57">
        <f t="shared" si="275"/>
        <v>11504.796628358992</v>
      </c>
      <c r="AT542" s="57">
        <f t="shared" si="276"/>
        <v>-4816.8241531496942</v>
      </c>
      <c r="AV542" s="57">
        <f t="shared" si="277"/>
        <v>-8.1571798641023019</v>
      </c>
      <c r="AW542" s="57">
        <f t="shared" si="278"/>
        <v>-16.104685390663573</v>
      </c>
      <c r="AX542" s="57">
        <f t="shared" si="279"/>
        <v>-0.67832856000264019</v>
      </c>
      <c r="AY542" s="57">
        <f t="shared" si="280"/>
        <v>-1.5448130967785756</v>
      </c>
      <c r="BA542" s="57">
        <f t="shared" si="281"/>
        <v>312330.60422652256</v>
      </c>
      <c r="BB542" s="57">
        <f t="shared" si="282"/>
        <v>326148.68006506644</v>
      </c>
    </row>
    <row r="543" spans="9:54" x14ac:dyDescent="0.25">
      <c r="I543" s="41">
        <v>538</v>
      </c>
      <c r="J543" s="57">
        <f t="shared" si="256"/>
        <v>15003.045864904521</v>
      </c>
      <c r="K543" s="57">
        <f t="shared" si="257"/>
        <v>7674.4974835125049</v>
      </c>
      <c r="M543" s="41">
        <v>538</v>
      </c>
      <c r="N543" s="57">
        <f t="shared" si="258"/>
        <v>-23497.867894566836</v>
      </c>
      <c r="O543" s="57">
        <f t="shared" si="259"/>
        <v>10122.148238458753</v>
      </c>
      <c r="Q543" s="41">
        <v>538</v>
      </c>
      <c r="R543" s="57">
        <f t="shared" si="260"/>
        <v>-9996.9541350954787</v>
      </c>
      <c r="S543" s="41">
        <f t="shared" si="261"/>
        <v>-14825.502516487495</v>
      </c>
      <c r="U543" s="41">
        <v>537</v>
      </c>
      <c r="V543" s="41">
        <f t="shared" si="283"/>
        <v>268.5</v>
      </c>
      <c r="W543" s="57">
        <f t="shared" si="284"/>
        <v>146945.58534738384</v>
      </c>
      <c r="X543" s="57">
        <f t="shared" si="285"/>
        <v>294915.11380819685</v>
      </c>
      <c r="Y543" s="57">
        <f t="shared" si="286"/>
        <v>1632.4432156196724</v>
      </c>
      <c r="Z543" s="57">
        <f t="shared" si="287"/>
        <v>2567.8395840372937</v>
      </c>
      <c r="AA543" s="57">
        <f t="shared" si="262"/>
        <v>-13.663411610407637</v>
      </c>
      <c r="AB543" s="57">
        <f t="shared" si="263"/>
        <v>-27.681651129922805</v>
      </c>
      <c r="AC543" s="57">
        <f t="shared" si="264"/>
        <v>-2.1395952146700377</v>
      </c>
      <c r="AD543" s="57">
        <f t="shared" si="265"/>
        <v>-4.8442173112602491</v>
      </c>
      <c r="AE543" s="57">
        <f t="shared" si="266"/>
        <v>-0.83205445454497118</v>
      </c>
      <c r="AF543" s="57">
        <f t="shared" si="267"/>
        <v>-1.4200129288714529</v>
      </c>
      <c r="AG543" s="57">
        <f t="shared" si="268"/>
        <v>-1.9323329353169811</v>
      </c>
      <c r="AH543" s="57">
        <f t="shared" si="269"/>
        <v>-3.9412739777529855</v>
      </c>
      <c r="AJ543" s="57">
        <f t="shared" si="270"/>
        <v>314201.57428722194</v>
      </c>
      <c r="AK543" s="57">
        <f t="shared" si="271"/>
        <v>330223.33434104623</v>
      </c>
      <c r="AL543" s="57">
        <f t="shared" si="272"/>
        <v>345159.14977486356</v>
      </c>
      <c r="AN543" s="41">
        <v>538</v>
      </c>
      <c r="AO543" s="57">
        <f t="shared" si="273"/>
        <v>-2495.4312026432181</v>
      </c>
      <c r="AP543" s="57">
        <f t="shared" si="274"/>
        <v>15261.746225268756</v>
      </c>
      <c r="AR543" s="41">
        <v>538</v>
      </c>
      <c r="AS543" s="57">
        <f t="shared" si="275"/>
        <v>11502.132105433164</v>
      </c>
      <c r="AT543" s="57">
        <f t="shared" si="276"/>
        <v>-4877.8517615412466</v>
      </c>
      <c r="AV543" s="57">
        <f t="shared" si="277"/>
        <v>-8.0862440491247902</v>
      </c>
      <c r="AW543" s="57">
        <f t="shared" si="278"/>
        <v>-15.945983228377575</v>
      </c>
      <c r="AX543" s="57">
        <f t="shared" si="279"/>
        <v>-0.67318495675085765</v>
      </c>
      <c r="AY543" s="57">
        <f t="shared" si="280"/>
        <v>-1.5301636836605443</v>
      </c>
      <c r="BA543" s="57">
        <f t="shared" si="281"/>
        <v>313848.72174005618</v>
      </c>
      <c r="BB543" s="57">
        <f t="shared" si="282"/>
        <v>327656.39469304949</v>
      </c>
    </row>
    <row r="544" spans="9:54" x14ac:dyDescent="0.25">
      <c r="I544" s="41">
        <v>539</v>
      </c>
      <c r="J544" s="57">
        <f t="shared" si="256"/>
        <v>15000.761524218044</v>
      </c>
      <c r="K544" s="57">
        <f t="shared" si="257"/>
        <v>7587.2620321864142</v>
      </c>
      <c r="M544" s="41">
        <v>539</v>
      </c>
      <c r="N544" s="57">
        <f t="shared" si="258"/>
        <v>-23499.46693304737</v>
      </c>
      <c r="O544" s="57">
        <f t="shared" si="259"/>
        <v>10061.08342253049</v>
      </c>
      <c r="Q544" s="41">
        <v>539</v>
      </c>
      <c r="R544" s="57">
        <f t="shared" si="260"/>
        <v>-9999.2384757819564</v>
      </c>
      <c r="S544" s="41">
        <f t="shared" si="261"/>
        <v>-14912.737967813586</v>
      </c>
      <c r="U544" s="41">
        <v>538</v>
      </c>
      <c r="V544" s="41">
        <f t="shared" si="283"/>
        <v>269</v>
      </c>
      <c r="W544" s="57">
        <f t="shared" si="284"/>
        <v>147760.09902874238</v>
      </c>
      <c r="X544" s="57">
        <f t="shared" si="285"/>
        <v>296195.57339382428</v>
      </c>
      <c r="Y544" s="57">
        <f t="shared" si="286"/>
        <v>1625.6115098144685</v>
      </c>
      <c r="Z544" s="57">
        <f t="shared" si="287"/>
        <v>2553.9987584723322</v>
      </c>
      <c r="AA544" s="57">
        <f t="shared" si="262"/>
        <v>-13.549702044119989</v>
      </c>
      <c r="AB544" s="57">
        <f t="shared" si="263"/>
        <v>-27.416081141148357</v>
      </c>
      <c r="AC544" s="57">
        <f t="shared" si="264"/>
        <v>-2.1227967733502671</v>
      </c>
      <c r="AD544" s="57">
        <f t="shared" si="265"/>
        <v>-4.7968186964464028</v>
      </c>
      <c r="AE544" s="57">
        <f t="shared" si="266"/>
        <v>-0.82470442553315826</v>
      </c>
      <c r="AF544" s="57">
        <f t="shared" si="267"/>
        <v>-1.4069302373590524</v>
      </c>
      <c r="AG544" s="57">
        <f t="shared" si="268"/>
        <v>-1.9174650394671187</v>
      </c>
      <c r="AH544" s="57">
        <f t="shared" si="269"/>
        <v>-3.9061681434712172</v>
      </c>
      <c r="AJ544" s="57">
        <f t="shared" si="270"/>
        <v>315702.03832256619</v>
      </c>
      <c r="AK544" s="57">
        <f t="shared" si="271"/>
        <v>331739.89367628569</v>
      </c>
      <c r="AL544" s="57">
        <f t="shared" si="272"/>
        <v>346667.46711392206</v>
      </c>
      <c r="AN544" s="41">
        <v>539</v>
      </c>
      <c r="AO544" s="57">
        <f t="shared" si="273"/>
        <v>-2498.8577136729346</v>
      </c>
      <c r="AP544" s="57">
        <f t="shared" si="274"/>
        <v>15130.89304827962</v>
      </c>
      <c r="AR544" s="41">
        <v>539</v>
      </c>
      <c r="AS544" s="57">
        <f t="shared" si="275"/>
        <v>11500.53306695263</v>
      </c>
      <c r="AT544" s="57">
        <f t="shared" si="276"/>
        <v>-4938.9165774695102</v>
      </c>
      <c r="AV544" s="57">
        <f t="shared" si="277"/>
        <v>-8.0166098385956808</v>
      </c>
      <c r="AW544" s="57">
        <f t="shared" si="278"/>
        <v>-15.790372909342356</v>
      </c>
      <c r="AX544" s="57">
        <f t="shared" si="279"/>
        <v>-0.66812596717376471</v>
      </c>
      <c r="AY544" s="57">
        <f t="shared" si="280"/>
        <v>-1.5157911545293294</v>
      </c>
      <c r="BA544" s="57">
        <f t="shared" si="281"/>
        <v>315359.15456979832</v>
      </c>
      <c r="BB544" s="57">
        <f t="shared" si="282"/>
        <v>329156.5240522449</v>
      </c>
    </row>
    <row r="545" spans="9:54" x14ac:dyDescent="0.25">
      <c r="I545" s="41">
        <v>540</v>
      </c>
      <c r="J545" s="57">
        <f t="shared" si="256"/>
        <v>15000</v>
      </c>
      <c r="K545" s="57">
        <f t="shared" si="257"/>
        <v>7500.0000000000018</v>
      </c>
      <c r="M545" s="41">
        <v>540</v>
      </c>
      <c r="N545" s="57">
        <f t="shared" si="258"/>
        <v>-23500</v>
      </c>
      <c r="O545" s="57">
        <f t="shared" si="259"/>
        <v>10000.000000000002</v>
      </c>
      <c r="Q545" s="41">
        <v>540</v>
      </c>
      <c r="R545" s="57">
        <f t="shared" si="260"/>
        <v>-10000</v>
      </c>
      <c r="S545" s="41">
        <f t="shared" si="261"/>
        <v>-14999.999999999998</v>
      </c>
      <c r="U545" s="41">
        <v>539</v>
      </c>
      <c r="V545" s="41">
        <f t="shared" si="283"/>
        <v>269.5</v>
      </c>
      <c r="W545" s="57">
        <f t="shared" si="284"/>
        <v>148571.21107089409</v>
      </c>
      <c r="X545" s="57">
        <f t="shared" si="285"/>
        <v>297469.14576291782</v>
      </c>
      <c r="Y545" s="57">
        <f t="shared" si="286"/>
        <v>1618.8366587924086</v>
      </c>
      <c r="Z545" s="57">
        <f t="shared" si="287"/>
        <v>2540.2907179017579</v>
      </c>
      <c r="AA545" s="57">
        <f t="shared" si="262"/>
        <v>-13.438012029417008</v>
      </c>
      <c r="AB545" s="57">
        <f t="shared" si="263"/>
        <v>-27.155579638766234</v>
      </c>
      <c r="AC545" s="57">
        <f t="shared" si="264"/>
        <v>-2.106280686070412</v>
      </c>
      <c r="AD545" s="57">
        <f t="shared" si="265"/>
        <v>-4.7503356792680371</v>
      </c>
      <c r="AE545" s="57">
        <f t="shared" si="266"/>
        <v>-0.81749103158564795</v>
      </c>
      <c r="AF545" s="57">
        <f t="shared" si="267"/>
        <v>-1.3940900526599405</v>
      </c>
      <c r="AG545" s="57">
        <f t="shared" si="268"/>
        <v>-1.9028476085786243</v>
      </c>
      <c r="AH545" s="57">
        <f t="shared" si="269"/>
        <v>-3.8716968019161691</v>
      </c>
      <c r="AJ545" s="57">
        <f t="shared" si="270"/>
        <v>317194.99020431057</v>
      </c>
      <c r="AK545" s="57">
        <f t="shared" si="271"/>
        <v>333248.80039929569</v>
      </c>
      <c r="AL545" s="57">
        <f t="shared" si="272"/>
        <v>348168.18338784017</v>
      </c>
      <c r="AN545" s="41">
        <v>540</v>
      </c>
      <c r="AO545" s="57">
        <f t="shared" si="273"/>
        <v>-2500</v>
      </c>
      <c r="AP545" s="57">
        <f t="shared" si="274"/>
        <v>15000.000000000004</v>
      </c>
      <c r="AR545" s="41">
        <v>540</v>
      </c>
      <c r="AS545" s="57">
        <f t="shared" si="275"/>
        <v>11500</v>
      </c>
      <c r="AT545" s="57">
        <f t="shared" si="276"/>
        <v>-4999.9999999999991</v>
      </c>
      <c r="AV545" s="57">
        <f t="shared" si="277"/>
        <v>-7.9482430952238508</v>
      </c>
      <c r="AW545" s="57">
        <f t="shared" si="278"/>
        <v>-15.637769025402076</v>
      </c>
      <c r="AX545" s="57">
        <f t="shared" si="279"/>
        <v>-0.66314960795847233</v>
      </c>
      <c r="AY545" s="57">
        <f t="shared" si="280"/>
        <v>-1.5016880795200107</v>
      </c>
      <c r="BA545" s="57">
        <f t="shared" si="281"/>
        <v>316861.9746141776</v>
      </c>
      <c r="BB545" s="57">
        <f t="shared" si="282"/>
        <v>330649.13815931015</v>
      </c>
    </row>
    <row r="546" spans="9:54" x14ac:dyDescent="0.25">
      <c r="I546" s="41">
        <v>541</v>
      </c>
      <c r="J546" s="57">
        <f t="shared" si="256"/>
        <v>15000.761524218044</v>
      </c>
      <c r="K546" s="57">
        <f t="shared" si="257"/>
        <v>7412.7379678135812</v>
      </c>
      <c r="M546" s="41">
        <v>541</v>
      </c>
      <c r="N546" s="57">
        <f t="shared" si="258"/>
        <v>-23499.46693304737</v>
      </c>
      <c r="O546" s="57">
        <f t="shared" si="259"/>
        <v>9938.9165774695066</v>
      </c>
      <c r="Q546" s="41">
        <v>541</v>
      </c>
      <c r="R546" s="57">
        <f t="shared" si="260"/>
        <v>-9999.2384757819564</v>
      </c>
      <c r="S546" s="41">
        <f t="shared" si="261"/>
        <v>-15087.26203218642</v>
      </c>
      <c r="U546" s="41">
        <v>540</v>
      </c>
      <c r="V546" s="41">
        <f t="shared" si="283"/>
        <v>270</v>
      </c>
      <c r="W546" s="57">
        <f t="shared" si="284"/>
        <v>149378.9496487866</v>
      </c>
      <c r="X546" s="57">
        <f t="shared" si="285"/>
        <v>298735.89667441387</v>
      </c>
      <c r="Y546" s="57">
        <f t="shared" si="286"/>
        <v>1612.1176527777</v>
      </c>
      <c r="Z546" s="57">
        <f t="shared" si="287"/>
        <v>2526.7129280823747</v>
      </c>
      <c r="AA546" s="57">
        <f t="shared" si="262"/>
        <v>-13.328290235723506</v>
      </c>
      <c r="AB546" s="57">
        <f t="shared" si="263"/>
        <v>-26.900009299441408</v>
      </c>
      <c r="AC546" s="57">
        <f t="shared" si="264"/>
        <v>-2.0900402160490756</v>
      </c>
      <c r="AD546" s="57">
        <f t="shared" si="265"/>
        <v>-4.7047432218224614</v>
      </c>
      <c r="AE546" s="57">
        <f t="shared" si="266"/>
        <v>-0.81041064099617266</v>
      </c>
      <c r="AF546" s="57">
        <f t="shared" si="267"/>
        <v>-1.3814859732435041</v>
      </c>
      <c r="AG546" s="57">
        <f t="shared" si="268"/>
        <v>-1.8884745719356493</v>
      </c>
      <c r="AH546" s="57">
        <f t="shared" si="269"/>
        <v>-3.8378435953927843</v>
      </c>
      <c r="AJ546" s="57">
        <f t="shared" si="270"/>
        <v>318680.49849963072</v>
      </c>
      <c r="AK546" s="57">
        <f t="shared" si="271"/>
        <v>334750.12563478446</v>
      </c>
      <c r="AL546" s="57">
        <f t="shared" si="272"/>
        <v>349661.36897970451</v>
      </c>
      <c r="AN546" s="41">
        <v>541</v>
      </c>
      <c r="AO546" s="57">
        <f t="shared" si="273"/>
        <v>-2498.8577136729346</v>
      </c>
      <c r="AP546" s="57">
        <f t="shared" si="274"/>
        <v>14869.10695172037</v>
      </c>
      <c r="AR546" s="41">
        <v>541</v>
      </c>
      <c r="AS546" s="57">
        <f t="shared" si="275"/>
        <v>11500.53306695263</v>
      </c>
      <c r="AT546" s="57">
        <f t="shared" si="276"/>
        <v>-5061.0834225304934</v>
      </c>
      <c r="AV546" s="57">
        <f t="shared" si="277"/>
        <v>-7.881110850325288</v>
      </c>
      <c r="AW546" s="57">
        <f t="shared" si="278"/>
        <v>-15.488089221781445</v>
      </c>
      <c r="AX546" s="57">
        <f t="shared" si="279"/>
        <v>-0.6582539564173211</v>
      </c>
      <c r="AY546" s="57">
        <f t="shared" si="280"/>
        <v>-1.4878472872012132</v>
      </c>
      <c r="BA546" s="57">
        <f t="shared" si="281"/>
        <v>318357.25241200416</v>
      </c>
      <c r="BB546" s="57">
        <f t="shared" si="282"/>
        <v>332134.30572182895</v>
      </c>
    </row>
    <row r="547" spans="9:54" x14ac:dyDescent="0.25">
      <c r="I547" s="41">
        <v>542</v>
      </c>
      <c r="J547" s="57">
        <f t="shared" si="256"/>
        <v>15003.045864904521</v>
      </c>
      <c r="K547" s="57">
        <f t="shared" si="257"/>
        <v>7325.5025164874987</v>
      </c>
      <c r="M547" s="41">
        <v>542</v>
      </c>
      <c r="N547" s="57">
        <f t="shared" si="258"/>
        <v>-23497.867894566836</v>
      </c>
      <c r="O547" s="57">
        <f t="shared" si="259"/>
        <v>9877.8517615412493</v>
      </c>
      <c r="Q547" s="41">
        <v>542</v>
      </c>
      <c r="R547" s="57">
        <f t="shared" si="260"/>
        <v>-9996.9541350954787</v>
      </c>
      <c r="S547" s="41">
        <f t="shared" si="261"/>
        <v>-15174.497483512501</v>
      </c>
      <c r="U547" s="41">
        <v>541</v>
      </c>
      <c r="V547" s="41">
        <f t="shared" si="283"/>
        <v>270.5</v>
      </c>
      <c r="W547" s="57">
        <f t="shared" si="284"/>
        <v>150183.34243889598</v>
      </c>
      <c r="X547" s="57">
        <f t="shared" si="285"/>
        <v>299995.89063729258</v>
      </c>
      <c r="Y547" s="57">
        <f t="shared" si="286"/>
        <v>1605.4535076598381</v>
      </c>
      <c r="Z547" s="57">
        <f t="shared" si="287"/>
        <v>2513.2629234326541</v>
      </c>
      <c r="AA547" s="57">
        <f t="shared" si="262"/>
        <v>-13.22048703858002</v>
      </c>
      <c r="AB547" s="57">
        <f t="shared" si="263"/>
        <v>-26.649237621158196</v>
      </c>
      <c r="AC547" s="57">
        <f t="shared" si="264"/>
        <v>-2.0740688352568384</v>
      </c>
      <c r="AD547" s="57">
        <f t="shared" si="265"/>
        <v>-4.6600171715228988</v>
      </c>
      <c r="AE547" s="57">
        <f t="shared" si="266"/>
        <v>-0.80345974799933362</v>
      </c>
      <c r="AF547" s="57">
        <f t="shared" si="267"/>
        <v>-1.3691118171329821</v>
      </c>
      <c r="AG547" s="57">
        <f t="shared" si="268"/>
        <v>-1.8743400524026579</v>
      </c>
      <c r="AH547" s="57">
        <f t="shared" si="269"/>
        <v>-3.8045927152020247</v>
      </c>
      <c r="AJ547" s="57">
        <f t="shared" si="270"/>
        <v>320158.63050723134</v>
      </c>
      <c r="AK547" s="57">
        <f t="shared" si="271"/>
        <v>336243.93917242746</v>
      </c>
      <c r="AL547" s="57">
        <f t="shared" si="272"/>
        <v>351147.09295235359</v>
      </c>
      <c r="AN547" s="41">
        <v>542</v>
      </c>
      <c r="AO547" s="57">
        <f t="shared" si="273"/>
        <v>-2495.4312026432181</v>
      </c>
      <c r="AP547" s="57">
        <f t="shared" si="274"/>
        <v>14738.253774731249</v>
      </c>
      <c r="AR547" s="41">
        <v>542</v>
      </c>
      <c r="AS547" s="57">
        <f t="shared" si="275"/>
        <v>11502.132105433164</v>
      </c>
      <c r="AT547" s="57">
        <f t="shared" si="276"/>
        <v>-5122.1482384587507</v>
      </c>
      <c r="AV547" s="57">
        <f t="shared" si="277"/>
        <v>-7.815181254700188</v>
      </c>
      <c r="AW547" s="57">
        <f t="shared" si="278"/>
        <v>-15.341254063719921</v>
      </c>
      <c r="AX547" s="57">
        <f t="shared" si="279"/>
        <v>-0.65343714822100096</v>
      </c>
      <c r="AY547" s="57">
        <f t="shared" si="280"/>
        <v>-1.4742618535803704</v>
      </c>
      <c r="BA547" s="57">
        <f t="shared" si="281"/>
        <v>319845.05717905564</v>
      </c>
      <c r="BB547" s="57">
        <f t="shared" si="282"/>
        <v>333612.09417313867</v>
      </c>
    </row>
    <row r="548" spans="9:54" x14ac:dyDescent="0.25">
      <c r="I548" s="41">
        <v>543</v>
      </c>
      <c r="J548" s="57">
        <f t="shared" si="256"/>
        <v>15006.85232622713</v>
      </c>
      <c r="K548" s="57">
        <f t="shared" si="257"/>
        <v>7238.3202187852812</v>
      </c>
      <c r="M548" s="41">
        <v>543</v>
      </c>
      <c r="N548" s="57">
        <f t="shared" si="258"/>
        <v>-23495.203371641008</v>
      </c>
      <c r="O548" s="57">
        <f t="shared" si="259"/>
        <v>9816.8241531496969</v>
      </c>
      <c r="Q548" s="41">
        <v>543</v>
      </c>
      <c r="R548" s="57">
        <f t="shared" si="260"/>
        <v>-9993.1476737728699</v>
      </c>
      <c r="S548" s="41">
        <f t="shared" si="261"/>
        <v>-15261.67978121472</v>
      </c>
      <c r="U548" s="41">
        <v>542</v>
      </c>
      <c r="V548" s="41">
        <f t="shared" si="283"/>
        <v>271</v>
      </c>
      <c r="W548" s="57">
        <f t="shared" si="284"/>
        <v>150984.41663184608</v>
      </c>
      <c r="X548" s="57">
        <f t="shared" si="285"/>
        <v>301249.19094430626</v>
      </c>
      <c r="Y548" s="57">
        <f t="shared" si="286"/>
        <v>1598.8432641405482</v>
      </c>
      <c r="Z548" s="57">
        <f t="shared" si="287"/>
        <v>2499.9383046220751</v>
      </c>
      <c r="AA548" s="57">
        <f t="shared" si="262"/>
        <v>-13.114554449927526</v>
      </c>
      <c r="AB548" s="57">
        <f t="shared" si="263"/>
        <v>-26.403136716224989</v>
      </c>
      <c r="AC548" s="57">
        <f t="shared" si="264"/>
        <v>-2.0583602165318293</v>
      </c>
      <c r="AD548" s="57">
        <f t="shared" si="265"/>
        <v>-4.616134222879503</v>
      </c>
      <c r="AE548" s="57">
        <f t="shared" si="266"/>
        <v>-0.796634967409525</v>
      </c>
      <c r="AF548" s="57">
        <f t="shared" si="267"/>
        <v>-1.3569616126804038</v>
      </c>
      <c r="AG548" s="57">
        <f t="shared" si="268"/>
        <v>-1.860438358802432</v>
      </c>
      <c r="AH548" s="57">
        <f t="shared" si="269"/>
        <v>-3.7719288790345802</v>
      </c>
      <c r="AJ548" s="57">
        <f t="shared" si="270"/>
        <v>321629.45229070599</v>
      </c>
      <c r="AK548" s="57">
        <f t="shared" si="271"/>
        <v>337730.30950248707</v>
      </c>
      <c r="AL548" s="57">
        <f t="shared" si="272"/>
        <v>352625.42308362515</v>
      </c>
      <c r="AN548" s="41">
        <v>543</v>
      </c>
      <c r="AO548" s="57">
        <f t="shared" si="273"/>
        <v>-2489.7215106593039</v>
      </c>
      <c r="AP548" s="57">
        <f t="shared" si="274"/>
        <v>14607.480328177922</v>
      </c>
      <c r="AR548" s="41">
        <v>543</v>
      </c>
      <c r="AS548" s="57">
        <f t="shared" si="275"/>
        <v>11504.796628358992</v>
      </c>
      <c r="AT548" s="57">
        <f t="shared" si="276"/>
        <v>-5183.1758468503031</v>
      </c>
      <c r="AV548" s="57">
        <f t="shared" si="277"/>
        <v>-7.7504235319524746</v>
      </c>
      <c r="AW548" s="57">
        <f t="shared" si="278"/>
        <v>-15.197186909970069</v>
      </c>
      <c r="AX548" s="57">
        <f t="shared" si="279"/>
        <v>-0.64869737523126514</v>
      </c>
      <c r="AY548" s="57">
        <f t="shared" si="280"/>
        <v>-1.4609250916604313</v>
      </c>
      <c r="BA548" s="57">
        <f t="shared" si="281"/>
        <v>321325.45684338536</v>
      </c>
      <c r="BB548" s="57">
        <f t="shared" si="282"/>
        <v>335082.56970595417</v>
      </c>
    </row>
    <row r="549" spans="9:54" x14ac:dyDescent="0.25">
      <c r="I549" s="41">
        <v>544</v>
      </c>
      <c r="J549" s="57">
        <f t="shared" si="256"/>
        <v>15012.179748700879</v>
      </c>
      <c r="K549" s="57">
        <f t="shared" si="257"/>
        <v>7151.2176312793708</v>
      </c>
      <c r="M549" s="41">
        <v>544</v>
      </c>
      <c r="N549" s="57">
        <f t="shared" si="258"/>
        <v>-23491.474175909385</v>
      </c>
      <c r="O549" s="57">
        <f t="shared" si="259"/>
        <v>9755.8523418955592</v>
      </c>
      <c r="Q549" s="41">
        <v>544</v>
      </c>
      <c r="R549" s="57">
        <f t="shared" si="260"/>
        <v>-9987.8202512991211</v>
      </c>
      <c r="S549" s="41">
        <f t="shared" si="261"/>
        <v>-15348.782368720629</v>
      </c>
      <c r="U549" s="41">
        <v>543</v>
      </c>
      <c r="V549" s="41">
        <f t="shared" si="283"/>
        <v>271.5</v>
      </c>
      <c r="W549" s="57">
        <f t="shared" si="284"/>
        <v>151782.19894461011</v>
      </c>
      <c r="X549" s="57">
        <f t="shared" si="285"/>
        <v>302495.85970452777</v>
      </c>
      <c r="Y549" s="57">
        <f t="shared" si="286"/>
        <v>1592.2859869155843</v>
      </c>
      <c r="Z549" s="57">
        <f t="shared" si="287"/>
        <v>2486.7367362639625</v>
      </c>
      <c r="AA549" s="57">
        <f t="shared" si="262"/>
        <v>-13.010446051763925</v>
      </c>
      <c r="AB549" s="57">
        <f t="shared" si="263"/>
        <v>-26.161583114756922</v>
      </c>
      <c r="AC549" s="57">
        <f t="shared" si="264"/>
        <v>-2.0429082260443496</v>
      </c>
      <c r="AD549" s="57">
        <f t="shared" si="265"/>
        <v>-4.5730718812235533</v>
      </c>
      <c r="AE549" s="57">
        <f t="shared" si="266"/>
        <v>-0.78993302952962152</v>
      </c>
      <c r="AF549" s="57">
        <f t="shared" si="267"/>
        <v>-1.3450295897991724</v>
      </c>
      <c r="AG549" s="57">
        <f t="shared" si="268"/>
        <v>-1.846763978650521</v>
      </c>
      <c r="AH549" s="57">
        <f t="shared" si="269"/>
        <v>-3.7398373094648996</v>
      </c>
      <c r="AJ549" s="57">
        <f t="shared" si="270"/>
        <v>323093.02871075727</v>
      </c>
      <c r="AK549" s="57">
        <f t="shared" si="271"/>
        <v>339209.30385019863</v>
      </c>
      <c r="AL549" s="57">
        <f t="shared" si="272"/>
        <v>354096.42590038164</v>
      </c>
      <c r="AN549" s="41">
        <v>544</v>
      </c>
      <c r="AO549" s="57">
        <f t="shared" si="273"/>
        <v>-2481.7303769486816</v>
      </c>
      <c r="AP549" s="57">
        <f t="shared" si="274"/>
        <v>14476.826446919056</v>
      </c>
      <c r="AR549" s="41">
        <v>544</v>
      </c>
      <c r="AS549" s="57">
        <f t="shared" si="275"/>
        <v>11508.525824090615</v>
      </c>
      <c r="AT549" s="57">
        <f t="shared" si="276"/>
        <v>-5244.1476581044408</v>
      </c>
      <c r="AV549" s="57">
        <f t="shared" si="277"/>
        <v>-7.6868079341110516</v>
      </c>
      <c r="AW549" s="57">
        <f t="shared" si="278"/>
        <v>-15.055813792752771</v>
      </c>
      <c r="AX549" s="57">
        <f t="shared" si="279"/>
        <v>-0.64403288342838105</v>
      </c>
      <c r="AY549" s="57">
        <f t="shared" si="280"/>
        <v>-1.4478305415165253</v>
      </c>
      <c r="BA549" s="57">
        <f t="shared" si="281"/>
        <v>322798.518079406</v>
      </c>
      <c r="BB549" s="57">
        <f t="shared" si="282"/>
        <v>336545.7973048386</v>
      </c>
    </row>
    <row r="550" spans="9:54" x14ac:dyDescent="0.25">
      <c r="I550" s="41">
        <v>545</v>
      </c>
      <c r="J550" s="57">
        <f t="shared" si="256"/>
        <v>15019.026509541272</v>
      </c>
      <c r="K550" s="57">
        <f t="shared" si="257"/>
        <v>7064.2212862617116</v>
      </c>
      <c r="M550" s="41">
        <v>545</v>
      </c>
      <c r="N550" s="57">
        <f t="shared" si="258"/>
        <v>-23486.681443321111</v>
      </c>
      <c r="O550" s="57">
        <f t="shared" si="259"/>
        <v>9694.954900383198</v>
      </c>
      <c r="Q550" s="41">
        <v>545</v>
      </c>
      <c r="R550" s="57">
        <f t="shared" si="260"/>
        <v>-9980.9734904587276</v>
      </c>
      <c r="S550" s="41">
        <f t="shared" si="261"/>
        <v>-15435.778713738289</v>
      </c>
      <c r="U550" s="41">
        <v>544</v>
      </c>
      <c r="V550" s="41">
        <f t="shared" si="283"/>
        <v>272</v>
      </c>
      <c r="W550" s="57">
        <f t="shared" si="284"/>
        <v>152576.71563231142</v>
      </c>
      <c r="X550" s="57">
        <f t="shared" si="285"/>
        <v>303735.95787477039</v>
      </c>
      <c r="Y550" s="57">
        <f t="shared" si="286"/>
        <v>1585.7807638897023</v>
      </c>
      <c r="Z550" s="57">
        <f t="shared" si="287"/>
        <v>2473.6559447065838</v>
      </c>
      <c r="AA550" s="57">
        <f t="shared" si="262"/>
        <v>-12.908116932983921</v>
      </c>
      <c r="AB550" s="57">
        <f t="shared" si="263"/>
        <v>-25.924457578026217</v>
      </c>
      <c r="AC550" s="57">
        <f t="shared" si="264"/>
        <v>-2.027706916092769</v>
      </c>
      <c r="AD550" s="57">
        <f t="shared" si="265"/>
        <v>-4.5308084282609986</v>
      </c>
      <c r="AE550" s="57">
        <f t="shared" si="266"/>
        <v>-0.78335077531382791</v>
      </c>
      <c r="AF550" s="57">
        <f t="shared" si="267"/>
        <v>-1.3333101716282179</v>
      </c>
      <c r="AG550" s="57">
        <f t="shared" si="268"/>
        <v>-1.8333115712270864</v>
      </c>
      <c r="AH550" s="57">
        <f t="shared" si="269"/>
        <v>-3.7083037134843364</v>
      </c>
      <c r="AJ550" s="57">
        <f t="shared" si="270"/>
        <v>324549.42345632584</v>
      </c>
      <c r="AK550" s="57">
        <f t="shared" si="271"/>
        <v>340680.98820897617</v>
      </c>
      <c r="AL550" s="57">
        <f t="shared" si="272"/>
        <v>355560.16671136511</v>
      </c>
      <c r="AN550" s="41">
        <v>545</v>
      </c>
      <c r="AO550" s="57">
        <f t="shared" si="273"/>
        <v>-2471.4602356880914</v>
      </c>
      <c r="AP550" s="57">
        <f t="shared" si="274"/>
        <v>14346.331929392567</v>
      </c>
      <c r="AR550" s="41">
        <v>545</v>
      </c>
      <c r="AS550" s="57">
        <f t="shared" si="275"/>
        <v>11513.318556678891</v>
      </c>
      <c r="AT550" s="57">
        <f t="shared" si="276"/>
        <v>-5305.045099616802</v>
      </c>
      <c r="AV550" s="57">
        <f t="shared" si="277"/>
        <v>-7.6243056994217442</v>
      </c>
      <c r="AW550" s="57">
        <f t="shared" si="278"/>
        <v>-14.917063303790023</v>
      </c>
      <c r="AX550" s="57">
        <f t="shared" si="279"/>
        <v>-0.63944197092849364</v>
      </c>
      <c r="AY550" s="57">
        <f t="shared" si="280"/>
        <v>-1.4349719608626388</v>
      </c>
      <c r="BA550" s="57">
        <f t="shared" si="281"/>
        <v>324264.3063408017</v>
      </c>
      <c r="BB550" s="57">
        <f t="shared" si="282"/>
        <v>338001.84077757015</v>
      </c>
    </row>
    <row r="551" spans="9:54" x14ac:dyDescent="0.25">
      <c r="I551" s="41">
        <v>546</v>
      </c>
      <c r="J551" s="57">
        <f t="shared" si="256"/>
        <v>15027.390523158632</v>
      </c>
      <c r="K551" s="57">
        <f t="shared" si="257"/>
        <v>6977.3576836617312</v>
      </c>
      <c r="M551" s="41">
        <v>546</v>
      </c>
      <c r="N551" s="57">
        <f t="shared" si="258"/>
        <v>-23480.826633788958</v>
      </c>
      <c r="O551" s="57">
        <f t="shared" si="259"/>
        <v>9634.1503785632121</v>
      </c>
      <c r="Q551" s="41">
        <v>546</v>
      </c>
      <c r="R551" s="57">
        <f t="shared" si="260"/>
        <v>-9972.6094768413677</v>
      </c>
      <c r="S551" s="41">
        <f t="shared" si="261"/>
        <v>-15522.642316338268</v>
      </c>
      <c r="U551" s="41">
        <v>545</v>
      </c>
      <c r="V551" s="41">
        <f t="shared" si="283"/>
        <v>272.5</v>
      </c>
      <c r="W551" s="57">
        <f t="shared" si="284"/>
        <v>153367.99249963966</v>
      </c>
      <c r="X551" s="57">
        <f t="shared" si="285"/>
        <v>304969.54528992646</v>
      </c>
      <c r="Y551" s="57">
        <f t="shared" si="286"/>
        <v>1579.3267054232103</v>
      </c>
      <c r="Z551" s="57">
        <f t="shared" si="287"/>
        <v>2460.6937159175709</v>
      </c>
      <c r="AA551" s="57">
        <f t="shared" si="262"/>
        <v>-12.80752362922736</v>
      </c>
      <c r="AB551" s="57">
        <f t="shared" si="263"/>
        <v>-25.691644921112857</v>
      </c>
      <c r="AC551" s="57">
        <f t="shared" si="264"/>
        <v>-2.0127505182140308</v>
      </c>
      <c r="AD551" s="57">
        <f t="shared" si="265"/>
        <v>-4.4893228893492525</v>
      </c>
      <c r="AE551" s="57">
        <f t="shared" si="266"/>
        <v>-0.77688515177004958</v>
      </c>
      <c r="AF551" s="57">
        <f t="shared" si="267"/>
        <v>-1.3217979666032262</v>
      </c>
      <c r="AG551" s="57">
        <f t="shared" si="268"/>
        <v>-1.8200759609678248</v>
      </c>
      <c r="AH551" s="57">
        <f t="shared" si="269"/>
        <v>-3.6773142630151479</v>
      </c>
      <c r="AJ551" s="57">
        <f t="shared" si="270"/>
        <v>325998.69907467352</v>
      </c>
      <c r="AK551" s="57">
        <f t="shared" si="271"/>
        <v>342145.42737248598</v>
      </c>
      <c r="AL551" s="57">
        <f t="shared" si="272"/>
        <v>357016.70963893022</v>
      </c>
      <c r="AN551" s="41">
        <v>546</v>
      </c>
      <c r="AO551" s="57">
        <f t="shared" si="273"/>
        <v>-2458.9142152620498</v>
      </c>
      <c r="AP551" s="57">
        <f t="shared" si="274"/>
        <v>14216.036525492596</v>
      </c>
      <c r="AR551" s="41">
        <v>546</v>
      </c>
      <c r="AS551" s="57">
        <f t="shared" si="275"/>
        <v>11519.173366211044</v>
      </c>
      <c r="AT551" s="57">
        <f t="shared" si="276"/>
        <v>-5365.8496214367879</v>
      </c>
      <c r="AV551" s="57">
        <f t="shared" si="277"/>
        <v>-7.5628890121890038</v>
      </c>
      <c r="AW551" s="57">
        <f t="shared" si="278"/>
        <v>-14.780866486064728</v>
      </c>
      <c r="AX551" s="57">
        <f t="shared" si="279"/>
        <v>-0.63492298608645137</v>
      </c>
      <c r="AY551" s="57">
        <f t="shared" si="280"/>
        <v>-1.4223433160805028</v>
      </c>
      <c r="BA551" s="57">
        <f t="shared" si="281"/>
        <v>325722.88589231775</v>
      </c>
      <c r="BB551" s="57">
        <f t="shared" si="282"/>
        <v>339450.76278545038</v>
      </c>
    </row>
    <row r="552" spans="9:54" x14ac:dyDescent="0.25">
      <c r="I552" s="41">
        <v>547</v>
      </c>
      <c r="J552" s="57">
        <f t="shared" si="256"/>
        <v>15037.26924179339</v>
      </c>
      <c r="K552" s="57">
        <f t="shared" si="257"/>
        <v>6890.6532829742673</v>
      </c>
      <c r="M552" s="41">
        <v>547</v>
      </c>
      <c r="N552" s="57">
        <f t="shared" si="258"/>
        <v>-23473.911530744626</v>
      </c>
      <c r="O552" s="57">
        <f t="shared" si="259"/>
        <v>9573.4572980819867</v>
      </c>
      <c r="Q552" s="41">
        <v>547</v>
      </c>
      <c r="R552" s="57">
        <f t="shared" si="260"/>
        <v>-9962.7307582066096</v>
      </c>
      <c r="S552" s="41">
        <f t="shared" si="261"/>
        <v>-15609.346717025734</v>
      </c>
      <c r="U552" s="41">
        <v>546</v>
      </c>
      <c r="V552" s="41">
        <f t="shared" si="283"/>
        <v>273</v>
      </c>
      <c r="W552" s="57">
        <f t="shared" si="284"/>
        <v>154156.05491189761</v>
      </c>
      <c r="X552" s="57">
        <f t="shared" si="285"/>
        <v>306196.68069227011</v>
      </c>
      <c r="Y552" s="57">
        <f t="shared" si="286"/>
        <v>1572.9229436085966</v>
      </c>
      <c r="Z552" s="57">
        <f t="shared" si="287"/>
        <v>2447.8478934570144</v>
      </c>
      <c r="AA552" s="57">
        <f t="shared" si="262"/>
        <v>-12.708624065569719</v>
      </c>
      <c r="AB552" s="57">
        <f t="shared" si="263"/>
        <v>-25.46303384432079</v>
      </c>
      <c r="AC552" s="57">
        <f t="shared" si="264"/>
        <v>-1.9980334365933947</v>
      </c>
      <c r="AD552" s="57">
        <f t="shared" si="265"/>
        <v>-4.4485950023988723</v>
      </c>
      <c r="AE552" s="57">
        <f t="shared" si="266"/>
        <v>-0.77053320758816113</v>
      </c>
      <c r="AF552" s="57">
        <f t="shared" si="267"/>
        <v>-1.3104877609121217</v>
      </c>
      <c r="AG552" s="57">
        <f t="shared" si="268"/>
        <v>-1.8070521311568872</v>
      </c>
      <c r="AH552" s="57">
        <f t="shared" si="269"/>
        <v>-3.6468555763510326</v>
      </c>
      <c r="AJ552" s="57">
        <f t="shared" si="270"/>
        <v>327440.91700046294</v>
      </c>
      <c r="AK552" s="57">
        <f t="shared" si="271"/>
        <v>343602.68496563658</v>
      </c>
      <c r="AL552" s="57">
        <f t="shared" si="272"/>
        <v>358466.11764970352</v>
      </c>
      <c r="AN552" s="41">
        <v>547</v>
      </c>
      <c r="AO552" s="57">
        <f t="shared" si="273"/>
        <v>-2444.0961373099153</v>
      </c>
      <c r="AP552" s="57">
        <f t="shared" si="274"/>
        <v>14085.979924461401</v>
      </c>
      <c r="AR552" s="41">
        <v>547</v>
      </c>
      <c r="AS552" s="57">
        <f t="shared" si="275"/>
        <v>11526.088469255374</v>
      </c>
      <c r="AT552" s="57">
        <f t="shared" si="276"/>
        <v>-5426.5427019180133</v>
      </c>
      <c r="AV552" s="57">
        <f t="shared" si="277"/>
        <v>-7.5025309645513421</v>
      </c>
      <c r="AW552" s="57">
        <f t="shared" si="278"/>
        <v>-14.647156730973986</v>
      </c>
      <c r="AX552" s="57">
        <f t="shared" si="279"/>
        <v>-0.63047432567993333</v>
      </c>
      <c r="AY552" s="57">
        <f t="shared" si="280"/>
        <v>-1.4099387736847777</v>
      </c>
      <c r="BA552" s="57">
        <f t="shared" si="281"/>
        <v>327174.31984047423</v>
      </c>
      <c r="BB552" s="57">
        <f t="shared" si="282"/>
        <v>340892.62487259792</v>
      </c>
    </row>
    <row r="553" spans="9:54" x14ac:dyDescent="0.25">
      <c r="I553" s="41">
        <v>548</v>
      </c>
      <c r="J553" s="57">
        <f t="shared" si="256"/>
        <v>15048.659656292148</v>
      </c>
      <c r="K553" s="57">
        <f t="shared" si="257"/>
        <v>6804.1344951996734</v>
      </c>
      <c r="M553" s="41">
        <v>548</v>
      </c>
      <c r="N553" s="57">
        <f t="shared" si="258"/>
        <v>-23465.938240595497</v>
      </c>
      <c r="O553" s="57">
        <f t="shared" si="259"/>
        <v>9512.8941466397719</v>
      </c>
      <c r="Q553" s="41">
        <v>548</v>
      </c>
      <c r="R553" s="57">
        <f t="shared" si="260"/>
        <v>-9951.3403437078523</v>
      </c>
      <c r="S553" s="41">
        <f t="shared" si="261"/>
        <v>-15695.865504800326</v>
      </c>
      <c r="U553" s="41">
        <v>547</v>
      </c>
      <c r="V553" s="41">
        <f t="shared" si="283"/>
        <v>273.5</v>
      </c>
      <c r="W553" s="57">
        <f t="shared" si="284"/>
        <v>154940.9278056937</v>
      </c>
      <c r="X553" s="57">
        <f t="shared" si="285"/>
        <v>307417.4217597681</v>
      </c>
      <c r="Y553" s="57">
        <f t="shared" si="286"/>
        <v>1566.5686315758117</v>
      </c>
      <c r="Z553" s="57">
        <f t="shared" si="287"/>
        <v>2435.1163765348538</v>
      </c>
      <c r="AA553" s="57">
        <f t="shared" si="262"/>
        <v>-12.611377501900277</v>
      </c>
      <c r="AB553" s="57">
        <f t="shared" si="263"/>
        <v>-25.238516772862404</v>
      </c>
      <c r="AC553" s="57">
        <f t="shared" si="264"/>
        <v>-1.9835502417583204</v>
      </c>
      <c r="AD553" s="57">
        <f t="shared" si="265"/>
        <v>-4.4086051883068409</v>
      </c>
      <c r="AE553" s="57">
        <f t="shared" si="266"/>
        <v>-0.76429208898132261</v>
      </c>
      <c r="AF553" s="57">
        <f t="shared" si="267"/>
        <v>-1.299374511313264</v>
      </c>
      <c r="AG553" s="57">
        <f t="shared" si="268"/>
        <v>-1.7942352179062377</v>
      </c>
      <c r="AH553" s="57">
        <f t="shared" si="269"/>
        <v>-3.6169147004742541</v>
      </c>
      <c r="AJ553" s="57">
        <f t="shared" si="270"/>
        <v>328876.13758387527</v>
      </c>
      <c r="AK553" s="57">
        <f t="shared" si="271"/>
        <v>345052.82347452937</v>
      </c>
      <c r="AL553" s="57">
        <f t="shared" si="272"/>
        <v>359908.45258421247</v>
      </c>
      <c r="AN553" s="41">
        <v>548</v>
      </c>
      <c r="AO553" s="57">
        <f t="shared" si="273"/>
        <v>-2427.0105155617775</v>
      </c>
      <c r="AP553" s="57">
        <f t="shared" si="274"/>
        <v>13956.201742799511</v>
      </c>
      <c r="AR553" s="41">
        <v>548</v>
      </c>
      <c r="AS553" s="57">
        <f t="shared" si="275"/>
        <v>11534.061759404503</v>
      </c>
      <c r="AT553" s="57">
        <f t="shared" si="276"/>
        <v>-5487.1058533602281</v>
      </c>
      <c r="AV553" s="57">
        <f t="shared" si="277"/>
        <v>-7.4432055200835503</v>
      </c>
      <c r="AW553" s="57">
        <f t="shared" si="278"/>
        <v>-14.515869680568008</v>
      </c>
      <c r="AX553" s="57">
        <f t="shared" si="279"/>
        <v>-0.62609443317084712</v>
      </c>
      <c r="AY553" s="57">
        <f t="shared" si="280"/>
        <v>-1.3977526922000378</v>
      </c>
      <c r="BA553" s="57">
        <f t="shared" si="281"/>
        <v>328618.67016324919</v>
      </c>
      <c r="BB553" s="57">
        <f t="shared" si="282"/>
        <v>342327.48749426944</v>
      </c>
    </row>
    <row r="554" spans="9:54" x14ac:dyDescent="0.25">
      <c r="I554" s="41">
        <v>549</v>
      </c>
      <c r="J554" s="57">
        <f t="shared" si="256"/>
        <v>15061.55829702431</v>
      </c>
      <c r="K554" s="57">
        <f t="shared" si="257"/>
        <v>6717.8276747988521</v>
      </c>
      <c r="M554" s="41">
        <v>549</v>
      </c>
      <c r="N554" s="57">
        <f t="shared" si="258"/>
        <v>-23456.909192082981</v>
      </c>
      <c r="O554" s="57">
        <f t="shared" si="259"/>
        <v>9452.4793723591956</v>
      </c>
      <c r="Q554" s="41">
        <v>549</v>
      </c>
      <c r="R554" s="57">
        <f t="shared" si="260"/>
        <v>-9938.4417029756896</v>
      </c>
      <c r="S554" s="41">
        <f t="shared" si="261"/>
        <v>-15782.172325201149</v>
      </c>
      <c r="U554" s="41">
        <v>548</v>
      </c>
      <c r="V554" s="41">
        <f t="shared" si="283"/>
        <v>274</v>
      </c>
      <c r="W554" s="57">
        <f t="shared" si="284"/>
        <v>155722.63569929387</v>
      </c>
      <c r="X554" s="57">
        <f t="shared" si="285"/>
        <v>308631.82513343892</v>
      </c>
      <c r="Y554" s="57">
        <f t="shared" si="286"/>
        <v>1560.2629428248615</v>
      </c>
      <c r="Z554" s="57">
        <f t="shared" si="287"/>
        <v>2422.4971181484225</v>
      </c>
      <c r="AA554" s="57">
        <f t="shared" si="262"/>
        <v>-12.515744480843384</v>
      </c>
      <c r="AB554" s="57">
        <f t="shared" si="263"/>
        <v>-25.017989704346313</v>
      </c>
      <c r="AC554" s="57">
        <f t="shared" si="264"/>
        <v>-1.9692956645426214</v>
      </c>
      <c r="AD554" s="57">
        <f t="shared" si="265"/>
        <v>-4.3693345228350395</v>
      </c>
      <c r="AE554" s="57">
        <f t="shared" si="266"/>
        <v>-0.75815903572850085</v>
      </c>
      <c r="AF554" s="57">
        <f t="shared" si="267"/>
        <v>-1.2884533382964738</v>
      </c>
      <c r="AG554" s="57">
        <f t="shared" si="268"/>
        <v>-1.7816205044059197</v>
      </c>
      <c r="AH554" s="57">
        <f t="shared" si="269"/>
        <v>-3.5874790942006625</v>
      </c>
      <c r="AJ554" s="57">
        <f t="shared" si="270"/>
        <v>330304.42011780478</v>
      </c>
      <c r="AK554" s="57">
        <f t="shared" si="271"/>
        <v>346495.90427541215</v>
      </c>
      <c r="AL554" s="57">
        <f t="shared" si="272"/>
        <v>361343.77518552705</v>
      </c>
      <c r="AN554" s="41">
        <v>549</v>
      </c>
      <c r="AO554" s="57">
        <f t="shared" si="273"/>
        <v>-2407.6625544635344</v>
      </c>
      <c r="AP554" s="57">
        <f t="shared" si="274"/>
        <v>13826.741512198278</v>
      </c>
      <c r="AR554" s="41">
        <v>549</v>
      </c>
      <c r="AS554" s="57">
        <f t="shared" si="275"/>
        <v>11543.090807917019</v>
      </c>
      <c r="AT554" s="57">
        <f t="shared" si="276"/>
        <v>-5547.5206276408035</v>
      </c>
      <c r="AV554" s="57">
        <f t="shared" si="277"/>
        <v>-7.3848874791261565</v>
      </c>
      <c r="AW554" s="57">
        <f t="shared" si="278"/>
        <v>-14.386943134587534</v>
      </c>
      <c r="AX554" s="57">
        <f t="shared" si="279"/>
        <v>-0.62178179704018599</v>
      </c>
      <c r="AY554" s="57">
        <f t="shared" si="280"/>
        <v>-1.3857796144266048</v>
      </c>
      <c r="BA554" s="57">
        <f t="shared" si="281"/>
        <v>330055.99773877236</v>
      </c>
      <c r="BB554" s="57">
        <f t="shared" si="282"/>
        <v>343755.4100442467</v>
      </c>
    </row>
    <row r="555" spans="9:54" x14ac:dyDescent="0.25">
      <c r="I555" s="41">
        <v>550</v>
      </c>
      <c r="J555" s="57">
        <f t="shared" si="256"/>
        <v>15075.961234938959</v>
      </c>
      <c r="K555" s="57">
        <f t="shared" si="257"/>
        <v>6631.7591116653512</v>
      </c>
      <c r="M555" s="41">
        <v>550</v>
      </c>
      <c r="N555" s="57">
        <f t="shared" si="258"/>
        <v>-23446.827135542728</v>
      </c>
      <c r="O555" s="57">
        <f t="shared" si="259"/>
        <v>9392.2313781657467</v>
      </c>
      <c r="Q555" s="41">
        <v>550</v>
      </c>
      <c r="R555" s="57">
        <f t="shared" si="260"/>
        <v>-9924.038765061041</v>
      </c>
      <c r="S555" s="41">
        <f t="shared" si="261"/>
        <v>-15868.240888334649</v>
      </c>
      <c r="U555" s="41">
        <v>549</v>
      </c>
      <c r="V555" s="41">
        <f t="shared" si="283"/>
        <v>274.5</v>
      </c>
      <c r="W555" s="57">
        <f t="shared" si="284"/>
        <v>156501.2027026462</v>
      </c>
      <c r="X555" s="57">
        <f t="shared" si="285"/>
        <v>309839.94644380006</v>
      </c>
      <c r="Y555" s="57">
        <f t="shared" si="286"/>
        <v>1554.0050705844399</v>
      </c>
      <c r="Z555" s="57">
        <f t="shared" si="287"/>
        <v>2409.9881232962493</v>
      </c>
      <c r="AA555" s="57">
        <f t="shared" si="262"/>
        <v>-12.421686778084624</v>
      </c>
      <c r="AB555" s="57">
        <f t="shared" si="263"/>
        <v>-24.801352063628872</v>
      </c>
      <c r="AC555" s="57">
        <f t="shared" si="264"/>
        <v>-1.9552645903078179</v>
      </c>
      <c r="AD555" s="57">
        <f t="shared" si="265"/>
        <v>-4.3307647098530957</v>
      </c>
      <c r="AE555" s="57">
        <f t="shared" si="266"/>
        <v>-0.7521313774068612</v>
      </c>
      <c r="AF555" s="57">
        <f t="shared" si="267"/>
        <v>-1.2777195195678615</v>
      </c>
      <c r="AG555" s="57">
        <f t="shared" si="268"/>
        <v>-1.769203415431543</v>
      </c>
      <c r="AH555" s="57">
        <f t="shared" si="269"/>
        <v>-3.5585366121087962</v>
      </c>
      <c r="AJ555" s="57">
        <f t="shared" si="270"/>
        <v>331725.82286416716</v>
      </c>
      <c r="AK555" s="57">
        <f t="shared" si="271"/>
        <v>347931.98766267736</v>
      </c>
      <c r="AL555" s="57">
        <f t="shared" si="272"/>
        <v>362772.14512695442</v>
      </c>
      <c r="AN555" s="41">
        <v>550</v>
      </c>
      <c r="AO555" s="57">
        <f t="shared" si="273"/>
        <v>-2386.0581475915606</v>
      </c>
      <c r="AP555" s="57">
        <f t="shared" si="274"/>
        <v>13697.638667498028</v>
      </c>
      <c r="AR555" s="41">
        <v>550</v>
      </c>
      <c r="AS555" s="57">
        <f t="shared" si="275"/>
        <v>11553.172864457272</v>
      </c>
      <c r="AT555" s="57">
        <f t="shared" si="276"/>
        <v>-5607.7686218342542</v>
      </c>
      <c r="AV555" s="57">
        <f t="shared" si="277"/>
        <v>-7.3275524457454697</v>
      </c>
      <c r="AW555" s="57">
        <f t="shared" si="278"/>
        <v>-14.260316962024984</v>
      </c>
      <c r="AX555" s="57">
        <f t="shared" si="279"/>
        <v>-0.61753494919293084</v>
      </c>
      <c r="AY555" s="57">
        <f t="shared" si="280"/>
        <v>-1.3740142600741385</v>
      </c>
      <c r="BA555" s="57">
        <f t="shared" si="281"/>
        <v>331486.36237307137</v>
      </c>
      <c r="BB555" s="57">
        <f t="shared" si="282"/>
        <v>345176.45088132861</v>
      </c>
    </row>
    <row r="556" spans="9:54" x14ac:dyDescent="0.25">
      <c r="I556" s="41">
        <v>551</v>
      </c>
      <c r="J556" s="57">
        <f t="shared" si="256"/>
        <v>15091.864082761678</v>
      </c>
      <c r="K556" s="57">
        <f t="shared" si="257"/>
        <v>6545.9550231172843</v>
      </c>
      <c r="M556" s="41">
        <v>551</v>
      </c>
      <c r="N556" s="57">
        <f t="shared" si="258"/>
        <v>-23435.695142066827</v>
      </c>
      <c r="O556" s="57">
        <f t="shared" si="259"/>
        <v>9332.1685161820988</v>
      </c>
      <c r="Q556" s="41">
        <v>551</v>
      </c>
      <c r="R556" s="57">
        <f t="shared" si="260"/>
        <v>-9908.1359172383218</v>
      </c>
      <c r="S556" s="41">
        <f t="shared" si="261"/>
        <v>-15954.044976882717</v>
      </c>
      <c r="U556" s="41">
        <v>550</v>
      </c>
      <c r="V556" s="41">
        <f t="shared" si="283"/>
        <v>275</v>
      </c>
      <c r="W556" s="57">
        <f t="shared" si="284"/>
        <v>157276.65252709115</v>
      </c>
      <c r="X556" s="57">
        <f t="shared" si="285"/>
        <v>311041.84033644025</v>
      </c>
      <c r="Y556" s="57">
        <f t="shared" si="286"/>
        <v>1547.7942271953975</v>
      </c>
      <c r="Z556" s="57">
        <f t="shared" si="287"/>
        <v>2397.587447264435</v>
      </c>
      <c r="AA556" s="57">
        <f t="shared" si="262"/>
        <v>-12.329167354976258</v>
      </c>
      <c r="AB556" s="57">
        <f t="shared" si="263"/>
        <v>-24.588506564625007</v>
      </c>
      <c r="AC556" s="57">
        <f t="shared" si="264"/>
        <v>-1.9414520534089168</v>
      </c>
      <c r="AD556" s="57">
        <f t="shared" si="265"/>
        <v>-4.292878055869001</v>
      </c>
      <c r="AE556" s="57">
        <f t="shared" si="266"/>
        <v>-0.74620652980361246</v>
      </c>
      <c r="AF556" s="57">
        <f t="shared" si="267"/>
        <v>-1.2671684838409232</v>
      </c>
      <c r="AG556" s="57">
        <f t="shared" si="268"/>
        <v>-1.7569795120953764</v>
      </c>
      <c r="AH556" s="57">
        <f t="shared" si="269"/>
        <v>-3.5300754892103998</v>
      </c>
      <c r="AJ556" s="57">
        <f t="shared" si="270"/>
        <v>333140.40307935735</v>
      </c>
      <c r="AK556" s="57">
        <f t="shared" si="271"/>
        <v>349361.13287594228</v>
      </c>
      <c r="AL556" s="57">
        <f t="shared" si="272"/>
        <v>364193.62103882473</v>
      </c>
      <c r="AN556" s="41">
        <v>551</v>
      </c>
      <c r="AO556" s="57">
        <f t="shared" si="273"/>
        <v>-2362.2038758574827</v>
      </c>
      <c r="AP556" s="57">
        <f t="shared" si="274"/>
        <v>13568.932534675925</v>
      </c>
      <c r="AR556" s="41">
        <v>551</v>
      </c>
      <c r="AS556" s="57">
        <f t="shared" si="275"/>
        <v>11564.304857933175</v>
      </c>
      <c r="AT556" s="57">
        <f t="shared" si="276"/>
        <v>-5667.8314838179012</v>
      </c>
      <c r="AV556" s="57">
        <f t="shared" si="277"/>
        <v>-7.2711767962388674</v>
      </c>
      <c r="AW556" s="57">
        <f t="shared" si="278"/>
        <v>-14.135933016962118</v>
      </c>
      <c r="AX556" s="57">
        <f t="shared" si="279"/>
        <v>-0.61335246342948446</v>
      </c>
      <c r="AY556" s="57">
        <f t="shared" si="280"/>
        <v>-1.3624515187425643</v>
      </c>
      <c r="BA556" s="57">
        <f t="shared" si="281"/>
        <v>332909.82282690733</v>
      </c>
      <c r="BB556" s="57">
        <f t="shared" si="282"/>
        <v>346590.66735496302</v>
      </c>
    </row>
    <row r="557" spans="9:54" x14ac:dyDescent="0.25">
      <c r="I557" s="41">
        <v>552</v>
      </c>
      <c r="J557" s="57">
        <f t="shared" si="256"/>
        <v>15109.26199633097</v>
      </c>
      <c r="K557" s="57">
        <f t="shared" si="257"/>
        <v>6460.4415459112079</v>
      </c>
      <c r="M557" s="41">
        <v>552</v>
      </c>
      <c r="N557" s="57">
        <f t="shared" si="258"/>
        <v>-23423.516602568321</v>
      </c>
      <c r="O557" s="57">
        <f t="shared" si="259"/>
        <v>9272.3090821378464</v>
      </c>
      <c r="Q557" s="41">
        <v>552</v>
      </c>
      <c r="R557" s="57">
        <f t="shared" si="260"/>
        <v>-9890.7380036690301</v>
      </c>
      <c r="S557" s="41">
        <f t="shared" si="261"/>
        <v>-16039.558454088792</v>
      </c>
      <c r="U557" s="41">
        <v>551</v>
      </c>
      <c r="V557" s="41">
        <f t="shared" si="283"/>
        <v>275.5</v>
      </c>
      <c r="W557" s="57">
        <f t="shared" si="284"/>
        <v>158049.00849476946</v>
      </c>
      <c r="X557" s="57">
        <f t="shared" si="285"/>
        <v>312237.56049675192</v>
      </c>
      <c r="Y557" s="57">
        <f t="shared" si="286"/>
        <v>1541.6296435179095</v>
      </c>
      <c r="Z557" s="57">
        <f t="shared" si="287"/>
        <v>2385.2931939821224</v>
      </c>
      <c r="AA557" s="57">
        <f t="shared" si="262"/>
        <v>-12.238150313298625</v>
      </c>
      <c r="AB557" s="57">
        <f t="shared" si="263"/>
        <v>-24.379359078689639</v>
      </c>
      <c r="AC557" s="57">
        <f t="shared" si="264"/>
        <v>-1.9278532318931003</v>
      </c>
      <c r="AD557" s="57">
        <f t="shared" si="265"/>
        <v>-4.2556574457768876</v>
      </c>
      <c r="AE557" s="57">
        <f t="shared" si="266"/>
        <v>-0.74038199149743422</v>
      </c>
      <c r="AF557" s="57">
        <f t="shared" si="267"/>
        <v>-1.2567958049173029</v>
      </c>
      <c r="AG557" s="57">
        <f t="shared" si="268"/>
        <v>-1.7449444868287625</v>
      </c>
      <c r="AH557" s="57">
        <f t="shared" si="269"/>
        <v>-3.502084326323387</v>
      </c>
      <c r="AJ557" s="57">
        <f t="shared" si="270"/>
        <v>334548.21703889035</v>
      </c>
      <c r="AK557" s="57">
        <f t="shared" si="271"/>
        <v>350783.39812624862</v>
      </c>
      <c r="AL557" s="57">
        <f t="shared" si="272"/>
        <v>365608.26053440419</v>
      </c>
      <c r="AN557" s="41">
        <v>552</v>
      </c>
      <c r="AO557" s="57">
        <f t="shared" si="273"/>
        <v>-2336.1070055035434</v>
      </c>
      <c r="AP557" s="57">
        <f t="shared" si="274"/>
        <v>13440.662318866813</v>
      </c>
      <c r="AR557" s="41">
        <v>552</v>
      </c>
      <c r="AS557" s="57">
        <f t="shared" si="275"/>
        <v>11576.483397431679</v>
      </c>
      <c r="AT557" s="57">
        <f t="shared" si="276"/>
        <v>-5727.6909178621545</v>
      </c>
      <c r="AV557" s="57">
        <f t="shared" si="277"/>
        <v>-7.215737649098827</v>
      </c>
      <c r="AW557" s="57">
        <f t="shared" si="278"/>
        <v>-14.013735058440464</v>
      </c>
      <c r="AX557" s="57">
        <f t="shared" si="279"/>
        <v>-0.60923295398050281</v>
      </c>
      <c r="AY557" s="57">
        <f t="shared" si="280"/>
        <v>-1.3510864432315977</v>
      </c>
      <c r="BA557" s="57">
        <f t="shared" si="281"/>
        <v>334326.43684173748</v>
      </c>
      <c r="BB557" s="57">
        <f t="shared" si="282"/>
        <v>347998.11583005294</v>
      </c>
    </row>
    <row r="558" spans="9:54" x14ac:dyDescent="0.25">
      <c r="I558" s="41">
        <v>553</v>
      </c>
      <c r="J558" s="57">
        <f t="shared" si="256"/>
        <v>15128.149676073823</v>
      </c>
      <c r="K558" s="57">
        <f t="shared" si="257"/>
        <v>6375.2447282806761</v>
      </c>
      <c r="M558" s="41">
        <v>553</v>
      </c>
      <c r="N558" s="57">
        <f t="shared" si="258"/>
        <v>-23410.295226748323</v>
      </c>
      <c r="O558" s="57">
        <f t="shared" si="259"/>
        <v>9212.671309796473</v>
      </c>
      <c r="Q558" s="41">
        <v>553</v>
      </c>
      <c r="R558" s="57">
        <f t="shared" si="260"/>
        <v>-9871.8503239261772</v>
      </c>
      <c r="S558" s="41">
        <f t="shared" si="261"/>
        <v>-16124.755271719323</v>
      </c>
      <c r="U558" s="41">
        <v>552</v>
      </c>
      <c r="V558" s="41">
        <f t="shared" si="283"/>
        <v>276</v>
      </c>
      <c r="W558" s="57">
        <f t="shared" si="284"/>
        <v>158818.29354773925</v>
      </c>
      <c r="X558" s="57">
        <f t="shared" si="285"/>
        <v>313427.15967385814</v>
      </c>
      <c r="Y558" s="57">
        <f t="shared" si="286"/>
        <v>1535.5105683612601</v>
      </c>
      <c r="Z558" s="57">
        <f t="shared" si="287"/>
        <v>2373.1035144427774</v>
      </c>
      <c r="AA558" s="57">
        <f t="shared" si="262"/>
        <v>-12.148600852066835</v>
      </c>
      <c r="AB558" s="57">
        <f t="shared" si="263"/>
        <v>-24.173818509215099</v>
      </c>
      <c r="AC558" s="57">
        <f t="shared" si="264"/>
        <v>-1.9144634424198665</v>
      </c>
      <c r="AD558" s="57">
        <f t="shared" si="265"/>
        <v>-4.2190863197546129</v>
      </c>
      <c r="AE558" s="57">
        <f t="shared" si="266"/>
        <v>-0.73465534060030169</v>
      </c>
      <c r="AF558" s="57">
        <f t="shared" si="267"/>
        <v>-1.2465971960417392</v>
      </c>
      <c r="AG558" s="57">
        <f t="shared" si="268"/>
        <v>-1.7330941585839323</v>
      </c>
      <c r="AH558" s="57">
        <f t="shared" si="269"/>
        <v>-3.4745520761098851</v>
      </c>
      <c r="AJ558" s="57">
        <f t="shared" si="270"/>
        <v>335949.32006125653</v>
      </c>
      <c r="AK558" s="57">
        <f t="shared" si="271"/>
        <v>352198.84062141721</v>
      </c>
      <c r="AL558" s="57">
        <f t="shared" si="272"/>
        <v>367016.12023497169</v>
      </c>
      <c r="AN558" s="41">
        <v>553</v>
      </c>
      <c r="AO558" s="57">
        <f t="shared" si="273"/>
        <v>-2307.775485889264</v>
      </c>
      <c r="AP558" s="57">
        <f t="shared" si="274"/>
        <v>13312.867092421015</v>
      </c>
      <c r="AR558" s="41">
        <v>553</v>
      </c>
      <c r="AS558" s="57">
        <f t="shared" si="275"/>
        <v>11589.704773251677</v>
      </c>
      <c r="AT558" s="57">
        <f t="shared" si="276"/>
        <v>-5787.328690203527</v>
      </c>
      <c r="AV558" s="57">
        <f t="shared" si="277"/>
        <v>-7.1612128363605594</v>
      </c>
      <c r="AW558" s="57">
        <f t="shared" si="278"/>
        <v>-13.893668674147539</v>
      </c>
      <c r="AX558" s="57">
        <f t="shared" si="279"/>
        <v>-0.60517507410217386</v>
      </c>
      <c r="AY558" s="57">
        <f t="shared" si="280"/>
        <v>-1.3399142431613218</v>
      </c>
      <c r="BA558" s="57">
        <f t="shared" si="281"/>
        <v>335736.26116483886</v>
      </c>
      <c r="BB558" s="57">
        <f t="shared" si="282"/>
        <v>349398.85171097011</v>
      </c>
    </row>
    <row r="559" spans="9:54" x14ac:dyDescent="0.25">
      <c r="I559" s="41">
        <v>554</v>
      </c>
      <c r="J559" s="57">
        <f t="shared" si="256"/>
        <v>15148.521368620019</v>
      </c>
      <c r="K559" s="57">
        <f t="shared" si="257"/>
        <v>6290.3905220016595</v>
      </c>
      <c r="M559" s="41">
        <v>554</v>
      </c>
      <c r="N559" s="57">
        <f t="shared" si="258"/>
        <v>-23396.035041965988</v>
      </c>
      <c r="O559" s="57">
        <f t="shared" si="259"/>
        <v>9153.2733654011608</v>
      </c>
      <c r="Q559" s="41">
        <v>554</v>
      </c>
      <c r="R559" s="57">
        <f t="shared" si="260"/>
        <v>-9851.4786313799814</v>
      </c>
      <c r="S559" s="41">
        <f t="shared" si="261"/>
        <v>-16209.60947799834</v>
      </c>
      <c r="U559" s="41">
        <v>553</v>
      </c>
      <c r="V559" s="41">
        <f t="shared" si="283"/>
        <v>276.5</v>
      </c>
      <c r="W559" s="57">
        <f t="shared" si="284"/>
        <v>159584.53025681336</v>
      </c>
      <c r="X559" s="57">
        <f t="shared" si="285"/>
        <v>314610.68970376591</v>
      </c>
      <c r="Y559" s="57">
        <f t="shared" si="286"/>
        <v>1529.4362679352266</v>
      </c>
      <c r="Z559" s="57">
        <f t="shared" si="287"/>
        <v>2361.0166051881697</v>
      </c>
      <c r="AA559" s="57">
        <f t="shared" si="262"/>
        <v>-12.060485226274496</v>
      </c>
      <c r="AB559" s="57">
        <f t="shared" si="263"/>
        <v>-23.97179667210397</v>
      </c>
      <c r="AC559" s="57">
        <f t="shared" si="264"/>
        <v>-1.9012781353923029</v>
      </c>
      <c r="AD559" s="57">
        <f t="shared" si="265"/>
        <v>-4.1831486512490441</v>
      </c>
      <c r="AE559" s="57">
        <f t="shared" si="266"/>
        <v>-0.72902423165091923</v>
      </c>
      <c r="AF559" s="57">
        <f t="shared" si="267"/>
        <v>-1.2365685045163812</v>
      </c>
      <c r="AG559" s="57">
        <f t="shared" si="268"/>
        <v>-1.7214244682442874</v>
      </c>
      <c r="AH559" s="57">
        <f t="shared" si="269"/>
        <v>-3.4474680297448503</v>
      </c>
      <c r="AJ559" s="57">
        <f t="shared" si="270"/>
        <v>337343.76653102401</v>
      </c>
      <c r="AK559" s="57">
        <f t="shared" si="271"/>
        <v>353607.51659058983</v>
      </c>
      <c r="AL559" s="57">
        <f t="shared" si="272"/>
        <v>368417.25579409028</v>
      </c>
      <c r="AN559" s="41">
        <v>554</v>
      </c>
      <c r="AO559" s="57">
        <f t="shared" si="273"/>
        <v>-2277.217947069973</v>
      </c>
      <c r="AP559" s="57">
        <f t="shared" si="274"/>
        <v>13185.585783002489</v>
      </c>
      <c r="AR559" s="41">
        <v>554</v>
      </c>
      <c r="AS559" s="57">
        <f t="shared" si="275"/>
        <v>11603.964958034012</v>
      </c>
      <c r="AT559" s="57">
        <f t="shared" si="276"/>
        <v>-5846.7266345988382</v>
      </c>
      <c r="AV559" s="57">
        <f t="shared" si="277"/>
        <v>-7.1075808762579928</v>
      </c>
      <c r="AW559" s="57">
        <f t="shared" si="278"/>
        <v>-13.775681207706716</v>
      </c>
      <c r="AX559" s="57">
        <f t="shared" si="279"/>
        <v>-0.60117751472899394</v>
      </c>
      <c r="AY559" s="57">
        <f t="shared" si="280"/>
        <v>-1.3289302788869777</v>
      </c>
      <c r="BA559" s="57">
        <f t="shared" si="281"/>
        <v>337139.35157362738</v>
      </c>
      <c r="BB559" s="57">
        <f t="shared" si="282"/>
        <v>350792.92946480593</v>
      </c>
    </row>
    <row r="560" spans="9:54" x14ac:dyDescent="0.25">
      <c r="I560" s="41">
        <v>555</v>
      </c>
      <c r="J560" s="57">
        <f t="shared" si="256"/>
        <v>15170.370868554659</v>
      </c>
      <c r="K560" s="57">
        <f t="shared" si="257"/>
        <v>6205.9047744873906</v>
      </c>
      <c r="M560" s="41">
        <v>555</v>
      </c>
      <c r="N560" s="57">
        <f t="shared" si="258"/>
        <v>-23380.740392011739</v>
      </c>
      <c r="O560" s="57">
        <f t="shared" si="259"/>
        <v>9094.1333421411728</v>
      </c>
      <c r="Q560" s="41">
        <v>555</v>
      </c>
      <c r="R560" s="57">
        <f t="shared" si="260"/>
        <v>-9829.629131445341</v>
      </c>
      <c r="S560" s="41">
        <f t="shared" si="261"/>
        <v>-16294.095225512609</v>
      </c>
      <c r="U560" s="41">
        <v>554</v>
      </c>
      <c r="V560" s="41">
        <f t="shared" si="283"/>
        <v>277</v>
      </c>
      <c r="W560" s="57">
        <f t="shared" si="284"/>
        <v>160347.74083012767</v>
      </c>
      <c r="X560" s="57">
        <f t="shared" si="285"/>
        <v>315788.20153177594</v>
      </c>
      <c r="Y560" s="57">
        <f t="shared" si="286"/>
        <v>1523.4060253220894</v>
      </c>
      <c r="Z560" s="57">
        <f t="shared" si="287"/>
        <v>2349.0307068521179</v>
      </c>
      <c r="AA560" s="57">
        <f t="shared" si="262"/>
        <v>-11.973770707475111</v>
      </c>
      <c r="AB560" s="57">
        <f t="shared" si="263"/>
        <v>-23.773208181802065</v>
      </c>
      <c r="AC560" s="57">
        <f t="shared" si="264"/>
        <v>-1.8882928902893548</v>
      </c>
      <c r="AD560" s="57">
        <f t="shared" si="265"/>
        <v>-4.1478289259899492</v>
      </c>
      <c r="AE560" s="57">
        <f t="shared" si="266"/>
        <v>-0.72348639265175541</v>
      </c>
      <c r="AF560" s="57">
        <f t="shared" si="267"/>
        <v>-1.2267057065609481</v>
      </c>
      <c r="AG560" s="57">
        <f t="shared" si="268"/>
        <v>-1.7099314742323557</v>
      </c>
      <c r="AH560" s="57">
        <f t="shared" si="269"/>
        <v>-3.4208218041817831</v>
      </c>
      <c r="AJ560" s="57">
        <f t="shared" si="270"/>
        <v>338731.60992121417</v>
      </c>
      <c r="AK560" s="57">
        <f t="shared" si="271"/>
        <v>355009.48130799114</v>
      </c>
      <c r="AL560" s="57">
        <f t="shared" si="272"/>
        <v>369811.72192110663</v>
      </c>
      <c r="AN560" s="41">
        <v>555</v>
      </c>
      <c r="AO560" s="57">
        <f t="shared" si="273"/>
        <v>-2244.4436971680097</v>
      </c>
      <c r="AP560" s="57">
        <f t="shared" si="274"/>
        <v>13058.857161731086</v>
      </c>
      <c r="AR560" s="41">
        <v>555</v>
      </c>
      <c r="AS560" s="57">
        <f t="shared" si="275"/>
        <v>11619.259607988262</v>
      </c>
      <c r="AT560" s="57">
        <f t="shared" si="276"/>
        <v>-5905.8666578588263</v>
      </c>
      <c r="AV560" s="57">
        <f t="shared" si="277"/>
        <v>-7.0548209471202847</v>
      </c>
      <c r="AW560" s="57">
        <f t="shared" si="278"/>
        <v>-13.659721689376994</v>
      </c>
      <c r="AX560" s="57">
        <f t="shared" si="279"/>
        <v>-0.59723900318136036</v>
      </c>
      <c r="AY560" s="57">
        <f t="shared" si="280"/>
        <v>-1.3181300556923896</v>
      </c>
      <c r="BA560" s="57">
        <f t="shared" si="281"/>
        <v>338535.76289920212</v>
      </c>
      <c r="BB560" s="57">
        <f t="shared" si="282"/>
        <v>352180.40264389111</v>
      </c>
    </row>
    <row r="561" spans="9:54" x14ac:dyDescent="0.25">
      <c r="I561" s="41">
        <v>556</v>
      </c>
      <c r="J561" s="57">
        <f t="shared" si="256"/>
        <v>15193.691520308406</v>
      </c>
      <c r="K561" s="57">
        <f t="shared" si="257"/>
        <v>6121.8132209150044</v>
      </c>
      <c r="M561" s="41">
        <v>556</v>
      </c>
      <c r="N561" s="57">
        <f t="shared" si="258"/>
        <v>-23364.415935784116</v>
      </c>
      <c r="O561" s="57">
        <f t="shared" si="259"/>
        <v>9035.2692546405033</v>
      </c>
      <c r="Q561" s="41">
        <v>556</v>
      </c>
      <c r="R561" s="57">
        <f t="shared" si="260"/>
        <v>-9806.3084796915937</v>
      </c>
      <c r="S561" s="41">
        <f t="shared" si="261"/>
        <v>-16378.186779084996</v>
      </c>
      <c r="U561" s="41">
        <v>555</v>
      </c>
      <c r="V561" s="41">
        <f t="shared" si="283"/>
        <v>277.5</v>
      </c>
      <c r="W561" s="57">
        <f t="shared" si="284"/>
        <v>161107.9471214503</v>
      </c>
      <c r="X561" s="57">
        <f t="shared" si="285"/>
        <v>316959.74523417925</v>
      </c>
      <c r="Y561" s="57">
        <f t="shared" si="286"/>
        <v>1517.4191399683518</v>
      </c>
      <c r="Z561" s="57">
        <f t="shared" si="287"/>
        <v>2337.1441027612168</v>
      </c>
      <c r="AA561" s="57">
        <f t="shared" si="262"/>
        <v>-11.888425546106307</v>
      </c>
      <c r="AB561" s="57">
        <f t="shared" si="263"/>
        <v>-23.577970342593563</v>
      </c>
      <c r="AC561" s="57">
        <f t="shared" si="264"/>
        <v>-1.8755034111894566</v>
      </c>
      <c r="AD561" s="57">
        <f t="shared" si="265"/>
        <v>-4.1131121219769753</v>
      </c>
      <c r="AE561" s="57">
        <f t="shared" si="266"/>
        <v>-0.71803962224201401</v>
      </c>
      <c r="AF561" s="57">
        <f t="shared" si="267"/>
        <v>-1.2170049024057974</v>
      </c>
      <c r="AG561" s="57">
        <f t="shared" si="268"/>
        <v>-1.6986113483060095</v>
      </c>
      <c r="AH561" s="57">
        <f t="shared" si="269"/>
        <v>-3.3946033299856087</v>
      </c>
      <c r="AJ561" s="57">
        <f t="shared" si="270"/>
        <v>340112.90281498164</v>
      </c>
      <c r="AK561" s="57">
        <f t="shared" si="271"/>
        <v>356404.78911594086</v>
      </c>
      <c r="AL561" s="57">
        <f t="shared" si="272"/>
        <v>371199.57240390743</v>
      </c>
      <c r="AN561" s="41">
        <v>556</v>
      </c>
      <c r="AO561" s="57">
        <f t="shared" si="273"/>
        <v>-2209.4627195373914</v>
      </c>
      <c r="AP561" s="57">
        <f t="shared" si="274"/>
        <v>12932.719831372506</v>
      </c>
      <c r="AR561" s="41">
        <v>556</v>
      </c>
      <c r="AS561" s="57">
        <f t="shared" si="275"/>
        <v>11635.584064215884</v>
      </c>
      <c r="AT561" s="57">
        <f t="shared" si="276"/>
        <v>-5964.7307453594976</v>
      </c>
      <c r="AV561" s="57">
        <f t="shared" si="277"/>
        <v>-7.002912862443309</v>
      </c>
      <c r="AW561" s="57">
        <f t="shared" si="278"/>
        <v>-13.545740769977613</v>
      </c>
      <c r="AX561" s="57">
        <f t="shared" si="279"/>
        <v>-0.59335830192551831</v>
      </c>
      <c r="AY561" s="57">
        <f t="shared" si="280"/>
        <v>-1.3075092182475723</v>
      </c>
      <c r="BA561" s="57">
        <f t="shared" si="281"/>
        <v>339925.54904914688</v>
      </c>
      <c r="BB561" s="57">
        <f t="shared" si="282"/>
        <v>353561.32390761032</v>
      </c>
    </row>
    <row r="562" spans="9:54" x14ac:dyDescent="0.25">
      <c r="I562" s="41">
        <v>557</v>
      </c>
      <c r="J562" s="57">
        <f t="shared" si="256"/>
        <v>15218.476220184824</v>
      </c>
      <c r="K562" s="57">
        <f t="shared" si="257"/>
        <v>6038.1414763863131</v>
      </c>
      <c r="M562" s="41">
        <v>557</v>
      </c>
      <c r="N562" s="57">
        <f t="shared" si="258"/>
        <v>-23347.066645870626</v>
      </c>
      <c r="O562" s="57">
        <f t="shared" si="259"/>
        <v>8976.6990334704187</v>
      </c>
      <c r="Q562" s="41">
        <v>557</v>
      </c>
      <c r="R562" s="57">
        <f t="shared" si="260"/>
        <v>-9781.5237798151757</v>
      </c>
      <c r="S562" s="41">
        <f t="shared" si="261"/>
        <v>-16461.858523613686</v>
      </c>
      <c r="U562" s="41">
        <v>556</v>
      </c>
      <c r="V562" s="41">
        <f t="shared" si="283"/>
        <v>278</v>
      </c>
      <c r="W562" s="57">
        <f t="shared" si="284"/>
        <v>161865.17063824122</v>
      </c>
      <c r="X562" s="57">
        <f t="shared" si="285"/>
        <v>318125.370039267</v>
      </c>
      <c r="Y562" s="57">
        <f t="shared" si="286"/>
        <v>1511.4749271952987</v>
      </c>
      <c r="Z562" s="57">
        <f t="shared" si="287"/>
        <v>2325.3551175899202</v>
      </c>
      <c r="AA562" s="57">
        <f t="shared" si="262"/>
        <v>-11.804418935468492</v>
      </c>
      <c r="AB562" s="57">
        <f t="shared" si="263"/>
        <v>-23.386003044879661</v>
      </c>
      <c r="AC562" s="57">
        <f t="shared" si="264"/>
        <v>-1.8629055224769167</v>
      </c>
      <c r="AD562" s="57">
        <f t="shared" si="265"/>
        <v>-4.0789836903886325</v>
      </c>
      <c r="AE562" s="57">
        <f t="shared" si="266"/>
        <v>-0.71268178699928675</v>
      </c>
      <c r="AF562" s="57">
        <f t="shared" si="267"/>
        <v>-1.2074623116056202</v>
      </c>
      <c r="AG562" s="57">
        <f t="shared" si="268"/>
        <v>-1.6874603715332512</v>
      </c>
      <c r="AH562" s="57">
        <f t="shared" si="269"/>
        <v>-3.3688028397028837</v>
      </c>
      <c r="AJ562" s="57">
        <f t="shared" si="270"/>
        <v>341487.69692662259</v>
      </c>
      <c r="AK562" s="57">
        <f t="shared" si="271"/>
        <v>357793.49344714446</v>
      </c>
      <c r="AL562" s="57">
        <f t="shared" si="272"/>
        <v>372580.86013096262</v>
      </c>
      <c r="AN562" s="41">
        <v>557</v>
      </c>
      <c r="AO562" s="57">
        <f t="shared" si="273"/>
        <v>-2172.2856697227653</v>
      </c>
      <c r="AP562" s="57">
        <f t="shared" si="274"/>
        <v>12807.212214579469</v>
      </c>
      <c r="AR562" s="41">
        <v>557</v>
      </c>
      <c r="AS562" s="57">
        <f t="shared" si="275"/>
        <v>11652.933354129376</v>
      </c>
      <c r="AT562" s="57">
        <f t="shared" si="276"/>
        <v>-6023.3009665295813</v>
      </c>
      <c r="AV562" s="57">
        <f t="shared" si="277"/>
        <v>-6.9518370470757551</v>
      </c>
      <c r="AW562" s="57">
        <f t="shared" si="278"/>
        <v>-13.433690657866167</v>
      </c>
      <c r="AX562" s="57">
        <f t="shared" si="279"/>
        <v>-0.58953420738328277</v>
      </c>
      <c r="AY562" s="57">
        <f t="shared" si="280"/>
        <v>-1.2970635453163593</v>
      </c>
      <c r="BA562" s="57">
        <f t="shared" si="281"/>
        <v>341308.76302961673</v>
      </c>
      <c r="BB562" s="57">
        <f t="shared" si="282"/>
        <v>354935.74504354014</v>
      </c>
    </row>
    <row r="563" spans="9:54" x14ac:dyDescent="0.25">
      <c r="I563" s="41">
        <v>558</v>
      </c>
      <c r="J563" s="57">
        <f t="shared" si="256"/>
        <v>15244.717418524233</v>
      </c>
      <c r="K563" s="57">
        <f t="shared" si="257"/>
        <v>5954.9150281252641</v>
      </c>
      <c r="M563" s="41">
        <v>558</v>
      </c>
      <c r="N563" s="57">
        <f t="shared" si="258"/>
        <v>-23328.697807033037</v>
      </c>
      <c r="O563" s="57">
        <f t="shared" si="259"/>
        <v>8918.4405196876851</v>
      </c>
      <c r="Q563" s="41">
        <v>558</v>
      </c>
      <c r="R563" s="57">
        <f t="shared" si="260"/>
        <v>-9755.2825814757671</v>
      </c>
      <c r="S563" s="41">
        <f t="shared" si="261"/>
        <v>-16545.084971874734</v>
      </c>
      <c r="U563" s="41">
        <v>557</v>
      </c>
      <c r="V563" s="41">
        <f t="shared" si="283"/>
        <v>278.5</v>
      </c>
      <c r="W563" s="57">
        <f t="shared" si="284"/>
        <v>162619.43254947194</v>
      </c>
      <c r="X563" s="57">
        <f t="shared" si="285"/>
        <v>319285.12434768135</v>
      </c>
      <c r="Y563" s="57">
        <f t="shared" si="286"/>
        <v>1505.5727177275644</v>
      </c>
      <c r="Z563" s="57">
        <f t="shared" si="287"/>
        <v>2313.6621160674804</v>
      </c>
      <c r="AA563" s="57">
        <f t="shared" si="262"/>
        <v>-11.721720977273439</v>
      </c>
      <c r="AB563" s="57">
        <f t="shared" si="263"/>
        <v>-23.197228666176517</v>
      </c>
      <c r="AC563" s="57">
        <f t="shared" si="264"/>
        <v>-1.8504951647221728</v>
      </c>
      <c r="AD563" s="57">
        <f t="shared" si="265"/>
        <v>-4.0454295373637148</v>
      </c>
      <c r="AE563" s="57">
        <f t="shared" si="266"/>
        <v>-0.70741081886316726</v>
      </c>
      <c r="AF563" s="57">
        <f t="shared" si="267"/>
        <v>-1.1980742685624035</v>
      </c>
      <c r="AG563" s="57">
        <f t="shared" si="268"/>
        <v>-1.6764749304368955</v>
      </c>
      <c r="AH563" s="57">
        <f t="shared" si="269"/>
        <v>-3.3434108567421799</v>
      </c>
      <c r="AJ563" s="57">
        <f t="shared" si="270"/>
        <v>342856.04312193842</v>
      </c>
      <c r="AK563" s="57">
        <f t="shared" si="271"/>
        <v>359175.64684629143</v>
      </c>
      <c r="AL563" s="57">
        <f t="shared" si="272"/>
        <v>373955.63711268181</v>
      </c>
      <c r="AN563" s="41">
        <v>558</v>
      </c>
      <c r="AO563" s="57">
        <f t="shared" si="273"/>
        <v>-2132.9238722136524</v>
      </c>
      <c r="AP563" s="57">
        <f t="shared" si="274"/>
        <v>12682.372542187897</v>
      </c>
      <c r="AR563" s="41">
        <v>558</v>
      </c>
      <c r="AS563" s="57">
        <f t="shared" si="275"/>
        <v>11671.302192966963</v>
      </c>
      <c r="AT563" s="57">
        <f t="shared" si="276"/>
        <v>-6081.5594803123149</v>
      </c>
      <c r="AV563" s="57">
        <f t="shared" si="277"/>
        <v>-6.9015745144618537</v>
      </c>
      <c r="AW563" s="57">
        <f t="shared" si="278"/>
        <v>-13.323525058806903</v>
      </c>
      <c r="AX563" s="57">
        <f t="shared" si="279"/>
        <v>-0.58576554878934994</v>
      </c>
      <c r="AY563" s="57">
        <f t="shared" si="280"/>
        <v>-1.2867889447013166</v>
      </c>
      <c r="BA563" s="57">
        <f t="shared" si="281"/>
        <v>342685.45696673711</v>
      </c>
      <c r="BB563" s="57">
        <f t="shared" si="282"/>
        <v>356303.71698793606</v>
      </c>
    </row>
    <row r="564" spans="9:54" x14ac:dyDescent="0.25">
      <c r="I564" s="41">
        <v>559</v>
      </c>
      <c r="J564" s="57">
        <f t="shared" si="256"/>
        <v>15272.407122003417</v>
      </c>
      <c r="K564" s="57">
        <f t="shared" si="257"/>
        <v>5872.1592277142154</v>
      </c>
      <c r="M564" s="41">
        <v>559</v>
      </c>
      <c r="N564" s="57">
        <f t="shared" si="258"/>
        <v>-23309.315014597611</v>
      </c>
      <c r="O564" s="57">
        <f t="shared" si="259"/>
        <v>8860.5114593999497</v>
      </c>
      <c r="Q564" s="41">
        <v>559</v>
      </c>
      <c r="R564" s="57">
        <f t="shared" si="260"/>
        <v>-9727.5928779965834</v>
      </c>
      <c r="S564" s="41">
        <f t="shared" si="261"/>
        <v>-16627.840772285785</v>
      </c>
      <c r="U564" s="41">
        <v>558</v>
      </c>
      <c r="V564" s="41">
        <f t="shared" si="283"/>
        <v>279</v>
      </c>
      <c r="W564" s="57">
        <f t="shared" si="284"/>
        <v>163370.75369321357</v>
      </c>
      <c r="X564" s="57">
        <f t="shared" si="285"/>
        <v>320439.0557521318</v>
      </c>
      <c r="Y564" s="57">
        <f t="shared" si="286"/>
        <v>1499.7118572389277</v>
      </c>
      <c r="Z564" s="57">
        <f t="shared" si="287"/>
        <v>2302.063501734392</v>
      </c>
      <c r="AA564" s="57">
        <f t="shared" si="262"/>
        <v>-11.640302648684703</v>
      </c>
      <c r="AB564" s="57">
        <f t="shared" si="263"/>
        <v>-23.011571976587245</v>
      </c>
      <c r="AC564" s="57">
        <f t="shared" si="264"/>
        <v>-1.8382683907280799</v>
      </c>
      <c r="AD564" s="57">
        <f t="shared" si="265"/>
        <v>-4.0124360066098079</v>
      </c>
      <c r="AE564" s="57">
        <f t="shared" si="266"/>
        <v>-0.702224712674555</v>
      </c>
      <c r="AF564" s="57">
        <f t="shared" si="267"/>
        <v>-1.1888372182470277</v>
      </c>
      <c r="AG564" s="57">
        <f t="shared" si="268"/>
        <v>-1.6656515133010588</v>
      </c>
      <c r="AH564" s="57">
        <f t="shared" si="269"/>
        <v>-3.31841818473927</v>
      </c>
      <c r="AJ564" s="57">
        <f t="shared" si="270"/>
        <v>344217.99143797811</v>
      </c>
      <c r="AK564" s="57">
        <f t="shared" si="271"/>
        <v>360551.30099098571</v>
      </c>
      <c r="AL564" s="57">
        <f t="shared" si="272"/>
        <v>375323.95450211084</v>
      </c>
      <c r="AN564" s="41">
        <v>559</v>
      </c>
      <c r="AO564" s="57">
        <f t="shared" si="273"/>
        <v>-2091.3893169948751</v>
      </c>
      <c r="AP564" s="57">
        <f t="shared" si="274"/>
        <v>12558.238841571323</v>
      </c>
      <c r="AR564" s="41">
        <v>559</v>
      </c>
      <c r="AS564" s="57">
        <f t="shared" si="275"/>
        <v>11690.684985402391</v>
      </c>
      <c r="AT564" s="57">
        <f t="shared" si="276"/>
        <v>-6139.4885406000494</v>
      </c>
      <c r="AV564" s="57">
        <f t="shared" si="277"/>
        <v>-6.8521068448870199</v>
      </c>
      <c r="AW564" s="57">
        <f t="shared" si="278"/>
        <v>-13.215199118577502</v>
      </c>
      <c r="AX564" s="57">
        <f t="shared" si="279"/>
        <v>-0.58205118709398773</v>
      </c>
      <c r="AY564" s="57">
        <f t="shared" si="280"/>
        <v>-1.2766814484136362</v>
      </c>
      <c r="BA564" s="57">
        <f t="shared" si="281"/>
        <v>344055.68212734169</v>
      </c>
      <c r="BB564" s="57">
        <f t="shared" si="282"/>
        <v>357665.28984559205</v>
      </c>
    </row>
    <row r="565" spans="9:54" x14ac:dyDescent="0.25">
      <c r="I565" s="41">
        <v>560</v>
      </c>
      <c r="J565" s="57">
        <f t="shared" si="256"/>
        <v>15301.536896070456</v>
      </c>
      <c r="K565" s="57">
        <f t="shared" si="257"/>
        <v>5789.8992833716602</v>
      </c>
      <c r="M565" s="41">
        <v>560</v>
      </c>
      <c r="N565" s="57">
        <f t="shared" si="258"/>
        <v>-23288.924172750681</v>
      </c>
      <c r="O565" s="57">
        <f t="shared" si="259"/>
        <v>8802.9294983601612</v>
      </c>
      <c r="Q565" s="41">
        <v>560</v>
      </c>
      <c r="R565" s="57">
        <f t="shared" si="260"/>
        <v>-9698.4631039295436</v>
      </c>
      <c r="S565" s="41">
        <f t="shared" si="261"/>
        <v>-16710.100716628342</v>
      </c>
      <c r="U565" s="41">
        <v>559</v>
      </c>
      <c r="V565" s="41">
        <f t="shared" si="283"/>
        <v>279.5</v>
      </c>
      <c r="W565" s="57">
        <f t="shared" si="284"/>
        <v>164119.15458400192</v>
      </c>
      <c r="X565" s="57">
        <f t="shared" si="285"/>
        <v>321587.21105650195</v>
      </c>
      <c r="Y565" s="57">
        <f t="shared" si="286"/>
        <v>1493.8917059145854</v>
      </c>
      <c r="Z565" s="57">
        <f t="shared" si="287"/>
        <v>2290.5577157460984</v>
      </c>
      <c r="AA565" s="57">
        <f t="shared" si="262"/>
        <v>-11.560135770774647</v>
      </c>
      <c r="AB565" s="57">
        <f t="shared" si="263"/>
        <v>-22.828960048513991</v>
      </c>
      <c r="AC565" s="57">
        <f t="shared" si="264"/>
        <v>-1.8262213617344569</v>
      </c>
      <c r="AD565" s="57">
        <f t="shared" si="265"/>
        <v>-3.9799898627954824</v>
      </c>
      <c r="AE565" s="57">
        <f t="shared" si="266"/>
        <v>-0.69712152382450043</v>
      </c>
      <c r="AF565" s="57">
        <f t="shared" si="267"/>
        <v>-1.1797477121090831</v>
      </c>
      <c r="AG565" s="57">
        <f t="shared" si="268"/>
        <v>-1.6549867066311683</v>
      </c>
      <c r="AH565" s="57">
        <f t="shared" si="269"/>
        <v>-3.2938158973818856</v>
      </c>
      <c r="AJ565" s="57">
        <f t="shared" si="270"/>
        <v>345573.59110218339</v>
      </c>
      <c r="AK565" s="57">
        <f t="shared" si="271"/>
        <v>361920.50671203574</v>
      </c>
      <c r="AL565" s="57">
        <f t="shared" si="272"/>
        <v>376685.86261499347</v>
      </c>
      <c r="AN565" s="41">
        <v>560</v>
      </c>
      <c r="AO565" s="57">
        <f t="shared" si="273"/>
        <v>-2047.6946558943146</v>
      </c>
      <c r="AP565" s="57">
        <f t="shared" si="274"/>
        <v>12434.848925057489</v>
      </c>
      <c r="AR565" s="41">
        <v>560</v>
      </c>
      <c r="AS565" s="57">
        <f t="shared" si="275"/>
        <v>11711.07582724932</v>
      </c>
      <c r="AT565" s="57">
        <f t="shared" si="276"/>
        <v>-6197.0705016398379</v>
      </c>
      <c r="AV565" s="57">
        <f t="shared" si="277"/>
        <v>-6.8034161646754931</v>
      </c>
      <c r="AW565" s="57">
        <f t="shared" si="278"/>
        <v>-13.108669368171066</v>
      </c>
      <c r="AX565" s="57">
        <f t="shared" si="279"/>
        <v>-0.57839001390902678</v>
      </c>
      <c r="AY565" s="57">
        <f t="shared" si="280"/>
        <v>-1.2667372080564745</v>
      </c>
      <c r="BA565" s="57">
        <f t="shared" si="281"/>
        <v>345419.48893907474</v>
      </c>
      <c r="BB565" s="57">
        <f t="shared" si="282"/>
        <v>359020.51290909771</v>
      </c>
    </row>
    <row r="566" spans="9:54" x14ac:dyDescent="0.25">
      <c r="I566" s="41">
        <v>561</v>
      </c>
      <c r="J566" s="57">
        <f t="shared" si="256"/>
        <v>15332.097867513992</v>
      </c>
      <c r="K566" s="57">
        <f t="shared" si="257"/>
        <v>5708.1602522734993</v>
      </c>
      <c r="M566" s="41">
        <v>561</v>
      </c>
      <c r="N566" s="57">
        <f t="shared" si="258"/>
        <v>-23267.531492740207</v>
      </c>
      <c r="O566" s="57">
        <f t="shared" si="259"/>
        <v>8745.712176591449</v>
      </c>
      <c r="Q566" s="41">
        <v>561</v>
      </c>
      <c r="R566" s="57">
        <f t="shared" si="260"/>
        <v>-9667.9021324860078</v>
      </c>
      <c r="S566" s="41">
        <f t="shared" si="261"/>
        <v>-16791.839747726503</v>
      </c>
      <c r="U566" s="41">
        <v>560</v>
      </c>
      <c r="V566" s="41">
        <f t="shared" si="283"/>
        <v>280</v>
      </c>
      <c r="W566" s="57">
        <f t="shared" si="284"/>
        <v>164864.65541998786</v>
      </c>
      <c r="X566" s="57">
        <f t="shared" si="285"/>
        <v>322729.63629436895</v>
      </c>
      <c r="Y566" s="57">
        <f t="shared" si="286"/>
        <v>1488.111638029198</v>
      </c>
      <c r="Z566" s="57">
        <f t="shared" si="287"/>
        <v>2279.1432357218414</v>
      </c>
      <c r="AA566" s="57">
        <f t="shared" si="262"/>
        <v>-11.48119297832833</v>
      </c>
      <c r="AB566" s="57">
        <f t="shared" si="263"/>
        <v>-22.649322170392161</v>
      </c>
      <c r="AC566" s="57">
        <f t="shared" si="264"/>
        <v>-1.8143503437737909</v>
      </c>
      <c r="AD566" s="57">
        <f t="shared" si="265"/>
        <v>-3.9480782756858837</v>
      </c>
      <c r="AE566" s="57">
        <f t="shared" si="266"/>
        <v>-0.69209936600715793</v>
      </c>
      <c r="AF566" s="57">
        <f t="shared" si="267"/>
        <v>-1.1708024041656802</v>
      </c>
      <c r="AG566" s="57">
        <f t="shared" si="268"/>
        <v>-1.6444771917606227</v>
      </c>
      <c r="AH566" s="57">
        <f t="shared" si="269"/>
        <v>-3.2695953286721711</v>
      </c>
      <c r="AJ566" s="57">
        <f t="shared" si="270"/>
        <v>346922.89055095793</v>
      </c>
      <c r="AK566" s="57">
        <f t="shared" si="271"/>
        <v>363283.31401312549</v>
      </c>
      <c r="AL566" s="57">
        <f t="shared" si="272"/>
        <v>378041.41094922117</v>
      </c>
      <c r="AN566" s="41">
        <v>561</v>
      </c>
      <c r="AO566" s="57">
        <f t="shared" si="273"/>
        <v>-2001.8531987290135</v>
      </c>
      <c r="AP566" s="57">
        <f t="shared" si="274"/>
        <v>12312.240378410248</v>
      </c>
      <c r="AR566" s="41">
        <v>561</v>
      </c>
      <c r="AS566" s="57">
        <f t="shared" si="275"/>
        <v>11732.468507259793</v>
      </c>
      <c r="AT566" s="57">
        <f t="shared" si="276"/>
        <v>-6254.287823408551</v>
      </c>
      <c r="AV566" s="57">
        <f t="shared" si="277"/>
        <v>-6.7554851262915774</v>
      </c>
      <c r="AW566" s="57">
        <f t="shared" si="278"/>
        <v>-13.003893671457575</v>
      </c>
      <c r="AX566" s="57">
        <f t="shared" si="279"/>
        <v>-0.57478095049518152</v>
      </c>
      <c r="AY566" s="57">
        <f t="shared" si="280"/>
        <v>-1.2569524904108493</v>
      </c>
      <c r="BA566" s="57">
        <f t="shared" si="281"/>
        <v>346776.9270098806</v>
      </c>
      <c r="BB566" s="57">
        <f t="shared" si="282"/>
        <v>360369.43467751401</v>
      </c>
    </row>
    <row r="567" spans="9:54" x14ac:dyDescent="0.25">
      <c r="I567" s="41">
        <v>562</v>
      </c>
      <c r="J567" s="57">
        <f t="shared" si="256"/>
        <v>15364.08072716606</v>
      </c>
      <c r="K567" s="57">
        <f t="shared" si="257"/>
        <v>5626.9670329204455</v>
      </c>
      <c r="M567" s="41">
        <v>562</v>
      </c>
      <c r="N567" s="57">
        <f t="shared" si="258"/>
        <v>-23245.143490983759</v>
      </c>
      <c r="O567" s="57">
        <f t="shared" si="259"/>
        <v>8688.8769230443122</v>
      </c>
      <c r="Q567" s="41">
        <v>562</v>
      </c>
      <c r="R567" s="57">
        <f t="shared" si="260"/>
        <v>-9635.9192728339403</v>
      </c>
      <c r="S567" s="41">
        <f t="shared" si="261"/>
        <v>-16873.032967079555</v>
      </c>
      <c r="U567" s="41">
        <v>561</v>
      </c>
      <c r="V567" s="41">
        <f t="shared" si="283"/>
        <v>280.5</v>
      </c>
      <c r="W567" s="57">
        <f t="shared" si="284"/>
        <v>165607.27608988018</v>
      </c>
      <c r="X567" s="57">
        <f t="shared" si="285"/>
        <v>323866.37674695859</v>
      </c>
      <c r="Y567" s="57">
        <f t="shared" si="286"/>
        <v>1482.371041540034</v>
      </c>
      <c r="Z567" s="57">
        <f t="shared" si="287"/>
        <v>2267.8185746366453</v>
      </c>
      <c r="AA567" s="57">
        <f t="shared" si="262"/>
        <v>-11.403447690927525</v>
      </c>
      <c r="AB567" s="57">
        <f t="shared" si="263"/>
        <v>-22.472589764240023</v>
      </c>
      <c r="AC567" s="57">
        <f t="shared" si="264"/>
        <v>-1.8026517041709611</v>
      </c>
      <c r="AD567" s="57">
        <f t="shared" si="265"/>
        <v>-3.9166888049829636</v>
      </c>
      <c r="AE567" s="57">
        <f t="shared" si="266"/>
        <v>-0.68715640907136699</v>
      </c>
      <c r="AF567" s="57">
        <f t="shared" si="267"/>
        <v>-1.1619980472599589</v>
      </c>
      <c r="AG567" s="57">
        <f t="shared" si="268"/>
        <v>-1.6341197415965976</v>
      </c>
      <c r="AH567" s="57">
        <f t="shared" si="269"/>
        <v>-3.2457480636041973</v>
      </c>
      <c r="AJ567" s="57">
        <f t="shared" si="270"/>
        <v>348265.93744768255</v>
      </c>
      <c r="AK567" s="57">
        <f t="shared" si="271"/>
        <v>364639.77208989253</v>
      </c>
      <c r="AL567" s="57">
        <f t="shared" si="272"/>
        <v>379390.64820369554</v>
      </c>
      <c r="AN567" s="41">
        <v>562</v>
      </c>
      <c r="AO567" s="57">
        <f t="shared" si="273"/>
        <v>-1953.8789092509087</v>
      </c>
      <c r="AP567" s="57">
        <f t="shared" si="274"/>
        <v>12190.450549380668</v>
      </c>
      <c r="AR567" s="41">
        <v>562</v>
      </c>
      <c r="AS567" s="57">
        <f t="shared" si="275"/>
        <v>11754.856509016243</v>
      </c>
      <c r="AT567" s="57">
        <f t="shared" si="276"/>
        <v>-6311.1230769556878</v>
      </c>
      <c r="AV567" s="57">
        <f t="shared" si="277"/>
        <v>-6.7082968892997297</v>
      </c>
      <c r="AW567" s="57">
        <f t="shared" si="278"/>
        <v>-12.900831175178959</v>
      </c>
      <c r="AX567" s="57">
        <f t="shared" si="279"/>
        <v>-0.5712229467888692</v>
      </c>
      <c r="AY567" s="57">
        <f t="shared" si="280"/>
        <v>-1.2473236732139454</v>
      </c>
      <c r="BA567" s="57">
        <f t="shared" si="281"/>
        <v>348128.04514690448</v>
      </c>
      <c r="BB567" s="57">
        <f t="shared" si="282"/>
        <v>361712.10287449037</v>
      </c>
    </row>
    <row r="568" spans="9:54" x14ac:dyDescent="0.25">
      <c r="I568" s="41">
        <v>563</v>
      </c>
      <c r="J568" s="57">
        <f t="shared" si="256"/>
        <v>15397.475732737797</v>
      </c>
      <c r="K568" s="57">
        <f t="shared" si="257"/>
        <v>5546.344357553633</v>
      </c>
      <c r="M568" s="41">
        <v>563</v>
      </c>
      <c r="N568" s="57">
        <f t="shared" si="258"/>
        <v>-23221.766987083542</v>
      </c>
      <c r="O568" s="57">
        <f t="shared" si="259"/>
        <v>8632.4410502875435</v>
      </c>
      <c r="Q568" s="41">
        <v>563</v>
      </c>
      <c r="R568" s="57">
        <f t="shared" si="260"/>
        <v>-9602.5242672622026</v>
      </c>
      <c r="S568" s="41">
        <f t="shared" si="261"/>
        <v>-16953.655642446367</v>
      </c>
      <c r="U568" s="41">
        <v>562</v>
      </c>
      <c r="V568" s="41">
        <f t="shared" si="283"/>
        <v>281</v>
      </c>
      <c r="W568" s="57">
        <f t="shared" si="284"/>
        <v>166347.03617968885</v>
      </c>
      <c r="X568" s="57">
        <f t="shared" si="285"/>
        <v>324997.47696055635</v>
      </c>
      <c r="Y568" s="57">
        <f t="shared" si="286"/>
        <v>1476.6693176945703</v>
      </c>
      <c r="Z568" s="57">
        <f t="shared" si="287"/>
        <v>2256.5822797545252</v>
      </c>
      <c r="AA568" s="57">
        <f t="shared" si="262"/>
        <v>-11.326874085252527</v>
      </c>
      <c r="AB568" s="57">
        <f t="shared" si="263"/>
        <v>-22.298696306830088</v>
      </c>
      <c r="AC568" s="57">
        <f t="shared" si="264"/>
        <v>-1.791121908180723</v>
      </c>
      <c r="AD568" s="57">
        <f t="shared" si="265"/>
        <v>-3.8858093858349152</v>
      </c>
      <c r="AE568" s="57">
        <f t="shared" si="266"/>
        <v>-0.68229087696597923</v>
      </c>
      <c r="AF568" s="57">
        <f t="shared" si="267"/>
        <v>-1.1533314894809918</v>
      </c>
      <c r="AG568" s="57">
        <f t="shared" si="268"/>
        <v>-1.6239112174987633</v>
      </c>
      <c r="AH568" s="57">
        <f t="shared" si="269"/>
        <v>-3.2222659292368472</v>
      </c>
      <c r="AJ568" s="57">
        <f t="shared" si="270"/>
        <v>349602.77870019589</v>
      </c>
      <c r="AK568" s="57">
        <f t="shared" si="271"/>
        <v>365989.92934843234</v>
      </c>
      <c r="AL568" s="57">
        <f t="shared" si="272"/>
        <v>380733.62229662313</v>
      </c>
      <c r="AN568" s="41">
        <v>563</v>
      </c>
      <c r="AO568" s="57">
        <f t="shared" si="273"/>
        <v>-1903.7864008933038</v>
      </c>
      <c r="AP568" s="57">
        <f t="shared" si="274"/>
        <v>12069.51653633045</v>
      </c>
      <c r="AR568" s="41">
        <v>563</v>
      </c>
      <c r="AS568" s="57">
        <f t="shared" si="275"/>
        <v>11778.233012916458</v>
      </c>
      <c r="AT568" s="57">
        <f t="shared" si="276"/>
        <v>-6367.5589497124565</v>
      </c>
      <c r="AV568" s="57">
        <f t="shared" si="277"/>
        <v>-6.6618351021403122</v>
      </c>
      <c r="AW568" s="57">
        <f t="shared" si="278"/>
        <v>-12.799442261157186</v>
      </c>
      <c r="AX568" s="57">
        <f t="shared" si="279"/>
        <v>-0.56771498046675095</v>
      </c>
      <c r="AY568" s="57">
        <f t="shared" si="280"/>
        <v>-1.2378472411201498</v>
      </c>
      <c r="BA568" s="57">
        <f t="shared" si="281"/>
        <v>349472.89137482533</v>
      </c>
      <c r="BB568" s="57">
        <f t="shared" si="282"/>
        <v>363048.56446584244</v>
      </c>
    </row>
    <row r="569" spans="9:54" x14ac:dyDescent="0.25">
      <c r="I569" s="41">
        <v>564</v>
      </c>
      <c r="J569" s="57">
        <f t="shared" si="256"/>
        <v>15432.272711786993</v>
      </c>
      <c r="K569" s="57">
        <f t="shared" si="257"/>
        <v>5466.3167846210063</v>
      </c>
      <c r="M569" s="41">
        <v>564</v>
      </c>
      <c r="N569" s="57">
        <f t="shared" si="258"/>
        <v>-23197.409101749105</v>
      </c>
      <c r="O569" s="57">
        <f t="shared" si="259"/>
        <v>8576.4217492347052</v>
      </c>
      <c r="Q569" s="41">
        <v>564</v>
      </c>
      <c r="R569" s="57">
        <f t="shared" si="260"/>
        <v>-9567.7272882130073</v>
      </c>
      <c r="S569" s="41">
        <f t="shared" si="261"/>
        <v>-17033.683215378995</v>
      </c>
      <c r="U569" s="41">
        <v>563</v>
      </c>
      <c r="V569" s="41">
        <f t="shared" si="283"/>
        <v>281.5</v>
      </c>
      <c r="W569" s="57">
        <f t="shared" si="284"/>
        <v>167083.95497927547</v>
      </c>
      <c r="X569" s="57">
        <f t="shared" si="285"/>
        <v>326122.98076339526</v>
      </c>
      <c r="Y569" s="57">
        <f t="shared" si="286"/>
        <v>1471.0058806519439</v>
      </c>
      <c r="Z569" s="57">
        <f t="shared" si="287"/>
        <v>2245.4329316011103</v>
      </c>
      <c r="AA569" s="57">
        <f t="shared" si="262"/>
        <v>-11.251447068542507</v>
      </c>
      <c r="AB569" s="57">
        <f t="shared" si="263"/>
        <v>-22.127577254298977</v>
      </c>
      <c r="AC569" s="57">
        <f t="shared" si="264"/>
        <v>-1.7797575157566921</v>
      </c>
      <c r="AD569" s="57">
        <f t="shared" si="265"/>
        <v>-3.8554283149807507</v>
      </c>
      <c r="AE569" s="57">
        <f t="shared" si="266"/>
        <v>-0.67750104577417036</v>
      </c>
      <c r="AF569" s="57">
        <f t="shared" si="267"/>
        <v>-1.144799670736989</v>
      </c>
      <c r="AG569" s="57">
        <f t="shared" si="268"/>
        <v>-1.6138485662844542</v>
      </c>
      <c r="AH569" s="57">
        <f t="shared" si="269"/>
        <v>-3.1991409861424067</v>
      </c>
      <c r="AJ569" s="57">
        <f t="shared" si="270"/>
        <v>350933.46047776134</v>
      </c>
      <c r="AK569" s="57">
        <f t="shared" si="271"/>
        <v>367333.8334232521</v>
      </c>
      <c r="AL569" s="57">
        <f t="shared" si="272"/>
        <v>382070.38038326532</v>
      </c>
      <c r="AN569" s="41">
        <v>564</v>
      </c>
      <c r="AO569" s="57">
        <f t="shared" si="273"/>
        <v>-1851.5909323195119</v>
      </c>
      <c r="AP569" s="57">
        <f t="shared" si="274"/>
        <v>11949.47517693151</v>
      </c>
      <c r="AR569" s="41">
        <v>564</v>
      </c>
      <c r="AS569" s="57">
        <f t="shared" si="275"/>
        <v>11802.590898250895</v>
      </c>
      <c r="AT569" s="57">
        <f t="shared" si="276"/>
        <v>-6423.5782507652957</v>
      </c>
      <c r="AV569" s="57">
        <f t="shared" si="277"/>
        <v>-6.6160838846808927</v>
      </c>
      <c r="AW569" s="57">
        <f t="shared" si="278"/>
        <v>-12.699688500603145</v>
      </c>
      <c r="AX569" s="57">
        <f t="shared" si="279"/>
        <v>-0.56425605604629869</v>
      </c>
      <c r="AY569" s="57">
        <f t="shared" si="280"/>
        <v>-1.2285197818356863</v>
      </c>
      <c r="BA569" s="57">
        <f t="shared" si="281"/>
        <v>350811.5129536427</v>
      </c>
      <c r="BB569" s="57">
        <f t="shared" si="282"/>
        <v>364378.86567661155</v>
      </c>
    </row>
    <row r="570" spans="9:54" x14ac:dyDescent="0.25">
      <c r="I570" s="41">
        <v>565</v>
      </c>
      <c r="J570" s="57">
        <f t="shared" si="256"/>
        <v>15468.461064816747</v>
      </c>
      <c r="K570" s="57">
        <f t="shared" si="257"/>
        <v>5386.9086912965067</v>
      </c>
      <c r="M570" s="41">
        <v>565</v>
      </c>
      <c r="N570" s="57">
        <f t="shared" si="258"/>
        <v>-23172.077254628275</v>
      </c>
      <c r="O570" s="57">
        <f t="shared" si="259"/>
        <v>8520.836083907554</v>
      </c>
      <c r="Q570" s="41">
        <v>565</v>
      </c>
      <c r="R570" s="57">
        <f t="shared" si="260"/>
        <v>-9531.5389351832528</v>
      </c>
      <c r="S570" s="41">
        <f t="shared" si="261"/>
        <v>-17113.091308703493</v>
      </c>
      <c r="U570" s="41">
        <v>564</v>
      </c>
      <c r="V570" s="41">
        <f t="shared" si="283"/>
        <v>282</v>
      </c>
      <c r="W570" s="57">
        <f t="shared" si="284"/>
        <v>167818.05148871787</v>
      </c>
      <c r="X570" s="57">
        <f t="shared" si="285"/>
        <v>327242.93128203903</v>
      </c>
      <c r="Y570" s="57">
        <f t="shared" si="286"/>
        <v>1465.3801571176728</v>
      </c>
      <c r="Z570" s="57">
        <f t="shared" si="287"/>
        <v>2234.3691429739611</v>
      </c>
      <c r="AA570" s="57">
        <f t="shared" si="262"/>
        <v>-11.177142253158248</v>
      </c>
      <c r="AB570" s="57">
        <f t="shared" si="263"/>
        <v>-21.959169970022792</v>
      </c>
      <c r="AC570" s="57">
        <f t="shared" si="264"/>
        <v>-1.7685551784456814</v>
      </c>
      <c r="AD570" s="57">
        <f t="shared" si="265"/>
        <v>-3.8255342374974552</v>
      </c>
      <c r="AE570" s="57">
        <f t="shared" si="266"/>
        <v>-0.67278524183231181</v>
      </c>
      <c r="AF570" s="57">
        <f t="shared" si="267"/>
        <v>-1.1363996194742714</v>
      </c>
      <c r="AG570" s="57">
        <f t="shared" si="268"/>
        <v>-1.6039288173542863</v>
      </c>
      <c r="AH570" s="57">
        <f t="shared" si="269"/>
        <v>-3.1763655202124608</v>
      </c>
      <c r="AJ570" s="57">
        <f t="shared" si="270"/>
        <v>352258.02822753659</v>
      </c>
      <c r="AK570" s="57">
        <f t="shared" si="271"/>
        <v>368671.53119469265</v>
      </c>
      <c r="AL570" s="57">
        <f t="shared" si="272"/>
        <v>383400.9688731624</v>
      </c>
      <c r="AN570" s="41">
        <v>565</v>
      </c>
      <c r="AO570" s="57">
        <f t="shared" si="273"/>
        <v>-1797.3084027748782</v>
      </c>
      <c r="AP570" s="57">
        <f t="shared" si="274"/>
        <v>11830.36303694476</v>
      </c>
      <c r="AR570" s="41">
        <v>565</v>
      </c>
      <c r="AS570" s="57">
        <f t="shared" si="275"/>
        <v>11827.922745371723</v>
      </c>
      <c r="AT570" s="57">
        <f t="shared" si="276"/>
        <v>-6479.1639160924451</v>
      </c>
      <c r="AV570" s="57">
        <f t="shared" si="277"/>
        <v>-6.5710278115051715</v>
      </c>
      <c r="AW570" s="57">
        <f t="shared" si="278"/>
        <v>-12.601532610420342</v>
      </c>
      <c r="AX570" s="57">
        <f t="shared" si="279"/>
        <v>-0.56084520402079763</v>
      </c>
      <c r="AY570" s="57">
        <f t="shared" si="280"/>
        <v>-1.2193379824182602</v>
      </c>
      <c r="BA570" s="57">
        <f t="shared" si="281"/>
        <v>352143.95639593608</v>
      </c>
      <c r="BB570" s="57">
        <f t="shared" si="282"/>
        <v>365703.0520076229</v>
      </c>
    </row>
    <row r="571" spans="9:54" x14ac:dyDescent="0.25">
      <c r="I571" s="41">
        <v>566</v>
      </c>
      <c r="J571" s="57">
        <f t="shared" si="256"/>
        <v>15506.029768504166</v>
      </c>
      <c r="K571" s="57">
        <f t="shared" si="257"/>
        <v>5308.1442660546145</v>
      </c>
      <c r="M571" s="41">
        <v>566</v>
      </c>
      <c r="N571" s="57">
        <f t="shared" si="258"/>
        <v>-23145.779162047085</v>
      </c>
      <c r="O571" s="57">
        <f t="shared" si="259"/>
        <v>8465.7009862382292</v>
      </c>
      <c r="Q571" s="41">
        <v>566</v>
      </c>
      <c r="R571" s="57">
        <f t="shared" si="260"/>
        <v>-9493.970231495834</v>
      </c>
      <c r="S571" s="41">
        <f t="shared" si="261"/>
        <v>-17191.855733945387</v>
      </c>
      <c r="U571" s="41">
        <v>565</v>
      </c>
      <c r="V571" s="41">
        <f t="shared" si="283"/>
        <v>282.5</v>
      </c>
      <c r="W571" s="57">
        <f t="shared" si="284"/>
        <v>168549.34442449507</v>
      </c>
      <c r="X571" s="57">
        <f t="shared" si="285"/>
        <v>328357.37095727975</v>
      </c>
      <c r="Y571" s="57">
        <f t="shared" si="286"/>
        <v>1459.7915859910936</v>
      </c>
      <c r="Z571" s="57">
        <f t="shared" si="287"/>
        <v>2223.3895579889495</v>
      </c>
      <c r="AA571" s="57">
        <f t="shared" si="262"/>
        <v>-11.103935932195025</v>
      </c>
      <c r="AB571" s="57">
        <f t="shared" si="263"/>
        <v>-21.7934136555964</v>
      </c>
      <c r="AC571" s="57">
        <f t="shared" si="264"/>
        <v>-1.7575116364022605</v>
      </c>
      <c r="AD571" s="57">
        <f t="shared" si="265"/>
        <v>-3.7961161341205472</v>
      </c>
      <c r="AE571" s="57">
        <f t="shared" si="266"/>
        <v>-0.66814183992918763</v>
      </c>
      <c r="AF571" s="57">
        <f t="shared" si="267"/>
        <v>-1.1281284495348383</v>
      </c>
      <c r="AG571" s="57">
        <f t="shared" si="268"/>
        <v>-1.5941490799329299</v>
      </c>
      <c r="AH571" s="57">
        <f t="shared" si="269"/>
        <v>-3.1539320348045146</v>
      </c>
      <c r="AJ571" s="57">
        <f t="shared" si="270"/>
        <v>353576.52669056621</v>
      </c>
      <c r="AK571" s="57">
        <f t="shared" si="271"/>
        <v>370003.06880583824</v>
      </c>
      <c r="AL571" s="57">
        <f t="shared" si="272"/>
        <v>384725.43344685057</v>
      </c>
      <c r="AN571" s="41">
        <v>566</v>
      </c>
      <c r="AO571" s="57">
        <f t="shared" si="273"/>
        <v>-1740.9553472437528</v>
      </c>
      <c r="AP571" s="57">
        <f t="shared" si="274"/>
        <v>11712.216399081921</v>
      </c>
      <c r="AR571" s="41">
        <v>566</v>
      </c>
      <c r="AS571" s="57">
        <f t="shared" si="275"/>
        <v>11854.220837952915</v>
      </c>
      <c r="AT571" s="57">
        <f t="shared" si="276"/>
        <v>-6534.2990137617708</v>
      </c>
      <c r="AV571" s="57">
        <f t="shared" si="277"/>
        <v>-6.5266518959033428</v>
      </c>
      <c r="AW571" s="57">
        <f t="shared" si="278"/>
        <v>-12.504938411402813</v>
      </c>
      <c r="AX571" s="57">
        <f t="shared" si="279"/>
        <v>-0.55748148002730447</v>
      </c>
      <c r="AY571" s="57">
        <f t="shared" si="280"/>
        <v>-1.2102986257336903</v>
      </c>
      <c r="BA571" s="57">
        <f t="shared" si="281"/>
        <v>353470.26748361782</v>
      </c>
      <c r="BB571" s="57">
        <f t="shared" si="282"/>
        <v>367021.16825156234</v>
      </c>
    </row>
    <row r="572" spans="9:54" x14ac:dyDescent="0.25">
      <c r="I572" s="41">
        <v>567</v>
      </c>
      <c r="J572" s="57">
        <f t="shared" si="256"/>
        <v>15544.967379058158</v>
      </c>
      <c r="K572" s="57">
        <f t="shared" si="257"/>
        <v>5230.0475013022715</v>
      </c>
      <c r="M572" s="41">
        <v>567</v>
      </c>
      <c r="N572" s="57">
        <f t="shared" si="258"/>
        <v>-23118.522834659288</v>
      </c>
      <c r="O572" s="57">
        <f t="shared" si="259"/>
        <v>8411.0332509115906</v>
      </c>
      <c r="Q572" s="41">
        <v>567</v>
      </c>
      <c r="R572" s="57">
        <f t="shared" si="260"/>
        <v>-9455.0326209418417</v>
      </c>
      <c r="S572" s="41">
        <f t="shared" si="261"/>
        <v>-17269.952498697727</v>
      </c>
      <c r="U572" s="41">
        <v>566</v>
      </c>
      <c r="V572" s="41">
        <f t="shared" si="283"/>
        <v>283</v>
      </c>
      <c r="W572" s="57">
        <f t="shared" si="284"/>
        <v>169277.85222549908</v>
      </c>
      <c r="X572" s="57">
        <f t="shared" si="285"/>
        <v>329466.34155956731</v>
      </c>
      <c r="Y572" s="57">
        <f t="shared" si="286"/>
        <v>1454.2396180249962</v>
      </c>
      <c r="Z572" s="57">
        <f t="shared" si="287"/>
        <v>2212.4928511611511</v>
      </c>
      <c r="AA572" s="57">
        <f t="shared" si="262"/>
        <v>-11.031805056094804</v>
      </c>
      <c r="AB572" s="57">
        <f t="shared" si="263"/>
        <v>-21.630249284761398</v>
      </c>
      <c r="AC572" s="57">
        <f t="shared" si="264"/>
        <v>-1.7466237155178008</v>
      </c>
      <c r="AD572" s="57">
        <f t="shared" si="265"/>
        <v>-3.7671633091086609</v>
      </c>
      <c r="AE572" s="57">
        <f t="shared" si="266"/>
        <v>-0.66356926158163199</v>
      </c>
      <c r="AF572" s="57">
        <f t="shared" si="267"/>
        <v>-1.1199833571458337</v>
      </c>
      <c r="AG572" s="57">
        <f t="shared" si="268"/>
        <v>-1.5845065404192507</v>
      </c>
      <c r="AH572" s="57">
        <f t="shared" si="269"/>
        <v>-3.1318332432121117</v>
      </c>
      <c r="AJ572" s="57">
        <f t="shared" si="270"/>
        <v>354888.99991731206</v>
      </c>
      <c r="AK572" s="57">
        <f t="shared" si="271"/>
        <v>371328.49167893379</v>
      </c>
      <c r="AL572" s="57">
        <f t="shared" si="272"/>
        <v>386043.81907209108</v>
      </c>
      <c r="AN572" s="41">
        <v>567</v>
      </c>
      <c r="AO572" s="57">
        <f t="shared" si="273"/>
        <v>-1682.5489314127635</v>
      </c>
      <c r="AP572" s="57">
        <f t="shared" si="274"/>
        <v>11595.071251953408</v>
      </c>
      <c r="AR572" s="41">
        <v>567</v>
      </c>
      <c r="AS572" s="57">
        <f t="shared" si="275"/>
        <v>11881.477165340712</v>
      </c>
      <c r="AT572" s="57">
        <f t="shared" si="276"/>
        <v>-6588.9667490884094</v>
      </c>
      <c r="AV572" s="57">
        <f t="shared" si="277"/>
        <v>-6.48294157453007</v>
      </c>
      <c r="AW572" s="57">
        <f t="shared" si="278"/>
        <v>-12.409870788233082</v>
      </c>
      <c r="AX572" s="57">
        <f t="shared" si="279"/>
        <v>-0.55416396404605062</v>
      </c>
      <c r="AY572" s="57">
        <f t="shared" si="280"/>
        <v>-1.2013985870617114</v>
      </c>
      <c r="BA572" s="57">
        <f t="shared" si="281"/>
        <v>354790.49128419627</v>
      </c>
      <c r="BB572" s="57">
        <f t="shared" si="282"/>
        <v>368333.25850858766</v>
      </c>
    </row>
    <row r="573" spans="9:54" x14ac:dyDescent="0.25">
      <c r="I573" s="41">
        <v>568</v>
      </c>
      <c r="J573" s="57">
        <f t="shared" si="256"/>
        <v>15585.262035705364</v>
      </c>
      <c r="K573" s="57">
        <f t="shared" si="257"/>
        <v>5152.6421860705486</v>
      </c>
      <c r="M573" s="41">
        <v>568</v>
      </c>
      <c r="N573" s="57">
        <f t="shared" si="258"/>
        <v>-23090.316575006247</v>
      </c>
      <c r="O573" s="57">
        <f t="shared" si="259"/>
        <v>8356.8495302493848</v>
      </c>
      <c r="Q573" s="41">
        <v>568</v>
      </c>
      <c r="R573" s="57">
        <f t="shared" si="260"/>
        <v>-9414.7379642946362</v>
      </c>
      <c r="S573" s="41">
        <f t="shared" si="261"/>
        <v>-17347.357813929451</v>
      </c>
      <c r="U573" s="41">
        <v>567</v>
      </c>
      <c r="V573" s="41">
        <f t="shared" si="283"/>
        <v>283.5</v>
      </c>
      <c r="W573" s="57">
        <f t="shared" si="284"/>
        <v>170003.59305887957</v>
      </c>
      <c r="X573" s="57">
        <f t="shared" si="285"/>
        <v>330569.88420398731</v>
      </c>
      <c r="Y573" s="57">
        <f t="shared" si="286"/>
        <v>1448.7237154969487</v>
      </c>
      <c r="Z573" s="57">
        <f t="shared" si="287"/>
        <v>2201.6777265187702</v>
      </c>
      <c r="AA573" s="57">
        <f t="shared" si="262"/>
        <v>-10.960727210211315</v>
      </c>
      <c r="AB573" s="57">
        <f t="shared" si="263"/>
        <v>-21.469619540139199</v>
      </c>
      <c r="AC573" s="57">
        <f t="shared" si="264"/>
        <v>-1.7358883246591978</v>
      </c>
      <c r="AD573" s="57">
        <f t="shared" si="265"/>
        <v>-3.7386653786257611</v>
      </c>
      <c r="AE573" s="57">
        <f t="shared" si="266"/>
        <v>-0.6590659733828228</v>
      </c>
      <c r="AF573" s="57">
        <f t="shared" si="267"/>
        <v>-1.111961618034496</v>
      </c>
      <c r="AG573" s="57">
        <f t="shared" si="268"/>
        <v>-1.5749984598412858</v>
      </c>
      <c r="AH573" s="57">
        <f t="shared" si="269"/>
        <v>-3.1100620614440322</v>
      </c>
      <c r="AJ573" s="57">
        <f t="shared" si="270"/>
        <v>356195.49128273892</v>
      </c>
      <c r="AK573" s="57">
        <f t="shared" si="271"/>
        <v>372647.8445313244</v>
      </c>
      <c r="AL573" s="57">
        <f t="shared" si="272"/>
        <v>387356.17001962819</v>
      </c>
      <c r="AN573" s="41">
        <v>568</v>
      </c>
      <c r="AO573" s="57">
        <f t="shared" si="273"/>
        <v>-1622.1069464419543</v>
      </c>
      <c r="AP573" s="57">
        <f t="shared" si="274"/>
        <v>11478.963279105823</v>
      </c>
      <c r="AR573" s="41">
        <v>568</v>
      </c>
      <c r="AS573" s="57">
        <f t="shared" si="275"/>
        <v>11909.683424993755</v>
      </c>
      <c r="AT573" s="57">
        <f t="shared" si="276"/>
        <v>-6643.1504697506161</v>
      </c>
      <c r="AV573" s="57">
        <f t="shared" si="277"/>
        <v>-6.4398826926980064</v>
      </c>
      <c r="AW573" s="57">
        <f t="shared" si="278"/>
        <v>-12.316295651191023</v>
      </c>
      <c r="AX573" s="57">
        <f t="shared" si="279"/>
        <v>-0.55089175963000392</v>
      </c>
      <c r="AY573" s="57">
        <f t="shared" si="280"/>
        <v>-1.1926348308438848</v>
      </c>
      <c r="BA573" s="57">
        <f t="shared" si="281"/>
        <v>356104.67216656718</v>
      </c>
      <c r="BB573" s="57">
        <f t="shared" si="282"/>
        <v>369639.36620149133</v>
      </c>
    </row>
    <row r="574" spans="9:54" x14ac:dyDescent="0.25">
      <c r="I574" s="41">
        <v>569</v>
      </c>
      <c r="J574" s="57">
        <f t="shared" si="256"/>
        <v>15626.90146430302</v>
      </c>
      <c r="K574" s="57">
        <f t="shared" si="257"/>
        <v>5075.951898768315</v>
      </c>
      <c r="M574" s="41">
        <v>569</v>
      </c>
      <c r="N574" s="57">
        <f t="shared" si="258"/>
        <v>-23061.168974987886</v>
      </c>
      <c r="O574" s="57">
        <f t="shared" si="259"/>
        <v>8303.1663291378209</v>
      </c>
      <c r="Q574" s="41">
        <v>569</v>
      </c>
      <c r="R574" s="57">
        <f t="shared" si="260"/>
        <v>-9373.0985356969795</v>
      </c>
      <c r="S574" s="41">
        <f t="shared" si="261"/>
        <v>-17424.048101231685</v>
      </c>
      <c r="U574" s="41">
        <v>568</v>
      </c>
      <c r="V574" s="41">
        <f t="shared" si="283"/>
        <v>284</v>
      </c>
      <c r="W574" s="57">
        <f t="shared" si="284"/>
        <v>170726.58482572678</v>
      </c>
      <c r="X574" s="57">
        <f t="shared" si="285"/>
        <v>331668.03936480422</v>
      </c>
      <c r="Y574" s="57">
        <f t="shared" si="286"/>
        <v>1443.2433518918431</v>
      </c>
      <c r="Z574" s="57">
        <f t="shared" si="287"/>
        <v>2190.9429167487006</v>
      </c>
      <c r="AA574" s="57">
        <f t="shared" si="262"/>
        <v>-10.890680593282319</v>
      </c>
      <c r="AB574" s="57">
        <f t="shared" si="263"/>
        <v>-21.311468752630724</v>
      </c>
      <c r="AC574" s="57">
        <f t="shared" si="264"/>
        <v>-1.7253024530124446</v>
      </c>
      <c r="AD574" s="57">
        <f t="shared" si="265"/>
        <v>-3.7106122596155928</v>
      </c>
      <c r="AE574" s="57">
        <f t="shared" si="266"/>
        <v>-0.6546304854196906</v>
      </c>
      <c r="AF574" s="57">
        <f t="shared" si="267"/>
        <v>-1.1040605846625426</v>
      </c>
      <c r="AG574" s="57">
        <f t="shared" si="268"/>
        <v>-1.5656221714108387</v>
      </c>
      <c r="AH574" s="57">
        <f t="shared" si="269"/>
        <v>-3.0886116012971243</v>
      </c>
      <c r="AJ574" s="57">
        <f t="shared" si="270"/>
        <v>357496.04350097117</v>
      </c>
      <c r="AK574" s="57">
        <f t="shared" si="271"/>
        <v>373961.17139093787</v>
      </c>
      <c r="AL574" s="57">
        <f t="shared" si="272"/>
        <v>388662.5298784934</v>
      </c>
      <c r="AN574" s="41">
        <v>569</v>
      </c>
      <c r="AO574" s="57">
        <f t="shared" si="273"/>
        <v>-1559.6478035454684</v>
      </c>
      <c r="AP574" s="57">
        <f t="shared" si="274"/>
        <v>11363.927848152471</v>
      </c>
      <c r="AR574" s="41">
        <v>569</v>
      </c>
      <c r="AS574" s="57">
        <f t="shared" si="275"/>
        <v>11938.831025012114</v>
      </c>
      <c r="AT574" s="57">
        <f t="shared" si="276"/>
        <v>-6696.83367086218</v>
      </c>
      <c r="AV574" s="57">
        <f t="shared" si="277"/>
        <v>-6.3974614902761182</v>
      </c>
      <c r="AW574" s="57">
        <f t="shared" si="278"/>
        <v>-12.224179899488812</v>
      </c>
      <c r="AX574" s="57">
        <f t="shared" si="279"/>
        <v>-0.54766399316322545</v>
      </c>
      <c r="AY574" s="57">
        <f t="shared" si="280"/>
        <v>-1.1840044075666525</v>
      </c>
      <c r="BA574" s="57">
        <f t="shared" si="281"/>
        <v>357412.85381635063</v>
      </c>
      <c r="BB574" s="57">
        <f t="shared" si="282"/>
        <v>370939.53409043048</v>
      </c>
    </row>
    <row r="575" spans="9:54" x14ac:dyDescent="0.25">
      <c r="I575" s="41">
        <v>570</v>
      </c>
      <c r="J575" s="57">
        <f t="shared" si="256"/>
        <v>15669.87298107781</v>
      </c>
      <c r="K575" s="57">
        <f t="shared" si="257"/>
        <v>4999.9999999999964</v>
      </c>
      <c r="M575" s="41">
        <v>570</v>
      </c>
      <c r="N575" s="57">
        <f t="shared" si="258"/>
        <v>-23031.088913245534</v>
      </c>
      <c r="O575" s="57">
        <f t="shared" si="259"/>
        <v>8249.9999999999982</v>
      </c>
      <c r="Q575" s="41">
        <v>570</v>
      </c>
      <c r="R575" s="57">
        <f t="shared" si="260"/>
        <v>-9330.1270189221905</v>
      </c>
      <c r="S575" s="41">
        <f t="shared" si="261"/>
        <v>-17500.000000000004</v>
      </c>
      <c r="U575" s="41">
        <v>569</v>
      </c>
      <c r="V575" s="41">
        <f t="shared" si="283"/>
        <v>284.5</v>
      </c>
      <c r="W575" s="57">
        <f t="shared" si="284"/>
        <v>171446.84516659856</v>
      </c>
      <c r="X575" s="57">
        <f t="shared" si="285"/>
        <v>332760.8468895845</v>
      </c>
      <c r="Y575" s="57">
        <f t="shared" si="286"/>
        <v>1437.7980115952018</v>
      </c>
      <c r="Z575" s="57">
        <f t="shared" si="287"/>
        <v>2180.2871823723854</v>
      </c>
      <c r="AA575" s="57">
        <f t="shared" si="262"/>
        <v>-10.821643996767721</v>
      </c>
      <c r="AB575" s="57">
        <f t="shared" si="263"/>
        <v>-21.155742843355135</v>
      </c>
      <c r="AC575" s="57">
        <f t="shared" si="264"/>
        <v>-1.7148631675264414</v>
      </c>
      <c r="AD575" s="57">
        <f t="shared" si="265"/>
        <v>-3.6829941591442474</v>
      </c>
      <c r="AE575" s="57">
        <f t="shared" si="266"/>
        <v>-0.65026134975615046</v>
      </c>
      <c r="AF575" s="57">
        <f t="shared" si="267"/>
        <v>-1.0962776835743684</v>
      </c>
      <c r="AG575" s="57">
        <f t="shared" si="268"/>
        <v>-1.5563750781734418</v>
      </c>
      <c r="AH575" s="57">
        <f t="shared" si="269"/>
        <v>-3.0674751637095148</v>
      </c>
      <c r="AJ575" s="57">
        <f t="shared" si="270"/>
        <v>358790.6986395347</v>
      </c>
      <c r="AK575" s="57">
        <f t="shared" si="271"/>
        <v>375268.51561132248</v>
      </c>
      <c r="AL575" s="57">
        <f t="shared" si="272"/>
        <v>389962.9415708711</v>
      </c>
      <c r="AN575" s="41">
        <v>570</v>
      </c>
      <c r="AO575" s="57">
        <f t="shared" si="273"/>
        <v>-1495.1905283832866</v>
      </c>
      <c r="AP575" s="57">
        <f t="shared" si="274"/>
        <v>11249.999999999995</v>
      </c>
      <c r="AR575" s="41">
        <v>570</v>
      </c>
      <c r="AS575" s="57">
        <f t="shared" si="275"/>
        <v>11968.911086754466</v>
      </c>
      <c r="AT575" s="57">
        <f t="shared" si="276"/>
        <v>-6750.0000000000018</v>
      </c>
      <c r="AV575" s="57">
        <f t="shared" si="277"/>
        <v>-6.3556645881648759</v>
      </c>
      <c r="AW575" s="57">
        <f t="shared" si="278"/>
        <v>-12.133491386153887</v>
      </c>
      <c r="AX575" s="57">
        <f t="shared" si="279"/>
        <v>-0.54447981314681093</v>
      </c>
      <c r="AY575" s="57">
        <f t="shared" si="280"/>
        <v>-1.1755044507731187</v>
      </c>
      <c r="BA575" s="57">
        <f t="shared" si="281"/>
        <v>358715.07925078867</v>
      </c>
      <c r="BB575" s="57">
        <f t="shared" si="282"/>
        <v>372233.80428723962</v>
      </c>
    </row>
    <row r="576" spans="9:54" x14ac:dyDescent="0.25">
      <c r="I576" s="41">
        <v>571</v>
      </c>
      <c r="J576" s="57">
        <f t="shared" si="256"/>
        <v>15714.163496489437</v>
      </c>
      <c r="K576" s="57">
        <f t="shared" si="257"/>
        <v>4924.8096254497304</v>
      </c>
      <c r="M576" s="41">
        <v>571</v>
      </c>
      <c r="N576" s="57">
        <f t="shared" si="258"/>
        <v>-23000.085552457393</v>
      </c>
      <c r="O576" s="57">
        <f t="shared" si="259"/>
        <v>8197.3667378148111</v>
      </c>
      <c r="Q576" s="41">
        <v>571</v>
      </c>
      <c r="R576" s="57">
        <f t="shared" si="260"/>
        <v>-9285.8365035105635</v>
      </c>
      <c r="S576" s="41">
        <f t="shared" si="261"/>
        <v>-17575.190374550271</v>
      </c>
      <c r="U576" s="41">
        <v>570</v>
      </c>
      <c r="V576" s="41">
        <f t="shared" si="283"/>
        <v>285</v>
      </c>
      <c r="W576" s="57">
        <f t="shared" si="284"/>
        <v>172164.39146689657</v>
      </c>
      <c r="X576" s="57">
        <f t="shared" si="285"/>
        <v>333848.34601291531</v>
      </c>
      <c r="Y576" s="57">
        <f t="shared" si="286"/>
        <v>1432.387189596818</v>
      </c>
      <c r="Z576" s="57">
        <f t="shared" si="287"/>
        <v>2169.7093109507077</v>
      </c>
      <c r="AA576" s="57">
        <f t="shared" si="262"/>
        <v>-10.753596785012441</v>
      </c>
      <c r="AB576" s="57">
        <f t="shared" si="263"/>
        <v>-21.002389268003338</v>
      </c>
      <c r="AC576" s="57">
        <f t="shared" si="264"/>
        <v>-1.704567610452618</v>
      </c>
      <c r="AD576" s="57">
        <f t="shared" si="265"/>
        <v>-3.6558015641880237</v>
      </c>
      <c r="AE576" s="57">
        <f t="shared" si="266"/>
        <v>-0.64595715897897199</v>
      </c>
      <c r="AF576" s="57">
        <f t="shared" si="267"/>
        <v>-1.0886104128536145</v>
      </c>
      <c r="AG576" s="57">
        <f t="shared" si="268"/>
        <v>-1.547254650749263</v>
      </c>
      <c r="AH576" s="57">
        <f t="shared" si="269"/>
        <v>-3.0466462323808776</v>
      </c>
      <c r="AJ576" s="57">
        <f t="shared" si="270"/>
        <v>360079.498133199</v>
      </c>
      <c r="AK576" s="57">
        <f t="shared" si="271"/>
        <v>376569.91988625907</v>
      </c>
      <c r="AL576" s="57">
        <f t="shared" si="272"/>
        <v>391257.44736654212</v>
      </c>
      <c r="AN576" s="41">
        <v>571</v>
      </c>
      <c r="AO576" s="57">
        <f t="shared" si="273"/>
        <v>-1428.7547552658434</v>
      </c>
      <c r="AP576" s="57">
        <f t="shared" si="274"/>
        <v>11137.214438174597</v>
      </c>
      <c r="AR576" s="41">
        <v>571</v>
      </c>
      <c r="AS576" s="57">
        <f t="shared" si="275"/>
        <v>11999.914447542607</v>
      </c>
      <c r="AT576" s="57">
        <f t="shared" si="276"/>
        <v>-6802.6332621851889</v>
      </c>
      <c r="AV576" s="57">
        <f t="shared" si="277"/>
        <v>-6.3144789753203714</v>
      </c>
      <c r="AW576" s="57">
        <f t="shared" si="278"/>
        <v>-12.04419888438342</v>
      </c>
      <c r="AX576" s="57">
        <f t="shared" si="279"/>
        <v>-0.54133838951121505</v>
      </c>
      <c r="AY576" s="57">
        <f t="shared" si="280"/>
        <v>-1.1671321741974012</v>
      </c>
      <c r="BA576" s="57">
        <f t="shared" si="281"/>
        <v>360011.39083322021</v>
      </c>
      <c r="BB576" s="57">
        <f t="shared" si="282"/>
        <v>373522.21826933976</v>
      </c>
    </row>
    <row r="577" spans="9:54" x14ac:dyDescent="0.25">
      <c r="I577" s="41">
        <v>572</v>
      </c>
      <c r="J577" s="57">
        <f t="shared" si="256"/>
        <v>15759.759519217871</v>
      </c>
      <c r="K577" s="57">
        <f t="shared" si="257"/>
        <v>4850.4036788339727</v>
      </c>
      <c r="M577" s="41">
        <v>572</v>
      </c>
      <c r="N577" s="57">
        <f t="shared" si="258"/>
        <v>-22968.168336547489</v>
      </c>
      <c r="O577" s="57">
        <f t="shared" si="259"/>
        <v>8145.2825751837809</v>
      </c>
      <c r="Q577" s="41">
        <v>572</v>
      </c>
      <c r="R577" s="57">
        <f t="shared" si="260"/>
        <v>-9240.2404807821295</v>
      </c>
      <c r="S577" s="41">
        <f t="shared" si="261"/>
        <v>-17649.596321166027</v>
      </c>
      <c r="U577" s="41">
        <v>571</v>
      </c>
      <c r="V577" s="41">
        <f t="shared" si="283"/>
        <v>285.5</v>
      </c>
      <c r="W577" s="57">
        <f t="shared" si="284"/>
        <v>172879.24086209686</v>
      </c>
      <c r="X577" s="57">
        <f t="shared" si="285"/>
        <v>334930.57536973216</v>
      </c>
      <c r="Y577" s="57">
        <f t="shared" si="286"/>
        <v>1427.0103912043116</v>
      </c>
      <c r="Z577" s="57">
        <f t="shared" si="287"/>
        <v>2159.2081163167059</v>
      </c>
      <c r="AA577" s="57">
        <f t="shared" si="262"/>
        <v>-10.686518876196615</v>
      </c>
      <c r="AB577" s="57">
        <f t="shared" si="263"/>
        <v>-20.85135696349197</v>
      </c>
      <c r="AC577" s="57">
        <f t="shared" si="264"/>
        <v>-1.694412996976528</v>
      </c>
      <c r="AD577" s="57">
        <f t="shared" si="265"/>
        <v>-3.6290252318457732</v>
      </c>
      <c r="AE577" s="57">
        <f t="shared" si="266"/>
        <v>-0.64171654480329698</v>
      </c>
      <c r="AF577" s="57">
        <f t="shared" si="267"/>
        <v>-1.0810563396829878</v>
      </c>
      <c r="AG577" s="57">
        <f t="shared" si="268"/>
        <v>-1.5382584251610303</v>
      </c>
      <c r="AH577" s="57">
        <f t="shared" si="269"/>
        <v>-3.0261184676476591</v>
      </c>
      <c r="AJ577" s="57">
        <f t="shared" si="270"/>
        <v>361362.48279743275</v>
      </c>
      <c r="AK577" s="57">
        <f t="shared" si="271"/>
        <v>377865.42626395973</v>
      </c>
      <c r="AL577" s="57">
        <f t="shared" si="272"/>
        <v>392546.08889691881</v>
      </c>
      <c r="AN577" s="41">
        <v>572</v>
      </c>
      <c r="AO577" s="57">
        <f t="shared" si="273"/>
        <v>-1360.3607211731933</v>
      </c>
      <c r="AP577" s="57">
        <f t="shared" si="274"/>
        <v>11025.605518250959</v>
      </c>
      <c r="AR577" s="41">
        <v>572</v>
      </c>
      <c r="AS577" s="57">
        <f t="shared" si="275"/>
        <v>12031.831663452511</v>
      </c>
      <c r="AT577" s="57">
        <f t="shared" si="276"/>
        <v>-6854.7174248162191</v>
      </c>
      <c r="AV577" s="57">
        <f t="shared" si="277"/>
        <v>-6.273891996301896</v>
      </c>
      <c r="AW577" s="57">
        <f t="shared" si="278"/>
        <v>-11.956272055299742</v>
      </c>
      <c r="AX577" s="57">
        <f t="shared" si="279"/>
        <v>-0.53823891295386372</v>
      </c>
      <c r="AY577" s="57">
        <f t="shared" si="280"/>
        <v>-1.1588848690158067</v>
      </c>
      <c r="BA577" s="57">
        <f t="shared" si="281"/>
        <v>361301.83028714621</v>
      </c>
      <c r="BB577" s="57">
        <f t="shared" si="282"/>
        <v>374804.81689325866</v>
      </c>
    </row>
    <row r="578" spans="9:54" x14ac:dyDescent="0.25">
      <c r="I578" s="41">
        <v>573</v>
      </c>
      <c r="J578" s="57">
        <f t="shared" si="256"/>
        <v>15806.647160272878</v>
      </c>
      <c r="K578" s="57">
        <f t="shared" si="257"/>
        <v>4776.8048249248677</v>
      </c>
      <c r="M578" s="41">
        <v>573</v>
      </c>
      <c r="N578" s="57">
        <f t="shared" si="258"/>
        <v>-22935.346987808985</v>
      </c>
      <c r="O578" s="57">
        <f t="shared" si="259"/>
        <v>8093.763377447407</v>
      </c>
      <c r="Q578" s="41">
        <v>573</v>
      </c>
      <c r="R578" s="57">
        <f t="shared" si="260"/>
        <v>-9193.352839727122</v>
      </c>
      <c r="S578" s="41">
        <f t="shared" si="261"/>
        <v>-17723.195175075132</v>
      </c>
      <c r="U578" s="41">
        <v>572</v>
      </c>
      <c r="V578" s="41">
        <f t="shared" si="283"/>
        <v>286</v>
      </c>
      <c r="W578" s="57">
        <f t="shared" si="284"/>
        <v>173591.41024283951</v>
      </c>
      <c r="X578" s="57">
        <f t="shared" si="285"/>
        <v>336007.57300827006</v>
      </c>
      <c r="Y578" s="57">
        <f t="shared" si="286"/>
        <v>1421.6671317662133</v>
      </c>
      <c r="Z578" s="57">
        <f t="shared" si="287"/>
        <v>2148.7824378349601</v>
      </c>
      <c r="AA578" s="57">
        <f t="shared" si="262"/>
        <v>-10.620390724036675</v>
      </c>
      <c r="AB578" s="57">
        <f t="shared" si="263"/>
        <v>-20.702596296807542</v>
      </c>
      <c r="AC578" s="57">
        <f t="shared" si="264"/>
        <v>-1.6843966129372288</v>
      </c>
      <c r="AD578" s="57">
        <f t="shared" si="265"/>
        <v>-3.602656179954935</v>
      </c>
      <c r="AE578" s="57">
        <f t="shared" si="266"/>
        <v>-0.63753817673497948</v>
      </c>
      <c r="AF578" s="57">
        <f t="shared" si="267"/>
        <v>-1.0736130980025018</v>
      </c>
      <c r="AG578" s="57">
        <f t="shared" si="268"/>
        <v>-1.5293840007447486</v>
      </c>
      <c r="AH578" s="57">
        <f t="shared" si="269"/>
        <v>-3.0058857006008557</v>
      </c>
      <c r="AJ578" s="57">
        <f t="shared" si="270"/>
        <v>362639.69284148712</v>
      </c>
      <c r="AK578" s="57">
        <f t="shared" si="271"/>
        <v>379155.0761608684</v>
      </c>
      <c r="AL578" s="57">
        <f t="shared" si="272"/>
        <v>393828.90716868697</v>
      </c>
      <c r="AN578" s="41">
        <v>573</v>
      </c>
      <c r="AO578" s="57">
        <f t="shared" si="273"/>
        <v>-1290.0292595906831</v>
      </c>
      <c r="AP578" s="57">
        <f t="shared" si="274"/>
        <v>10915.207237387302</v>
      </c>
      <c r="AR578" s="41">
        <v>573</v>
      </c>
      <c r="AS578" s="57">
        <f t="shared" si="275"/>
        <v>12064.653012191015</v>
      </c>
      <c r="AT578" s="57">
        <f t="shared" si="276"/>
        <v>-6906.236622552593</v>
      </c>
      <c r="AV578" s="57">
        <f t="shared" si="277"/>
        <v>-6.2338913393187232</v>
      </c>
      <c r="AW578" s="57">
        <f t="shared" si="278"/>
        <v>-11.869681417039871</v>
      </c>
      <c r="AX578" s="57">
        <f t="shared" si="279"/>
        <v>-0.53518059430099374</v>
      </c>
      <c r="AY578" s="57">
        <f t="shared" si="280"/>
        <v>-1.150759901209375</v>
      </c>
      <c r="BA578" s="57">
        <f t="shared" si="281"/>
        <v>362586.43870990165</v>
      </c>
      <c r="BB578" s="57">
        <f t="shared" si="282"/>
        <v>376081.64040777535</v>
      </c>
    </row>
    <row r="579" spans="9:54" x14ac:dyDescent="0.25">
      <c r="I579" s="41">
        <v>574</v>
      </c>
      <c r="J579" s="57">
        <f t="shared" si="256"/>
        <v>15854.812137224792</v>
      </c>
      <c r="K579" s="57">
        <f t="shared" si="257"/>
        <v>4704.0354826462662</v>
      </c>
      <c r="M579" s="41">
        <v>574</v>
      </c>
      <c r="N579" s="57">
        <f t="shared" si="258"/>
        <v>-22901.631503942644</v>
      </c>
      <c r="O579" s="57">
        <f t="shared" si="259"/>
        <v>8042.8248378523858</v>
      </c>
      <c r="Q579" s="41">
        <v>574</v>
      </c>
      <c r="R579" s="57">
        <f t="shared" si="260"/>
        <v>-9145.1878627752085</v>
      </c>
      <c r="S579" s="41">
        <f t="shared" si="261"/>
        <v>-17795.964517353736</v>
      </c>
      <c r="U579" s="41">
        <v>573</v>
      </c>
      <c r="V579" s="41">
        <f t="shared" si="283"/>
        <v>286.5</v>
      </c>
      <c r="W579" s="57">
        <f t="shared" si="284"/>
        <v>174300.91625988213</v>
      </c>
      <c r="X579" s="57">
        <f t="shared" si="285"/>
        <v>337079.37640265044</v>
      </c>
      <c r="Y579" s="57">
        <f t="shared" si="286"/>
        <v>1416.356936404195</v>
      </c>
      <c r="Z579" s="57">
        <f t="shared" si="287"/>
        <v>2138.4311396865564</v>
      </c>
      <c r="AA579" s="57">
        <f t="shared" si="262"/>
        <v>-10.555193300203552</v>
      </c>
      <c r="AB579" s="57">
        <f t="shared" si="263"/>
        <v>-20.556059015938001</v>
      </c>
      <c r="AC579" s="57">
        <f t="shared" si="264"/>
        <v>-1.6745158126306603</v>
      </c>
      <c r="AD579" s="57">
        <f t="shared" si="265"/>
        <v>-3.5766856780919811</v>
      </c>
      <c r="AE579" s="57">
        <f t="shared" si="266"/>
        <v>-0.63342076078714238</v>
      </c>
      <c r="AF579" s="57">
        <f t="shared" si="267"/>
        <v>-1.0662783862616696</v>
      </c>
      <c r="AG579" s="57">
        <f t="shared" si="268"/>
        <v>-1.5206290381400753</v>
      </c>
      <c r="AH579" s="57">
        <f t="shared" si="269"/>
        <v>-2.9859419274362602</v>
      </c>
      <c r="AJ579" s="57">
        <f t="shared" si="270"/>
        <v>363911.16788111778</v>
      </c>
      <c r="AK579" s="57">
        <f t="shared" si="271"/>
        <v>380438.91037507768</v>
      </c>
      <c r="AL579" s="57">
        <f t="shared" si="272"/>
        <v>395105.94257706689</v>
      </c>
      <c r="AN579" s="41">
        <v>574</v>
      </c>
      <c r="AO579" s="57">
        <f t="shared" si="273"/>
        <v>-1217.7817941628127</v>
      </c>
      <c r="AP579" s="57">
        <f t="shared" si="274"/>
        <v>10806.0532239694</v>
      </c>
      <c r="AR579" s="41">
        <v>574</v>
      </c>
      <c r="AS579" s="57">
        <f t="shared" si="275"/>
        <v>12098.368496057354</v>
      </c>
      <c r="AT579" s="57">
        <f t="shared" si="276"/>
        <v>-6957.1751621476142</v>
      </c>
      <c r="AV579" s="57">
        <f t="shared" si="277"/>
        <v>-6.1944650247530371</v>
      </c>
      <c r="AW579" s="57">
        <f t="shared" si="278"/>
        <v>-11.784398315115627</v>
      </c>
      <c r="AX579" s="57">
        <f t="shared" si="279"/>
        <v>-0.53216266389263578</v>
      </c>
      <c r="AY579" s="57">
        <f t="shared" si="280"/>
        <v>-1.1427547090324615</v>
      </c>
      <c r="BA579" s="57">
        <f t="shared" si="281"/>
        <v>363865.25658594532</v>
      </c>
      <c r="BB579" s="57">
        <f t="shared" si="282"/>
        <v>377352.72846670158</v>
      </c>
    </row>
    <row r="580" spans="9:54" x14ac:dyDescent="0.25">
      <c r="I580" s="41">
        <v>575</v>
      </c>
      <c r="J580" s="57">
        <f t="shared" si="256"/>
        <v>15904.239778555038</v>
      </c>
      <c r="K580" s="57">
        <f t="shared" si="257"/>
        <v>4632.1178182447748</v>
      </c>
      <c r="M580" s="41">
        <v>575</v>
      </c>
      <c r="N580" s="57">
        <f t="shared" si="258"/>
        <v>-22867.032155011475</v>
      </c>
      <c r="O580" s="57">
        <f t="shared" si="259"/>
        <v>7992.4824727713421</v>
      </c>
      <c r="Q580" s="41">
        <v>575</v>
      </c>
      <c r="R580" s="57">
        <f t="shared" si="260"/>
        <v>-9095.7602214449616</v>
      </c>
      <c r="S580" s="41">
        <f t="shared" si="261"/>
        <v>-17867.882181755227</v>
      </c>
      <c r="U580" s="41">
        <v>574</v>
      </c>
      <c r="V580" s="41">
        <f t="shared" si="283"/>
        <v>287</v>
      </c>
      <c r="W580" s="57">
        <f t="shared" si="284"/>
        <v>175007.77532892171</v>
      </c>
      <c r="X580" s="57">
        <f t="shared" si="285"/>
        <v>338146.02246511675</v>
      </c>
      <c r="Y580" s="57">
        <f t="shared" si="286"/>
        <v>1411.0793397540933</v>
      </c>
      <c r="Z580" s="57">
        <f t="shared" si="287"/>
        <v>2128.1531101785872</v>
      </c>
      <c r="AA580" s="57">
        <f t="shared" si="262"/>
        <v>-10.4909080774252</v>
      </c>
      <c r="AB580" s="57">
        <f t="shared" si="263"/>
        <v>-20.411698202793026</v>
      </c>
      <c r="AC580" s="57">
        <f t="shared" si="264"/>
        <v>-1.664768016693817</v>
      </c>
      <c r="AD580" s="57">
        <f t="shared" si="265"/>
        <v>-3.5511052389398925</v>
      </c>
      <c r="AE580" s="57">
        <f t="shared" si="266"/>
        <v>-0.62936303824831241</v>
      </c>
      <c r="AF580" s="57">
        <f t="shared" si="267"/>
        <v>-1.0590499652611303</v>
      </c>
      <c r="AG580" s="57">
        <f t="shared" si="268"/>
        <v>-1.5119912573563783</v>
      </c>
      <c r="AH580" s="57">
        <f t="shared" si="269"/>
        <v>-2.966281304025681</v>
      </c>
      <c r="AJ580" s="57">
        <f t="shared" si="270"/>
        <v>365176.94695095957</v>
      </c>
      <c r="AK580" s="57">
        <f t="shared" si="271"/>
        <v>381716.96909937356</v>
      </c>
      <c r="AL580" s="57">
        <f t="shared" si="272"/>
        <v>396377.23491870757</v>
      </c>
      <c r="AN580" s="41">
        <v>575</v>
      </c>
      <c r="AO580" s="57">
        <f t="shared" si="273"/>
        <v>-1143.6403321674434</v>
      </c>
      <c r="AP580" s="57">
        <f t="shared" si="274"/>
        <v>10698.176727367161</v>
      </c>
      <c r="AR580" s="41">
        <v>575</v>
      </c>
      <c r="AS580" s="57">
        <f t="shared" si="275"/>
        <v>12132.967844988527</v>
      </c>
      <c r="AT580" s="57">
        <f t="shared" si="276"/>
        <v>-7007.5175272286579</v>
      </c>
      <c r="AV580" s="57">
        <f t="shared" si="277"/>
        <v>-6.1556013941368288</v>
      </c>
      <c r="AW580" s="57">
        <f t="shared" si="278"/>
        <v>-11.700394893983699</v>
      </c>
      <c r="AX580" s="57">
        <f t="shared" si="279"/>
        <v>-0.52918437098986382</v>
      </c>
      <c r="AY580" s="57">
        <f t="shared" si="280"/>
        <v>-1.1348668005826226</v>
      </c>
      <c r="BA580" s="57">
        <f t="shared" si="281"/>
        <v>365138.32379978255</v>
      </c>
      <c r="BB580" s="57">
        <f t="shared" si="282"/>
        <v>378618.12014131219</v>
      </c>
    </row>
    <row r="581" spans="9:54" x14ac:dyDescent="0.25">
      <c r="I581" s="41">
        <v>576</v>
      </c>
      <c r="J581" s="57">
        <f t="shared" si="256"/>
        <v>15954.915028125262</v>
      </c>
      <c r="K581" s="57">
        <f t="shared" si="257"/>
        <v>4561.073738537636</v>
      </c>
      <c r="M581" s="41">
        <v>576</v>
      </c>
      <c r="N581" s="57">
        <f t="shared" si="258"/>
        <v>-22831.559480312317</v>
      </c>
      <c r="O581" s="57">
        <f t="shared" si="259"/>
        <v>7942.7516169763458</v>
      </c>
      <c r="Q581" s="41">
        <v>576</v>
      </c>
      <c r="R581" s="57">
        <f t="shared" si="260"/>
        <v>-9045.0849718747377</v>
      </c>
      <c r="S581" s="41">
        <f t="shared" si="261"/>
        <v>-17938.926261462366</v>
      </c>
      <c r="U581" s="41">
        <v>575</v>
      </c>
      <c r="V581" s="41">
        <f t="shared" si="283"/>
        <v>287.5</v>
      </c>
      <c r="W581" s="57">
        <f t="shared" si="284"/>
        <v>175712.00363528906</v>
      </c>
      <c r="X581" s="57">
        <f t="shared" si="285"/>
        <v>339207.54755793069</v>
      </c>
      <c r="Y581" s="57">
        <f t="shared" si="286"/>
        <v>1405.8338857153808</v>
      </c>
      <c r="Z581" s="57">
        <f t="shared" si="287"/>
        <v>2117.9472610771909</v>
      </c>
      <c r="AA581" s="57">
        <f t="shared" si="262"/>
        <v>-10.427517013242886</v>
      </c>
      <c r="AB581" s="57">
        <f t="shared" si="263"/>
        <v>-20.269468228020585</v>
      </c>
      <c r="AC581" s="57">
        <f t="shared" si="264"/>
        <v>-1.6551507100659093</v>
      </c>
      <c r="AD581" s="57">
        <f t="shared" si="265"/>
        <v>-3.5259066100046281</v>
      </c>
      <c r="AE581" s="57">
        <f t="shared" si="266"/>
        <v>-0.62536378449981667</v>
      </c>
      <c r="AF581" s="57">
        <f t="shared" si="267"/>
        <v>-1.051925656079735</v>
      </c>
      <c r="AG581" s="57">
        <f t="shared" si="268"/>
        <v>-1.503468435911345</v>
      </c>
      <c r="AH581" s="57">
        <f t="shared" si="269"/>
        <v>-2.9468981406995045</v>
      </c>
      <c r="AJ581" s="57">
        <f t="shared" si="270"/>
        <v>366437.06851656415</v>
      </c>
      <c r="AK581" s="57">
        <f t="shared" si="271"/>
        <v>382989.29193392157</v>
      </c>
      <c r="AL581" s="57">
        <f t="shared" si="272"/>
        <v>397642.82340422599</v>
      </c>
      <c r="AN581" s="41">
        <v>576</v>
      </c>
      <c r="AO581" s="57">
        <f t="shared" si="273"/>
        <v>-1067.6274578121074</v>
      </c>
      <c r="AP581" s="57">
        <f t="shared" si="274"/>
        <v>10591.610607806455</v>
      </c>
      <c r="AR581" s="41">
        <v>576</v>
      </c>
      <c r="AS581" s="57">
        <f t="shared" si="275"/>
        <v>12168.440519687683</v>
      </c>
      <c r="AT581" s="57">
        <f t="shared" si="276"/>
        <v>-7057.2483830236542</v>
      </c>
      <c r="AV581" s="57">
        <f t="shared" si="277"/>
        <v>-6.1172890995624991</v>
      </c>
      <c r="AW581" s="57">
        <f t="shared" si="278"/>
        <v>-11.617644069769705</v>
      </c>
      <c r="AX581" s="57">
        <f t="shared" si="279"/>
        <v>-0.52624498320331647</v>
      </c>
      <c r="AY581" s="57">
        <f t="shared" si="280"/>
        <v>-1.1270937514670116</v>
      </c>
      <c r="BA581" s="57">
        <f t="shared" si="281"/>
        <v>366405.67964853224</v>
      </c>
      <c r="BB581" s="57">
        <f t="shared" si="282"/>
        <v>379877.85393243749</v>
      </c>
    </row>
    <row r="582" spans="9:54" x14ac:dyDescent="0.25">
      <c r="I582" s="41">
        <v>577</v>
      </c>
      <c r="J582" s="57">
        <f t="shared" si="256"/>
        <v>16006.822449763536</v>
      </c>
      <c r="K582" s="57">
        <f t="shared" si="257"/>
        <v>4490.9248842397574</v>
      </c>
      <c r="M582" s="41">
        <v>577</v>
      </c>
      <c r="N582" s="57">
        <f t="shared" si="258"/>
        <v>-22795.224285165525</v>
      </c>
      <c r="O582" s="57">
        <f t="shared" si="259"/>
        <v>7893.6474189678302</v>
      </c>
      <c r="Q582" s="41">
        <v>577</v>
      </c>
      <c r="R582" s="57">
        <f t="shared" si="260"/>
        <v>-8993.1775502364635</v>
      </c>
      <c r="S582" s="41">
        <f t="shared" si="261"/>
        <v>-18009.075115760243</v>
      </c>
      <c r="U582" s="41">
        <v>576</v>
      </c>
      <c r="V582" s="41">
        <f t="shared" si="283"/>
        <v>288</v>
      </c>
      <c r="W582" s="57">
        <f t="shared" si="284"/>
        <v>176413.61713852012</v>
      </c>
      <c r="X582" s="57">
        <f t="shared" si="285"/>
        <v>340263.98750494083</v>
      </c>
      <c r="Y582" s="57">
        <f t="shared" si="286"/>
        <v>1400.6201272087594</v>
      </c>
      <c r="Z582" s="57">
        <f t="shared" si="287"/>
        <v>2107.8125269631805</v>
      </c>
      <c r="AA582" s="57">
        <f t="shared" si="262"/>
        <v>-10.365002534391808</v>
      </c>
      <c r="AB582" s="57">
        <f t="shared" si="263"/>
        <v>-20.12932470763138</v>
      </c>
      <c r="AC582" s="57">
        <f t="shared" si="264"/>
        <v>-1.6456614400234915</v>
      </c>
      <c r="AD582" s="57">
        <f t="shared" si="265"/>
        <v>-3.5010817656647495</v>
      </c>
      <c r="AE582" s="57">
        <f t="shared" si="266"/>
        <v>-0.62142180788014312</v>
      </c>
      <c r="AF582" s="57">
        <f t="shared" si="267"/>
        <v>-1.0449033380831494</v>
      </c>
      <c r="AG582" s="57">
        <f t="shared" si="268"/>
        <v>-1.4950584070391877</v>
      </c>
      <c r="AH582" s="57">
        <f t="shared" si="269"/>
        <v>-2.927786897231476</v>
      </c>
      <c r="AJ582" s="57">
        <f t="shared" si="270"/>
        <v>367691.57048611267</v>
      </c>
      <c r="AK582" s="57">
        <f t="shared" si="271"/>
        <v>384255.91789860686</v>
      </c>
      <c r="AL582" s="57">
        <f t="shared" si="272"/>
        <v>398902.74667040375</v>
      </c>
      <c r="AN582" s="41">
        <v>577</v>
      </c>
      <c r="AO582" s="57">
        <f t="shared" si="273"/>
        <v>-989.76632535469525</v>
      </c>
      <c r="AP582" s="57">
        <f t="shared" si="274"/>
        <v>10486.387326359636</v>
      </c>
      <c r="AR582" s="41">
        <v>577</v>
      </c>
      <c r="AS582" s="57">
        <f t="shared" si="275"/>
        <v>12204.775714834475</v>
      </c>
      <c r="AT582" s="57">
        <f t="shared" si="276"/>
        <v>-7106.3525810321698</v>
      </c>
      <c r="AV582" s="57">
        <f t="shared" si="277"/>
        <v>-6.0795170935068592</v>
      </c>
      <c r="AW582" s="57">
        <f t="shared" si="278"/>
        <v>-11.536119504091117</v>
      </c>
      <c r="AX582" s="57">
        <f t="shared" si="279"/>
        <v>-0.52334378594212561</v>
      </c>
      <c r="AY582" s="57">
        <f t="shared" si="280"/>
        <v>-1.1194332025608873</v>
      </c>
      <c r="BA582" s="57">
        <f t="shared" si="281"/>
        <v>367667.36285415036</v>
      </c>
      <c r="BB582" s="57">
        <f t="shared" si="282"/>
        <v>381131.96778222721</v>
      </c>
    </row>
    <row r="583" spans="9:54" x14ac:dyDescent="0.25">
      <c r="I583" s="41">
        <v>578</v>
      </c>
      <c r="J583" s="57">
        <f t="shared" ref="J583:J646" si="288">$F$8*COS(I583*PI()/180)+$E$7</f>
        <v>16059.946231966387</v>
      </c>
      <c r="K583" s="57">
        <f t="shared" ref="K583:K646" si="289">$F$8*SIN(I583*PI()/180)+$G$7</f>
        <v>4421.6926233717113</v>
      </c>
      <c r="M583" s="41">
        <v>578</v>
      </c>
      <c r="N583" s="57">
        <f t="shared" ref="N583:N646" si="290">$F$19*COS(M583*PI()/180)+$E$18</f>
        <v>-22758.037637623529</v>
      </c>
      <c r="O583" s="57">
        <f t="shared" ref="O583:O646" si="291">$F$19*SIN(M583*PI()/180)+$G$18</f>
        <v>7845.1848363601985</v>
      </c>
      <c r="Q583" s="41">
        <v>578</v>
      </c>
      <c r="R583" s="57">
        <f t="shared" ref="R583:R646" si="292">$F$30*COS(Q583*PI()/180)+$E$29</f>
        <v>-8940.0537680336129</v>
      </c>
      <c r="S583" s="41">
        <f t="shared" ref="S583:S646" si="293">$F$30*SIN(Q583*PI()/180)+$G$29</f>
        <v>-18078.307376628287</v>
      </c>
      <c r="U583" s="41">
        <v>577</v>
      </c>
      <c r="V583" s="41">
        <f t="shared" si="283"/>
        <v>288.5</v>
      </c>
      <c r="W583" s="57">
        <f t="shared" si="284"/>
        <v>177112.6315768077</v>
      </c>
      <c r="X583" s="57">
        <f t="shared" si="285"/>
        <v>341315.37760283396</v>
      </c>
      <c r="Y583" s="57">
        <f t="shared" si="286"/>
        <v>1395.4376259415635</v>
      </c>
      <c r="Z583" s="57">
        <f t="shared" si="287"/>
        <v>2097.747864609365</v>
      </c>
      <c r="AA583" s="57">
        <f t="shared" ref="AA583:AA646" si="294">AC583+AE583+AG583+AV583+AX583</f>
        <v>-10.303347521778836</v>
      </c>
      <c r="AB583" s="57">
        <f t="shared" ref="AB583:AB646" si="295">AD583+AF583+AH583+AW583+AY583</f>
        <v>-19.991224461348928</v>
      </c>
      <c r="AC583" s="57">
        <f t="shared" ref="AC583:AC646" si="296">(($E$7-W583)/(AJ583^2+$F$12^2)^(3/2))*$E$11</f>
        <v>-1.6362978142865685</v>
      </c>
      <c r="AD583" s="57">
        <f t="shared" ref="AD583:AD646" si="297">(($G$7-X583)/(AJ583^2+$F$12^2)^(3/2))*$E$11</f>
        <v>-3.476622899538993</v>
      </c>
      <c r="AE583" s="57">
        <f t="shared" ref="AE583:AE646" si="298">(($E$18-W583)/(AK583^2+$F$23^2)^(3/2))*$E$22</f>
        <v>-0.61753594859414163</v>
      </c>
      <c r="AF583" s="57">
        <f t="shared" ref="AF583:AF646" si="299">(($G$18-X583)/(AK583^2+$F$23^2)^(3/2))*$E$22</f>
        <v>-1.0379809470103258</v>
      </c>
      <c r="AG583" s="57">
        <f t="shared" ref="AG583:AG646" si="300">(($E$29-W583)/(AL583^2+$F$34^2)^(3/2))*$E$33</f>
        <v>-1.4867590579650007</v>
      </c>
      <c r="AH583" s="57">
        <f t="shared" ref="AH583:AH646" si="301">(($G$29-X583)/(AL583^2+$F$34^2)^(3/2))*$E$33</f>
        <v>-2.9089421780158276</v>
      </c>
      <c r="AJ583" s="57">
        <f t="shared" ref="AJ583:AJ646" si="302">SQRT(($E$7-W583)^2+($G$7-X583)^2)</f>
        <v>368940.49022181384</v>
      </c>
      <c r="AK583" s="57">
        <f t="shared" ref="AK583:AK646" si="303">SQRT(($E$18-W583)^2+($G$18-X583)^2)</f>
        <v>385516.88544503832</v>
      </c>
      <c r="AL583" s="57">
        <f t="shared" ref="AL583:AL646" si="304">SQRT(($E$29-W583)^2+($G$29-X583)^2)</f>
        <v>400157.04279205215</v>
      </c>
      <c r="AN583" s="41">
        <v>578</v>
      </c>
      <c r="AO583" s="57">
        <f t="shared" ref="AO583:AO646" si="305">$F$41*COS(AN583*PI()/180)+$E$40</f>
        <v>-910.08065205041839</v>
      </c>
      <c r="AP583" s="57">
        <f t="shared" ref="AP583:AP646" si="306">$F$41*SIN(AN583*PI()/180)+$G$40</f>
        <v>10382.538935057568</v>
      </c>
      <c r="AR583" s="41">
        <v>578</v>
      </c>
      <c r="AS583" s="57">
        <f t="shared" ref="AS583:AS646" si="307">$F$52*COS(AR583*PI()/180)+$E$51</f>
        <v>12241.962362376471</v>
      </c>
      <c r="AT583" s="57">
        <f t="shared" ref="AT583:AT646" si="308">$F$52*SIN(AR583*PI()/180)+$G$51</f>
        <v>-7154.8151636398015</v>
      </c>
      <c r="AV583" s="57">
        <f t="shared" ref="AV583:AV646" si="309">(($E$40-W583)/(BA583^2+$F$45^2)^(3/2))*$E$44</f>
        <v>-6.0422746190506569</v>
      </c>
      <c r="AW583" s="57">
        <f t="shared" ref="AW583:AW646" si="310">(($G$40-X583)/(BA583^2+$F$45^2)^(3/2))*$E$44</f>
        <v>-11.455795578929612</v>
      </c>
      <c r="AX583" s="57">
        <f t="shared" ref="AX583:AX646" si="311">(($E$51-W583)/(BB583^2+$F$56^2)^(3/2))*$E$55</f>
        <v>-0.5204800818824683</v>
      </c>
      <c r="AY583" s="57">
        <f t="shared" ref="AY583:AY646" si="312">(($G$51-X583)/(BB583^2+$F$56^2)^(3/2))*$E$55</f>
        <v>-1.1118828578541688</v>
      </c>
      <c r="BA583" s="57">
        <f t="shared" ref="BA583:BA646" si="313">SQRT(($E$40-W583)^2+($G$40-X583)^2)</f>
        <v>368923.41157532152</v>
      </c>
      <c r="BB583" s="57">
        <f t="shared" ref="BB583:BB646" si="314">SQRT(($E$51-W583)^2+($G$51-X583)^2)</f>
        <v>382380.49908559833</v>
      </c>
    </row>
    <row r="584" spans="9:54" x14ac:dyDescent="0.25">
      <c r="I584" s="41">
        <v>579</v>
      </c>
      <c r="J584" s="57">
        <f t="shared" si="288"/>
        <v>16114.270192715147</v>
      </c>
      <c r="K584" s="57">
        <f t="shared" si="289"/>
        <v>4353.3980447508129</v>
      </c>
      <c r="M584" s="41">
        <v>579</v>
      </c>
      <c r="N584" s="57">
        <f t="shared" si="290"/>
        <v>-22720.010865099397</v>
      </c>
      <c r="O584" s="57">
        <f t="shared" si="291"/>
        <v>7797.3786313255696</v>
      </c>
      <c r="Q584" s="41">
        <v>579</v>
      </c>
      <c r="R584" s="57">
        <f t="shared" si="292"/>
        <v>-8885.7298072848535</v>
      </c>
      <c r="S584" s="41">
        <f t="shared" si="293"/>
        <v>-18146.601955249185</v>
      </c>
      <c r="U584" s="41">
        <v>578</v>
      </c>
      <c r="V584" s="41">
        <f t="shared" ref="V584:V647" si="315">V583+0.5</f>
        <v>289</v>
      </c>
      <c r="W584" s="57">
        <f t="shared" ref="W584:W647" si="316">W583+Y583*$F$3+((1/2)*AA583)*$F$3^2</f>
        <v>177809.06247133829</v>
      </c>
      <c r="X584" s="57">
        <f t="shared" ref="X584:X647" si="317">X583+Z583*$F$3+((1/2)*AB583)*$F$3^2</f>
        <v>342361.75263208098</v>
      </c>
      <c r="Y584" s="57">
        <f t="shared" ref="Y584:Y647" si="318">Y583+AA583*$F$3</f>
        <v>1390.285952180674</v>
      </c>
      <c r="Z584" s="57">
        <f t="shared" ref="Z584:Z647" si="319">Z583+AB583*$F$3</f>
        <v>2087.7522523786906</v>
      </c>
      <c r="AA584" s="57">
        <f t="shared" si="294"/>
        <v>-10.242535296030292</v>
      </c>
      <c r="AB584" s="57">
        <f t="shared" si="295"/>
        <v>-19.855125472604669</v>
      </c>
      <c r="AC584" s="57">
        <f t="shared" si="296"/>
        <v>-1.6270574991924802</v>
      </c>
      <c r="AD584" s="57">
        <f t="shared" si="297"/>
        <v>-3.4525224171566182</v>
      </c>
      <c r="AE584" s="57">
        <f t="shared" si="298"/>
        <v>-0.61370507766494253</v>
      </c>
      <c r="AF584" s="57">
        <f t="shared" si="299"/>
        <v>-1.0311564731341993</v>
      </c>
      <c r="AG584" s="57">
        <f t="shared" si="300"/>
        <v>-1.4785683282429125</v>
      </c>
      <c r="AH584" s="57">
        <f t="shared" si="301"/>
        <v>-2.8903587274291498</v>
      </c>
      <c r="AJ584" s="57">
        <f t="shared" si="302"/>
        <v>370183.86455099814</v>
      </c>
      <c r="AK584" s="57">
        <f t="shared" si="303"/>
        <v>386772.23246822983</v>
      </c>
      <c r="AL584" s="57">
        <f t="shared" si="304"/>
        <v>401405.74929355748</v>
      </c>
      <c r="AN584" s="41">
        <v>579</v>
      </c>
      <c r="AO584" s="57">
        <f t="shared" si="305"/>
        <v>-828.59471092728199</v>
      </c>
      <c r="AP584" s="57">
        <f t="shared" si="306"/>
        <v>10280.097067126218</v>
      </c>
      <c r="AR584" s="41">
        <v>579</v>
      </c>
      <c r="AS584" s="57">
        <f t="shared" si="307"/>
        <v>12279.989134900603</v>
      </c>
      <c r="AT584" s="57">
        <f t="shared" si="308"/>
        <v>-7202.6213686744304</v>
      </c>
      <c r="AV584" s="57">
        <f t="shared" si="309"/>
        <v>-6.005551200475117</v>
      </c>
      <c r="AW584" s="57">
        <f t="shared" si="310"/>
        <v>-11.376647372502855</v>
      </c>
      <c r="AX584" s="57">
        <f t="shared" si="311"/>
        <v>-0.51765319045483849</v>
      </c>
      <c r="AY584" s="57">
        <f t="shared" si="312"/>
        <v>-1.104440482381847</v>
      </c>
      <c r="BA584" s="57">
        <f t="shared" si="313"/>
        <v>370173.86341902998</v>
      </c>
      <c r="BB584" s="57">
        <f t="shared" si="314"/>
        <v>383623.48470137635</v>
      </c>
    </row>
    <row r="585" spans="9:54" x14ac:dyDescent="0.25">
      <c r="I585" s="41">
        <v>580</v>
      </c>
      <c r="J585" s="57">
        <f t="shared" si="288"/>
        <v>16169.777784405105</v>
      </c>
      <c r="K585" s="57">
        <f t="shared" si="289"/>
        <v>4286.0619515673079</v>
      </c>
      <c r="M585" s="41">
        <v>580</v>
      </c>
      <c r="N585" s="57">
        <f t="shared" si="290"/>
        <v>-22681.155550916425</v>
      </c>
      <c r="O585" s="57">
        <f t="shared" si="291"/>
        <v>7750.2433660971155</v>
      </c>
      <c r="Q585" s="41">
        <v>580</v>
      </c>
      <c r="R585" s="57">
        <f t="shared" si="292"/>
        <v>-8830.2222155948948</v>
      </c>
      <c r="S585" s="41">
        <f t="shared" si="293"/>
        <v>-18213.93804843269</v>
      </c>
      <c r="U585" s="41">
        <v>579</v>
      </c>
      <c r="V585" s="41">
        <f t="shared" si="315"/>
        <v>289.5</v>
      </c>
      <c r="W585" s="57">
        <f t="shared" si="316"/>
        <v>178502.92513051661</v>
      </c>
      <c r="X585" s="57">
        <f t="shared" si="317"/>
        <v>343403.1468675863</v>
      </c>
      <c r="Y585" s="57">
        <f t="shared" si="318"/>
        <v>1385.1646845326588</v>
      </c>
      <c r="Z585" s="57">
        <f t="shared" si="319"/>
        <v>2077.8246896423884</v>
      </c>
      <c r="AA585" s="57">
        <f t="shared" si="294"/>
        <v>-10.182549603585626</v>
      </c>
      <c r="AB585" s="57">
        <f t="shared" si="295"/>
        <v>-19.720986850105056</v>
      </c>
      <c r="AC585" s="57">
        <f t="shared" si="296"/>
        <v>-1.6179382179349941</v>
      </c>
      <c r="AD585" s="57">
        <f t="shared" si="297"/>
        <v>-3.4287729289171627</v>
      </c>
      <c r="AE585" s="57">
        <f t="shared" si="298"/>
        <v>-0.60992809592679009</v>
      </c>
      <c r="AF585" s="57">
        <f t="shared" si="299"/>
        <v>-1.0244279594935037</v>
      </c>
      <c r="AG585" s="57">
        <f t="shared" si="300"/>
        <v>-1.4704842081549425</v>
      </c>
      <c r="AH585" s="57">
        <f t="shared" si="301"/>
        <v>-2.872031425368148</v>
      </c>
      <c r="AJ585" s="57">
        <f t="shared" si="302"/>
        <v>371421.72977691737</v>
      </c>
      <c r="AK585" s="57">
        <f t="shared" si="303"/>
        <v>388021.99631796754</v>
      </c>
      <c r="AL585" s="57">
        <f t="shared" si="304"/>
        <v>402648.90316011617</v>
      </c>
      <c r="AN585" s="41">
        <v>580</v>
      </c>
      <c r="AO585" s="57">
        <f t="shared" si="305"/>
        <v>-745.3333233923413</v>
      </c>
      <c r="AP585" s="57">
        <f t="shared" si="306"/>
        <v>10179.092927350961</v>
      </c>
      <c r="AR585" s="41">
        <v>580</v>
      </c>
      <c r="AS585" s="57">
        <f t="shared" si="307"/>
        <v>12318.844449083574</v>
      </c>
      <c r="AT585" s="57">
        <f t="shared" si="308"/>
        <v>-7249.7566339028845</v>
      </c>
      <c r="AV585" s="57">
        <f t="shared" si="309"/>
        <v>-5.9693366342195304</v>
      </c>
      <c r="AW585" s="57">
        <f t="shared" si="310"/>
        <v>-11.298650636091571</v>
      </c>
      <c r="AX585" s="57">
        <f t="shared" si="311"/>
        <v>-0.51486244734936959</v>
      </c>
      <c r="AY585" s="57">
        <f t="shared" si="312"/>
        <v>-1.0971039002346719</v>
      </c>
      <c r="BA585" s="57">
        <f t="shared" si="313"/>
        <v>371418.75545182033</v>
      </c>
      <c r="BB585" s="57">
        <f t="shared" si="314"/>
        <v>384860.96096314088</v>
      </c>
    </row>
    <row r="586" spans="9:54" x14ac:dyDescent="0.25">
      <c r="I586" s="41">
        <v>581</v>
      </c>
      <c r="J586" s="57">
        <f t="shared" si="288"/>
        <v>16226.452098886139</v>
      </c>
      <c r="K586" s="57">
        <f t="shared" si="289"/>
        <v>4219.7048550474647</v>
      </c>
      <c r="M586" s="41">
        <v>581</v>
      </c>
      <c r="N586" s="57">
        <f t="shared" si="290"/>
        <v>-22641.483530779704</v>
      </c>
      <c r="O586" s="57">
        <f t="shared" si="291"/>
        <v>7703.7933985332256</v>
      </c>
      <c r="Q586" s="41">
        <v>581</v>
      </c>
      <c r="R586" s="57">
        <f t="shared" si="292"/>
        <v>-8773.5479011138614</v>
      </c>
      <c r="S586" s="41">
        <f t="shared" si="293"/>
        <v>-18280.295144952535</v>
      </c>
      <c r="U586" s="41">
        <v>580</v>
      </c>
      <c r="V586" s="41">
        <f t="shared" si="315"/>
        <v>290</v>
      </c>
      <c r="W586" s="57">
        <f t="shared" si="316"/>
        <v>179194.23465408251</v>
      </c>
      <c r="X586" s="57">
        <f t="shared" si="317"/>
        <v>344439.59408905124</v>
      </c>
      <c r="Y586" s="57">
        <f t="shared" si="318"/>
        <v>1380.0734097308659</v>
      </c>
      <c r="Z586" s="57">
        <f t="shared" si="319"/>
        <v>2067.9641962173359</v>
      </c>
      <c r="AA586" s="57">
        <f t="shared" si="294"/>
        <v>-10.123374603312319</v>
      </c>
      <c r="AB586" s="57">
        <f t="shared" si="295"/>
        <v>-19.588768790897703</v>
      </c>
      <c r="AC586" s="57">
        <f t="shared" si="296"/>
        <v>-1.6089377488658179</v>
      </c>
      <c r="AD586" s="57">
        <f t="shared" si="297"/>
        <v>-3.405367243326221</v>
      </c>
      <c r="AE586" s="57">
        <f t="shared" si="298"/>
        <v>-0.60620393305681997</v>
      </c>
      <c r="AF586" s="57">
        <f t="shared" si="299"/>
        <v>-1.0177935001923215</v>
      </c>
      <c r="AG586" s="57">
        <f t="shared" si="300"/>
        <v>-1.4625047371681883</v>
      </c>
      <c r="AH586" s="57">
        <f t="shared" si="301"/>
        <v>-2.8539552829559582</v>
      </c>
      <c r="AJ586" s="57">
        <f t="shared" si="302"/>
        <v>372654.12168925989</v>
      </c>
      <c r="AK586" s="57">
        <f t="shared" si="303"/>
        <v>389266.21380987461</v>
      </c>
      <c r="AL586" s="57">
        <f t="shared" si="304"/>
        <v>403886.54084867093</v>
      </c>
      <c r="AN586" s="41">
        <v>581</v>
      </c>
      <c r="AO586" s="57">
        <f t="shared" si="305"/>
        <v>-660.32185167079297</v>
      </c>
      <c r="AP586" s="57">
        <f t="shared" si="306"/>
        <v>10079.557282571197</v>
      </c>
      <c r="AR586" s="41">
        <v>581</v>
      </c>
      <c r="AS586" s="57">
        <f t="shared" si="307"/>
        <v>12358.516469220296</v>
      </c>
      <c r="AT586" s="57">
        <f t="shared" si="308"/>
        <v>-7296.2066014667744</v>
      </c>
      <c r="AV586" s="57">
        <f t="shared" si="309"/>
        <v>-5.9336209801830586</v>
      </c>
      <c r="AW586" s="57">
        <f t="shared" si="310"/>
        <v>-11.221781771776751</v>
      </c>
      <c r="AX586" s="57">
        <f t="shared" si="311"/>
        <v>-0.51210720403843502</v>
      </c>
      <c r="AY586" s="57">
        <f t="shared" si="312"/>
        <v>-1.0898709926464538</v>
      </c>
      <c r="BA586" s="57">
        <f t="shared" si="313"/>
        <v>372658.12421075755</v>
      </c>
      <c r="BB586" s="57">
        <f t="shared" si="314"/>
        <v>386092.96368978394</v>
      </c>
    </row>
    <row r="587" spans="9:54" x14ac:dyDescent="0.25">
      <c r="I587" s="41">
        <v>582</v>
      </c>
      <c r="J587" s="57">
        <f t="shared" si="288"/>
        <v>16284.275872613023</v>
      </c>
      <c r="K587" s="57">
        <f t="shared" si="289"/>
        <v>4154.3469682057148</v>
      </c>
      <c r="M587" s="41">
        <v>582</v>
      </c>
      <c r="N587" s="57">
        <f t="shared" si="290"/>
        <v>-22601.006889170883</v>
      </c>
      <c r="O587" s="57">
        <f t="shared" si="291"/>
        <v>7658.0428777440011</v>
      </c>
      <c r="Q587" s="41">
        <v>582</v>
      </c>
      <c r="R587" s="57">
        <f t="shared" si="292"/>
        <v>-8715.7241273869768</v>
      </c>
      <c r="S587" s="41">
        <f t="shared" si="293"/>
        <v>-18345.653031794285</v>
      </c>
      <c r="U587" s="41">
        <v>581</v>
      </c>
      <c r="V587" s="41">
        <f t="shared" si="315"/>
        <v>290.5</v>
      </c>
      <c r="W587" s="57">
        <f t="shared" si="316"/>
        <v>179883.00593712254</v>
      </c>
      <c r="X587" s="57">
        <f t="shared" si="317"/>
        <v>345471.12759106106</v>
      </c>
      <c r="Y587" s="57">
        <f t="shared" si="318"/>
        <v>1375.0117224292098</v>
      </c>
      <c r="Z587" s="57">
        <f t="shared" si="319"/>
        <v>2058.1698118218869</v>
      </c>
      <c r="AA587" s="57">
        <f t="shared" si="294"/>
        <v>-10.064994853620252</v>
      </c>
      <c r="AB587" s="57">
        <f t="shared" si="295"/>
        <v>-19.458432544870966</v>
      </c>
      <c r="AC587" s="57">
        <f t="shared" si="296"/>
        <v>-1.6000539238561133</v>
      </c>
      <c r="AD587" s="57">
        <f t="shared" si="297"/>
        <v>-3.3822983604950658</v>
      </c>
      <c r="AE587" s="57">
        <f t="shared" si="298"/>
        <v>-0.60253154664412001</v>
      </c>
      <c r="AF587" s="57">
        <f t="shared" si="299"/>
        <v>-1.0112512387645092</v>
      </c>
      <c r="AG587" s="57">
        <f t="shared" si="300"/>
        <v>-1.4546280024478282</v>
      </c>
      <c r="AH587" s="57">
        <f t="shared" si="301"/>
        <v>-2.8361254384095731</v>
      </c>
      <c r="AJ587" s="57">
        <f t="shared" si="302"/>
        <v>373881.07557439071</v>
      </c>
      <c r="AK587" s="57">
        <f t="shared" si="303"/>
        <v>390504.92123618332</v>
      </c>
      <c r="AL587" s="57">
        <f t="shared" si="304"/>
        <v>405118.69829855685</v>
      </c>
      <c r="AN587" s="41">
        <v>582</v>
      </c>
      <c r="AO587" s="57">
        <f t="shared" si="305"/>
        <v>-573.58619108046423</v>
      </c>
      <c r="AP587" s="57">
        <f t="shared" si="306"/>
        <v>9981.5204523085722</v>
      </c>
      <c r="AR587" s="41">
        <v>582</v>
      </c>
      <c r="AS587" s="57">
        <f t="shared" si="307"/>
        <v>12398.993110829117</v>
      </c>
      <c r="AT587" s="57">
        <f t="shared" si="308"/>
        <v>-7341.9571222559989</v>
      </c>
      <c r="AV587" s="57">
        <f t="shared" si="309"/>
        <v>-5.8983945533563613</v>
      </c>
      <c r="AW587" s="57">
        <f t="shared" si="310"/>
        <v>-11.146017811047249</v>
      </c>
      <c r="AX587" s="57">
        <f t="shared" si="311"/>
        <v>-0.50938682731582985</v>
      </c>
      <c r="AY587" s="57">
        <f t="shared" si="312"/>
        <v>-1.0827396961545688</v>
      </c>
      <c r="BA587" s="57">
        <f t="shared" si="313"/>
        <v>373892.00571409788</v>
      </c>
      <c r="BB587" s="57">
        <f t="shared" si="314"/>
        <v>387319.52819579205</v>
      </c>
    </row>
    <row r="588" spans="9:54" x14ac:dyDescent="0.25">
      <c r="I588" s="41">
        <v>583</v>
      </c>
      <c r="J588" s="57">
        <f t="shared" si="288"/>
        <v>16343.231491904144</v>
      </c>
      <c r="K588" s="57">
        <f t="shared" si="289"/>
        <v>4090.008199687511</v>
      </c>
      <c r="M588" s="41">
        <v>583</v>
      </c>
      <c r="N588" s="57">
        <f t="shared" si="290"/>
        <v>-22559.7379556671</v>
      </c>
      <c r="O588" s="57">
        <f t="shared" si="291"/>
        <v>7613.0057397812579</v>
      </c>
      <c r="Q588" s="41">
        <v>583</v>
      </c>
      <c r="R588" s="57">
        <f t="shared" si="292"/>
        <v>-8656.7685080958563</v>
      </c>
      <c r="S588" s="41">
        <f t="shared" si="293"/>
        <v>-18409.991800312488</v>
      </c>
      <c r="U588" s="41">
        <v>582</v>
      </c>
      <c r="V588" s="41">
        <f t="shared" si="315"/>
        <v>291</v>
      </c>
      <c r="W588" s="57">
        <f t="shared" si="316"/>
        <v>180569.25367398042</v>
      </c>
      <c r="X588" s="57">
        <f t="shared" si="317"/>
        <v>346497.78019290388</v>
      </c>
      <c r="Y588" s="57">
        <f t="shared" si="318"/>
        <v>1369.9792250023997</v>
      </c>
      <c r="Z588" s="57">
        <f t="shared" si="319"/>
        <v>2048.4405955494512</v>
      </c>
      <c r="AA588" s="57">
        <f t="shared" si="294"/>
        <v>-10.007395300053387</v>
      </c>
      <c r="AB588" s="57">
        <f t="shared" si="295"/>
        <v>-19.329940380621448</v>
      </c>
      <c r="AC588" s="57">
        <f t="shared" si="296"/>
        <v>-1.5912846267153766</v>
      </c>
      <c r="AD588" s="57">
        <f t="shared" si="297"/>
        <v>-3.3595594658918233</v>
      </c>
      <c r="AE588" s="57">
        <f t="shared" si="298"/>
        <v>-0.59890992129442422</v>
      </c>
      <c r="AF588" s="57">
        <f t="shared" si="299"/>
        <v>-1.0047993666001509</v>
      </c>
      <c r="AG588" s="57">
        <f t="shared" si="300"/>
        <v>-1.4468521374236123</v>
      </c>
      <c r="AH588" s="57">
        <f t="shared" si="301"/>
        <v>-2.8185371530614249</v>
      </c>
      <c r="AJ588" s="57">
        <f t="shared" si="302"/>
        <v>375102.62622532441</v>
      </c>
      <c r="AK588" s="57">
        <f t="shared" si="303"/>
        <v>391738.15437622281</v>
      </c>
      <c r="AL588" s="57">
        <f t="shared" si="304"/>
        <v>406345.41094186745</v>
      </c>
      <c r="AN588" s="41">
        <v>583</v>
      </c>
      <c r="AO588" s="57">
        <f t="shared" si="305"/>
        <v>-485.15276214378355</v>
      </c>
      <c r="AP588" s="57">
        <f t="shared" si="306"/>
        <v>9885.0122995312668</v>
      </c>
      <c r="AR588" s="41">
        <v>583</v>
      </c>
      <c r="AS588" s="57">
        <f t="shared" si="307"/>
        <v>12440.262044332901</v>
      </c>
      <c r="AT588" s="57">
        <f t="shared" si="308"/>
        <v>-7386.9942602187421</v>
      </c>
      <c r="AV588" s="57">
        <f t="shared" si="309"/>
        <v>-5.8636479157680972</v>
      </c>
      <c r="AW588" s="57">
        <f t="shared" si="310"/>
        <v>-11.071336394237594</v>
      </c>
      <c r="AX588" s="57">
        <f t="shared" si="311"/>
        <v>-0.50670069885187707</v>
      </c>
      <c r="AY588" s="57">
        <f t="shared" si="312"/>
        <v>-1.0757080008304547</v>
      </c>
      <c r="BA588" s="57">
        <f t="shared" si="313"/>
        <v>375120.43547167798</v>
      </c>
      <c r="BB588" s="57">
        <f t="shared" si="314"/>
        <v>388540.68930125947</v>
      </c>
    </row>
    <row r="589" spans="9:54" x14ac:dyDescent="0.25">
      <c r="I589" s="41">
        <v>584</v>
      </c>
      <c r="J589" s="57">
        <f t="shared" si="288"/>
        <v>16403.300998306742</v>
      </c>
      <c r="K589" s="57">
        <f t="shared" si="289"/>
        <v>4026.7081477050142</v>
      </c>
      <c r="M589" s="41">
        <v>584</v>
      </c>
      <c r="N589" s="57">
        <f t="shared" si="290"/>
        <v>-22517.689301185281</v>
      </c>
      <c r="O589" s="57">
        <f t="shared" si="291"/>
        <v>7568.6957033935105</v>
      </c>
      <c r="Q589" s="41">
        <v>584</v>
      </c>
      <c r="R589" s="57">
        <f t="shared" si="292"/>
        <v>-8596.6990016932559</v>
      </c>
      <c r="S589" s="41">
        <f t="shared" si="293"/>
        <v>-18473.291852294984</v>
      </c>
      <c r="U589" s="41">
        <v>583</v>
      </c>
      <c r="V589" s="41">
        <f t="shared" si="315"/>
        <v>291.5</v>
      </c>
      <c r="W589" s="57">
        <f t="shared" si="316"/>
        <v>181252.99236206911</v>
      </c>
      <c r="X589" s="57">
        <f t="shared" si="317"/>
        <v>347519.58424813102</v>
      </c>
      <c r="Y589" s="57">
        <f t="shared" si="318"/>
        <v>1364.9755273523731</v>
      </c>
      <c r="Z589" s="57">
        <f t="shared" si="319"/>
        <v>2038.7756253591406</v>
      </c>
      <c r="AA589" s="57">
        <f t="shared" si="294"/>
        <v>-9.9505612633387219</v>
      </c>
      <c r="AB589" s="57">
        <f t="shared" si="295"/>
        <v>-19.203255552629667</v>
      </c>
      <c r="AC589" s="57">
        <f t="shared" si="296"/>
        <v>-1.5826277916655822</v>
      </c>
      <c r="AD589" s="57">
        <f t="shared" si="297"/>
        <v>-3.337143924333462</v>
      </c>
      <c r="AE589" s="57">
        <f t="shared" si="298"/>
        <v>-0.59533806776878861</v>
      </c>
      <c r="AF589" s="57">
        <f t="shared" si="299"/>
        <v>-0.99843612143119997</v>
      </c>
      <c r="AG589" s="57">
        <f t="shared" si="300"/>
        <v>-1.4391753204075921</v>
      </c>
      <c r="AH589" s="57">
        <f t="shared" si="301"/>
        <v>-2.8011858075284408</v>
      </c>
      <c r="AJ589" s="57">
        <f t="shared" si="302"/>
        <v>376318.8079514408</v>
      </c>
      <c r="AK589" s="57">
        <f t="shared" si="303"/>
        <v>392965.94850663369</v>
      </c>
      <c r="AL589" s="57">
        <f t="shared" si="304"/>
        <v>407566.71371354989</v>
      </c>
      <c r="AN589" s="41">
        <v>584</v>
      </c>
      <c r="AO589" s="57">
        <f t="shared" si="305"/>
        <v>-395.04850253988479</v>
      </c>
      <c r="AP589" s="57">
        <f t="shared" si="306"/>
        <v>9790.0622215575204</v>
      </c>
      <c r="AR589" s="41">
        <v>584</v>
      </c>
      <c r="AS589" s="57">
        <f t="shared" si="307"/>
        <v>12482.310698814721</v>
      </c>
      <c r="AT589" s="57">
        <f t="shared" si="308"/>
        <v>-7431.3042966064895</v>
      </c>
      <c r="AV589" s="57">
        <f t="shared" si="309"/>
        <v>-5.829371868732907</v>
      </c>
      <c r="AW589" s="57">
        <f t="shared" si="310"/>
        <v>-10.997715750759474</v>
      </c>
      <c r="AX589" s="57">
        <f t="shared" si="311"/>
        <v>-0.5040482147638522</v>
      </c>
      <c r="AY589" s="57">
        <f t="shared" si="312"/>
        <v>-1.0687739485770926</v>
      </c>
      <c r="BA589" s="57">
        <f t="shared" si="313"/>
        <v>376343.44849503296</v>
      </c>
      <c r="BB589" s="57">
        <f t="shared" si="314"/>
        <v>389756.48134164151</v>
      </c>
    </row>
    <row r="590" spans="9:54" x14ac:dyDescent="0.25">
      <c r="I590" s="41">
        <v>585</v>
      </c>
      <c r="J590" s="57">
        <f t="shared" si="288"/>
        <v>16464.466094067266</v>
      </c>
      <c r="K590" s="57">
        <f t="shared" si="289"/>
        <v>3964.4660940672607</v>
      </c>
      <c r="M590" s="41">
        <v>585</v>
      </c>
      <c r="N590" s="57">
        <f t="shared" si="290"/>
        <v>-22474.873734152916</v>
      </c>
      <c r="O590" s="57">
        <f t="shared" si="291"/>
        <v>7525.1262658470823</v>
      </c>
      <c r="Q590" s="41">
        <v>585</v>
      </c>
      <c r="R590" s="57">
        <f t="shared" si="292"/>
        <v>-8535.5339059327362</v>
      </c>
      <c r="S590" s="41">
        <f t="shared" si="293"/>
        <v>-18535.533905932738</v>
      </c>
      <c r="U590" s="41">
        <v>584</v>
      </c>
      <c r="V590" s="41">
        <f t="shared" si="315"/>
        <v>292</v>
      </c>
      <c r="W590" s="57">
        <f t="shared" si="316"/>
        <v>181934.23630558737</v>
      </c>
      <c r="X590" s="57">
        <f t="shared" si="317"/>
        <v>348536.5716538665</v>
      </c>
      <c r="Y590" s="57">
        <f t="shared" si="318"/>
        <v>1360.0002467207037</v>
      </c>
      <c r="Z590" s="57">
        <f t="shared" si="319"/>
        <v>2029.1739975828257</v>
      </c>
      <c r="AA590" s="57">
        <f t="shared" si="294"/>
        <v>-9.8944784278728104</v>
      </c>
      <c r="AB590" s="57">
        <f t="shared" si="295"/>
        <v>-19.07834226968555</v>
      </c>
      <c r="AC590" s="57">
        <f t="shared" si="296"/>
        <v>-1.5740814018682343</v>
      </c>
      <c r="AD590" s="57">
        <f t="shared" si="297"/>
        <v>-3.3150452742076033</v>
      </c>
      <c r="AE590" s="57">
        <f t="shared" si="298"/>
        <v>-0.5918150221548506</v>
      </c>
      <c r="AF590" s="57">
        <f t="shared" si="299"/>
        <v>-0.99215978587389553</v>
      </c>
      <c r="AG590" s="57">
        <f t="shared" si="300"/>
        <v>-1.431595773260981</v>
      </c>
      <c r="AH590" s="57">
        <f t="shared" si="301"/>
        <v>-2.7840668980222931</v>
      </c>
      <c r="AJ590" s="57">
        <f t="shared" si="302"/>
        <v>377529.65458794974</v>
      </c>
      <c r="AK590" s="57">
        <f t="shared" si="303"/>
        <v>394188.33841131616</v>
      </c>
      <c r="AL590" s="57">
        <f t="shared" si="304"/>
        <v>408782.64106123685</v>
      </c>
      <c r="AN590" s="41">
        <v>585</v>
      </c>
      <c r="AO590" s="57">
        <f t="shared" si="305"/>
        <v>-303.30085889910333</v>
      </c>
      <c r="AP590" s="57">
        <f t="shared" si="306"/>
        <v>9696.6991411008894</v>
      </c>
      <c r="AR590" s="41">
        <v>585</v>
      </c>
      <c r="AS590" s="57">
        <f t="shared" si="307"/>
        <v>12525.126265847084</v>
      </c>
      <c r="AT590" s="57">
        <f t="shared" si="308"/>
        <v>-7474.8737341529177</v>
      </c>
      <c r="AV590" s="57">
        <f t="shared" si="309"/>
        <v>-5.7955574453877023</v>
      </c>
      <c r="AW590" s="57">
        <f t="shared" si="310"/>
        <v>-10.925134680091373</v>
      </c>
      <c r="AX590" s="57">
        <f t="shared" si="311"/>
        <v>-0.50142878520104084</v>
      </c>
      <c r="AY590" s="57">
        <f t="shared" si="312"/>
        <v>-1.0619356314903847</v>
      </c>
      <c r="BA590" s="57">
        <f t="shared" si="313"/>
        <v>377561.07930725097</v>
      </c>
      <c r="BB590" s="57">
        <f t="shared" si="314"/>
        <v>390966.93817725708</v>
      </c>
    </row>
    <row r="591" spans="9:54" x14ac:dyDescent="0.25">
      <c r="I591" s="41">
        <v>586</v>
      </c>
      <c r="J591" s="57">
        <f t="shared" si="288"/>
        <v>16526.708147705012</v>
      </c>
      <c r="K591" s="57">
        <f t="shared" si="289"/>
        <v>3903.3009983067464</v>
      </c>
      <c r="M591" s="41">
        <v>586</v>
      </c>
      <c r="N591" s="57">
        <f t="shared" si="290"/>
        <v>-22431.304296606493</v>
      </c>
      <c r="O591" s="57">
        <f t="shared" si="291"/>
        <v>7482.3106988147229</v>
      </c>
      <c r="Q591" s="41">
        <v>586</v>
      </c>
      <c r="R591" s="57">
        <f t="shared" si="292"/>
        <v>-8473.2918522949876</v>
      </c>
      <c r="S591" s="41">
        <f t="shared" si="293"/>
        <v>-18596.699001693254</v>
      </c>
      <c r="U591" s="41">
        <v>585</v>
      </c>
      <c r="V591" s="41">
        <f t="shared" si="315"/>
        <v>292.5</v>
      </c>
      <c r="W591" s="57">
        <f t="shared" si="316"/>
        <v>182612.99961914422</v>
      </c>
      <c r="X591" s="57">
        <f t="shared" si="317"/>
        <v>349548.77385987423</v>
      </c>
      <c r="Y591" s="57">
        <f t="shared" si="318"/>
        <v>1355.0530075067672</v>
      </c>
      <c r="Z591" s="57">
        <f t="shared" si="319"/>
        <v>2019.634826447983</v>
      </c>
      <c r="AA591" s="57">
        <f t="shared" si="294"/>
        <v>-9.8391328306278076</v>
      </c>
      <c r="AB591" s="57">
        <f t="shared" si="295"/>
        <v>-18.955165664509845</v>
      </c>
      <c r="AC591" s="57">
        <f t="shared" si="296"/>
        <v>-1.565643488002306</v>
      </c>
      <c r="AD591" s="57">
        <f t="shared" si="297"/>
        <v>-3.293257221914248</v>
      </c>
      <c r="AE591" s="57">
        <f t="shared" si="298"/>
        <v>-0.58833984506920967</v>
      </c>
      <c r="AF591" s="57">
        <f t="shared" si="299"/>
        <v>-0.98596868602542975</v>
      </c>
      <c r="AG591" s="57">
        <f t="shared" si="300"/>
        <v>-1.4241117601081388</v>
      </c>
      <c r="AH591" s="57">
        <f t="shared" si="301"/>
        <v>-2.7671760327948718</v>
      </c>
      <c r="AJ591" s="57">
        <f t="shared" si="302"/>
        <v>378735.19950511487</v>
      </c>
      <c r="AK591" s="57">
        <f t="shared" si="303"/>
        <v>395405.35839112161</v>
      </c>
      <c r="AL591" s="57">
        <f t="shared" si="304"/>
        <v>409993.22695482511</v>
      </c>
      <c r="AN591" s="41">
        <v>586</v>
      </c>
      <c r="AO591" s="57">
        <f t="shared" si="305"/>
        <v>-209.93777844248234</v>
      </c>
      <c r="AP591" s="57">
        <f t="shared" si="306"/>
        <v>9604.9514974601188</v>
      </c>
      <c r="AR591" s="41">
        <v>586</v>
      </c>
      <c r="AS591" s="57">
        <f t="shared" si="307"/>
        <v>12568.695703393509</v>
      </c>
      <c r="AT591" s="57">
        <f t="shared" si="308"/>
        <v>-7517.6893011852771</v>
      </c>
      <c r="AV591" s="57">
        <f t="shared" si="309"/>
        <v>-5.7621959035041765</v>
      </c>
      <c r="AW591" s="57">
        <f t="shared" si="310"/>
        <v>-10.853572533493372</v>
      </c>
      <c r="AX591" s="57">
        <f t="shared" si="311"/>
        <v>-0.49884183394397758</v>
      </c>
      <c r="AY591" s="57">
        <f t="shared" si="312"/>
        <v>-1.0551911902819227</v>
      </c>
      <c r="BA591" s="57">
        <f t="shared" si="313"/>
        <v>378773.36195257364</v>
      </c>
      <c r="BB591" s="57">
        <f t="shared" si="314"/>
        <v>392172.09320254734</v>
      </c>
    </row>
    <row r="592" spans="9:54" x14ac:dyDescent="0.25">
      <c r="I592" s="41">
        <v>587</v>
      </c>
      <c r="J592" s="57">
        <f t="shared" si="288"/>
        <v>16590.008199687509</v>
      </c>
      <c r="K592" s="57">
        <f t="shared" si="289"/>
        <v>3843.2314919041473</v>
      </c>
      <c r="M592" s="41">
        <v>587</v>
      </c>
      <c r="N592" s="57">
        <f t="shared" si="290"/>
        <v>-22386.994260218744</v>
      </c>
      <c r="O592" s="57">
        <f t="shared" si="291"/>
        <v>7440.2620443329033</v>
      </c>
      <c r="Q592" s="41">
        <v>587</v>
      </c>
      <c r="R592" s="57">
        <f t="shared" si="292"/>
        <v>-8409.9918003124913</v>
      </c>
      <c r="S592" s="41">
        <f t="shared" si="293"/>
        <v>-18656.768508095854</v>
      </c>
      <c r="U592" s="41">
        <v>586</v>
      </c>
      <c r="V592" s="41">
        <f t="shared" si="315"/>
        <v>293</v>
      </c>
      <c r="W592" s="57">
        <f t="shared" si="316"/>
        <v>183289.29623129376</v>
      </c>
      <c r="X592" s="57">
        <f t="shared" si="317"/>
        <v>350556.22187739011</v>
      </c>
      <c r="Y592" s="57">
        <f t="shared" si="318"/>
        <v>1350.1334410914533</v>
      </c>
      <c r="Z592" s="57">
        <f t="shared" si="319"/>
        <v>2010.157243615728</v>
      </c>
      <c r="AA592" s="57">
        <f t="shared" si="294"/>
        <v>-9.7845108504585099</v>
      </c>
      <c r="AB592" s="57">
        <f t="shared" si="295"/>
        <v>-18.833691764517585</v>
      </c>
      <c r="AC592" s="57">
        <f t="shared" si="296"/>
        <v>-1.5573121268909449</v>
      </c>
      <c r="AD592" s="57">
        <f t="shared" si="297"/>
        <v>-3.2717736365175432</v>
      </c>
      <c r="AE592" s="57">
        <f t="shared" si="298"/>
        <v>-0.58491162088955739</v>
      </c>
      <c r="AF592" s="57">
        <f t="shared" si="299"/>
        <v>-0.97986119011249961</v>
      </c>
      <c r="AG592" s="57">
        <f t="shared" si="300"/>
        <v>-1.416721586095772</v>
      </c>
      <c r="AH592" s="57">
        <f t="shared" si="301"/>
        <v>-2.7505089287132845</v>
      </c>
      <c r="AJ592" s="57">
        <f t="shared" si="302"/>
        <v>379935.47561724257</v>
      </c>
      <c r="AK592" s="57">
        <f t="shared" si="303"/>
        <v>396617.04227329529</v>
      </c>
      <c r="AL592" s="57">
        <f t="shared" si="304"/>
        <v>411198.50489580765</v>
      </c>
      <c r="AN592" s="41">
        <v>587</v>
      </c>
      <c r="AO592" s="57">
        <f t="shared" si="305"/>
        <v>-114.98770046873869</v>
      </c>
      <c r="AP592" s="57">
        <f t="shared" si="306"/>
        <v>9514.8472378562219</v>
      </c>
      <c r="AR592" s="41">
        <v>587</v>
      </c>
      <c r="AS592" s="57">
        <f t="shared" si="307"/>
        <v>12613.005739781256</v>
      </c>
      <c r="AT592" s="57">
        <f t="shared" si="308"/>
        <v>-7559.7379556670967</v>
      </c>
      <c r="AV592" s="57">
        <f t="shared" si="309"/>
        <v>-5.7292787185650624</v>
      </c>
      <c r="AW592" s="57">
        <f t="shared" si="310"/>
        <v>-10.783009196414039</v>
      </c>
      <c r="AX592" s="57">
        <f t="shared" si="311"/>
        <v>-0.49628679801717301</v>
      </c>
      <c r="AY592" s="57">
        <f t="shared" si="312"/>
        <v>-1.0485388127602184</v>
      </c>
      <c r="BA592" s="57">
        <f t="shared" si="313"/>
        <v>379980.33000574948</v>
      </c>
      <c r="BB592" s="57">
        <f t="shared" si="314"/>
        <v>393371.97935509845</v>
      </c>
    </row>
    <row r="593" spans="9:54" x14ac:dyDescent="0.25">
      <c r="I593" s="41">
        <v>588</v>
      </c>
      <c r="J593" s="57">
        <f t="shared" si="288"/>
        <v>16654.346968205711</v>
      </c>
      <c r="K593" s="57">
        <f t="shared" si="289"/>
        <v>3784.275872613026</v>
      </c>
      <c r="M593" s="41">
        <v>588</v>
      </c>
      <c r="N593" s="57">
        <f t="shared" si="290"/>
        <v>-22341.957122256001</v>
      </c>
      <c r="O593" s="57">
        <f t="shared" si="291"/>
        <v>7398.9931108291185</v>
      </c>
      <c r="Q593" s="41">
        <v>588</v>
      </c>
      <c r="R593" s="57">
        <f t="shared" si="292"/>
        <v>-8345.6530317942888</v>
      </c>
      <c r="S593" s="41">
        <f t="shared" si="293"/>
        <v>-18715.724127386973</v>
      </c>
      <c r="U593" s="41">
        <v>587</v>
      </c>
      <c r="V593" s="41">
        <f t="shared" si="315"/>
        <v>293.5</v>
      </c>
      <c r="W593" s="57">
        <f t="shared" si="316"/>
        <v>183963.13988798318</v>
      </c>
      <c r="X593" s="57">
        <f t="shared" si="317"/>
        <v>351558.94628772739</v>
      </c>
      <c r="Y593" s="57">
        <f t="shared" si="318"/>
        <v>1345.2411856662241</v>
      </c>
      <c r="Z593" s="57">
        <f t="shared" si="319"/>
        <v>2000.7403977334693</v>
      </c>
      <c r="AA593" s="57">
        <f t="shared" si="294"/>
        <v>-9.7305991977946977</v>
      </c>
      <c r="AB593" s="57">
        <f t="shared" si="295"/>
        <v>-18.713887463676276</v>
      </c>
      <c r="AC593" s="57">
        <f t="shared" si="296"/>
        <v>-1.5490854401751368</v>
      </c>
      <c r="AD593" s="57">
        <f t="shared" si="297"/>
        <v>-3.2505885445987341</v>
      </c>
      <c r="AE593" s="57">
        <f t="shared" si="298"/>
        <v>-0.5815294570153301</v>
      </c>
      <c r="AF593" s="57">
        <f t="shared" si="299"/>
        <v>-0.97383570718962453</v>
      </c>
      <c r="AG593" s="57">
        <f t="shared" si="300"/>
        <v>-1.4094235961953681</v>
      </c>
      <c r="AH593" s="57">
        <f t="shared" si="301"/>
        <v>-2.734061407958686</v>
      </c>
      <c r="AJ593" s="57">
        <f t="shared" si="302"/>
        <v>381130.51539144386</v>
      </c>
      <c r="AK593" s="57">
        <f t="shared" si="303"/>
        <v>397823.42342067749</v>
      </c>
      <c r="AL593" s="57">
        <f t="shared" si="304"/>
        <v>412398.50792636792</v>
      </c>
      <c r="AN593" s="41">
        <v>588</v>
      </c>
      <c r="AO593" s="57">
        <f t="shared" si="305"/>
        <v>-18.479547691432344</v>
      </c>
      <c r="AP593" s="57">
        <f t="shared" si="306"/>
        <v>9426.4138089195403</v>
      </c>
      <c r="AR593" s="41">
        <v>588</v>
      </c>
      <c r="AS593" s="57">
        <f t="shared" si="307"/>
        <v>12658.042877743997</v>
      </c>
      <c r="AT593" s="57">
        <f t="shared" si="308"/>
        <v>-7601.0068891708815</v>
      </c>
      <c r="AV593" s="57">
        <f t="shared" si="309"/>
        <v>-5.6967975770939505</v>
      </c>
      <c r="AW593" s="57">
        <f t="shared" si="310"/>
        <v>-10.713425071561115</v>
      </c>
      <c r="AX593" s="57">
        <f t="shared" si="311"/>
        <v>-0.49376312731491134</v>
      </c>
      <c r="AY593" s="57">
        <f t="shared" si="312"/>
        <v>-1.0419767323681168</v>
      </c>
      <c r="BA593" s="57">
        <f t="shared" si="313"/>
        <v>381182.01658114884</v>
      </c>
      <c r="BB593" s="57">
        <f t="shared" si="314"/>
        <v>394566.62912443653</v>
      </c>
    </row>
    <row r="594" spans="9:54" x14ac:dyDescent="0.25">
      <c r="I594" s="41">
        <v>589</v>
      </c>
      <c r="J594" s="57">
        <f t="shared" si="288"/>
        <v>16719.704855047461</v>
      </c>
      <c r="K594" s="57">
        <f t="shared" si="289"/>
        <v>3726.4520988861409</v>
      </c>
      <c r="M594" s="41">
        <v>589</v>
      </c>
      <c r="N594" s="57">
        <f t="shared" si="290"/>
        <v>-22296.206601466776</v>
      </c>
      <c r="O594" s="57">
        <f t="shared" si="291"/>
        <v>7358.5164692202989</v>
      </c>
      <c r="Q594" s="41">
        <v>589</v>
      </c>
      <c r="R594" s="57">
        <f t="shared" si="292"/>
        <v>-8280.2951449525372</v>
      </c>
      <c r="S594" s="41">
        <f t="shared" si="293"/>
        <v>-18773.54790111386</v>
      </c>
      <c r="U594" s="41">
        <v>588</v>
      </c>
      <c r="V594" s="41">
        <f t="shared" si="315"/>
        <v>294</v>
      </c>
      <c r="W594" s="57">
        <f t="shared" si="316"/>
        <v>184634.54415591658</v>
      </c>
      <c r="X594" s="57">
        <f t="shared" si="317"/>
        <v>352556.97725066118</v>
      </c>
      <c r="Y594" s="57">
        <f t="shared" si="318"/>
        <v>1340.3758860673267</v>
      </c>
      <c r="Z594" s="57">
        <f t="shared" si="319"/>
        <v>1991.3834540016312</v>
      </c>
      <c r="AA594" s="57">
        <f t="shared" si="294"/>
        <v>-9.6773849047019063</v>
      </c>
      <c r="AB594" s="57">
        <f t="shared" si="295"/>
        <v>-18.595720495409822</v>
      </c>
      <c r="AC594" s="57">
        <f t="shared" si="296"/>
        <v>-1.5409615930324176</v>
      </c>
      <c r="AD594" s="57">
        <f t="shared" si="297"/>
        <v>-3.2296961253014214</v>
      </c>
      <c r="AE594" s="57">
        <f t="shared" si="298"/>
        <v>-0.57819248315559901</v>
      </c>
      <c r="AF594" s="57">
        <f t="shared" si="299"/>
        <v>-0.96789068588500682</v>
      </c>
      <c r="AG594" s="57">
        <f t="shared" si="300"/>
        <v>-1.4022161740473844</v>
      </c>
      <c r="AH594" s="57">
        <f t="shared" si="301"/>
        <v>-2.7178293948442698</v>
      </c>
      <c r="AJ594" s="57">
        <f t="shared" si="302"/>
        <v>382320.35085617634</v>
      </c>
      <c r="AK594" s="57">
        <f t="shared" si="303"/>
        <v>399024.53474067204</v>
      </c>
      <c r="AL594" s="57">
        <f t="shared" si="304"/>
        <v>413593.26863824239</v>
      </c>
      <c r="AN594" s="41">
        <v>589</v>
      </c>
      <c r="AO594" s="57">
        <f t="shared" si="305"/>
        <v>79.557282571193355</v>
      </c>
      <c r="AP594" s="57">
        <f t="shared" si="306"/>
        <v>9339.6781483292107</v>
      </c>
      <c r="AR594" s="41">
        <v>589</v>
      </c>
      <c r="AS594" s="57">
        <f t="shared" si="307"/>
        <v>12703.793398533224</v>
      </c>
      <c r="AT594" s="57">
        <f t="shared" si="308"/>
        <v>-7641.4835307797011</v>
      </c>
      <c r="AV594" s="57">
        <f t="shared" si="309"/>
        <v>-5.6647443702269555</v>
      </c>
      <c r="AW594" s="57">
        <f t="shared" si="310"/>
        <v>-10.644801062605255</v>
      </c>
      <c r="AX594" s="57">
        <f t="shared" si="311"/>
        <v>-0.49127028423954849</v>
      </c>
      <c r="AY594" s="57">
        <f t="shared" si="312"/>
        <v>-1.0355032267738697</v>
      </c>
      <c r="BA594" s="57">
        <f t="shared" si="313"/>
        <v>382378.45434164739</v>
      </c>
      <c r="BB594" s="57">
        <f t="shared" si="314"/>
        <v>395756.07456060033</v>
      </c>
    </row>
    <row r="595" spans="9:54" x14ac:dyDescent="0.25">
      <c r="I595" s="41">
        <v>590</v>
      </c>
      <c r="J595" s="57">
        <f t="shared" si="288"/>
        <v>16786.061951567306</v>
      </c>
      <c r="K595" s="57">
        <f t="shared" si="289"/>
        <v>3669.7777844051088</v>
      </c>
      <c r="M595" s="41">
        <v>590</v>
      </c>
      <c r="N595" s="57">
        <f t="shared" si="290"/>
        <v>-22249.756633902885</v>
      </c>
      <c r="O595" s="57">
        <f t="shared" si="291"/>
        <v>7318.8444490835764</v>
      </c>
      <c r="Q595" s="41">
        <v>590</v>
      </c>
      <c r="R595" s="57">
        <f t="shared" si="292"/>
        <v>-8213.9380484326957</v>
      </c>
      <c r="S595" s="41">
        <f t="shared" si="293"/>
        <v>-18830.222215594891</v>
      </c>
      <c r="U595" s="41">
        <v>589</v>
      </c>
      <c r="V595" s="41">
        <f t="shared" si="315"/>
        <v>294.5</v>
      </c>
      <c r="W595" s="57">
        <f t="shared" si="316"/>
        <v>185303.52242583717</v>
      </c>
      <c r="X595" s="57">
        <f t="shared" si="317"/>
        <v>353550.34451260004</v>
      </c>
      <c r="Y595" s="57">
        <f t="shared" si="318"/>
        <v>1335.5371936149759</v>
      </c>
      <c r="Z595" s="57">
        <f t="shared" si="319"/>
        <v>1982.0855937539263</v>
      </c>
      <c r="AA595" s="57">
        <f t="shared" si="294"/>
        <v>-9.6248553152959389</v>
      </c>
      <c r="AB595" s="57">
        <f t="shared" si="295"/>
        <v>-18.479159406504472</v>
      </c>
      <c r="AC595" s="57">
        <f t="shared" si="296"/>
        <v>-1.5329387929388509</v>
      </c>
      <c r="AD595" s="57">
        <f t="shared" si="297"/>
        <v>-3.2090907055608198</v>
      </c>
      <c r="AE595" s="57">
        <f t="shared" si="298"/>
        <v>-0.5748998506431211</v>
      </c>
      <c r="AF595" s="57">
        <f t="shared" si="299"/>
        <v>-0.96202461319207533</v>
      </c>
      <c r="AG595" s="57">
        <f t="shared" si="300"/>
        <v>-1.3950977408451828</v>
      </c>
      <c r="AH595" s="57">
        <f t="shared" si="301"/>
        <v>-2.701808912746825</v>
      </c>
      <c r="AJ595" s="57">
        <f t="shared" si="302"/>
        <v>383505.01360957255</v>
      </c>
      <c r="AK595" s="57">
        <f t="shared" si="303"/>
        <v>400220.40869398753</v>
      </c>
      <c r="AL595" s="57">
        <f t="shared" si="304"/>
        <v>414782.8191813606</v>
      </c>
      <c r="AN595" s="41">
        <v>590</v>
      </c>
      <c r="AO595" s="57">
        <f t="shared" si="305"/>
        <v>179.09292735095732</v>
      </c>
      <c r="AP595" s="57">
        <f t="shared" si="306"/>
        <v>9254.6666766076632</v>
      </c>
      <c r="AR595" s="41">
        <v>590</v>
      </c>
      <c r="AS595" s="57">
        <f t="shared" si="307"/>
        <v>12750.243366097113</v>
      </c>
      <c r="AT595" s="57">
        <f t="shared" si="308"/>
        <v>-7681.1555509164236</v>
      </c>
      <c r="AV595" s="57">
        <f t="shared" si="309"/>
        <v>-5.6331111875169171</v>
      </c>
      <c r="AW595" s="57">
        <f t="shared" si="310"/>
        <v>-10.577118558491074</v>
      </c>
      <c r="AX595" s="57">
        <f t="shared" si="311"/>
        <v>-0.48880774335186722</v>
      </c>
      <c r="AY595" s="57">
        <f t="shared" si="312"/>
        <v>-1.0291166165136767</v>
      </c>
      <c r="BA595" s="57">
        <f t="shared" si="313"/>
        <v>383569.67550728581</v>
      </c>
      <c r="BB595" s="57">
        <f t="shared" si="314"/>
        <v>396940.34728250012</v>
      </c>
    </row>
    <row r="596" spans="9:54" x14ac:dyDescent="0.25">
      <c r="I596" s="41">
        <v>591</v>
      </c>
      <c r="J596" s="57">
        <f t="shared" si="288"/>
        <v>16853.398044750811</v>
      </c>
      <c r="K596" s="57">
        <f t="shared" si="289"/>
        <v>3614.2701927151479</v>
      </c>
      <c r="M596" s="41">
        <v>591</v>
      </c>
      <c r="N596" s="57">
        <f t="shared" si="290"/>
        <v>-22202.621368674434</v>
      </c>
      <c r="O596" s="57">
        <f t="shared" si="291"/>
        <v>7279.9891349006029</v>
      </c>
      <c r="Q596" s="41">
        <v>591</v>
      </c>
      <c r="R596" s="57">
        <f t="shared" si="292"/>
        <v>-8146.6019552491898</v>
      </c>
      <c r="S596" s="41">
        <f t="shared" si="293"/>
        <v>-18885.729807284853</v>
      </c>
      <c r="U596" s="41">
        <v>590</v>
      </c>
      <c r="V596" s="41">
        <f t="shared" si="315"/>
        <v>295</v>
      </c>
      <c r="W596" s="57">
        <f t="shared" si="316"/>
        <v>185970.08791573026</v>
      </c>
      <c r="X596" s="57">
        <f t="shared" si="317"/>
        <v>354539.07741455123</v>
      </c>
      <c r="Y596" s="57">
        <f t="shared" si="318"/>
        <v>1330.7247659573279</v>
      </c>
      <c r="Z596" s="57">
        <f t="shared" si="319"/>
        <v>1972.8460140506741</v>
      </c>
      <c r="AA596" s="57">
        <f t="shared" si="294"/>
        <v>-9.5729980764962104</v>
      </c>
      <c r="AB596" s="57">
        <f t="shared" si="295"/>
        <v>-18.364173531973503</v>
      </c>
      <c r="AC596" s="57">
        <f t="shared" si="296"/>
        <v>-1.5250152884726396</v>
      </c>
      <c r="AD596" s="57">
        <f t="shared" si="297"/>
        <v>-3.1887667555092643</v>
      </c>
      <c r="AE596" s="57">
        <f t="shared" si="298"/>
        <v>-0.57165073177334447</v>
      </c>
      <c r="AF596" s="57">
        <f t="shared" si="299"/>
        <v>-0.95623601330462582</v>
      </c>
      <c r="AG596" s="57">
        <f t="shared" si="300"/>
        <v>-1.3880667542574909</v>
      </c>
      <c r="AH596" s="57">
        <f t="shared" si="301"/>
        <v>-2.6859960811479122</v>
      </c>
      <c r="AJ596" s="57">
        <f t="shared" si="302"/>
        <v>384684.53482756246</v>
      </c>
      <c r="AK596" s="57">
        <f t="shared" si="303"/>
        <v>401411.07730316033</v>
      </c>
      <c r="AL596" s="57">
        <f t="shared" si="304"/>
        <v>415967.19127226778</v>
      </c>
      <c r="AN596" s="41">
        <v>591</v>
      </c>
      <c r="AO596" s="57">
        <f t="shared" si="305"/>
        <v>280.09706712621573</v>
      </c>
      <c r="AP596" s="57">
        <f t="shared" si="306"/>
        <v>9171.4052890727216</v>
      </c>
      <c r="AR596" s="41">
        <v>591</v>
      </c>
      <c r="AS596" s="57">
        <f t="shared" si="307"/>
        <v>12797.378631325568</v>
      </c>
      <c r="AT596" s="57">
        <f t="shared" si="308"/>
        <v>-7720.0108650993971</v>
      </c>
      <c r="AV596" s="57">
        <f t="shared" si="309"/>
        <v>-5.6018903109597424</v>
      </c>
      <c r="AW596" s="57">
        <f t="shared" si="310"/>
        <v>-10.510359418328235</v>
      </c>
      <c r="AX596" s="57">
        <f t="shared" si="311"/>
        <v>-0.48637499103299353</v>
      </c>
      <c r="AY596" s="57">
        <f t="shared" si="312"/>
        <v>-1.0228152636834666</v>
      </c>
      <c r="BA596" s="57">
        <f t="shared" si="313"/>
        <v>384755.71186371194</v>
      </c>
      <c r="BB596" s="57">
        <f t="shared" si="314"/>
        <v>398119.47848606855</v>
      </c>
    </row>
    <row r="597" spans="9:54" x14ac:dyDescent="0.25">
      <c r="I597" s="41">
        <v>592</v>
      </c>
      <c r="J597" s="57">
        <f t="shared" si="288"/>
        <v>16921.692623371709</v>
      </c>
      <c r="K597" s="57">
        <f t="shared" si="289"/>
        <v>3559.9462319663903</v>
      </c>
      <c r="M597" s="41">
        <v>592</v>
      </c>
      <c r="N597" s="57">
        <f t="shared" si="290"/>
        <v>-22154.815163639803</v>
      </c>
      <c r="O597" s="57">
        <f t="shared" si="291"/>
        <v>7241.9623623764728</v>
      </c>
      <c r="Q597" s="41">
        <v>592</v>
      </c>
      <c r="R597" s="57">
        <f t="shared" si="292"/>
        <v>-8078.3073766282914</v>
      </c>
      <c r="S597" s="41">
        <f t="shared" si="293"/>
        <v>-18940.053768033609</v>
      </c>
      <c r="U597" s="41">
        <v>591</v>
      </c>
      <c r="V597" s="41">
        <f t="shared" si="315"/>
        <v>295.5</v>
      </c>
      <c r="W597" s="57">
        <f t="shared" si="316"/>
        <v>186634.25367394937</v>
      </c>
      <c r="X597" s="57">
        <f t="shared" si="317"/>
        <v>355523.20489988505</v>
      </c>
      <c r="Y597" s="57">
        <f t="shared" si="318"/>
        <v>1325.9382669190798</v>
      </c>
      <c r="Z597" s="57">
        <f t="shared" si="319"/>
        <v>1963.6639272846874</v>
      </c>
      <c r="AA597" s="57">
        <f t="shared" si="294"/>
        <v>-9.5218011291043716</v>
      </c>
      <c r="AB597" s="57">
        <f t="shared" si="295"/>
        <v>-18.250732970840502</v>
      </c>
      <c r="AC597" s="57">
        <f t="shared" si="296"/>
        <v>-1.5171893681577793</v>
      </c>
      <c r="AD597" s="57">
        <f t="shared" si="297"/>
        <v>-3.1687188840504827</v>
      </c>
      <c r="AE597" s="57">
        <f t="shared" si="298"/>
        <v>-0.56844431916737936</v>
      </c>
      <c r="AF597" s="57">
        <f t="shared" si="299"/>
        <v>-0.95052344649384635</v>
      </c>
      <c r="AG597" s="57">
        <f t="shared" si="300"/>
        <v>-1.3811217073874411</v>
      </c>
      <c r="AH597" s="57">
        <f t="shared" si="301"/>
        <v>-2.670387112779312</v>
      </c>
      <c r="AJ597" s="57">
        <f t="shared" si="302"/>
        <v>385858.94527179422</v>
      </c>
      <c r="AK597" s="57">
        <f t="shared" si="303"/>
        <v>402596.57216086431</v>
      </c>
      <c r="AL597" s="57">
        <f t="shared" si="304"/>
        <v>417146.41620233748</v>
      </c>
      <c r="AN597" s="41">
        <v>592</v>
      </c>
      <c r="AO597" s="57">
        <f t="shared" si="305"/>
        <v>382.53893505756241</v>
      </c>
      <c r="AP597" s="57">
        <f t="shared" si="306"/>
        <v>9089.9193479495862</v>
      </c>
      <c r="AR597" s="41">
        <v>592</v>
      </c>
      <c r="AS597" s="57">
        <f t="shared" si="307"/>
        <v>12845.184836360197</v>
      </c>
      <c r="AT597" s="57">
        <f t="shared" si="308"/>
        <v>-7758.0376376235272</v>
      </c>
      <c r="AV597" s="57">
        <f t="shared" si="309"/>
        <v>-5.571074209234312</v>
      </c>
      <c r="AW597" s="57">
        <f t="shared" si="310"/>
        <v>-10.444505956838947</v>
      </c>
      <c r="AX597" s="57">
        <f t="shared" si="311"/>
        <v>-0.48397152515746161</v>
      </c>
      <c r="AY597" s="57">
        <f t="shared" si="312"/>
        <v>-1.016597570677912</v>
      </c>
      <c r="BA597" s="57">
        <f t="shared" si="313"/>
        <v>385936.5947704126</v>
      </c>
      <c r="BB597" s="57">
        <f t="shared" si="314"/>
        <v>399293.49895220948</v>
      </c>
    </row>
    <row r="598" spans="9:54" x14ac:dyDescent="0.25">
      <c r="I598" s="41">
        <v>593</v>
      </c>
      <c r="J598" s="57">
        <f t="shared" si="288"/>
        <v>16990.924884239754</v>
      </c>
      <c r="K598" s="57">
        <f t="shared" si="289"/>
        <v>3506.8224497635392</v>
      </c>
      <c r="M598" s="41">
        <v>593</v>
      </c>
      <c r="N598" s="57">
        <f t="shared" si="290"/>
        <v>-22106.352581032173</v>
      </c>
      <c r="O598" s="57">
        <f t="shared" si="291"/>
        <v>7204.7757148344772</v>
      </c>
      <c r="Q598" s="41">
        <v>593</v>
      </c>
      <c r="R598" s="57">
        <f t="shared" si="292"/>
        <v>-8009.0751157602463</v>
      </c>
      <c r="S598" s="41">
        <f t="shared" si="293"/>
        <v>-18993.177550236462</v>
      </c>
      <c r="U598" s="41">
        <v>592</v>
      </c>
      <c r="V598" s="41">
        <f t="shared" si="315"/>
        <v>296</v>
      </c>
      <c r="W598" s="57">
        <f t="shared" si="316"/>
        <v>187296.03258226774</v>
      </c>
      <c r="X598" s="57">
        <f t="shared" si="317"/>
        <v>356502.75552190602</v>
      </c>
      <c r="Y598" s="57">
        <f t="shared" si="318"/>
        <v>1321.1773663545275</v>
      </c>
      <c r="Z598" s="57">
        <f t="shared" si="319"/>
        <v>1954.5385607992671</v>
      </c>
      <c r="AA598" s="57">
        <f t="shared" si="294"/>
        <v>-9.4712526991949826</v>
      </c>
      <c r="AB598" s="57">
        <f t="shared" si="295"/>
        <v>-18.138808562802499</v>
      </c>
      <c r="AC598" s="57">
        <f t="shared" si="296"/>
        <v>-1.5094593593461103</v>
      </c>
      <c r="AD598" s="57">
        <f t="shared" si="297"/>
        <v>-3.1489418345953126</v>
      </c>
      <c r="AE598" s="57">
        <f t="shared" si="298"/>
        <v>-0.56527982515796271</v>
      </c>
      <c r="AF598" s="57">
        <f t="shared" si="299"/>
        <v>-0.94488550802554172</v>
      </c>
      <c r="AG598" s="57">
        <f t="shared" si="300"/>
        <v>-1.3742611277671448</v>
      </c>
      <c r="AH598" s="57">
        <f t="shared" si="301"/>
        <v>-2.6549783108692968</v>
      </c>
      <c r="AJ598" s="57">
        <f t="shared" si="302"/>
        <v>387028.27529736183</v>
      </c>
      <c r="AK598" s="57">
        <f t="shared" si="303"/>
        <v>403776.92443801486</v>
      </c>
      <c r="AL598" s="57">
        <f t="shared" si="304"/>
        <v>418320.52484578098</v>
      </c>
      <c r="AN598" s="41">
        <v>593</v>
      </c>
      <c r="AO598" s="57">
        <f t="shared" si="305"/>
        <v>486.38732635963152</v>
      </c>
      <c r="AP598" s="57">
        <f t="shared" si="306"/>
        <v>9010.2336746453075</v>
      </c>
      <c r="AR598" s="41">
        <v>593</v>
      </c>
      <c r="AS598" s="57">
        <f t="shared" si="307"/>
        <v>12893.647418967828</v>
      </c>
      <c r="AT598" s="57">
        <f t="shared" si="308"/>
        <v>-7795.2242851655228</v>
      </c>
      <c r="AV598" s="57">
        <f t="shared" si="309"/>
        <v>-5.5406555321467632</v>
      </c>
      <c r="AW598" s="57">
        <f t="shared" si="310"/>
        <v>-10.379540930337642</v>
      </c>
      <c r="AX598" s="57">
        <f t="shared" si="311"/>
        <v>-0.48159685477700065</v>
      </c>
      <c r="AY598" s="57">
        <f t="shared" si="312"/>
        <v>-1.0104619789747076</v>
      </c>
      <c r="BA598" s="57">
        <f t="shared" si="313"/>
        <v>387112.35516874155</v>
      </c>
      <c r="BB598" s="57">
        <f t="shared" si="314"/>
        <v>400462.43905455206</v>
      </c>
    </row>
    <row r="599" spans="9:54" x14ac:dyDescent="0.25">
      <c r="I599" s="41">
        <v>594</v>
      </c>
      <c r="J599" s="57">
        <f t="shared" si="288"/>
        <v>17061.073738537634</v>
      </c>
      <c r="K599" s="57">
        <f t="shared" si="289"/>
        <v>3454.9150281252637</v>
      </c>
      <c r="M599" s="41">
        <v>594</v>
      </c>
      <c r="N599" s="57">
        <f t="shared" si="290"/>
        <v>-22057.248383023656</v>
      </c>
      <c r="O599" s="57">
        <f t="shared" si="291"/>
        <v>7168.4405196876851</v>
      </c>
      <c r="Q599" s="41">
        <v>594</v>
      </c>
      <c r="R599" s="57">
        <f t="shared" si="292"/>
        <v>-7938.9262614623676</v>
      </c>
      <c r="S599" s="41">
        <f t="shared" si="293"/>
        <v>-19045.084971874738</v>
      </c>
      <c r="U599" s="41">
        <v>593</v>
      </c>
      <c r="V599" s="41">
        <f t="shared" si="315"/>
        <v>296.5</v>
      </c>
      <c r="W599" s="57">
        <f t="shared" si="316"/>
        <v>187955.4373588576</v>
      </c>
      <c r="X599" s="57">
        <f t="shared" si="317"/>
        <v>357477.75745123532</v>
      </c>
      <c r="Y599" s="57">
        <f t="shared" si="318"/>
        <v>1316.4417400049301</v>
      </c>
      <c r="Z599" s="57">
        <f t="shared" si="319"/>
        <v>1945.4691565178659</v>
      </c>
      <c r="AA599" s="57">
        <f t="shared" si="294"/>
        <v>-9.4213412898051292</v>
      </c>
      <c r="AB599" s="57">
        <f t="shared" si="295"/>
        <v>-18.02837186573537</v>
      </c>
      <c r="AC599" s="57">
        <f t="shared" si="296"/>
        <v>-1.5018236271364618</v>
      </c>
      <c r="AD599" s="57">
        <f t="shared" si="297"/>
        <v>-3.1294304809523923</v>
      </c>
      <c r="AE599" s="57">
        <f t="shared" si="298"/>
        <v>-0.5621564811973554</v>
      </c>
      <c r="AF599" s="57">
        <f t="shared" si="299"/>
        <v>-0.9393208271157254</v>
      </c>
      <c r="AG599" s="57">
        <f t="shared" si="300"/>
        <v>-1.3674835763860691</v>
      </c>
      <c r="AH599" s="57">
        <f t="shared" si="301"/>
        <v>-2.6397660664849676</v>
      </c>
      <c r="AJ599" s="57">
        <f t="shared" si="302"/>
        <v>388192.55486034357</v>
      </c>
      <c r="AK599" s="57">
        <f t="shared" si="303"/>
        <v>404952.16489167372</v>
      </c>
      <c r="AL599" s="57">
        <f t="shared" si="304"/>
        <v>419489.54766745894</v>
      </c>
      <c r="AN599" s="41">
        <v>594</v>
      </c>
      <c r="AO599" s="57">
        <f t="shared" si="305"/>
        <v>591.61060780644857</v>
      </c>
      <c r="AP599" s="57">
        <f t="shared" si="306"/>
        <v>8932.3725421878953</v>
      </c>
      <c r="AR599" s="41">
        <v>594</v>
      </c>
      <c r="AS599" s="57">
        <f t="shared" si="307"/>
        <v>12942.751616976344</v>
      </c>
      <c r="AT599" s="57">
        <f t="shared" si="308"/>
        <v>-7831.5594803123149</v>
      </c>
      <c r="AV599" s="57">
        <f t="shared" si="309"/>
        <v>-5.5106271052706512</v>
      </c>
      <c r="AW599" s="57">
        <f t="shared" si="310"/>
        <v>-10.315447523220142</v>
      </c>
      <c r="AX599" s="57">
        <f t="shared" si="311"/>
        <v>-0.47925049981459122</v>
      </c>
      <c r="AY599" s="57">
        <f t="shared" si="312"/>
        <v>-1.0044069679621439</v>
      </c>
      <c r="BA599" s="57">
        <f t="shared" si="313"/>
        <v>388283.02358974959</v>
      </c>
      <c r="BB599" s="57">
        <f t="shared" si="314"/>
        <v>401626.32876701484</v>
      </c>
    </row>
    <row r="600" spans="9:54" x14ac:dyDescent="0.25">
      <c r="I600" s="41">
        <v>595</v>
      </c>
      <c r="J600" s="57">
        <f t="shared" si="288"/>
        <v>17132.117818244762</v>
      </c>
      <c r="K600" s="57">
        <f t="shared" si="289"/>
        <v>3404.2397785550456</v>
      </c>
      <c r="M600" s="41">
        <v>595</v>
      </c>
      <c r="N600" s="57">
        <f t="shared" si="290"/>
        <v>-22007.517527228665</v>
      </c>
      <c r="O600" s="57">
        <f t="shared" si="291"/>
        <v>7132.9678449885323</v>
      </c>
      <c r="Q600" s="41">
        <v>595</v>
      </c>
      <c r="R600" s="57">
        <f t="shared" si="292"/>
        <v>-7867.8821817552362</v>
      </c>
      <c r="S600" s="41">
        <f t="shared" si="293"/>
        <v>-19095.760221444954</v>
      </c>
      <c r="U600" s="41">
        <v>594</v>
      </c>
      <c r="V600" s="41">
        <f t="shared" si="315"/>
        <v>297</v>
      </c>
      <c r="W600" s="57">
        <f t="shared" si="316"/>
        <v>188612.48056119884</v>
      </c>
      <c r="X600" s="57">
        <f t="shared" si="317"/>
        <v>358448.23848301102</v>
      </c>
      <c r="Y600" s="57">
        <f t="shared" si="318"/>
        <v>1311.7310693600275</v>
      </c>
      <c r="Z600" s="57">
        <f t="shared" si="319"/>
        <v>1936.4549705849984</v>
      </c>
      <c r="AA600" s="57">
        <f t="shared" si="294"/>
        <v>-9.3720556729118094</v>
      </c>
      <c r="AB600" s="57">
        <f t="shared" si="295"/>
        <v>-17.919395134007761</v>
      </c>
      <c r="AC600" s="57">
        <f t="shared" si="296"/>
        <v>-1.4942805733292337</v>
      </c>
      <c r="AD600" s="57">
        <f t="shared" si="297"/>
        <v>-3.1101798233668649</v>
      </c>
      <c r="AE600" s="57">
        <f t="shared" si="298"/>
        <v>-0.55907353728637854</v>
      </c>
      <c r="AF600" s="57">
        <f t="shared" si="299"/>
        <v>-0.93382806592319578</v>
      </c>
      <c r="AG600" s="57">
        <f t="shared" si="300"/>
        <v>-1.3607876467522009</v>
      </c>
      <c r="AH600" s="57">
        <f t="shared" si="301"/>
        <v>-2.6247468559673752</v>
      </c>
      <c r="AJ600" s="57">
        <f t="shared" si="302"/>
        <v>389351.81352515751</v>
      </c>
      <c r="AK600" s="57">
        <f t="shared" si="303"/>
        <v>406122.32387275866</v>
      </c>
      <c r="AL600" s="57">
        <f t="shared" si="304"/>
        <v>420653.5147305018</v>
      </c>
      <c r="AN600" s="41">
        <v>595</v>
      </c>
      <c r="AO600" s="57">
        <f t="shared" si="305"/>
        <v>698.17672736714576</v>
      </c>
      <c r="AP600" s="57">
        <f t="shared" si="306"/>
        <v>8856.3596678325684</v>
      </c>
      <c r="AR600" s="41">
        <v>595</v>
      </c>
      <c r="AS600" s="57">
        <f t="shared" si="307"/>
        <v>12992.482472771335</v>
      </c>
      <c r="AT600" s="57">
        <f t="shared" si="308"/>
        <v>-7867.0321550114677</v>
      </c>
      <c r="AV600" s="57">
        <f t="shared" si="309"/>
        <v>-5.4809819247754996</v>
      </c>
      <c r="AW600" s="57">
        <f t="shared" si="310"/>
        <v>-10.252209334941941</v>
      </c>
      <c r="AX600" s="57">
        <f t="shared" si="311"/>
        <v>-0.47693199076849613</v>
      </c>
      <c r="AY600" s="57">
        <f t="shared" si="312"/>
        <v>-0.99843105380838548</v>
      </c>
      <c r="BA600" s="57">
        <f t="shared" si="313"/>
        <v>389448.63016182231</v>
      </c>
      <c r="BB600" s="57">
        <f t="shared" si="314"/>
        <v>402785.19767118589</v>
      </c>
    </row>
    <row r="601" spans="9:54" x14ac:dyDescent="0.25">
      <c r="I601" s="41">
        <v>596</v>
      </c>
      <c r="J601" s="57">
        <f t="shared" si="288"/>
        <v>17204.035482646264</v>
      </c>
      <c r="K601" s="57">
        <f t="shared" si="289"/>
        <v>3354.8121372247933</v>
      </c>
      <c r="M601" s="41">
        <v>596</v>
      </c>
      <c r="N601" s="57">
        <f t="shared" si="290"/>
        <v>-21957.175162147618</v>
      </c>
      <c r="O601" s="57">
        <f t="shared" si="291"/>
        <v>7098.3684960573555</v>
      </c>
      <c r="Q601" s="41">
        <v>596</v>
      </c>
      <c r="R601" s="57">
        <f t="shared" si="292"/>
        <v>-7795.9645173537374</v>
      </c>
      <c r="S601" s="41">
        <f t="shared" si="293"/>
        <v>-19145.187862775208</v>
      </c>
      <c r="U601" s="41">
        <v>595</v>
      </c>
      <c r="V601" s="41">
        <f t="shared" si="315"/>
        <v>297.5</v>
      </c>
      <c r="W601" s="57">
        <f t="shared" si="316"/>
        <v>189267.17458891976</v>
      </c>
      <c r="X601" s="57">
        <f t="shared" si="317"/>
        <v>359414.22604391177</v>
      </c>
      <c r="Y601" s="57">
        <f t="shared" si="318"/>
        <v>1307.0450415235716</v>
      </c>
      <c r="Z601" s="57">
        <f t="shared" si="319"/>
        <v>1927.4952730179946</v>
      </c>
      <c r="AA601" s="57">
        <f t="shared" si="294"/>
        <v>-9.323384881685028</v>
      </c>
      <c r="AB601" s="57">
        <f t="shared" si="295"/>
        <v>-17.811851297569309</v>
      </c>
      <c r="AC601" s="57">
        <f t="shared" si="296"/>
        <v>-1.4868286354153974</v>
      </c>
      <c r="AD601" s="57">
        <f t="shared" si="297"/>
        <v>-3.091184984701612</v>
      </c>
      <c r="AE601" s="57">
        <f t="shared" si="298"/>
        <v>-0.5560302614236412</v>
      </c>
      <c r="AF601" s="57">
        <f t="shared" si="299"/>
        <v>-0.9284059185774588</v>
      </c>
      <c r="AG601" s="57">
        <f t="shared" si="300"/>
        <v>-1.3541719639844081</v>
      </c>
      <c r="AH601" s="57">
        <f t="shared" si="301"/>
        <v>-2.6099172384550888</v>
      </c>
      <c r="AJ601" s="57">
        <f t="shared" si="302"/>
        <v>390506.08047174028</v>
      </c>
      <c r="AK601" s="57">
        <f t="shared" si="303"/>
        <v>407287.43133356731</v>
      </c>
      <c r="AL601" s="57">
        <f t="shared" si="304"/>
        <v>421812.45570374437</v>
      </c>
      <c r="AN601" s="41">
        <v>596</v>
      </c>
      <c r="AO601" s="57">
        <f t="shared" si="305"/>
        <v>806.05322396939391</v>
      </c>
      <c r="AP601" s="57">
        <f t="shared" si="306"/>
        <v>8782.2182058371909</v>
      </c>
      <c r="AR601" s="41">
        <v>596</v>
      </c>
      <c r="AS601" s="57">
        <f t="shared" si="307"/>
        <v>13042.824837852384</v>
      </c>
      <c r="AT601" s="57">
        <f t="shared" si="308"/>
        <v>-7901.6315039426445</v>
      </c>
      <c r="AV601" s="57">
        <f t="shared" si="309"/>
        <v>-5.451713152435774</v>
      </c>
      <c r="AW601" s="57">
        <f t="shared" si="310"/>
        <v>-10.189810367464586</v>
      </c>
      <c r="AX601" s="57">
        <f t="shared" si="311"/>
        <v>-0.47464086842580677</v>
      </c>
      <c r="AY601" s="57">
        <f t="shared" si="312"/>
        <v>-0.99253278837056458</v>
      </c>
      <c r="BA601" s="57">
        <f t="shared" si="313"/>
        <v>390609.20461813261</v>
      </c>
      <c r="BB601" s="57">
        <f t="shared" si="314"/>
        <v>403939.074963525</v>
      </c>
    </row>
    <row r="602" spans="9:54" x14ac:dyDescent="0.25">
      <c r="I602" s="41">
        <v>597</v>
      </c>
      <c r="J602" s="57">
        <f t="shared" si="288"/>
        <v>17276.804824924857</v>
      </c>
      <c r="K602" s="57">
        <f t="shared" si="289"/>
        <v>3306.6471602728843</v>
      </c>
      <c r="M602" s="41">
        <v>597</v>
      </c>
      <c r="N602" s="57">
        <f t="shared" si="290"/>
        <v>-21906.236622552598</v>
      </c>
      <c r="O602" s="57">
        <f t="shared" si="291"/>
        <v>7064.6530121910191</v>
      </c>
      <c r="Q602" s="41">
        <v>597</v>
      </c>
      <c r="R602" s="57">
        <f t="shared" si="292"/>
        <v>-7723.1951750751432</v>
      </c>
      <c r="S602" s="41">
        <f t="shared" si="293"/>
        <v>-19193.352839727115</v>
      </c>
      <c r="U602" s="41">
        <v>596</v>
      </c>
      <c r="V602" s="41">
        <f t="shared" si="315"/>
        <v>298</v>
      </c>
      <c r="W602" s="57">
        <f t="shared" si="316"/>
        <v>189919.53168657134</v>
      </c>
      <c r="X602" s="57">
        <f t="shared" si="317"/>
        <v>360375.74719900859</v>
      </c>
      <c r="Y602" s="57">
        <f t="shared" si="318"/>
        <v>1302.3833490827292</v>
      </c>
      <c r="Z602" s="57">
        <f t="shared" si="319"/>
        <v>1918.5893473692099</v>
      </c>
      <c r="AA602" s="57">
        <f t="shared" si="294"/>
        <v>-9.2753182030056127</v>
      </c>
      <c r="AB602" s="57">
        <f t="shared" si="295"/>
        <v>-17.705713941780978</v>
      </c>
      <c r="AC602" s="57">
        <f t="shared" si="296"/>
        <v>-1.4794662855983283</v>
      </c>
      <c r="AD602" s="57">
        <f t="shared" si="297"/>
        <v>-3.0724412067545188</v>
      </c>
      <c r="AE602" s="57">
        <f t="shared" si="298"/>
        <v>-0.55302593907416786</v>
      </c>
      <c r="AF602" s="57">
        <f t="shared" si="299"/>
        <v>-0.92305311024062431</v>
      </c>
      <c r="AG602" s="57">
        <f t="shared" si="300"/>
        <v>-1.347635183935078</v>
      </c>
      <c r="AH602" s="57">
        <f t="shared" si="301"/>
        <v>-2.5952738534932274</v>
      </c>
      <c r="AJ602" s="57">
        <f t="shared" si="302"/>
        <v>391655.38450255262</v>
      </c>
      <c r="AK602" s="57">
        <f t="shared" si="303"/>
        <v>408447.51683511678</v>
      </c>
      <c r="AL602" s="57">
        <f t="shared" si="304"/>
        <v>422966.39986898052</v>
      </c>
      <c r="AN602" s="41">
        <v>597</v>
      </c>
      <c r="AO602" s="57">
        <f t="shared" si="305"/>
        <v>915.2072373872852</v>
      </c>
      <c r="AP602" s="57">
        <f t="shared" si="306"/>
        <v>8709.9707404093278</v>
      </c>
      <c r="AR602" s="41">
        <v>597</v>
      </c>
      <c r="AS602" s="57">
        <f t="shared" si="307"/>
        <v>13093.7633774474</v>
      </c>
      <c r="AT602" s="57">
        <f t="shared" si="308"/>
        <v>-7935.3469878089809</v>
      </c>
      <c r="AV602" s="57">
        <f t="shared" si="309"/>
        <v>-5.4228141108128476</v>
      </c>
      <c r="AW602" s="57">
        <f t="shared" si="310"/>
        <v>-10.128235013150444</v>
      </c>
      <c r="AX602" s="57">
        <f t="shared" si="311"/>
        <v>-0.4723766835851908</v>
      </c>
      <c r="AY602" s="57">
        <f t="shared" si="312"/>
        <v>-0.98671075814216191</v>
      </c>
      <c r="BA602" s="57">
        <f t="shared" si="313"/>
        <v>391764.77630391216</v>
      </c>
      <c r="BB602" s="57">
        <f t="shared" si="314"/>
        <v>405087.98946239235</v>
      </c>
    </row>
    <row r="603" spans="9:54" x14ac:dyDescent="0.25">
      <c r="I603" s="41">
        <v>598</v>
      </c>
      <c r="J603" s="57">
        <f t="shared" si="288"/>
        <v>17350.403678833969</v>
      </c>
      <c r="K603" s="57">
        <f t="shared" si="289"/>
        <v>3259.7595192178733</v>
      </c>
      <c r="M603" s="41">
        <v>598</v>
      </c>
      <c r="N603" s="57">
        <f t="shared" si="290"/>
        <v>-21854.717424816219</v>
      </c>
      <c r="O603" s="57">
        <f t="shared" si="291"/>
        <v>7031.8316634525108</v>
      </c>
      <c r="Q603" s="41">
        <v>598</v>
      </c>
      <c r="R603" s="57">
        <f t="shared" si="292"/>
        <v>-7649.5963211660301</v>
      </c>
      <c r="S603" s="41">
        <f t="shared" si="293"/>
        <v>-19240.240480782126</v>
      </c>
      <c r="U603" s="41">
        <v>597</v>
      </c>
      <c r="V603" s="41">
        <f t="shared" si="315"/>
        <v>298.5</v>
      </c>
      <c r="W603" s="57">
        <f t="shared" si="316"/>
        <v>190569.56394633732</v>
      </c>
      <c r="X603" s="57">
        <f t="shared" si="317"/>
        <v>361332.82865845045</v>
      </c>
      <c r="Y603" s="57">
        <f t="shared" si="318"/>
        <v>1297.7456899812264</v>
      </c>
      <c r="Z603" s="57">
        <f t="shared" si="319"/>
        <v>1909.7364903983193</v>
      </c>
      <c r="AA603" s="57">
        <f t="shared" si="294"/>
        <v>-9.2278451702377513</v>
      </c>
      <c r="AB603" s="57">
        <f t="shared" si="295"/>
        <v>-17.600957287958124</v>
      </c>
      <c r="AC603" s="57">
        <f t="shared" si="296"/>
        <v>-1.4721920298473556</v>
      </c>
      <c r="AD603" s="57">
        <f t="shared" si="297"/>
        <v>-3.0539438467064297</v>
      </c>
      <c r="AE603" s="57">
        <f t="shared" si="298"/>
        <v>-0.55005987265664702</v>
      </c>
      <c r="AF603" s="57">
        <f t="shared" si="299"/>
        <v>-0.91776839620191619</v>
      </c>
      <c r="AG603" s="57">
        <f t="shared" si="300"/>
        <v>-1.34117599234165</v>
      </c>
      <c r="AH603" s="57">
        <f t="shared" si="301"/>
        <v>-2.5808134187241465</v>
      </c>
      <c r="AJ603" s="57">
        <f t="shared" si="302"/>
        <v>392799.7540494189</v>
      </c>
      <c r="AK603" s="57">
        <f t="shared" si="303"/>
        <v>409602.60955430783</v>
      </c>
      <c r="AL603" s="57">
        <f t="shared" si="304"/>
        <v>424115.3761280427</v>
      </c>
      <c r="AN603" s="41">
        <v>598</v>
      </c>
      <c r="AO603" s="57">
        <f t="shared" si="305"/>
        <v>1025.6055182509549</v>
      </c>
      <c r="AP603" s="57">
        <f t="shared" si="306"/>
        <v>8639.6392788268095</v>
      </c>
      <c r="AR603" s="41">
        <v>598</v>
      </c>
      <c r="AS603" s="57">
        <f t="shared" si="307"/>
        <v>13145.282575183779</v>
      </c>
      <c r="AT603" s="57">
        <f t="shared" si="308"/>
        <v>-7968.1683365474892</v>
      </c>
      <c r="AV603" s="57">
        <f t="shared" si="309"/>
        <v>-5.3942782786035881</v>
      </c>
      <c r="AW603" s="57">
        <f t="shared" si="310"/>
        <v>-10.067468043088493</v>
      </c>
      <c r="AX603" s="57">
        <f t="shared" si="311"/>
        <v>-0.47013899678851057</v>
      </c>
      <c r="AY603" s="57">
        <f t="shared" si="312"/>
        <v>-0.98096358323713984</v>
      </c>
      <c r="BA603" s="57">
        <f t="shared" si="313"/>
        <v>392915.3741835478</v>
      </c>
      <c r="BB603" s="57">
        <f t="shared" si="314"/>
        <v>406231.96961490938</v>
      </c>
    </row>
    <row r="604" spans="9:54" x14ac:dyDescent="0.25">
      <c r="I604" s="41">
        <v>599</v>
      </c>
      <c r="J604" s="57">
        <f t="shared" si="288"/>
        <v>17424.809625449729</v>
      </c>
      <c r="K604" s="57">
        <f t="shared" si="289"/>
        <v>3214.1634964894401</v>
      </c>
      <c r="M604" s="41">
        <v>599</v>
      </c>
      <c r="N604" s="57">
        <f t="shared" si="290"/>
        <v>-21802.633262185191</v>
      </c>
      <c r="O604" s="57">
        <f t="shared" si="291"/>
        <v>6999.9144475426074</v>
      </c>
      <c r="Q604" s="41">
        <v>599</v>
      </c>
      <c r="R604" s="57">
        <f t="shared" si="292"/>
        <v>-7575.1903745502732</v>
      </c>
      <c r="S604" s="41">
        <f t="shared" si="293"/>
        <v>-19285.83650351056</v>
      </c>
      <c r="U604" s="41">
        <v>598</v>
      </c>
      <c r="V604" s="41">
        <f t="shared" si="315"/>
        <v>299</v>
      </c>
      <c r="W604" s="57">
        <f t="shared" si="316"/>
        <v>191217.28331068164</v>
      </c>
      <c r="X604" s="57">
        <f t="shared" si="317"/>
        <v>362285.49678398861</v>
      </c>
      <c r="Y604" s="57">
        <f t="shared" si="318"/>
        <v>1293.1317673961075</v>
      </c>
      <c r="Z604" s="57">
        <f t="shared" si="319"/>
        <v>1900.9360117543404</v>
      </c>
      <c r="AA604" s="57">
        <f t="shared" si="294"/>
        <v>-9.1809555562455429</v>
      </c>
      <c r="AB604" s="57">
        <f t="shared" si="295"/>
        <v>-17.497556174596049</v>
      </c>
      <c r="AC604" s="57">
        <f t="shared" si="296"/>
        <v>-1.4650044069818966</v>
      </c>
      <c r="AD604" s="57">
        <f t="shared" si="297"/>
        <v>-3.0356883736945655</v>
      </c>
      <c r="AE604" s="57">
        <f t="shared" si="298"/>
        <v>-0.54713138104850445</v>
      </c>
      <c r="AF604" s="57">
        <f t="shared" si="299"/>
        <v>-0.91255056100342635</v>
      </c>
      <c r="AG604" s="57">
        <f t="shared" si="300"/>
        <v>-1.3347931040060688</v>
      </c>
      <c r="AH604" s="57">
        <f t="shared" si="301"/>
        <v>-2.5665327276568051</v>
      </c>
      <c r="AJ604" s="57">
        <f t="shared" si="302"/>
        <v>393939.21718020388</v>
      </c>
      <c r="AK604" s="57">
        <f t="shared" si="303"/>
        <v>410752.73829091678</v>
      </c>
      <c r="AL604" s="57">
        <f t="shared" si="304"/>
        <v>425259.41300971271</v>
      </c>
      <c r="AN604" s="41">
        <v>599</v>
      </c>
      <c r="AO604" s="57">
        <f t="shared" si="305"/>
        <v>1137.2144381745907</v>
      </c>
      <c r="AP604" s="57">
        <f t="shared" si="306"/>
        <v>8571.2452447341602</v>
      </c>
      <c r="AR604" s="41">
        <v>599</v>
      </c>
      <c r="AS604" s="57">
        <f t="shared" si="307"/>
        <v>13197.366737814809</v>
      </c>
      <c r="AT604" s="57">
        <f t="shared" si="308"/>
        <v>-8000.0855524573926</v>
      </c>
      <c r="AV604" s="57">
        <f t="shared" si="309"/>
        <v>-5.3660992861481214</v>
      </c>
      <c r="AW604" s="57">
        <f t="shared" si="310"/>
        <v>-10.007494595831968</v>
      </c>
      <c r="AX604" s="57">
        <f t="shared" si="311"/>
        <v>-0.46792737806095258</v>
      </c>
      <c r="AY604" s="57">
        <f t="shared" si="312"/>
        <v>-0.97528991640928631</v>
      </c>
      <c r="BA604" s="57">
        <f t="shared" si="313"/>
        <v>394061.02684750798</v>
      </c>
      <c r="BB604" s="57">
        <f t="shared" si="314"/>
        <v>407371.04350365693</v>
      </c>
    </row>
    <row r="605" spans="9:54" x14ac:dyDescent="0.25">
      <c r="I605" s="41">
        <v>600</v>
      </c>
      <c r="J605" s="57">
        <f t="shared" si="288"/>
        <v>17500</v>
      </c>
      <c r="K605" s="57">
        <f t="shared" si="289"/>
        <v>3169.8729810778068</v>
      </c>
      <c r="M605" s="41">
        <v>600</v>
      </c>
      <c r="N605" s="57">
        <f t="shared" si="290"/>
        <v>-21750</v>
      </c>
      <c r="O605" s="57">
        <f t="shared" si="291"/>
        <v>6968.9110867544641</v>
      </c>
      <c r="Q605" s="41">
        <v>600</v>
      </c>
      <c r="R605" s="57">
        <f t="shared" si="292"/>
        <v>-7499.9999999999991</v>
      </c>
      <c r="S605" s="41">
        <f t="shared" si="293"/>
        <v>-19330.127018922194</v>
      </c>
      <c r="U605" s="41">
        <v>599</v>
      </c>
      <c r="V605" s="41">
        <f t="shared" si="315"/>
        <v>299.5</v>
      </c>
      <c r="W605" s="57">
        <f t="shared" si="316"/>
        <v>191862.70157493517</v>
      </c>
      <c r="X605" s="57">
        <f t="shared" si="317"/>
        <v>363233.77759534394</v>
      </c>
      <c r="Y605" s="57">
        <f t="shared" si="318"/>
        <v>1288.5412896179848</v>
      </c>
      <c r="Z605" s="57">
        <f t="shared" si="319"/>
        <v>1892.1872336670424</v>
      </c>
      <c r="AA605" s="57">
        <f t="shared" si="294"/>
        <v>-9.134639366644846</v>
      </c>
      <c r="AB605" s="57">
        <f t="shared" si="295"/>
        <v>-17.395486039251757</v>
      </c>
      <c r="AC605" s="57">
        <f t="shared" si="296"/>
        <v>-1.4579019877849402</v>
      </c>
      <c r="AD605" s="57">
        <f t="shared" si="297"/>
        <v>-3.0176703655060844</v>
      </c>
      <c r="AE605" s="57">
        <f t="shared" si="298"/>
        <v>-0.54423979910813547</v>
      </c>
      <c r="AF605" s="57">
        <f t="shared" si="299"/>
        <v>-0.90739841759594364</v>
      </c>
      <c r="AG605" s="57">
        <f t="shared" si="300"/>
        <v>-1.3284852620010905</v>
      </c>
      <c r="AH605" s="57">
        <f t="shared" si="301"/>
        <v>-2.5524286475117077</v>
      </c>
      <c r="AJ605" s="57">
        <f t="shared" si="302"/>
        <v>395073.80160533154</v>
      </c>
      <c r="AK605" s="57">
        <f t="shared" si="303"/>
        <v>411897.93147442112</v>
      </c>
      <c r="AL605" s="57">
        <f t="shared" si="304"/>
        <v>426398.5386764665</v>
      </c>
      <c r="AN605" s="41">
        <v>600</v>
      </c>
      <c r="AO605" s="57">
        <f t="shared" si="305"/>
        <v>1250.0000000000014</v>
      </c>
      <c r="AP605" s="57">
        <f t="shared" si="306"/>
        <v>8504.8094716167107</v>
      </c>
      <c r="AR605" s="41">
        <v>600</v>
      </c>
      <c r="AS605" s="57">
        <f t="shared" si="307"/>
        <v>13250</v>
      </c>
      <c r="AT605" s="57">
        <f t="shared" si="308"/>
        <v>-8031.0889132455359</v>
      </c>
      <c r="AV605" s="57">
        <f t="shared" si="309"/>
        <v>-5.3382709110913078</v>
      </c>
      <c r="AW605" s="57">
        <f t="shared" si="310"/>
        <v>-9.9483001665326292</v>
      </c>
      <c r="AX605" s="57">
        <f t="shared" si="311"/>
        <v>-0.46574140665937258</v>
      </c>
      <c r="AY605" s="57">
        <f t="shared" si="312"/>
        <v>-0.96968844210539362</v>
      </c>
      <c r="BA605" s="57">
        <f t="shared" si="313"/>
        <v>395201.76251910458</v>
      </c>
      <c r="BB605" s="57">
        <f t="shared" si="314"/>
        <v>408505.23885321443</v>
      </c>
    </row>
    <row r="606" spans="9:54" x14ac:dyDescent="0.25">
      <c r="I606" s="41">
        <v>601</v>
      </c>
      <c r="J606" s="57">
        <f t="shared" si="288"/>
        <v>17575.951898768319</v>
      </c>
      <c r="K606" s="57">
        <f t="shared" si="289"/>
        <v>3126.9014643030187</v>
      </c>
      <c r="M606" s="41">
        <v>601</v>
      </c>
      <c r="N606" s="57">
        <f t="shared" si="290"/>
        <v>-21696.833670862175</v>
      </c>
      <c r="O606" s="57">
        <f t="shared" si="291"/>
        <v>6938.831025012114</v>
      </c>
      <c r="Q606" s="41">
        <v>601</v>
      </c>
      <c r="R606" s="57">
        <f t="shared" si="292"/>
        <v>-7424.0481012316814</v>
      </c>
      <c r="S606" s="41">
        <f t="shared" si="293"/>
        <v>-19373.098535696983</v>
      </c>
      <c r="U606" s="41">
        <v>600</v>
      </c>
      <c r="V606" s="41">
        <f t="shared" si="315"/>
        <v>300</v>
      </c>
      <c r="W606" s="57">
        <f t="shared" si="316"/>
        <v>192505.83038982336</v>
      </c>
      <c r="X606" s="57">
        <f t="shared" si="317"/>
        <v>364177.69677642256</v>
      </c>
      <c r="Y606" s="57">
        <f t="shared" si="318"/>
        <v>1283.9739699346624</v>
      </c>
      <c r="Z606" s="57">
        <f t="shared" si="319"/>
        <v>1883.4894906474165</v>
      </c>
      <c r="AA606" s="57">
        <f t="shared" si="294"/>
        <v>-9.0888868332807302</v>
      </c>
      <c r="AB606" s="57">
        <f t="shared" si="295"/>
        <v>-17.294722901054708</v>
      </c>
      <c r="AC606" s="57">
        <f t="shared" si="296"/>
        <v>-1.4508833741448925</v>
      </c>
      <c r="AD606" s="57">
        <f t="shared" si="297"/>
        <v>-2.999885505387148</v>
      </c>
      <c r="AE606" s="57">
        <f t="shared" si="298"/>
        <v>-0.54138447721358185</v>
      </c>
      <c r="AF606" s="57">
        <f t="shared" si="299"/>
        <v>-0.90231080652362439</v>
      </c>
      <c r="AG606" s="57">
        <f t="shared" si="300"/>
        <v>-1.3222512369022927</v>
      </c>
      <c r="AH606" s="57">
        <f t="shared" si="301"/>
        <v>-2.5384981171382197</v>
      </c>
      <c r="AJ606" s="57">
        <f t="shared" si="302"/>
        <v>396203.53468415211</v>
      </c>
      <c r="AK606" s="57">
        <f t="shared" si="303"/>
        <v>413038.21717066318</v>
      </c>
      <c r="AL606" s="57">
        <f t="shared" si="304"/>
        <v>427532.78093106067</v>
      </c>
      <c r="AN606" s="41">
        <v>601</v>
      </c>
      <c r="AO606" s="57">
        <f t="shared" si="305"/>
        <v>1363.927848152478</v>
      </c>
      <c r="AP606" s="57">
        <f t="shared" si="306"/>
        <v>8440.3521964545289</v>
      </c>
      <c r="AR606" s="41">
        <v>601</v>
      </c>
      <c r="AS606" s="57">
        <f t="shared" si="307"/>
        <v>13303.166329137823</v>
      </c>
      <c r="AT606" s="57">
        <f t="shared" si="308"/>
        <v>-8061.168974987886</v>
      </c>
      <c r="AV606" s="57">
        <f t="shared" si="309"/>
        <v>-5.3107870741913814</v>
      </c>
      <c r="AW606" s="57">
        <f t="shared" si="310"/>
        <v>-9.8898705964547347</v>
      </c>
      <c r="AX606" s="57">
        <f t="shared" si="311"/>
        <v>-0.46358067082858206</v>
      </c>
      <c r="AY606" s="57">
        <f t="shared" si="312"/>
        <v>-0.96415787555098087</v>
      </c>
      <c r="BA606" s="57">
        <f t="shared" si="313"/>
        <v>396337.60906109388</v>
      </c>
      <c r="BB606" s="57">
        <f t="shared" si="314"/>
        <v>409634.58303654601</v>
      </c>
    </row>
    <row r="607" spans="9:54" x14ac:dyDescent="0.25">
      <c r="I607" s="41">
        <v>602</v>
      </c>
      <c r="J607" s="57">
        <f t="shared" si="288"/>
        <v>17652.642186070545</v>
      </c>
      <c r="K607" s="57">
        <f t="shared" si="289"/>
        <v>3085.2620357053656</v>
      </c>
      <c r="M607" s="41">
        <v>602</v>
      </c>
      <c r="N607" s="57">
        <f t="shared" si="290"/>
        <v>-21643.150469750617</v>
      </c>
      <c r="O607" s="57">
        <f t="shared" si="291"/>
        <v>6909.6834249937565</v>
      </c>
      <c r="Q607" s="41">
        <v>602</v>
      </c>
      <c r="R607" s="57">
        <f t="shared" si="292"/>
        <v>-7347.357813929455</v>
      </c>
      <c r="S607" s="41">
        <f t="shared" si="293"/>
        <v>-19414.737964294633</v>
      </c>
      <c r="U607" s="41">
        <v>601</v>
      </c>
      <c r="V607" s="41">
        <f t="shared" si="315"/>
        <v>300.5</v>
      </c>
      <c r="W607" s="57">
        <f t="shared" si="316"/>
        <v>193146.68126393654</v>
      </c>
      <c r="X607" s="57">
        <f t="shared" si="317"/>
        <v>365117.27968138363</v>
      </c>
      <c r="Y607" s="57">
        <f t="shared" si="318"/>
        <v>1279.4295265180219</v>
      </c>
      <c r="Z607" s="57">
        <f t="shared" si="319"/>
        <v>1874.8421291968891</v>
      </c>
      <c r="AA607" s="57">
        <f t="shared" si="294"/>
        <v>-9.0436884079216888</v>
      </c>
      <c r="AB607" s="57">
        <f t="shared" si="295"/>
        <v>-17.195243343820973</v>
      </c>
      <c r="AC607" s="57">
        <f t="shared" si="296"/>
        <v>-1.4439471982245757</v>
      </c>
      <c r="AD607" s="57">
        <f t="shared" si="297"/>
        <v>-2.9823295789624904</v>
      </c>
      <c r="AE607" s="57">
        <f t="shared" si="298"/>
        <v>-0.53856478081698678</v>
      </c>
      <c r="AF607" s="57">
        <f t="shared" si="299"/>
        <v>-0.8972865951363429</v>
      </c>
      <c r="AG607" s="57">
        <f t="shared" si="300"/>
        <v>-1.3160898260450038</v>
      </c>
      <c r="AH607" s="57">
        <f t="shared" si="301"/>
        <v>-2.5247381450017912</v>
      </c>
      <c r="AJ607" s="57">
        <f t="shared" si="302"/>
        <v>397328.4434311596</v>
      </c>
      <c r="AK607" s="57">
        <f t="shared" si="303"/>
        <v>414173.62308835675</v>
      </c>
      <c r="AL607" s="57">
        <f t="shared" si="304"/>
        <v>428662.16722296271</v>
      </c>
      <c r="AN607" s="41">
        <v>602</v>
      </c>
      <c r="AO607" s="57">
        <f t="shared" si="305"/>
        <v>1478.9632791058175</v>
      </c>
      <c r="AP607" s="57">
        <f t="shared" si="306"/>
        <v>8377.8930535580475</v>
      </c>
      <c r="AR607" s="41">
        <v>602</v>
      </c>
      <c r="AS607" s="57">
        <f t="shared" si="307"/>
        <v>13356.849530249381</v>
      </c>
      <c r="AT607" s="57">
        <f t="shared" si="308"/>
        <v>-8090.3165750062435</v>
      </c>
      <c r="AV607" s="57">
        <f t="shared" si="309"/>
        <v>-5.2836418352698944</v>
      </c>
      <c r="AW607" s="57">
        <f t="shared" si="310"/>
        <v>-9.8321920628532062</v>
      </c>
      <c r="AX607" s="57">
        <f t="shared" si="311"/>
        <v>-0.46144476756522756</v>
      </c>
      <c r="AY607" s="57">
        <f t="shared" si="312"/>
        <v>-0.9586969618671437</v>
      </c>
      <c r="BA607" s="57">
        <f t="shared" si="313"/>
        <v>397468.59398212278</v>
      </c>
      <c r="BB607" s="57">
        <f t="shared" si="314"/>
        <v>410759.10308123688</v>
      </c>
    </row>
    <row r="608" spans="9:54" x14ac:dyDescent="0.25">
      <c r="I608" s="41">
        <v>603</v>
      </c>
      <c r="J608" s="57">
        <f t="shared" si="288"/>
        <v>17730.04750130227</v>
      </c>
      <c r="K608" s="57">
        <f t="shared" si="289"/>
        <v>3044.9673790581592</v>
      </c>
      <c r="M608" s="41">
        <v>603</v>
      </c>
      <c r="N608" s="57">
        <f t="shared" si="290"/>
        <v>-21588.966749088413</v>
      </c>
      <c r="O608" s="57">
        <f t="shared" si="291"/>
        <v>6881.4771653407115</v>
      </c>
      <c r="Q608" s="41">
        <v>603</v>
      </c>
      <c r="R608" s="57">
        <f t="shared" si="292"/>
        <v>-7269.9524986977322</v>
      </c>
      <c r="S608" s="41">
        <f t="shared" si="293"/>
        <v>-19455.032620941842</v>
      </c>
      <c r="U608" s="41">
        <v>602</v>
      </c>
      <c r="V608" s="41">
        <f t="shared" si="315"/>
        <v>301</v>
      </c>
      <c r="W608" s="57">
        <f t="shared" si="316"/>
        <v>193785.26556614458</v>
      </c>
      <c r="X608" s="57">
        <f t="shared" si="317"/>
        <v>366052.5513405641</v>
      </c>
      <c r="Y608" s="57">
        <f t="shared" si="318"/>
        <v>1274.907682314061</v>
      </c>
      <c r="Z608" s="57">
        <f t="shared" si="319"/>
        <v>1866.2445075249786</v>
      </c>
      <c r="AA608" s="57">
        <f t="shared" si="294"/>
        <v>-8.999034756163109</v>
      </c>
      <c r="AB608" s="57">
        <f t="shared" si="295"/>
        <v>-17.09702449974851</v>
      </c>
      <c r="AC608" s="57">
        <f t="shared" si="296"/>
        <v>-1.4370921216567039</v>
      </c>
      <c r="AD608" s="57">
        <f t="shared" si="297"/>
        <v>-2.9649984712617474</v>
      </c>
      <c r="AE608" s="57">
        <f t="shared" si="298"/>
        <v>-0.53578009001426408</v>
      </c>
      <c r="AF608" s="57">
        <f t="shared" si="299"/>
        <v>-0.89232467682873773</v>
      </c>
      <c r="AG608" s="57">
        <f t="shared" si="300"/>
        <v>-1.3099998528051147</v>
      </c>
      <c r="AH608" s="57">
        <f t="shared" si="301"/>
        <v>-2.5111458072381811</v>
      </c>
      <c r="AJ608" s="57">
        <f t="shared" si="302"/>
        <v>398448.55452206527</v>
      </c>
      <c r="AK608" s="57">
        <f t="shared" si="303"/>
        <v>415304.17658544198</v>
      </c>
      <c r="AL608" s="57">
        <f t="shared" si="304"/>
        <v>429786.72465463128</v>
      </c>
      <c r="AN608" s="41">
        <v>603</v>
      </c>
      <c r="AO608" s="57">
        <f t="shared" si="305"/>
        <v>1595.0712519534022</v>
      </c>
      <c r="AP608" s="57">
        <f t="shared" si="306"/>
        <v>8317.4510685872392</v>
      </c>
      <c r="AR608" s="41">
        <v>603</v>
      </c>
      <c r="AS608" s="57">
        <f t="shared" si="307"/>
        <v>13411.033250911587</v>
      </c>
      <c r="AT608" s="57">
        <f t="shared" si="308"/>
        <v>-8118.5228346592885</v>
      </c>
      <c r="AV608" s="57">
        <f t="shared" si="309"/>
        <v>-5.2568293892979643</v>
      </c>
      <c r="AW608" s="57">
        <f t="shared" si="310"/>
        <v>-9.7752510692023797</v>
      </c>
      <c r="AX608" s="57">
        <f t="shared" si="311"/>
        <v>-0.45933330238906211</v>
      </c>
      <c r="AY608" s="57">
        <f t="shared" si="312"/>
        <v>-0.95330447521746364</v>
      </c>
      <c r="BA608" s="57">
        <f t="shared" si="313"/>
        <v>398594.7444430234</v>
      </c>
      <c r="BB608" s="57">
        <f t="shared" si="314"/>
        <v>411878.82567558484</v>
      </c>
    </row>
    <row r="609" spans="9:54" x14ac:dyDescent="0.25">
      <c r="I609" s="41">
        <v>604</v>
      </c>
      <c r="J609" s="57">
        <f t="shared" si="288"/>
        <v>17808.144266054609</v>
      </c>
      <c r="K609" s="57">
        <f t="shared" si="289"/>
        <v>3006.0297685041669</v>
      </c>
      <c r="M609" s="41">
        <v>604</v>
      </c>
      <c r="N609" s="57">
        <f t="shared" si="290"/>
        <v>-21534.299013761774</v>
      </c>
      <c r="O609" s="57">
        <f t="shared" si="291"/>
        <v>6854.2208379529166</v>
      </c>
      <c r="Q609" s="41">
        <v>604</v>
      </c>
      <c r="R609" s="57">
        <f t="shared" si="292"/>
        <v>-7191.8557339453891</v>
      </c>
      <c r="S609" s="41">
        <f t="shared" si="293"/>
        <v>-19493.970231495834</v>
      </c>
      <c r="U609" s="41">
        <v>603</v>
      </c>
      <c r="V609" s="41">
        <f t="shared" si="315"/>
        <v>301.5</v>
      </c>
      <c r="W609" s="57">
        <f t="shared" si="316"/>
        <v>194421.59452795709</v>
      </c>
      <c r="X609" s="57">
        <f t="shared" si="317"/>
        <v>366983.53646626411</v>
      </c>
      <c r="Y609" s="57">
        <f t="shared" si="318"/>
        <v>1270.4081649359796</v>
      </c>
      <c r="Z609" s="57">
        <f t="shared" si="319"/>
        <v>1857.6959952751045</v>
      </c>
      <c r="AA609" s="57">
        <f t="shared" si="294"/>
        <v>-8.95491675153073</v>
      </c>
      <c r="AB609" s="57">
        <f t="shared" si="295"/>
        <v>-17.00004403366799</v>
      </c>
      <c r="AC609" s="57">
        <f t="shared" si="296"/>
        <v>-1.4303168347644022</v>
      </c>
      <c r="AD609" s="57">
        <f t="shared" si="297"/>
        <v>-2.947888163847316</v>
      </c>
      <c r="AE609" s="57">
        <f t="shared" si="298"/>
        <v>-0.53302979912928727</v>
      </c>
      <c r="AF609" s="57">
        <f t="shared" si="299"/>
        <v>-0.88742397030475195</v>
      </c>
      <c r="AG609" s="57">
        <f t="shared" si="300"/>
        <v>-1.3039801659028691</v>
      </c>
      <c r="AH609" s="57">
        <f t="shared" si="301"/>
        <v>-2.4977182457720986</v>
      </c>
      <c r="AJ609" s="57">
        <f t="shared" si="302"/>
        <v>399563.89429973142</v>
      </c>
      <c r="AK609" s="57">
        <f t="shared" si="303"/>
        <v>416429.90467529121</v>
      </c>
      <c r="AL609" s="57">
        <f t="shared" si="304"/>
        <v>430906.47998764954</v>
      </c>
      <c r="AN609" s="41">
        <v>604</v>
      </c>
      <c r="AO609" s="57">
        <f t="shared" si="305"/>
        <v>1712.2163990819154</v>
      </c>
      <c r="AP609" s="57">
        <f t="shared" si="306"/>
        <v>8259.044652756249</v>
      </c>
      <c r="AR609" s="41">
        <v>604</v>
      </c>
      <c r="AS609" s="57">
        <f t="shared" si="307"/>
        <v>13465.700986238227</v>
      </c>
      <c r="AT609" s="57">
        <f t="shared" si="308"/>
        <v>-8145.7791620470834</v>
      </c>
      <c r="AV609" s="57">
        <f t="shared" si="309"/>
        <v>-5.2303440626128879</v>
      </c>
      <c r="AW609" s="57">
        <f t="shared" si="310"/>
        <v>-9.7190344357601504</v>
      </c>
      <c r="AX609" s="57">
        <f t="shared" si="311"/>
        <v>-0.4572458891212835</v>
      </c>
      <c r="AY609" s="57">
        <f t="shared" si="312"/>
        <v>-0.94797921798367235</v>
      </c>
      <c r="BA609" s="57">
        <f t="shared" si="313"/>
        <v>399716.08726296178</v>
      </c>
      <c r="BB609" s="57">
        <f t="shared" si="314"/>
        <v>412993.77717455151</v>
      </c>
    </row>
    <row r="610" spans="9:54" x14ac:dyDescent="0.25">
      <c r="I610" s="41">
        <v>605</v>
      </c>
      <c r="J610" s="57">
        <f t="shared" si="288"/>
        <v>17886.908691296503</v>
      </c>
      <c r="K610" s="57">
        <f t="shared" si="289"/>
        <v>2968.46106481675</v>
      </c>
      <c r="M610" s="41">
        <v>605</v>
      </c>
      <c r="N610" s="57">
        <f t="shared" si="290"/>
        <v>-21479.163916092446</v>
      </c>
      <c r="O610" s="57">
        <f t="shared" si="291"/>
        <v>6827.9227453717249</v>
      </c>
      <c r="Q610" s="41">
        <v>605</v>
      </c>
      <c r="R610" s="57">
        <f t="shared" si="292"/>
        <v>-7113.0913087034969</v>
      </c>
      <c r="S610" s="41">
        <f t="shared" si="293"/>
        <v>-19531.538935183249</v>
      </c>
      <c r="U610" s="41">
        <v>604</v>
      </c>
      <c r="V610" s="41">
        <f t="shared" si="315"/>
        <v>302</v>
      </c>
      <c r="W610" s="57">
        <f t="shared" si="316"/>
        <v>195055.67924583115</v>
      </c>
      <c r="X610" s="57">
        <f t="shared" si="317"/>
        <v>367910.2594583974</v>
      </c>
      <c r="Y610" s="57">
        <f t="shared" si="318"/>
        <v>1265.9307065602143</v>
      </c>
      <c r="Z610" s="57">
        <f t="shared" si="319"/>
        <v>1849.1959732582704</v>
      </c>
      <c r="AA610" s="57">
        <f t="shared" si="294"/>
        <v>-8.9113254697776174</v>
      </c>
      <c r="AB610" s="57">
        <f t="shared" si="295"/>
        <v>-16.904280127829619</v>
      </c>
      <c r="AC610" s="57">
        <f t="shared" si="296"/>
        <v>-1.423620055806389</v>
      </c>
      <c r="AD610" s="57">
        <f t="shared" si="297"/>
        <v>-2.9309947320408209</v>
      </c>
      <c r="AE610" s="57">
        <f t="shared" si="298"/>
        <v>-0.53031331631213385</v>
      </c>
      <c r="AF610" s="57">
        <f t="shared" si="299"/>
        <v>-0.88258341886685299</v>
      </c>
      <c r="AG610" s="57">
        <f t="shared" si="300"/>
        <v>-1.2980296387288048</v>
      </c>
      <c r="AH610" s="57">
        <f t="shared" si="301"/>
        <v>-2.4844526664978135</v>
      </c>
      <c r="AJ610" s="57">
        <f t="shared" si="302"/>
        <v>400674.48877996794</v>
      </c>
      <c r="AK610" s="57">
        <f t="shared" si="303"/>
        <v>417550.83403277159</v>
      </c>
      <c r="AL610" s="57">
        <f t="shared" si="304"/>
        <v>432021.45964871714</v>
      </c>
      <c r="AN610" s="41">
        <v>605</v>
      </c>
      <c r="AO610" s="57">
        <f t="shared" si="305"/>
        <v>1830.3630369447546</v>
      </c>
      <c r="AP610" s="57">
        <f t="shared" si="306"/>
        <v>8202.6915972251245</v>
      </c>
      <c r="AR610" s="41">
        <v>605</v>
      </c>
      <c r="AS610" s="57">
        <f t="shared" si="307"/>
        <v>13520.836083907552</v>
      </c>
      <c r="AT610" s="57">
        <f t="shared" si="308"/>
        <v>-8172.0772546282751</v>
      </c>
      <c r="AV610" s="57">
        <f t="shared" si="309"/>
        <v>-5.2041803092605869</v>
      </c>
      <c r="AW610" s="57">
        <f t="shared" si="310"/>
        <v>-9.6635292904551395</v>
      </c>
      <c r="AX610" s="57">
        <f t="shared" si="311"/>
        <v>-0.45518214966970322</v>
      </c>
      <c r="AY610" s="57">
        <f t="shared" si="312"/>
        <v>-0.94272001996899057</v>
      </c>
      <c r="BA610" s="57">
        <f t="shared" si="313"/>
        <v>400832.64892544324</v>
      </c>
      <c r="BB610" s="57">
        <f t="shared" si="314"/>
        <v>414103.98360557569</v>
      </c>
    </row>
    <row r="611" spans="9:54" x14ac:dyDescent="0.25">
      <c r="I611" s="41">
        <v>606</v>
      </c>
      <c r="J611" s="57">
        <f t="shared" si="288"/>
        <v>17966.316784620994</v>
      </c>
      <c r="K611" s="57">
        <f t="shared" si="289"/>
        <v>2932.2727117869972</v>
      </c>
      <c r="M611" s="41">
        <v>606</v>
      </c>
      <c r="N611" s="57">
        <f t="shared" si="290"/>
        <v>-21423.578250765306</v>
      </c>
      <c r="O611" s="57">
        <f t="shared" si="291"/>
        <v>6802.5908982508981</v>
      </c>
      <c r="Q611" s="41">
        <v>606</v>
      </c>
      <c r="R611" s="57">
        <f t="shared" si="292"/>
        <v>-7033.6832153790056</v>
      </c>
      <c r="S611" s="41">
        <f t="shared" si="293"/>
        <v>-19567.727288213002</v>
      </c>
      <c r="U611" s="41">
        <v>605</v>
      </c>
      <c r="V611" s="41">
        <f t="shared" si="315"/>
        <v>302.5</v>
      </c>
      <c r="W611" s="57">
        <f t="shared" si="316"/>
        <v>195687.53068342753</v>
      </c>
      <c r="X611" s="57">
        <f t="shared" si="317"/>
        <v>368832.74441001052</v>
      </c>
      <c r="Y611" s="57">
        <f t="shared" si="318"/>
        <v>1261.4750438253254</v>
      </c>
      <c r="Z611" s="57">
        <f t="shared" si="319"/>
        <v>1840.7438331943556</v>
      </c>
      <c r="AA611" s="57">
        <f t="shared" si="294"/>
        <v>-8.8682521833668844</v>
      </c>
      <c r="AB611" s="57">
        <f t="shared" si="295"/>
        <v>-16.809711467204014</v>
      </c>
      <c r="AC611" s="57">
        <f t="shared" si="296"/>
        <v>-1.4170005302455086</v>
      </c>
      <c r="AD611" s="57">
        <f t="shared" si="297"/>
        <v>-2.9143143422434545</v>
      </c>
      <c r="AE611" s="57">
        <f t="shared" si="298"/>
        <v>-0.52763006315075012</v>
      </c>
      <c r="AF611" s="57">
        <f t="shared" si="299"/>
        <v>-0.87780198972883028</v>
      </c>
      <c r="AG611" s="57">
        <f t="shared" si="300"/>
        <v>-1.2921471686911521</v>
      </c>
      <c r="AH611" s="57">
        <f t="shared" si="301"/>
        <v>-2.4713463375196434</v>
      </c>
      <c r="AJ611" s="57">
        <f t="shared" si="302"/>
        <v>401780.36365719803</v>
      </c>
      <c r="AK611" s="57">
        <f t="shared" si="303"/>
        <v>418666.99100016762</v>
      </c>
      <c r="AL611" s="57">
        <f t="shared" si="304"/>
        <v>433131.68973550311</v>
      </c>
      <c r="AN611" s="41">
        <v>606</v>
      </c>
      <c r="AO611" s="57">
        <f t="shared" si="305"/>
        <v>1949.4751769314912</v>
      </c>
      <c r="AP611" s="57">
        <f t="shared" si="306"/>
        <v>8148.4090676804963</v>
      </c>
      <c r="AR611" s="41">
        <v>606</v>
      </c>
      <c r="AS611" s="57">
        <f t="shared" si="307"/>
        <v>13576.421749234696</v>
      </c>
      <c r="AT611" s="57">
        <f t="shared" si="308"/>
        <v>-8197.409101749101</v>
      </c>
      <c r="AV611" s="57">
        <f t="shared" si="309"/>
        <v>-5.1783327074589449</v>
      </c>
      <c r="AW611" s="57">
        <f t="shared" si="310"/>
        <v>-9.6087230600839657</v>
      </c>
      <c r="AX611" s="57">
        <f t="shared" si="311"/>
        <v>-0.45314171382052892</v>
      </c>
      <c r="AY611" s="57">
        <f t="shared" si="312"/>
        <v>-0.93752573762811986</v>
      </c>
      <c r="BA611" s="57">
        <f t="shared" si="313"/>
        <v>401944.45558418013</v>
      </c>
      <c r="BB611" s="57">
        <f t="shared" si="314"/>
        <v>415209.4706742547</v>
      </c>
    </row>
    <row r="612" spans="9:54" x14ac:dyDescent="0.25">
      <c r="I612" s="41">
        <v>607</v>
      </c>
      <c r="J612" s="57">
        <f t="shared" si="288"/>
        <v>18046.344357553629</v>
      </c>
      <c r="K612" s="57">
        <f t="shared" si="289"/>
        <v>2897.4757327377993</v>
      </c>
      <c r="M612" s="41">
        <v>607</v>
      </c>
      <c r="N612" s="57">
        <f t="shared" si="290"/>
        <v>-21367.55894971246</v>
      </c>
      <c r="O612" s="57">
        <f t="shared" si="291"/>
        <v>6778.2330129164593</v>
      </c>
      <c r="Q612" s="41">
        <v>607</v>
      </c>
      <c r="R612" s="57">
        <f t="shared" si="292"/>
        <v>-6953.6556424463706</v>
      </c>
      <c r="S612" s="41">
        <f t="shared" si="293"/>
        <v>-19602.524267262201</v>
      </c>
      <c r="U612" s="41">
        <v>606</v>
      </c>
      <c r="V612" s="41">
        <f t="shared" si="315"/>
        <v>303</v>
      </c>
      <c r="W612" s="57">
        <f t="shared" si="316"/>
        <v>196317.15967381728</v>
      </c>
      <c r="X612" s="57">
        <f t="shared" si="317"/>
        <v>369751.01511267433</v>
      </c>
      <c r="Y612" s="57">
        <f t="shared" si="318"/>
        <v>1257.0409177336419</v>
      </c>
      <c r="Z612" s="57">
        <f t="shared" si="319"/>
        <v>1832.3389774607535</v>
      </c>
      <c r="AA612" s="57">
        <f t="shared" si="294"/>
        <v>-8.8256883561331012</v>
      </c>
      <c r="AB612" s="57">
        <f t="shared" si="295"/>
        <v>-16.716317225276963</v>
      </c>
      <c r="AC612" s="57">
        <f t="shared" si="296"/>
        <v>-1.4104570300399735</v>
      </c>
      <c r="AD612" s="57">
        <f t="shared" si="297"/>
        <v>-2.8978432493468844</v>
      </c>
      <c r="AE612" s="57">
        <f t="shared" si="298"/>
        <v>-0.52497947429558955</v>
      </c>
      <c r="AF612" s="57">
        <f t="shared" si="299"/>
        <v>-0.87307867335138656</v>
      </c>
      <c r="AG612" s="57">
        <f t="shared" si="300"/>
        <v>-1.2863316765835993</v>
      </c>
      <c r="AH612" s="57">
        <f t="shared" si="301"/>
        <v>-2.4583965874494482</v>
      </c>
      <c r="AJ612" s="57">
        <f t="shared" si="302"/>
        <v>402881.54430999362</v>
      </c>
      <c r="AK612" s="57">
        <f t="shared" si="303"/>
        <v>419778.40159296832</v>
      </c>
      <c r="AL612" s="57">
        <f t="shared" si="304"/>
        <v>434237.19602236582</v>
      </c>
      <c r="AN612" s="41">
        <v>607</v>
      </c>
      <c r="AO612" s="57">
        <f t="shared" si="305"/>
        <v>2069.5165363304445</v>
      </c>
      <c r="AP612" s="57">
        <f t="shared" si="306"/>
        <v>8096.2135991066989</v>
      </c>
      <c r="AR612" s="41">
        <v>607</v>
      </c>
      <c r="AS612" s="57">
        <f t="shared" si="307"/>
        <v>13632.44105028754</v>
      </c>
      <c r="AT612" s="57">
        <f t="shared" si="308"/>
        <v>-8221.7669870835416</v>
      </c>
      <c r="AV612" s="57">
        <f t="shared" si="309"/>
        <v>-5.1527959561774317</v>
      </c>
      <c r="AW612" s="57">
        <f t="shared" si="310"/>
        <v>-9.5546034618064262</v>
      </c>
      <c r="AX612" s="57">
        <f t="shared" si="311"/>
        <v>-0.4511242190365059</v>
      </c>
      <c r="AY612" s="57">
        <f t="shared" si="312"/>
        <v>-0.93239525332281981</v>
      </c>
      <c r="BA612" s="57">
        <f t="shared" si="313"/>
        <v>403051.53306882456</v>
      </c>
      <c r="BB612" s="57">
        <f t="shared" si="314"/>
        <v>416310.263769896</v>
      </c>
    </row>
    <row r="613" spans="9:54" x14ac:dyDescent="0.25">
      <c r="I613" s="41">
        <v>608</v>
      </c>
      <c r="J613" s="57">
        <f t="shared" si="288"/>
        <v>18126.967032920435</v>
      </c>
      <c r="K613" s="57">
        <f t="shared" si="289"/>
        <v>2864.080727166066</v>
      </c>
      <c r="M613" s="41">
        <v>608</v>
      </c>
      <c r="N613" s="57">
        <f t="shared" si="290"/>
        <v>-21311.123076955697</v>
      </c>
      <c r="O613" s="57">
        <f t="shared" si="291"/>
        <v>6754.8565090162465</v>
      </c>
      <c r="Q613" s="41">
        <v>608</v>
      </c>
      <c r="R613" s="57">
        <f t="shared" si="292"/>
        <v>-6873.0329670795672</v>
      </c>
      <c r="S613" s="41">
        <f t="shared" si="293"/>
        <v>-19635.919272833933</v>
      </c>
      <c r="U613" s="41">
        <v>607</v>
      </c>
      <c r="V613" s="41">
        <f t="shared" si="315"/>
        <v>303.5</v>
      </c>
      <c r="W613" s="57">
        <f t="shared" si="316"/>
        <v>196944.57692163959</v>
      </c>
      <c r="X613" s="57">
        <f t="shared" si="317"/>
        <v>370665.09506175155</v>
      </c>
      <c r="Y613" s="57">
        <f t="shared" si="318"/>
        <v>1252.6280735555754</v>
      </c>
      <c r="Z613" s="57">
        <f t="shared" si="319"/>
        <v>1823.980818848115</v>
      </c>
      <c r="AA613" s="57">
        <f t="shared" si="294"/>
        <v>-8.7836256381155504</v>
      </c>
      <c r="AB613" s="57">
        <f t="shared" si="295"/>
        <v>-16.624077050318803</v>
      </c>
      <c r="AC613" s="57">
        <f t="shared" si="296"/>
        <v>-1.403988352956522</v>
      </c>
      <c r="AD613" s="57">
        <f t="shared" si="297"/>
        <v>-2.8815777942312919</v>
      </c>
      <c r="AE613" s="57">
        <f t="shared" si="298"/>
        <v>-0.52236099709666783</v>
      </c>
      <c r="AF613" s="57">
        <f t="shared" si="299"/>
        <v>-0.8684124827995594</v>
      </c>
      <c r="AG613" s="57">
        <f t="shared" si="300"/>
        <v>-1.2805821059730544</v>
      </c>
      <c r="AH613" s="57">
        <f t="shared" si="301"/>
        <v>-2.4456008037597083</v>
      </c>
      <c r="AJ613" s="57">
        <f t="shared" si="302"/>
        <v>403978.05580648693</v>
      </c>
      <c r="AK613" s="57">
        <f t="shared" si="303"/>
        <v>420885.09150552185</v>
      </c>
      <c r="AL613" s="57">
        <f t="shared" si="304"/>
        <v>435338.00396594126</v>
      </c>
      <c r="AN613" s="41">
        <v>608</v>
      </c>
      <c r="AO613" s="57">
        <f t="shared" si="305"/>
        <v>2190.45054938065</v>
      </c>
      <c r="AP613" s="57">
        <f t="shared" si="306"/>
        <v>8046.1210907490986</v>
      </c>
      <c r="AR613" s="41">
        <v>608</v>
      </c>
      <c r="AS613" s="57">
        <f t="shared" si="307"/>
        <v>13688.876923044303</v>
      </c>
      <c r="AT613" s="57">
        <f t="shared" si="308"/>
        <v>-8245.1434909837535</v>
      </c>
      <c r="AV613" s="57">
        <f t="shared" si="309"/>
        <v>-5.1275648718281399</v>
      </c>
      <c r="AW613" s="57">
        <f t="shared" si="310"/>
        <v>-9.5011584949262105</v>
      </c>
      <c r="AX613" s="57">
        <f t="shared" si="311"/>
        <v>-0.44912931026116587</v>
      </c>
      <c r="AY613" s="57">
        <f t="shared" si="312"/>
        <v>-0.92732747460203524</v>
      </c>
      <c r="BA613" s="57">
        <f t="shared" si="313"/>
        <v>404153.90689057059</v>
      </c>
      <c r="BB613" s="57">
        <f t="shared" si="314"/>
        <v>417406.38797094283</v>
      </c>
    </row>
    <row r="614" spans="9:54" x14ac:dyDescent="0.25">
      <c r="I614" s="41">
        <v>609</v>
      </c>
      <c r="J614" s="57">
        <f t="shared" si="288"/>
        <v>18208.160252273494</v>
      </c>
      <c r="K614" s="57">
        <f t="shared" si="289"/>
        <v>2832.0978675139922</v>
      </c>
      <c r="M614" s="41">
        <v>609</v>
      </c>
      <c r="N614" s="57">
        <f t="shared" si="290"/>
        <v>-21254.287823408555</v>
      </c>
      <c r="O614" s="57">
        <f t="shared" si="291"/>
        <v>6732.4685072597949</v>
      </c>
      <c r="Q614" s="41">
        <v>609</v>
      </c>
      <c r="R614" s="57">
        <f t="shared" si="292"/>
        <v>-6791.8397477265044</v>
      </c>
      <c r="S614" s="41">
        <f t="shared" si="293"/>
        <v>-19667.902132486008</v>
      </c>
      <c r="U614" s="41">
        <v>608</v>
      </c>
      <c r="V614" s="41">
        <f t="shared" si="315"/>
        <v>304</v>
      </c>
      <c r="W614" s="57">
        <f t="shared" si="316"/>
        <v>197569.79300521262</v>
      </c>
      <c r="X614" s="57">
        <f t="shared" si="317"/>
        <v>371575.0074615443</v>
      </c>
      <c r="Y614" s="57">
        <f t="shared" si="318"/>
        <v>1248.2362607365176</v>
      </c>
      <c r="Z614" s="57">
        <f t="shared" si="319"/>
        <v>1815.6687803229556</v>
      </c>
      <c r="AA614" s="57">
        <f t="shared" si="294"/>
        <v>-8.7420558605575032</v>
      </c>
      <c r="AB614" s="57">
        <f t="shared" si="295"/>
        <v>-16.532971052110984</v>
      </c>
      <c r="AC614" s="57">
        <f t="shared" si="296"/>
        <v>-1.3975933219046108</v>
      </c>
      <c r="AD614" s="57">
        <f t="shared" si="297"/>
        <v>-2.8655144013469052</v>
      </c>
      <c r="AE614" s="57">
        <f t="shared" si="298"/>
        <v>-0.51977409125259821</v>
      </c>
      <c r="AF614" s="57">
        <f t="shared" si="299"/>
        <v>-0.86380245312120574</v>
      </c>
      <c r="AG614" s="57">
        <f t="shared" si="300"/>
        <v>-1.2748974226063499</v>
      </c>
      <c r="AH614" s="57">
        <f t="shared" si="301"/>
        <v>-2.4329564311894778</v>
      </c>
      <c r="AJ614" s="57">
        <f t="shared" si="302"/>
        <v>405069.92290965962</v>
      </c>
      <c r="AK614" s="57">
        <f t="shared" si="303"/>
        <v>421987.08611656219</v>
      </c>
      <c r="AL614" s="57">
        <f t="shared" si="304"/>
        <v>436434.13871060516</v>
      </c>
      <c r="AN614" s="41">
        <v>609</v>
      </c>
      <c r="AO614" s="57">
        <f t="shared" si="305"/>
        <v>2312.240378410243</v>
      </c>
      <c r="AP614" s="57">
        <f t="shared" si="306"/>
        <v>7998.1468012709884</v>
      </c>
      <c r="AR614" s="41">
        <v>609</v>
      </c>
      <c r="AS614" s="57">
        <f t="shared" si="307"/>
        <v>13745.712176591447</v>
      </c>
      <c r="AT614" s="57">
        <f t="shared" si="308"/>
        <v>-8267.5314927402051</v>
      </c>
      <c r="AV614" s="57">
        <f t="shared" si="309"/>
        <v>-5.1026343850649161</v>
      </c>
      <c r="AW614" s="57">
        <f t="shared" si="310"/>
        <v>-9.4483764329476347</v>
      </c>
      <c r="AX614" s="57">
        <f t="shared" si="311"/>
        <v>-0.44715663972902858</v>
      </c>
      <c r="AY614" s="57">
        <f t="shared" si="312"/>
        <v>-0.9223213335057584</v>
      </c>
      <c r="BA614" s="57">
        <f t="shared" si="313"/>
        <v>405251.60224762937</v>
      </c>
      <c r="BB614" s="57">
        <f t="shared" si="314"/>
        <v>418497.86805027851</v>
      </c>
    </row>
    <row r="615" spans="9:54" x14ac:dyDescent="0.25">
      <c r="I615" s="41">
        <v>610</v>
      </c>
      <c r="J615" s="57">
        <f t="shared" si="288"/>
        <v>18289.899283371655</v>
      </c>
      <c r="K615" s="57">
        <f t="shared" si="289"/>
        <v>2801.5368960704582</v>
      </c>
      <c r="M615" s="41">
        <v>610</v>
      </c>
      <c r="N615" s="57">
        <f t="shared" si="290"/>
        <v>-21197.070501639842</v>
      </c>
      <c r="O615" s="57">
        <f t="shared" si="291"/>
        <v>6711.0758272493204</v>
      </c>
      <c r="Q615" s="41">
        <v>610</v>
      </c>
      <c r="R615" s="57">
        <f t="shared" si="292"/>
        <v>-6710.1007166283434</v>
      </c>
      <c r="S615" s="41">
        <f t="shared" si="293"/>
        <v>-19698.463103929542</v>
      </c>
      <c r="U615" s="41">
        <v>609</v>
      </c>
      <c r="V615" s="41">
        <f t="shared" si="315"/>
        <v>304.5</v>
      </c>
      <c r="W615" s="57">
        <f t="shared" si="316"/>
        <v>198192.81837859831</v>
      </c>
      <c r="X615" s="57">
        <f t="shared" si="317"/>
        <v>372480.7752303243</v>
      </c>
      <c r="Y615" s="57">
        <f t="shared" si="318"/>
        <v>1243.8652328062387</v>
      </c>
      <c r="Z615" s="57">
        <f t="shared" si="319"/>
        <v>1807.4022947969002</v>
      </c>
      <c r="AA615" s="57">
        <f t="shared" si="294"/>
        <v>-8.7009710310647392</v>
      </c>
      <c r="AB615" s="57">
        <f t="shared" si="295"/>
        <v>-16.442979789111309</v>
      </c>
      <c r="AC615" s="57">
        <f t="shared" si="296"/>
        <v>-1.3912707842909333</v>
      </c>
      <c r="AD615" s="57">
        <f t="shared" si="297"/>
        <v>-2.8496495763759322</v>
      </c>
      <c r="AE615" s="57">
        <f t="shared" si="298"/>
        <v>-0.51721822847110988</v>
      </c>
      <c r="AF615" s="57">
        <f t="shared" si="299"/>
        <v>-0.85924764074568749</v>
      </c>
      <c r="AG615" s="57">
        <f t="shared" si="300"/>
        <v>-1.2692766138354539</v>
      </c>
      <c r="AH615" s="57">
        <f t="shared" si="301"/>
        <v>-2.4204609702017135</v>
      </c>
      <c r="AJ615" s="57">
        <f t="shared" si="302"/>
        <v>406157.17008251452</v>
      </c>
      <c r="AK615" s="57">
        <f t="shared" si="303"/>
        <v>423084.41049461142</v>
      </c>
      <c r="AL615" s="57">
        <f t="shared" si="304"/>
        <v>437525.62509381224</v>
      </c>
      <c r="AN615" s="41">
        <v>610</v>
      </c>
      <c r="AO615" s="57">
        <f t="shared" si="305"/>
        <v>2434.8489250574844</v>
      </c>
      <c r="AP615" s="57">
        <f t="shared" si="306"/>
        <v>7952.3053441056863</v>
      </c>
      <c r="AR615" s="41">
        <v>610</v>
      </c>
      <c r="AS615" s="57">
        <f t="shared" si="307"/>
        <v>13802.929498360159</v>
      </c>
      <c r="AT615" s="57">
        <f t="shared" si="308"/>
        <v>-8288.9241727506796</v>
      </c>
      <c r="AV615" s="57">
        <f t="shared" si="309"/>
        <v>-5.0779995376857343</v>
      </c>
      <c r="AW615" s="57">
        <f t="shared" si="310"/>
        <v>-9.3962458158963322</v>
      </c>
      <c r="AX615" s="57">
        <f t="shared" si="311"/>
        <v>-0.44520586678150631</v>
      </c>
      <c r="AY615" s="57">
        <f t="shared" si="312"/>
        <v>-0.91737578589164215</v>
      </c>
      <c r="BA615" s="57">
        <f t="shared" si="313"/>
        <v>406344.64403058117</v>
      </c>
      <c r="BB615" s="57">
        <f t="shared" si="314"/>
        <v>419584.72848041164</v>
      </c>
    </row>
    <row r="616" spans="9:54" x14ac:dyDescent="0.25">
      <c r="I616" s="41">
        <v>611</v>
      </c>
      <c r="J616" s="57">
        <f t="shared" si="288"/>
        <v>18372.159227714212</v>
      </c>
      <c r="K616" s="57">
        <f t="shared" si="289"/>
        <v>2772.4071220034184</v>
      </c>
      <c r="M616" s="41">
        <v>611</v>
      </c>
      <c r="N616" s="57">
        <f t="shared" si="290"/>
        <v>-21139.48854060005</v>
      </c>
      <c r="O616" s="57">
        <f t="shared" si="291"/>
        <v>6690.6849854023931</v>
      </c>
      <c r="Q616" s="41">
        <v>611</v>
      </c>
      <c r="R616" s="57">
        <f t="shared" si="292"/>
        <v>-6627.8407722857883</v>
      </c>
      <c r="S616" s="41">
        <f t="shared" si="293"/>
        <v>-19727.592877996583</v>
      </c>
      <c r="U616" s="41">
        <v>610</v>
      </c>
      <c r="V616" s="41">
        <f t="shared" si="315"/>
        <v>305</v>
      </c>
      <c r="W616" s="57">
        <f t="shared" si="316"/>
        <v>198813.66337362255</v>
      </c>
      <c r="X616" s="57">
        <f t="shared" si="317"/>
        <v>373382.42100524908</v>
      </c>
      <c r="Y616" s="57">
        <f t="shared" si="318"/>
        <v>1239.5147472907063</v>
      </c>
      <c r="Z616" s="57">
        <f t="shared" si="319"/>
        <v>1799.1808049023446</v>
      </c>
      <c r="AA616" s="57">
        <f t="shared" si="294"/>
        <v>-8.6603633289181019</v>
      </c>
      <c r="AB616" s="57">
        <f t="shared" si="295"/>
        <v>-16.354084256042313</v>
      </c>
      <c r="AC616" s="57">
        <f t="shared" si="296"/>
        <v>-1.3850196113936708</v>
      </c>
      <c r="AD616" s="57">
        <f t="shared" si="297"/>
        <v>-2.833979903972029</v>
      </c>
      <c r="AE616" s="57">
        <f t="shared" si="298"/>
        <v>-0.51469289214070046</v>
      </c>
      <c r="AF616" s="57">
        <f t="shared" si="299"/>
        <v>-0.85474712290214017</v>
      </c>
      <c r="AG616" s="57">
        <f t="shared" si="300"/>
        <v>-1.2637186880603577</v>
      </c>
      <c r="AH616" s="57">
        <f t="shared" si="301"/>
        <v>-2.4081119754897586</v>
      </c>
      <c r="AJ616" s="57">
        <f t="shared" si="302"/>
        <v>407239.8214931314</v>
      </c>
      <c r="AK616" s="57">
        <f t="shared" si="303"/>
        <v>424177.08940325986</v>
      </c>
      <c r="AL616" s="57">
        <f t="shared" si="304"/>
        <v>438612.48765131488</v>
      </c>
      <c r="AN616" s="41">
        <v>611</v>
      </c>
      <c r="AO616" s="57">
        <f t="shared" si="305"/>
        <v>2558.2388415713172</v>
      </c>
      <c r="AP616" s="57">
        <f t="shared" si="306"/>
        <v>7908.6106830051267</v>
      </c>
      <c r="AR616" s="41">
        <v>611</v>
      </c>
      <c r="AS616" s="57">
        <f t="shared" si="307"/>
        <v>13860.511459399948</v>
      </c>
      <c r="AT616" s="57">
        <f t="shared" si="308"/>
        <v>-8309.3150145976069</v>
      </c>
      <c r="AV616" s="57">
        <f t="shared" si="309"/>
        <v>-5.0536554796350472</v>
      </c>
      <c r="AW616" s="57">
        <f t="shared" si="310"/>
        <v>-9.3447554428948596</v>
      </c>
      <c r="AX616" s="57">
        <f t="shared" si="311"/>
        <v>-0.44327665768832519</v>
      </c>
      <c r="AY616" s="57">
        <f t="shared" si="312"/>
        <v>-0.91248981078352576</v>
      </c>
      <c r="BA616" s="57">
        <f t="shared" si="313"/>
        <v>407433.05682760634</v>
      </c>
      <c r="BB616" s="57">
        <f t="shared" si="314"/>
        <v>420666.99343854515</v>
      </c>
    </row>
    <row r="617" spans="9:54" x14ac:dyDescent="0.25">
      <c r="I617" s="41">
        <v>612</v>
      </c>
      <c r="J617" s="57">
        <f t="shared" si="288"/>
        <v>18454.915028125262</v>
      </c>
      <c r="K617" s="57">
        <f t="shared" si="289"/>
        <v>2744.7174185242329</v>
      </c>
      <c r="M617" s="41">
        <v>612</v>
      </c>
      <c r="N617" s="57">
        <f t="shared" si="290"/>
        <v>-21081.559480312317</v>
      </c>
      <c r="O617" s="57">
        <f t="shared" si="291"/>
        <v>6671.302192966963</v>
      </c>
      <c r="Q617" s="41">
        <v>612</v>
      </c>
      <c r="R617" s="57">
        <f t="shared" si="292"/>
        <v>-6545.0849718747395</v>
      </c>
      <c r="S617" s="41">
        <f t="shared" si="293"/>
        <v>-19755.282581475767</v>
      </c>
      <c r="U617" s="41">
        <v>611</v>
      </c>
      <c r="V617" s="41">
        <f t="shared" si="315"/>
        <v>305.5</v>
      </c>
      <c r="W617" s="57">
        <f t="shared" si="316"/>
        <v>199432.33820185179</v>
      </c>
      <c r="X617" s="57">
        <f t="shared" si="317"/>
        <v>374279.96714716824</v>
      </c>
      <c r="Y617" s="57">
        <f t="shared" si="318"/>
        <v>1235.1845656262471</v>
      </c>
      <c r="Z617" s="57">
        <f t="shared" si="319"/>
        <v>1791.0037627743234</v>
      </c>
      <c r="AA617" s="57">
        <f t="shared" si="294"/>
        <v>-8.62022510053324</v>
      </c>
      <c r="AB617" s="57">
        <f t="shared" si="295"/>
        <v>-16.266265871884368</v>
      </c>
      <c r="AC617" s="57">
        <f t="shared" si="296"/>
        <v>-1.3788386977555231</v>
      </c>
      <c r="AD617" s="57">
        <f t="shared" si="297"/>
        <v>-2.8185020455738323</v>
      </c>
      <c r="AE617" s="57">
        <f t="shared" si="298"/>
        <v>-0.51219757701286583</v>
      </c>
      <c r="AF617" s="57">
        <f t="shared" si="299"/>
        <v>-0.85029999705636516</v>
      </c>
      <c r="AG617" s="57">
        <f t="shared" si="300"/>
        <v>-1.2582226741890961</v>
      </c>
      <c r="AH617" s="57">
        <f t="shared" si="301"/>
        <v>-2.3959070545313401</v>
      </c>
      <c r="AJ617" s="57">
        <f t="shared" si="302"/>
        <v>408317.9010196118</v>
      </c>
      <c r="AK617" s="57">
        <f t="shared" si="303"/>
        <v>425265.14730632916</v>
      </c>
      <c r="AL617" s="57">
        <f t="shared" si="304"/>
        <v>439694.75062226597</v>
      </c>
      <c r="AN617" s="41">
        <v>612</v>
      </c>
      <c r="AO617" s="57">
        <f t="shared" si="305"/>
        <v>2682.3725421878912</v>
      </c>
      <c r="AP617" s="57">
        <f t="shared" si="306"/>
        <v>7867.0761277863494</v>
      </c>
      <c r="AR617" s="41">
        <v>612</v>
      </c>
      <c r="AS617" s="57">
        <f t="shared" si="307"/>
        <v>13918.440519687683</v>
      </c>
      <c r="AT617" s="57">
        <f t="shared" si="308"/>
        <v>-8328.697807033037</v>
      </c>
      <c r="AV617" s="57">
        <f t="shared" si="309"/>
        <v>-5.0295974661015004</v>
      </c>
      <c r="AW617" s="57">
        <f t="shared" si="310"/>
        <v>-9.2938943649818082</v>
      </c>
      <c r="AX617" s="57">
        <f t="shared" si="311"/>
        <v>-0.44136868547425412</v>
      </c>
      <c r="AY617" s="57">
        <f t="shared" si="312"/>
        <v>-0.90766240974102186</v>
      </c>
      <c r="BA617" s="57">
        <f t="shared" si="313"/>
        <v>408516.86492960062</v>
      </c>
      <c r="BB617" s="57">
        <f t="shared" si="314"/>
        <v>421744.6868115344</v>
      </c>
    </row>
    <row r="618" spans="9:54" x14ac:dyDescent="0.25">
      <c r="I618" s="41">
        <v>613</v>
      </c>
      <c r="J618" s="57">
        <f t="shared" si="288"/>
        <v>18538.14147638631</v>
      </c>
      <c r="K618" s="57">
        <f t="shared" si="289"/>
        <v>2718.4762201848253</v>
      </c>
      <c r="M618" s="41">
        <v>613</v>
      </c>
      <c r="N618" s="57">
        <f t="shared" si="290"/>
        <v>-21023.300966529583</v>
      </c>
      <c r="O618" s="57">
        <f t="shared" si="291"/>
        <v>6652.9333541293781</v>
      </c>
      <c r="Q618" s="41">
        <v>613</v>
      </c>
      <c r="R618" s="57">
        <f t="shared" si="292"/>
        <v>-6461.8585236136905</v>
      </c>
      <c r="S618" s="41">
        <f t="shared" si="293"/>
        <v>-19781.523779815176</v>
      </c>
      <c r="U618" s="41">
        <v>612</v>
      </c>
      <c r="V618" s="41">
        <f t="shared" si="315"/>
        <v>306</v>
      </c>
      <c r="W618" s="57">
        <f t="shared" si="316"/>
        <v>200048.85295652735</v>
      </c>
      <c r="X618" s="57">
        <f t="shared" si="317"/>
        <v>375173.43574532139</v>
      </c>
      <c r="Y618" s="57">
        <f t="shared" si="318"/>
        <v>1230.8744530759805</v>
      </c>
      <c r="Z618" s="57">
        <f t="shared" si="319"/>
        <v>1782.8706298383811</v>
      </c>
      <c r="AA618" s="57">
        <f t="shared" si="294"/>
        <v>-8.5805488550641478</v>
      </c>
      <c r="AB618" s="57">
        <f t="shared" si="295"/>
        <v>-16.179506468262133</v>
      </c>
      <c r="AC618" s="57">
        <f t="shared" si="296"/>
        <v>-1.3727269605951811</v>
      </c>
      <c r="AD618" s="57">
        <f t="shared" si="297"/>
        <v>-2.8032127372903939</v>
      </c>
      <c r="AE618" s="57">
        <f t="shared" si="298"/>
        <v>-0.50973178889464188</v>
      </c>
      <c r="AF618" s="57">
        <f t="shared" si="299"/>
        <v>-0.84590538036587237</v>
      </c>
      <c r="AG618" s="57">
        <f t="shared" si="300"/>
        <v>-1.2527876211142643</v>
      </c>
      <c r="AH618" s="57">
        <f t="shared" si="301"/>
        <v>-2.3838438661882808</v>
      </c>
      <c r="AJ618" s="57">
        <f t="shared" si="302"/>
        <v>409391.43225491443</v>
      </c>
      <c r="AK618" s="57">
        <f t="shared" si="303"/>
        <v>426348.60837292031</v>
      </c>
      <c r="AL618" s="57">
        <f t="shared" si="304"/>
        <v>440772.43795420782</v>
      </c>
      <c r="AN618" s="41">
        <v>613</v>
      </c>
      <c r="AO618" s="57">
        <f t="shared" si="305"/>
        <v>2807.2122145794638</v>
      </c>
      <c r="AP618" s="57">
        <f t="shared" si="306"/>
        <v>7827.7143302772374</v>
      </c>
      <c r="AR618" s="41">
        <v>613</v>
      </c>
      <c r="AS618" s="57">
        <f t="shared" si="307"/>
        <v>13976.699033470417</v>
      </c>
      <c r="AT618" s="57">
        <f t="shared" si="308"/>
        <v>-8347.0666458706219</v>
      </c>
      <c r="AV618" s="57">
        <f t="shared" si="309"/>
        <v>-5.0058208547090643</v>
      </c>
      <c r="AW618" s="57">
        <f t="shared" si="310"/>
        <v>-9.2436518781681389</v>
      </c>
      <c r="AX618" s="57">
        <f t="shared" si="311"/>
        <v>-0.43948162975099653</v>
      </c>
      <c r="AY618" s="57">
        <f t="shared" si="312"/>
        <v>-0.90289260624944656</v>
      </c>
      <c r="BA618" s="57">
        <f t="shared" si="313"/>
        <v>409596.09233517619</v>
      </c>
      <c r="BB618" s="57">
        <f t="shared" si="314"/>
        <v>422817.83220073453</v>
      </c>
    </row>
    <row r="619" spans="9:54" x14ac:dyDescent="0.25">
      <c r="I619" s="41">
        <v>614</v>
      </c>
      <c r="J619" s="57">
        <f t="shared" si="288"/>
        <v>18621.813220914999</v>
      </c>
      <c r="K619" s="57">
        <f t="shared" si="289"/>
        <v>2693.6915203084063</v>
      </c>
      <c r="M619" s="41">
        <v>614</v>
      </c>
      <c r="N619" s="57">
        <f t="shared" si="290"/>
        <v>-20964.730745359499</v>
      </c>
      <c r="O619" s="57">
        <f t="shared" si="291"/>
        <v>6635.5840642158846</v>
      </c>
      <c r="Q619" s="41">
        <v>614</v>
      </c>
      <c r="R619" s="57">
        <f t="shared" si="292"/>
        <v>-6378.1867790849992</v>
      </c>
      <c r="S619" s="41">
        <f t="shared" si="293"/>
        <v>-19806.308479691594</v>
      </c>
      <c r="U619" s="41">
        <v>613</v>
      </c>
      <c r="V619" s="41">
        <f t="shared" si="315"/>
        <v>306.5</v>
      </c>
      <c r="W619" s="57">
        <f t="shared" si="316"/>
        <v>200663.21761445847</v>
      </c>
      <c r="X619" s="57">
        <f t="shared" si="317"/>
        <v>376062.84862193209</v>
      </c>
      <c r="Y619" s="57">
        <f t="shared" si="318"/>
        <v>1226.5841786484484</v>
      </c>
      <c r="Z619" s="57">
        <f t="shared" si="319"/>
        <v>1774.7808766042501</v>
      </c>
      <c r="AA619" s="57">
        <f t="shared" si="294"/>
        <v>-8.5413272601429373</v>
      </c>
      <c r="AB619" s="57">
        <f t="shared" si="295"/>
        <v>-16.093788278205036</v>
      </c>
      <c r="AC619" s="57">
        <f t="shared" si="296"/>
        <v>-1.3666833392362772</v>
      </c>
      <c r="AD619" s="57">
        <f t="shared" si="297"/>
        <v>-2.7881087878551374</v>
      </c>
      <c r="AE619" s="57">
        <f t="shared" si="298"/>
        <v>-0.50729504435101036</v>
      </c>
      <c r="AF619" s="57">
        <f t="shared" si="299"/>
        <v>-0.84156240915229241</v>
      </c>
      <c r="AG619" s="57">
        <f t="shared" si="300"/>
        <v>-1.2474125972054197</v>
      </c>
      <c r="AH619" s="57">
        <f t="shared" si="301"/>
        <v>-2.3719201193502082</v>
      </c>
      <c r="AJ619" s="57">
        <f t="shared" si="302"/>
        <v>410460.43851158471</v>
      </c>
      <c r="AK619" s="57">
        <f t="shared" si="303"/>
        <v>427427.49648235011</v>
      </c>
      <c r="AL619" s="57">
        <f t="shared" si="304"/>
        <v>441845.57330795145</v>
      </c>
      <c r="AN619" s="41">
        <v>614</v>
      </c>
      <c r="AO619" s="57">
        <f t="shared" si="305"/>
        <v>2932.7198313725003</v>
      </c>
      <c r="AP619" s="57">
        <f t="shared" si="306"/>
        <v>7790.5372804626104</v>
      </c>
      <c r="AR619" s="41">
        <v>614</v>
      </c>
      <c r="AS619" s="57">
        <f t="shared" si="307"/>
        <v>14035.2692546405</v>
      </c>
      <c r="AT619" s="57">
        <f t="shared" si="308"/>
        <v>-8364.4159357841163</v>
      </c>
      <c r="AV619" s="57">
        <f t="shared" si="309"/>
        <v>-4.9823211027961758</v>
      </c>
      <c r="AW619" s="57">
        <f t="shared" si="310"/>
        <v>-9.194017516718084</v>
      </c>
      <c r="AX619" s="57">
        <f t="shared" si="311"/>
        <v>-0.43761517655405385</v>
      </c>
      <c r="AY619" s="57">
        <f t="shared" si="312"/>
        <v>-0.89817944512931469</v>
      </c>
      <c r="BA619" s="57">
        <f t="shared" si="313"/>
        <v>410670.76275555236</v>
      </c>
      <c r="BB619" s="57">
        <f t="shared" si="314"/>
        <v>423886.45292674226</v>
      </c>
    </row>
    <row r="620" spans="9:54" x14ac:dyDescent="0.25">
      <c r="I620" s="41">
        <v>615</v>
      </c>
      <c r="J620" s="57">
        <f t="shared" si="288"/>
        <v>18705.904774487397</v>
      </c>
      <c r="K620" s="57">
        <f t="shared" si="289"/>
        <v>2670.370868554659</v>
      </c>
      <c r="M620" s="41">
        <v>615</v>
      </c>
      <c r="N620" s="57">
        <f t="shared" si="290"/>
        <v>-20905.866657858824</v>
      </c>
      <c r="O620" s="57">
        <f t="shared" si="291"/>
        <v>6619.2596079882615</v>
      </c>
      <c r="Q620" s="41">
        <v>615</v>
      </c>
      <c r="R620" s="57">
        <f t="shared" si="292"/>
        <v>-6294.0952255126049</v>
      </c>
      <c r="S620" s="41">
        <f t="shared" si="293"/>
        <v>-19829.629131445341</v>
      </c>
      <c r="U620" s="41">
        <v>614</v>
      </c>
      <c r="V620" s="41">
        <f t="shared" si="315"/>
        <v>307</v>
      </c>
      <c r="W620" s="57">
        <f t="shared" si="316"/>
        <v>201275.44203787515</v>
      </c>
      <c r="X620" s="57">
        <f t="shared" si="317"/>
        <v>376948.22733669943</v>
      </c>
      <c r="Y620" s="57">
        <f t="shared" si="318"/>
        <v>1222.3135150183768</v>
      </c>
      <c r="Z620" s="57">
        <f t="shared" si="319"/>
        <v>1766.7339824651476</v>
      </c>
      <c r="AA620" s="57">
        <f t="shared" si="294"/>
        <v>-8.5025531377526971</v>
      </c>
      <c r="AB620" s="57">
        <f t="shared" si="295"/>
        <v>-16.009093925271273</v>
      </c>
      <c r="AC620" s="57">
        <f t="shared" si="296"/>
        <v>-1.3607067945535174</v>
      </c>
      <c r="AD620" s="57">
        <f t="shared" si="297"/>
        <v>-2.7731870766464035</v>
      </c>
      <c r="AE620" s="57">
        <f t="shared" si="298"/>
        <v>-0.50488687041679503</v>
      </c>
      <c r="AF620" s="57">
        <f t="shared" si="299"/>
        <v>-0.83727023839050829</v>
      </c>
      <c r="AG620" s="57">
        <f t="shared" si="300"/>
        <v>-1.2420966898169024</v>
      </c>
      <c r="AH620" s="57">
        <f t="shared" si="301"/>
        <v>-2.3601335716208363</v>
      </c>
      <c r="AJ620" s="57">
        <f t="shared" si="302"/>
        <v>411524.94282638154</v>
      </c>
      <c r="AK620" s="57">
        <f t="shared" si="303"/>
        <v>428501.83522897901</v>
      </c>
      <c r="AL620" s="57">
        <f t="shared" si="304"/>
        <v>442914.18006234779</v>
      </c>
      <c r="AN620" s="41">
        <v>615</v>
      </c>
      <c r="AO620" s="57">
        <f t="shared" si="305"/>
        <v>3058.8571617310931</v>
      </c>
      <c r="AP620" s="57">
        <f t="shared" si="306"/>
        <v>7755.5563028319884</v>
      </c>
      <c r="AR620" s="41">
        <v>615</v>
      </c>
      <c r="AS620" s="57">
        <f t="shared" si="307"/>
        <v>14094.133342141176</v>
      </c>
      <c r="AT620" s="57">
        <f t="shared" si="308"/>
        <v>-8380.7403920117395</v>
      </c>
      <c r="AV620" s="57">
        <f t="shared" si="309"/>
        <v>-4.9590937647811266</v>
      </c>
      <c r="AW620" s="57">
        <f t="shared" si="310"/>
        <v>-9.1449810466489261</v>
      </c>
      <c r="AX620" s="57">
        <f t="shared" si="311"/>
        <v>-0.43576901818435532</v>
      </c>
      <c r="AY620" s="57">
        <f t="shared" si="312"/>
        <v>-0.89352199196459914</v>
      </c>
      <c r="BA620" s="57">
        <f t="shared" si="313"/>
        <v>411740.89961933868</v>
      </c>
      <c r="BB620" s="57">
        <f t="shared" si="314"/>
        <v>424950.57203403412</v>
      </c>
    </row>
    <row r="621" spans="9:54" x14ac:dyDescent="0.25">
      <c r="I621" s="41">
        <v>616</v>
      </c>
      <c r="J621" s="57">
        <f t="shared" si="288"/>
        <v>18790.390522001664</v>
      </c>
      <c r="K621" s="57">
        <f t="shared" si="289"/>
        <v>2648.5213686200168</v>
      </c>
      <c r="M621" s="41">
        <v>616</v>
      </c>
      <c r="N621" s="57">
        <f t="shared" si="290"/>
        <v>-20846.726634598836</v>
      </c>
      <c r="O621" s="57">
        <f t="shared" si="291"/>
        <v>6603.9649580340119</v>
      </c>
      <c r="Q621" s="41">
        <v>616</v>
      </c>
      <c r="R621" s="57">
        <f t="shared" si="292"/>
        <v>-6209.6094779983359</v>
      </c>
      <c r="S621" s="41">
        <f t="shared" si="293"/>
        <v>-19851.478631379985</v>
      </c>
      <c r="U621" s="41">
        <v>615</v>
      </c>
      <c r="V621" s="41">
        <f t="shared" si="315"/>
        <v>307.5</v>
      </c>
      <c r="W621" s="57">
        <f t="shared" si="316"/>
        <v>201885.53597624213</v>
      </c>
      <c r="X621" s="57">
        <f t="shared" si="317"/>
        <v>377829.59319119132</v>
      </c>
      <c r="Y621" s="57">
        <f t="shared" si="318"/>
        <v>1218.0622384495005</v>
      </c>
      <c r="Z621" s="57">
        <f t="shared" si="319"/>
        <v>1758.7294355025119</v>
      </c>
      <c r="AA621" s="57">
        <f t="shared" si="294"/>
        <v>-8.4642194602282945</v>
      </c>
      <c r="AB621" s="57">
        <f t="shared" si="295"/>
        <v>-15.925406413020983</v>
      </c>
      <c r="AC621" s="57">
        <f t="shared" si="296"/>
        <v>-1.3547963084352124</v>
      </c>
      <c r="AD621" s="57">
        <f t="shared" si="297"/>
        <v>-2.7584445517716967</v>
      </c>
      <c r="AE621" s="57">
        <f t="shared" si="298"/>
        <v>-0.50250680431774442</v>
      </c>
      <c r="AF621" s="57">
        <f t="shared" si="299"/>
        <v>-0.83302804121397289</v>
      </c>
      <c r="AG621" s="57">
        <f t="shared" si="300"/>
        <v>-1.2368390048103495</v>
      </c>
      <c r="AH621" s="57">
        <f t="shared" si="301"/>
        <v>-2.3484820280449306</v>
      </c>
      <c r="AJ621" s="57">
        <f t="shared" si="302"/>
        <v>412584.96796480374</v>
      </c>
      <c r="AK621" s="57">
        <f t="shared" si="303"/>
        <v>429571.64792693377</v>
      </c>
      <c r="AL621" s="57">
        <f t="shared" si="304"/>
        <v>443978.28131895576</v>
      </c>
      <c r="AN621" s="41">
        <v>616</v>
      </c>
      <c r="AO621" s="57">
        <f t="shared" si="305"/>
        <v>3185.5857830024961</v>
      </c>
      <c r="AP621" s="57">
        <f t="shared" si="306"/>
        <v>7722.7820529300252</v>
      </c>
      <c r="AR621" s="41">
        <v>616</v>
      </c>
      <c r="AS621" s="57">
        <f t="shared" si="307"/>
        <v>14153.273365401164</v>
      </c>
      <c r="AT621" s="57">
        <f t="shared" si="308"/>
        <v>-8396.0350419659881</v>
      </c>
      <c r="AV621" s="57">
        <f t="shared" si="309"/>
        <v>-4.936134489610442</v>
      </c>
      <c r="AW621" s="57">
        <f t="shared" si="310"/>
        <v>-9.0965324594412049</v>
      </c>
      <c r="AX621" s="57">
        <f t="shared" si="311"/>
        <v>-0.43394285305454622</v>
      </c>
      <c r="AY621" s="57">
        <f t="shared" si="312"/>
        <v>-0.88891933254917965</v>
      </c>
      <c r="BA621" s="57">
        <f t="shared" si="313"/>
        <v>412806.52607721393</v>
      </c>
      <c r="BB621" s="57">
        <f t="shared" si="314"/>
        <v>426010.21229550394</v>
      </c>
    </row>
    <row r="622" spans="9:54" x14ac:dyDescent="0.25">
      <c r="I622" s="41">
        <v>617</v>
      </c>
      <c r="J622" s="57">
        <f t="shared" si="288"/>
        <v>18875.244728280672</v>
      </c>
      <c r="K622" s="57">
        <f t="shared" si="289"/>
        <v>2628.1496760738246</v>
      </c>
      <c r="M622" s="41">
        <v>617</v>
      </c>
      <c r="N622" s="57">
        <f t="shared" si="290"/>
        <v>-20787.328690203529</v>
      </c>
      <c r="O622" s="57">
        <f t="shared" si="291"/>
        <v>6589.7047732516767</v>
      </c>
      <c r="Q622" s="41">
        <v>617</v>
      </c>
      <c r="R622" s="57">
        <f t="shared" si="292"/>
        <v>-6124.7552717193275</v>
      </c>
      <c r="S622" s="41">
        <f t="shared" si="293"/>
        <v>-19871.850323926177</v>
      </c>
      <c r="U622" s="41">
        <v>616</v>
      </c>
      <c r="V622" s="41">
        <f t="shared" si="315"/>
        <v>308</v>
      </c>
      <c r="W622" s="57">
        <f t="shared" si="316"/>
        <v>202493.50906803436</v>
      </c>
      <c r="X622" s="57">
        <f t="shared" si="317"/>
        <v>378706.96723314095</v>
      </c>
      <c r="Y622" s="57">
        <f t="shared" si="318"/>
        <v>1213.8301287193863</v>
      </c>
      <c r="Z622" s="57">
        <f t="shared" si="319"/>
        <v>1750.7667322960015</v>
      </c>
      <c r="AA622" s="57">
        <f t="shared" si="294"/>
        <v>-8.4263193463794881</v>
      </c>
      <c r="AB622" s="57">
        <f t="shared" si="295"/>
        <v>-15.842709114823892</v>
      </c>
      <c r="AC622" s="57">
        <f t="shared" si="296"/>
        <v>-1.3489508832616217</v>
      </c>
      <c r="AD622" s="57">
        <f t="shared" si="297"/>
        <v>-2.7438782282132315</v>
      </c>
      <c r="AE622" s="57">
        <f t="shared" si="298"/>
        <v>-0.50015439320039501</v>
      </c>
      <c r="AF622" s="57">
        <f t="shared" si="299"/>
        <v>-0.82883500843550584</v>
      </c>
      <c r="AG622" s="57">
        <f t="shared" si="300"/>
        <v>-1.2316386660916863</v>
      </c>
      <c r="AH622" s="57">
        <f t="shared" si="301"/>
        <v>-2.3369633398750564</v>
      </c>
      <c r="AJ622" s="57">
        <f t="shared" si="302"/>
        <v>413640.5364255188</v>
      </c>
      <c r="AK622" s="57">
        <f t="shared" si="303"/>
        <v>430636.95761472674</v>
      </c>
      <c r="AL622" s="57">
        <f t="shared" si="304"/>
        <v>445037.89990660793</v>
      </c>
      <c r="AN622" s="41">
        <v>617</v>
      </c>
      <c r="AO622" s="57">
        <f t="shared" si="305"/>
        <v>3312.8670924210087</v>
      </c>
      <c r="AP622" s="57">
        <f t="shared" si="306"/>
        <v>7692.2245141107369</v>
      </c>
      <c r="AR622" s="41">
        <v>617</v>
      </c>
      <c r="AS622" s="57">
        <f t="shared" si="307"/>
        <v>14212.671309796471</v>
      </c>
      <c r="AT622" s="57">
        <f t="shared" si="308"/>
        <v>-8410.2952267483233</v>
      </c>
      <c r="AV622" s="57">
        <f t="shared" si="309"/>
        <v>-4.9134390182860468</v>
      </c>
      <c r="AW622" s="57">
        <f t="shared" si="310"/>
        <v>-9.0486619659493694</v>
      </c>
      <c r="AX622" s="57">
        <f t="shared" si="311"/>
        <v>-0.43213638553973793</v>
      </c>
      <c r="AY622" s="57">
        <f t="shared" si="312"/>
        <v>-0.88437057235072913</v>
      </c>
      <c r="BA622" s="57">
        <f t="shared" si="313"/>
        <v>413867.66500650276</v>
      </c>
      <c r="BB622" s="57">
        <f t="shared" si="314"/>
        <v>427065.39621690236</v>
      </c>
    </row>
    <row r="623" spans="9:54" x14ac:dyDescent="0.25">
      <c r="I623" s="41">
        <v>618</v>
      </c>
      <c r="J623" s="57">
        <f t="shared" si="288"/>
        <v>18960.441545911206</v>
      </c>
      <c r="K623" s="57">
        <f t="shared" si="289"/>
        <v>2609.2619963309717</v>
      </c>
      <c r="M623" s="41">
        <v>618</v>
      </c>
      <c r="N623" s="57">
        <f t="shared" si="290"/>
        <v>-20727.690917862157</v>
      </c>
      <c r="O623" s="57">
        <f t="shared" si="291"/>
        <v>6576.4833974316807</v>
      </c>
      <c r="Q623" s="41">
        <v>618</v>
      </c>
      <c r="R623" s="57">
        <f t="shared" si="292"/>
        <v>-6039.5584540887958</v>
      </c>
      <c r="S623" s="41">
        <f t="shared" si="293"/>
        <v>-19890.73800366903</v>
      </c>
      <c r="U623" s="41">
        <v>617</v>
      </c>
      <c r="V623" s="41">
        <f t="shared" si="315"/>
        <v>308.5</v>
      </c>
      <c r="W623" s="57">
        <f t="shared" si="316"/>
        <v>203099.37084247576</v>
      </c>
      <c r="X623" s="57">
        <f t="shared" si="317"/>
        <v>379580.37026064959</v>
      </c>
      <c r="Y623" s="57">
        <f t="shared" si="318"/>
        <v>1209.6169690461966</v>
      </c>
      <c r="Z623" s="57">
        <f t="shared" si="319"/>
        <v>1742.8453777385896</v>
      </c>
      <c r="AA623" s="57">
        <f t="shared" si="294"/>
        <v>-8.3888460577335398</v>
      </c>
      <c r="AB623" s="57">
        <f t="shared" si="295"/>
        <v>-15.760985763991833</v>
      </c>
      <c r="AC623" s="57">
        <f t="shared" si="296"/>
        <v>-1.3431695413987264</v>
      </c>
      <c r="AD623" s="57">
        <f t="shared" si="297"/>
        <v>-2.7294851860328078</v>
      </c>
      <c r="AE623" s="57">
        <f t="shared" si="298"/>
        <v>-0.49782919387048424</v>
      </c>
      <c r="AF623" s="57">
        <f t="shared" si="299"/>
        <v>-0.82469034808315522</v>
      </c>
      <c r="AG623" s="57">
        <f t="shared" si="300"/>
        <v>-1.2264948151617288</v>
      </c>
      <c r="AH623" s="57">
        <f t="shared" si="301"/>
        <v>-2.3255754033759977</v>
      </c>
      <c r="AJ623" s="57">
        <f t="shared" si="302"/>
        <v>414691.67044469627</v>
      </c>
      <c r="AK623" s="57">
        <f t="shared" si="303"/>
        <v>431697.78705977561</v>
      </c>
      <c r="AL623" s="57">
        <f t="shared" si="304"/>
        <v>446093.05838587711</v>
      </c>
      <c r="AN623" s="41">
        <v>618</v>
      </c>
      <c r="AO623" s="57">
        <f t="shared" si="305"/>
        <v>3440.6623188668063</v>
      </c>
      <c r="AP623" s="57">
        <f t="shared" si="306"/>
        <v>7663.8929944964575</v>
      </c>
      <c r="AR623" s="41">
        <v>618</v>
      </c>
      <c r="AS623" s="57">
        <f t="shared" si="307"/>
        <v>14272.309082137843</v>
      </c>
      <c r="AT623" s="57">
        <f t="shared" si="308"/>
        <v>-8423.5166025683193</v>
      </c>
      <c r="AV623" s="57">
        <f t="shared" si="309"/>
        <v>-4.8910031814699941</v>
      </c>
      <c r="AW623" s="57">
        <f t="shared" si="310"/>
        <v>-9.001359990508389</v>
      </c>
      <c r="AX623" s="57">
        <f t="shared" si="311"/>
        <v>-0.43034932583260632</v>
      </c>
      <c r="AY623" s="57">
        <f t="shared" si="312"/>
        <v>-0.87987483599148397</v>
      </c>
      <c r="BA623" s="57">
        <f t="shared" si="313"/>
        <v>414924.33901565365</v>
      </c>
      <c r="BB623" s="57">
        <f t="shared" si="314"/>
        <v>428116.14604118071</v>
      </c>
    </row>
    <row r="624" spans="9:54" x14ac:dyDescent="0.25">
      <c r="I624" s="41">
        <v>619</v>
      </c>
      <c r="J624" s="57">
        <f t="shared" si="288"/>
        <v>19045.95502311728</v>
      </c>
      <c r="K624" s="57">
        <f t="shared" si="289"/>
        <v>2591.8640827616791</v>
      </c>
      <c r="M624" s="41">
        <v>619</v>
      </c>
      <c r="N624" s="57">
        <f t="shared" si="290"/>
        <v>-20667.831483817903</v>
      </c>
      <c r="O624" s="57">
        <f t="shared" si="291"/>
        <v>6564.3048579331753</v>
      </c>
      <c r="Q624" s="41">
        <v>619</v>
      </c>
      <c r="R624" s="57">
        <f t="shared" si="292"/>
        <v>-5954.0449768827202</v>
      </c>
      <c r="S624" s="41">
        <f t="shared" si="293"/>
        <v>-19908.13591723832</v>
      </c>
      <c r="U624" s="41">
        <v>618</v>
      </c>
      <c r="V624" s="41">
        <f t="shared" si="315"/>
        <v>309</v>
      </c>
      <c r="W624" s="57">
        <f t="shared" si="316"/>
        <v>203703.13072124164</v>
      </c>
      <c r="X624" s="57">
        <f t="shared" si="317"/>
        <v>380449.82282629836</v>
      </c>
      <c r="Y624" s="57">
        <f t="shared" si="318"/>
        <v>1205.4225460173298</v>
      </c>
      <c r="Z624" s="57">
        <f t="shared" si="319"/>
        <v>1734.9648848565937</v>
      </c>
      <c r="AA624" s="57">
        <f t="shared" si="294"/>
        <v>-8.3517929948920582</v>
      </c>
      <c r="AB624" s="57">
        <f t="shared" si="295"/>
        <v>-15.680220444222442</v>
      </c>
      <c r="AC624" s="57">
        <f t="shared" si="296"/>
        <v>-1.3374513247068431</v>
      </c>
      <c r="AD624" s="57">
        <f t="shared" si="297"/>
        <v>-2.7152625686337228</v>
      </c>
      <c r="AE624" s="57">
        <f t="shared" si="298"/>
        <v>-0.49553077253950645</v>
      </c>
      <c r="AF624" s="57">
        <f t="shared" si="299"/>
        <v>-0.82059328495042894</v>
      </c>
      <c r="AG624" s="57">
        <f t="shared" si="300"/>
        <v>-1.2214066106802905</v>
      </c>
      <c r="AH624" s="57">
        <f t="shared" si="301"/>
        <v>-2.3143161586661845</v>
      </c>
      <c r="AJ624" s="57">
        <f t="shared" si="302"/>
        <v>415738.39200024924</v>
      </c>
      <c r="AK624" s="57">
        <f t="shared" si="303"/>
        <v>432754.15876282548</v>
      </c>
      <c r="AL624" s="57">
        <f t="shared" si="304"/>
        <v>447143.77905344771</v>
      </c>
      <c r="AN624" s="41">
        <v>619</v>
      </c>
      <c r="AO624" s="57">
        <f t="shared" si="305"/>
        <v>3568.9325346759201</v>
      </c>
      <c r="AP624" s="57">
        <f t="shared" si="306"/>
        <v>7637.7961241425191</v>
      </c>
      <c r="AR624" s="41">
        <v>619</v>
      </c>
      <c r="AS624" s="57">
        <f t="shared" si="307"/>
        <v>14332.168516182097</v>
      </c>
      <c r="AT624" s="57">
        <f t="shared" si="308"/>
        <v>-8435.6951420668247</v>
      </c>
      <c r="AV624" s="57">
        <f t="shared" si="309"/>
        <v>-4.8688228971627847</v>
      </c>
      <c r="AW624" s="57">
        <f t="shared" si="310"/>
        <v>-8.9546171652269475</v>
      </c>
      <c r="AX624" s="57">
        <f t="shared" si="311"/>
        <v>-0.42858138980263349</v>
      </c>
      <c r="AY624" s="57">
        <f t="shared" si="312"/>
        <v>-0.87543126674515837</v>
      </c>
      <c r="BA624" s="57">
        <f t="shared" si="313"/>
        <v>415976.57044862001</v>
      </c>
      <c r="BB624" s="57">
        <f t="shared" si="314"/>
        <v>429162.48375274229</v>
      </c>
    </row>
    <row r="625" spans="9:54" x14ac:dyDescent="0.25">
      <c r="I625" s="41">
        <v>620</v>
      </c>
      <c r="J625" s="57">
        <f t="shared" si="288"/>
        <v>19131.759111665346</v>
      </c>
      <c r="K625" s="57">
        <f t="shared" si="289"/>
        <v>2575.9612349389599</v>
      </c>
      <c r="M625" s="41">
        <v>620</v>
      </c>
      <c r="N625" s="57">
        <f t="shared" si="290"/>
        <v>-20607.768621834257</v>
      </c>
      <c r="O625" s="57">
        <f t="shared" si="291"/>
        <v>6553.1728644572722</v>
      </c>
      <c r="Q625" s="41">
        <v>620</v>
      </c>
      <c r="R625" s="57">
        <f t="shared" si="292"/>
        <v>-5868.2408883346525</v>
      </c>
      <c r="S625" s="41">
        <f t="shared" si="293"/>
        <v>-19924.038765061039</v>
      </c>
      <c r="U625" s="41">
        <v>619</v>
      </c>
      <c r="V625" s="41">
        <f t="shared" si="315"/>
        <v>309.5</v>
      </c>
      <c r="W625" s="57">
        <f t="shared" si="316"/>
        <v>204304.79802012595</v>
      </c>
      <c r="X625" s="57">
        <f t="shared" si="317"/>
        <v>381315.34524117113</v>
      </c>
      <c r="Y625" s="57">
        <f t="shared" si="318"/>
        <v>1201.2466495198837</v>
      </c>
      <c r="Z625" s="57">
        <f t="shared" si="319"/>
        <v>1727.1247746344825</v>
      </c>
      <c r="AA625" s="57">
        <f t="shared" si="294"/>
        <v>-8.3151536939983135</v>
      </c>
      <c r="AB625" s="57">
        <f t="shared" si="295"/>
        <v>-15.600397580343104</v>
      </c>
      <c r="AC625" s="57">
        <f t="shared" si="296"/>
        <v>-1.3317952940634425</v>
      </c>
      <c r="AD625" s="57">
        <f t="shared" si="297"/>
        <v>-2.7012075810773437</v>
      </c>
      <c r="AE625" s="57">
        <f t="shared" si="298"/>
        <v>-0.49325870457917981</v>
      </c>
      <c r="AF625" s="57">
        <f t="shared" si="299"/>
        <v>-0.81654306016047551</v>
      </c>
      <c r="AG625" s="57">
        <f t="shared" si="300"/>
        <v>-1.2163732280429664</v>
      </c>
      <c r="AH625" s="57">
        <f t="shared" si="301"/>
        <v>-2.3031835885941434</v>
      </c>
      <c r="AJ625" s="57">
        <f t="shared" si="302"/>
        <v>416780.72281598556</v>
      </c>
      <c r="AK625" s="57">
        <f t="shared" si="303"/>
        <v>433806.0949622764</v>
      </c>
      <c r="AL625" s="57">
        <f t="shared" si="304"/>
        <v>448190.08394639252</v>
      </c>
      <c r="AN625" s="41">
        <v>620</v>
      </c>
      <c r="AO625" s="57">
        <f t="shared" si="305"/>
        <v>3697.6386674980204</v>
      </c>
      <c r="AP625" s="57">
        <f t="shared" si="306"/>
        <v>7613.9418524084394</v>
      </c>
      <c r="AR625" s="41">
        <v>620</v>
      </c>
      <c r="AS625" s="57">
        <f t="shared" si="307"/>
        <v>14392.231378165743</v>
      </c>
      <c r="AT625" s="57">
        <f t="shared" si="308"/>
        <v>-8446.8271355427278</v>
      </c>
      <c r="AV625" s="57">
        <f t="shared" si="309"/>
        <v>-4.846894168453284</v>
      </c>
      <c r="AW625" s="57">
        <f t="shared" si="310"/>
        <v>-8.9084243244615386</v>
      </c>
      <c r="AX625" s="57">
        <f t="shared" si="311"/>
        <v>-0.42683229885944046</v>
      </c>
      <c r="AY625" s="57">
        <f t="shared" si="312"/>
        <v>-0.87103902604960382</v>
      </c>
      <c r="BA625" s="57">
        <f t="shared" si="313"/>
        <v>417024.38138914801</v>
      </c>
      <c r="BB625" s="57">
        <f t="shared" si="314"/>
        <v>430204.43108160322</v>
      </c>
    </row>
    <row r="626" spans="9:54" x14ac:dyDescent="0.25">
      <c r="I626" s="41">
        <v>621</v>
      </c>
      <c r="J626" s="57">
        <f t="shared" si="288"/>
        <v>19217.827674798849</v>
      </c>
      <c r="K626" s="57">
        <f t="shared" si="289"/>
        <v>2561.5582970243113</v>
      </c>
      <c r="M626" s="41">
        <v>621</v>
      </c>
      <c r="N626" s="57">
        <f t="shared" si="290"/>
        <v>-20547.520627640806</v>
      </c>
      <c r="O626" s="57">
        <f t="shared" si="291"/>
        <v>6543.0908079170176</v>
      </c>
      <c r="Q626" s="41">
        <v>621</v>
      </c>
      <c r="R626" s="57">
        <f t="shared" si="292"/>
        <v>-5782.1723252011525</v>
      </c>
      <c r="S626" s="41">
        <f t="shared" si="293"/>
        <v>-19938.441702975688</v>
      </c>
      <c r="U626" s="41">
        <v>620</v>
      </c>
      <c r="V626" s="41">
        <f t="shared" si="315"/>
        <v>310</v>
      </c>
      <c r="W626" s="57">
        <f t="shared" si="316"/>
        <v>204904.38195067414</v>
      </c>
      <c r="X626" s="57">
        <f t="shared" si="317"/>
        <v>382176.95757879084</v>
      </c>
      <c r="Y626" s="57">
        <f t="shared" si="318"/>
        <v>1197.0890726728846</v>
      </c>
      <c r="Z626" s="57">
        <f t="shared" si="319"/>
        <v>1719.3245758443109</v>
      </c>
      <c r="AA626" s="57">
        <f t="shared" si="294"/>
        <v>-8.2789218233112702</v>
      </c>
      <c r="AB626" s="57">
        <f t="shared" si="295"/>
        <v>-15.521501929344563</v>
      </c>
      <c r="AC626" s="57">
        <f t="shared" si="296"/>
        <v>-1.3262005288999641</v>
      </c>
      <c r="AD626" s="57">
        <f t="shared" si="297"/>
        <v>-2.6873174884529023</v>
      </c>
      <c r="AE626" s="57">
        <f t="shared" si="298"/>
        <v>-0.49101257428355388</v>
      </c>
      <c r="AF626" s="57">
        <f t="shared" si="299"/>
        <v>-0.81253893074374295</v>
      </c>
      <c r="AG626" s="57">
        <f t="shared" si="300"/>
        <v>-1.211393858970552</v>
      </c>
      <c r="AH626" s="57">
        <f t="shared" si="301"/>
        <v>-2.2921757176494686</v>
      </c>
      <c r="AJ626" s="57">
        <f t="shared" si="302"/>
        <v>417818.68436567055</v>
      </c>
      <c r="AK626" s="57">
        <f t="shared" si="303"/>
        <v>434853.61763841839</v>
      </c>
      <c r="AL626" s="57">
        <f t="shared" si="304"/>
        <v>449231.99484635895</v>
      </c>
      <c r="AN626" s="41">
        <v>621</v>
      </c>
      <c r="AO626" s="57">
        <f t="shared" si="305"/>
        <v>3826.7415121982722</v>
      </c>
      <c r="AP626" s="57">
        <f t="shared" si="306"/>
        <v>7592.3374455364665</v>
      </c>
      <c r="AR626" s="41">
        <v>621</v>
      </c>
      <c r="AS626" s="57">
        <f t="shared" si="307"/>
        <v>14452.479372359194</v>
      </c>
      <c r="AT626" s="57">
        <f t="shared" si="308"/>
        <v>-8456.9091920829815</v>
      </c>
      <c r="AV626" s="57">
        <f t="shared" si="309"/>
        <v>-4.8252130813372158</v>
      </c>
      <c r="AW626" s="57">
        <f t="shared" si="310"/>
        <v>-8.8627724994639951</v>
      </c>
      <c r="AX626" s="57">
        <f t="shared" si="311"/>
        <v>-0.42510177981998354</v>
      </c>
      <c r="AY626" s="57">
        <f t="shared" si="312"/>
        <v>-0.86669729303445375</v>
      </c>
      <c r="BA626" s="57">
        <f t="shared" si="313"/>
        <v>418067.79366497271</v>
      </c>
      <c r="BB626" s="57">
        <f t="shared" si="314"/>
        <v>431242.00950746477</v>
      </c>
    </row>
    <row r="627" spans="9:54" x14ac:dyDescent="0.25">
      <c r="I627" s="41">
        <v>622</v>
      </c>
      <c r="J627" s="57">
        <f t="shared" si="288"/>
        <v>19304.134495199669</v>
      </c>
      <c r="K627" s="57">
        <f t="shared" si="289"/>
        <v>2548.6596562921486</v>
      </c>
      <c r="M627" s="41">
        <v>622</v>
      </c>
      <c r="N627" s="57">
        <f t="shared" si="290"/>
        <v>-20487.10585336023</v>
      </c>
      <c r="O627" s="57">
        <f t="shared" si="291"/>
        <v>6534.0617594045043</v>
      </c>
      <c r="Q627" s="41">
        <v>622</v>
      </c>
      <c r="R627" s="57">
        <f t="shared" si="292"/>
        <v>-5695.8655048003302</v>
      </c>
      <c r="S627" s="41">
        <f t="shared" si="293"/>
        <v>-19951.340343707852</v>
      </c>
      <c r="U627" s="41">
        <v>621</v>
      </c>
      <c r="V627" s="41">
        <f t="shared" si="315"/>
        <v>310.5</v>
      </c>
      <c r="W627" s="57">
        <f t="shared" si="316"/>
        <v>205501.89162178268</v>
      </c>
      <c r="X627" s="57">
        <f t="shared" si="317"/>
        <v>383034.67967897182</v>
      </c>
      <c r="Y627" s="57">
        <f t="shared" si="318"/>
        <v>1192.9496117612291</v>
      </c>
      <c r="Z627" s="57">
        <f t="shared" si="319"/>
        <v>1711.5638248796386</v>
      </c>
      <c r="AA627" s="57">
        <f t="shared" si="294"/>
        <v>-8.2430911798825761</v>
      </c>
      <c r="AB627" s="57">
        <f t="shared" si="295"/>
        <v>-15.443518571693616</v>
      </c>
      <c r="AC627" s="57">
        <f t="shared" si="296"/>
        <v>-1.3206661267518833</v>
      </c>
      <c r="AD627" s="57">
        <f t="shared" si="297"/>
        <v>-2.67358961429803</v>
      </c>
      <c r="AE627" s="57">
        <f t="shared" si="298"/>
        <v>-0.48879197463837759</v>
      </c>
      <c r="AF627" s="57">
        <f t="shared" si="299"/>
        <v>-0.80858016922846188</v>
      </c>
      <c r="AG627" s="57">
        <f t="shared" si="300"/>
        <v>-1.2064677111103075</v>
      </c>
      <c r="AH627" s="57">
        <f t="shared" si="301"/>
        <v>-2.2812906109064199</v>
      </c>
      <c r="AJ627" s="57">
        <f t="shared" si="302"/>
        <v>418852.2978770053</v>
      </c>
      <c r="AK627" s="57">
        <f t="shared" si="303"/>
        <v>435896.74851757649</v>
      </c>
      <c r="AL627" s="57">
        <f t="shared" si="304"/>
        <v>450269.53328366601</v>
      </c>
      <c r="AN627" s="41">
        <v>622</v>
      </c>
      <c r="AO627" s="57">
        <f t="shared" si="305"/>
        <v>3956.2017427995047</v>
      </c>
      <c r="AP627" s="57">
        <f t="shared" si="306"/>
        <v>7572.9894844382234</v>
      </c>
      <c r="AR627" s="41">
        <v>622</v>
      </c>
      <c r="AS627" s="57">
        <f t="shared" si="307"/>
        <v>14512.894146639768</v>
      </c>
      <c r="AT627" s="57">
        <f t="shared" si="308"/>
        <v>-8465.9382405954966</v>
      </c>
      <c r="AV627" s="57">
        <f t="shared" si="309"/>
        <v>-4.803775802602444</v>
      </c>
      <c r="AW627" s="57">
        <f t="shared" si="310"/>
        <v>-8.8176529131973247</v>
      </c>
      <c r="AX627" s="57">
        <f t="shared" si="311"/>
        <v>-0.42338956477956291</v>
      </c>
      <c r="AY627" s="57">
        <f t="shared" si="312"/>
        <v>-0.86240526406338047</v>
      </c>
      <c r="BA627" s="57">
        <f t="shared" si="313"/>
        <v>419106.82885192469</v>
      </c>
      <c r="BB627" s="57">
        <f t="shared" si="314"/>
        <v>432275.24026370014</v>
      </c>
    </row>
    <row r="628" spans="9:54" x14ac:dyDescent="0.25">
      <c r="I628" s="41">
        <v>623</v>
      </c>
      <c r="J628" s="57">
        <f t="shared" si="288"/>
        <v>19390.653282974265</v>
      </c>
      <c r="K628" s="57">
        <f t="shared" si="289"/>
        <v>2537.2692417933895</v>
      </c>
      <c r="M628" s="41">
        <v>623</v>
      </c>
      <c r="N628" s="57">
        <f t="shared" si="290"/>
        <v>-20426.542701918017</v>
      </c>
      <c r="O628" s="57">
        <f t="shared" si="291"/>
        <v>6526.0884692553727</v>
      </c>
      <c r="Q628" s="41">
        <v>623</v>
      </c>
      <c r="R628" s="57">
        <f t="shared" si="292"/>
        <v>-5609.3467170257372</v>
      </c>
      <c r="S628" s="41">
        <f t="shared" si="293"/>
        <v>-19962.73075820661</v>
      </c>
      <c r="U628" s="41">
        <v>622</v>
      </c>
      <c r="V628" s="41">
        <f t="shared" si="315"/>
        <v>311</v>
      </c>
      <c r="W628" s="57">
        <f t="shared" si="316"/>
        <v>206097.33604126581</v>
      </c>
      <c r="X628" s="57">
        <f t="shared" si="317"/>
        <v>383888.53115159017</v>
      </c>
      <c r="Y628" s="57">
        <f t="shared" si="318"/>
        <v>1188.8280661712879</v>
      </c>
      <c r="Z628" s="57">
        <f t="shared" si="319"/>
        <v>1703.8420655937919</v>
      </c>
      <c r="AA628" s="57">
        <f t="shared" si="294"/>
        <v>-8.207655686332691</v>
      </c>
      <c r="AB628" s="57">
        <f t="shared" si="295"/>
        <v>-15.366432902914465</v>
      </c>
      <c r="AC628" s="57">
        <f t="shared" si="296"/>
        <v>-1.3151912028217863</v>
      </c>
      <c r="AD628" s="57">
        <f t="shared" si="297"/>
        <v>-2.6600213390685901</v>
      </c>
      <c r="AE628" s="57">
        <f t="shared" si="298"/>
        <v>-0.48659650709764246</v>
      </c>
      <c r="AF628" s="57">
        <f t="shared" si="299"/>
        <v>-0.8046660632437822</v>
      </c>
      <c r="AG628" s="57">
        <f t="shared" si="300"/>
        <v>-1.2015940076488705</v>
      </c>
      <c r="AH628" s="57">
        <f t="shared" si="301"/>
        <v>-2.2705263729993992</v>
      </c>
      <c r="AJ628" s="57">
        <f t="shared" si="302"/>
        <v>419881.58433552115</v>
      </c>
      <c r="AK628" s="57">
        <f t="shared" si="303"/>
        <v>436935.5090761687</v>
      </c>
      <c r="AL628" s="57">
        <f t="shared" si="304"/>
        <v>451302.72054131498</v>
      </c>
      <c r="AN628" s="41">
        <v>623</v>
      </c>
      <c r="AO628" s="57">
        <f t="shared" si="305"/>
        <v>4085.9799244613946</v>
      </c>
      <c r="AP628" s="57">
        <f t="shared" si="306"/>
        <v>7555.9038626900847</v>
      </c>
      <c r="AR628" s="41">
        <v>623</v>
      </c>
      <c r="AS628" s="57">
        <f t="shared" si="307"/>
        <v>14573.457298081985</v>
      </c>
      <c r="AT628" s="57">
        <f t="shared" si="308"/>
        <v>-8473.9115307446264</v>
      </c>
      <c r="AV628" s="57">
        <f t="shared" si="309"/>
        <v>-4.782578577777933</v>
      </c>
      <c r="AW628" s="57">
        <f t="shared" si="310"/>
        <v>-8.7730569753123717</v>
      </c>
      <c r="AX628" s="57">
        <f t="shared" si="311"/>
        <v>-0.42169539098645858</v>
      </c>
      <c r="AY628" s="57">
        <f t="shared" si="312"/>
        <v>-0.85816215229032111</v>
      </c>
      <c r="BA628" s="57">
        <f t="shared" si="313"/>
        <v>420141.50827795092</v>
      </c>
      <c r="BB628" s="57">
        <f t="shared" si="314"/>
        <v>433304.1443412581</v>
      </c>
    </row>
    <row r="629" spans="9:54" x14ac:dyDescent="0.25">
      <c r="I629" s="41">
        <v>624</v>
      </c>
      <c r="J629" s="57">
        <f t="shared" si="288"/>
        <v>19477.357683661729</v>
      </c>
      <c r="K629" s="57">
        <f t="shared" si="289"/>
        <v>2527.3905231586341</v>
      </c>
      <c r="M629" s="41">
        <v>624</v>
      </c>
      <c r="N629" s="57">
        <f t="shared" si="290"/>
        <v>-20365.849621436791</v>
      </c>
      <c r="O629" s="57">
        <f t="shared" si="291"/>
        <v>6519.1733662110437</v>
      </c>
      <c r="Q629" s="41">
        <v>624</v>
      </c>
      <c r="R629" s="57">
        <f t="shared" si="292"/>
        <v>-5522.6423163382724</v>
      </c>
      <c r="S629" s="41">
        <f t="shared" si="293"/>
        <v>-19972.609476841368</v>
      </c>
      <c r="U629" s="41">
        <v>623</v>
      </c>
      <c r="V629" s="41">
        <f t="shared" si="315"/>
        <v>311.5</v>
      </c>
      <c r="W629" s="57">
        <f t="shared" si="316"/>
        <v>206690.72411739064</v>
      </c>
      <c r="X629" s="57">
        <f t="shared" si="317"/>
        <v>384738.53138027422</v>
      </c>
      <c r="Y629" s="57">
        <f t="shared" si="318"/>
        <v>1184.7242383281216</v>
      </c>
      <c r="Z629" s="57">
        <f t="shared" si="319"/>
        <v>1696.1588491423347</v>
      </c>
      <c r="AA629" s="57">
        <f t="shared" si="294"/>
        <v>-8.1726093877231634</v>
      </c>
      <c r="AB629" s="57">
        <f t="shared" si="295"/>
        <v>-15.290230625429922</v>
      </c>
      <c r="AC629" s="57">
        <f t="shared" si="296"/>
        <v>-1.3097748895548982</v>
      </c>
      <c r="AD629" s="57">
        <f t="shared" si="297"/>
        <v>-2.6466100986558034</v>
      </c>
      <c r="AE629" s="57">
        <f t="shared" si="298"/>
        <v>-0.48442578136685688</v>
      </c>
      <c r="AF629" s="57">
        <f t="shared" si="299"/>
        <v>-0.80079591513480641</v>
      </c>
      <c r="AG629" s="57">
        <f t="shared" si="300"/>
        <v>-1.1967719869364226</v>
      </c>
      <c r="AH629" s="57">
        <f t="shared" si="301"/>
        <v>-2.2598811471291929</v>
      </c>
      <c r="AJ629" s="57">
        <f t="shared" si="302"/>
        <v>420906.56448839308</v>
      </c>
      <c r="AK629" s="57">
        <f t="shared" si="303"/>
        <v>437969.92054467811</v>
      </c>
      <c r="AL629" s="57">
        <f t="shared" si="304"/>
        <v>452331.57765891566</v>
      </c>
      <c r="AN629" s="41">
        <v>624</v>
      </c>
      <c r="AO629" s="57">
        <f t="shared" si="305"/>
        <v>4216.036525492591</v>
      </c>
      <c r="AP629" s="57">
        <f t="shared" si="306"/>
        <v>7541.0857847379511</v>
      </c>
      <c r="AR629" s="41">
        <v>624</v>
      </c>
      <c r="AS629" s="57">
        <f t="shared" si="307"/>
        <v>14634.150378563209</v>
      </c>
      <c r="AT629" s="57">
        <f t="shared" si="308"/>
        <v>-8480.8266337889563</v>
      </c>
      <c r="AV629" s="57">
        <f t="shared" si="309"/>
        <v>-4.7616177291448567</v>
      </c>
      <c r="AW629" s="57">
        <f t="shared" si="310"/>
        <v>-8.7289762772808306</v>
      </c>
      <c r="AX629" s="57">
        <f t="shared" si="311"/>
        <v>-0.42001900072012943</v>
      </c>
      <c r="AY629" s="57">
        <f t="shared" si="312"/>
        <v>-0.85396718722928822</v>
      </c>
      <c r="BA629" s="57">
        <f t="shared" si="313"/>
        <v>421171.8530270505</v>
      </c>
      <c r="BB629" s="57">
        <f t="shared" si="314"/>
        <v>434328.7424924841</v>
      </c>
    </row>
    <row r="630" spans="9:54" x14ac:dyDescent="0.25">
      <c r="I630" s="41">
        <v>625</v>
      </c>
      <c r="J630" s="57">
        <f t="shared" si="288"/>
        <v>19564.221286261709</v>
      </c>
      <c r="K630" s="57">
        <f t="shared" si="289"/>
        <v>2519.0265095412724</v>
      </c>
      <c r="M630" s="41">
        <v>625</v>
      </c>
      <c r="N630" s="57">
        <f t="shared" si="290"/>
        <v>-20305.045099616804</v>
      </c>
      <c r="O630" s="57">
        <f t="shared" si="291"/>
        <v>6513.3185566788907</v>
      </c>
      <c r="Q630" s="41">
        <v>625</v>
      </c>
      <c r="R630" s="57">
        <f t="shared" si="292"/>
        <v>-5435.7787137382929</v>
      </c>
      <c r="S630" s="41">
        <f t="shared" si="293"/>
        <v>-19980.973490458728</v>
      </c>
      <c r="U630" s="41">
        <v>624</v>
      </c>
      <c r="V630" s="41">
        <f t="shared" si="315"/>
        <v>312</v>
      </c>
      <c r="W630" s="57">
        <f t="shared" si="316"/>
        <v>207282.06466038123</v>
      </c>
      <c r="X630" s="57">
        <f t="shared" si="317"/>
        <v>385584.69952601724</v>
      </c>
      <c r="Y630" s="57">
        <f t="shared" si="318"/>
        <v>1180.63793363426</v>
      </c>
      <c r="Z630" s="57">
        <f t="shared" si="319"/>
        <v>1688.5137338296197</v>
      </c>
      <c r="AA630" s="57">
        <f t="shared" si="294"/>
        <v>-8.1379464485213084</v>
      </c>
      <c r="AB630" s="57">
        <f t="shared" si="295"/>
        <v>-15.214897740652455</v>
      </c>
      <c r="AC630" s="57">
        <f t="shared" si="296"/>
        <v>-1.3044163362267842</v>
      </c>
      <c r="AD630" s="57">
        <f t="shared" si="297"/>
        <v>-2.6333533829492333</v>
      </c>
      <c r="AE630" s="57">
        <f t="shared" si="298"/>
        <v>-0.48227941519297118</v>
      </c>
      <c r="AF630" s="57">
        <f t="shared" si="299"/>
        <v>-0.79696904158936188</v>
      </c>
      <c r="AG630" s="57">
        <f t="shared" si="300"/>
        <v>-1.1920009021216218</v>
      </c>
      <c r="AH630" s="57">
        <f t="shared" si="301"/>
        <v>-2.2493531140987058</v>
      </c>
      <c r="AJ630" s="57">
        <f t="shared" si="302"/>
        <v>421927.25884817395</v>
      </c>
      <c r="AK630" s="57">
        <f t="shared" si="303"/>
        <v>439000.00391154253</v>
      </c>
      <c r="AL630" s="57">
        <f t="shared" si="304"/>
        <v>453356.12543653121</v>
      </c>
      <c r="AN630" s="41">
        <v>625</v>
      </c>
      <c r="AO630" s="57">
        <f t="shared" si="305"/>
        <v>4346.3319293925615</v>
      </c>
      <c r="AP630" s="57">
        <f t="shared" si="306"/>
        <v>7528.5397643119086</v>
      </c>
      <c r="AR630" s="41">
        <v>625</v>
      </c>
      <c r="AS630" s="57">
        <f t="shared" si="307"/>
        <v>14694.954900383194</v>
      </c>
      <c r="AT630" s="57">
        <f t="shared" si="308"/>
        <v>-8486.6814433211093</v>
      </c>
      <c r="AV630" s="57">
        <f t="shared" si="309"/>
        <v>-4.7408896538071152</v>
      </c>
      <c r="AW630" s="57">
        <f t="shared" si="310"/>
        <v>-8.6854025876779506</v>
      </c>
      <c r="AX630" s="57">
        <f t="shared" si="311"/>
        <v>-0.41836014117281589</v>
      </c>
      <c r="AY630" s="57">
        <f t="shared" si="312"/>
        <v>-0.84981961433720377</v>
      </c>
      <c r="BA630" s="57">
        <f t="shared" si="313"/>
        <v>422197.88394312822</v>
      </c>
      <c r="BB630" s="57">
        <f t="shared" si="314"/>
        <v>435349.05523486342</v>
      </c>
    </row>
    <row r="631" spans="9:54" x14ac:dyDescent="0.25">
      <c r="I631" s="41">
        <v>626</v>
      </c>
      <c r="J631" s="57">
        <f t="shared" si="288"/>
        <v>19651.217631279367</v>
      </c>
      <c r="K631" s="57">
        <f t="shared" si="289"/>
        <v>2512.1797487008789</v>
      </c>
      <c r="M631" s="41">
        <v>626</v>
      </c>
      <c r="N631" s="57">
        <f t="shared" si="290"/>
        <v>-20244.147658104444</v>
      </c>
      <c r="O631" s="57">
        <f t="shared" si="291"/>
        <v>6508.5258240906151</v>
      </c>
      <c r="Q631" s="41">
        <v>626</v>
      </c>
      <c r="R631" s="57">
        <f t="shared" si="292"/>
        <v>-5348.7823687206337</v>
      </c>
      <c r="S631" s="41">
        <f t="shared" si="293"/>
        <v>-19987.820251299119</v>
      </c>
      <c r="U631" s="41">
        <v>625</v>
      </c>
      <c r="V631" s="41">
        <f t="shared" si="315"/>
        <v>312.5</v>
      </c>
      <c r="W631" s="57">
        <f t="shared" si="316"/>
        <v>207871.36638389231</v>
      </c>
      <c r="X631" s="57">
        <f t="shared" si="317"/>
        <v>386427.05453071446</v>
      </c>
      <c r="Y631" s="57">
        <f t="shared" si="318"/>
        <v>1176.5689604099994</v>
      </c>
      <c r="Z631" s="57">
        <f t="shared" si="319"/>
        <v>1680.9062849592935</v>
      </c>
      <c r="AA631" s="57">
        <f t="shared" si="294"/>
        <v>-8.1036611496545188</v>
      </c>
      <c r="AB631" s="57">
        <f t="shared" si="295"/>
        <v>-15.1404205413169</v>
      </c>
      <c r="AC631" s="57">
        <f t="shared" si="296"/>
        <v>-1.2991147085426331</v>
      </c>
      <c r="AD631" s="57">
        <f t="shared" si="297"/>
        <v>-2.6202487344436203</v>
      </c>
      <c r="AE631" s="57">
        <f t="shared" si="298"/>
        <v>-0.48015703416062178</v>
      </c>
      <c r="AF631" s="57">
        <f t="shared" si="299"/>
        <v>-0.79318477327594095</v>
      </c>
      <c r="AG631" s="57">
        <f t="shared" si="300"/>
        <v>-1.1872800207970542</v>
      </c>
      <c r="AH631" s="57">
        <f t="shared" si="301"/>
        <v>-2.2389404913773836</v>
      </c>
      <c r="AJ631" s="57">
        <f t="shared" si="302"/>
        <v>422943.68769645179</v>
      </c>
      <c r="AK631" s="57">
        <f t="shared" si="303"/>
        <v>440025.77992696245</v>
      </c>
      <c r="AL631" s="57">
        <f t="shared" si="304"/>
        <v>454376.38443844166</v>
      </c>
      <c r="AN631" s="41">
        <v>626</v>
      </c>
      <c r="AO631" s="57">
        <f t="shared" si="305"/>
        <v>4476.8264469190499</v>
      </c>
      <c r="AP631" s="57">
        <f t="shared" si="306"/>
        <v>7518.2696230513184</v>
      </c>
      <c r="AR631" s="41">
        <v>626</v>
      </c>
      <c r="AS631" s="57">
        <f t="shared" si="307"/>
        <v>14755.852341895557</v>
      </c>
      <c r="AT631" s="57">
        <f t="shared" si="308"/>
        <v>-8491.4741759093849</v>
      </c>
      <c r="AV631" s="57">
        <f t="shared" si="309"/>
        <v>-4.7203908218197652</v>
      </c>
      <c r="AW631" s="57">
        <f t="shared" si="310"/>
        <v>-8.6423278476106429</v>
      </c>
      <c r="AX631" s="57">
        <f t="shared" si="311"/>
        <v>-0.41671856433444499</v>
      </c>
      <c r="AY631" s="57">
        <f t="shared" si="312"/>
        <v>-0.84571869460931237</v>
      </c>
      <c r="BA631" s="57">
        <f t="shared" si="313"/>
        <v>423219.62163376808</v>
      </c>
      <c r="BB631" s="57">
        <f t="shared" si="314"/>
        <v>436365.10285468586</v>
      </c>
    </row>
    <row r="632" spans="9:54" x14ac:dyDescent="0.25">
      <c r="I632" s="41">
        <v>627</v>
      </c>
      <c r="J632" s="57">
        <f t="shared" si="288"/>
        <v>19738.320218785277</v>
      </c>
      <c r="K632" s="57">
        <f t="shared" si="289"/>
        <v>2506.852326227131</v>
      </c>
      <c r="M632" s="41">
        <v>627</v>
      </c>
      <c r="N632" s="57">
        <f t="shared" si="290"/>
        <v>-20183.175846850307</v>
      </c>
      <c r="O632" s="57">
        <f t="shared" si="291"/>
        <v>6504.7966283589922</v>
      </c>
      <c r="Q632" s="41">
        <v>627</v>
      </c>
      <c r="R632" s="57">
        <f t="shared" si="292"/>
        <v>-5261.6797812147224</v>
      </c>
      <c r="S632" s="41">
        <f t="shared" si="293"/>
        <v>-19993.14767377287</v>
      </c>
      <c r="U632" s="41">
        <v>626</v>
      </c>
      <c r="V632" s="41">
        <f t="shared" si="315"/>
        <v>313</v>
      </c>
      <c r="W632" s="57">
        <f t="shared" si="316"/>
        <v>208458.6379064536</v>
      </c>
      <c r="X632" s="57">
        <f t="shared" si="317"/>
        <v>387265.61512062646</v>
      </c>
      <c r="Y632" s="57">
        <f t="shared" si="318"/>
        <v>1172.517129835172</v>
      </c>
      <c r="Z632" s="57">
        <f t="shared" si="319"/>
        <v>1673.3360746886351</v>
      </c>
      <c r="AA632" s="57">
        <f t="shared" si="294"/>
        <v>-8.069747885650651</v>
      </c>
      <c r="AB632" s="57">
        <f t="shared" si="295"/>
        <v>-15.066785604045469</v>
      </c>
      <c r="AC632" s="57">
        <f t="shared" si="296"/>
        <v>-1.2938691882479414</v>
      </c>
      <c r="AD632" s="57">
        <f t="shared" si="297"/>
        <v>-2.6072937468884185</v>
      </c>
      <c r="AE632" s="57">
        <f t="shared" si="298"/>
        <v>-0.47805827149450975</v>
      </c>
      <c r="AF632" s="57">
        <f t="shared" si="299"/>
        <v>-0.78944245449248096</v>
      </c>
      <c r="AG632" s="57">
        <f t="shared" si="300"/>
        <v>-1.1826086246547565</v>
      </c>
      <c r="AH632" s="57">
        <f t="shared" si="301"/>
        <v>-2.2286415321931599</v>
      </c>
      <c r="AJ632" s="57">
        <f t="shared" si="302"/>
        <v>423955.87108743237</v>
      </c>
      <c r="AK632" s="57">
        <f t="shared" si="303"/>
        <v>441047.26910663076</v>
      </c>
      <c r="AL632" s="57">
        <f t="shared" si="304"/>
        <v>455392.37499683112</v>
      </c>
      <c r="AN632" s="41">
        <v>627</v>
      </c>
      <c r="AO632" s="57">
        <f t="shared" si="305"/>
        <v>4607.4803281779159</v>
      </c>
      <c r="AP632" s="57">
        <f t="shared" si="306"/>
        <v>7510.2784893406961</v>
      </c>
      <c r="AR632" s="41">
        <v>627</v>
      </c>
      <c r="AS632" s="57">
        <f t="shared" si="307"/>
        <v>14816.824153149693</v>
      </c>
      <c r="AT632" s="57">
        <f t="shared" si="308"/>
        <v>-8495.2033716410078</v>
      </c>
      <c r="AV632" s="57">
        <f t="shared" si="309"/>
        <v>-4.7001177743726803</v>
      </c>
      <c r="AW632" s="57">
        <f t="shared" si="310"/>
        <v>-8.5997441662846015</v>
      </c>
      <c r="AX632" s="57">
        <f t="shared" si="311"/>
        <v>-0.41509402688076286</v>
      </c>
      <c r="AY632" s="57">
        <f t="shared" si="312"/>
        <v>-0.84166370418680869</v>
      </c>
      <c r="BA632" s="57">
        <f t="shared" si="313"/>
        <v>424237.08647392888</v>
      </c>
      <c r="BB632" s="57">
        <f t="shared" si="314"/>
        <v>437376.90541063523</v>
      </c>
    </row>
    <row r="633" spans="9:54" x14ac:dyDescent="0.25">
      <c r="I633" s="41">
        <v>628</v>
      </c>
      <c r="J633" s="57">
        <f t="shared" si="288"/>
        <v>19825.502516487486</v>
      </c>
      <c r="K633" s="57">
        <f t="shared" si="289"/>
        <v>2503.0458649045213</v>
      </c>
      <c r="M633" s="41">
        <v>628</v>
      </c>
      <c r="N633" s="57">
        <f t="shared" si="290"/>
        <v>-20122.148238458758</v>
      </c>
      <c r="O633" s="57">
        <f t="shared" si="291"/>
        <v>6502.1321054331656</v>
      </c>
      <c r="Q633" s="41">
        <v>628</v>
      </c>
      <c r="R633" s="57">
        <f t="shared" si="292"/>
        <v>-5174.497483512514</v>
      </c>
      <c r="S633" s="41">
        <f t="shared" si="293"/>
        <v>-19996.954135095479</v>
      </c>
      <c r="U633" s="41">
        <v>627</v>
      </c>
      <c r="V633" s="41">
        <f t="shared" si="315"/>
        <v>313.5</v>
      </c>
      <c r="W633" s="57">
        <f t="shared" si="316"/>
        <v>209043.88775288546</v>
      </c>
      <c r="X633" s="57">
        <f t="shared" si="317"/>
        <v>388100.39980977023</v>
      </c>
      <c r="Y633" s="57">
        <f t="shared" si="318"/>
        <v>1168.4822558923468</v>
      </c>
      <c r="Z633" s="57">
        <f t="shared" si="319"/>
        <v>1665.8026818866124</v>
      </c>
      <c r="AA633" s="57">
        <f t="shared" si="294"/>
        <v>-8.0362011618623335</v>
      </c>
      <c r="AB633" s="57">
        <f t="shared" si="295"/>
        <v>-14.993979782138311</v>
      </c>
      <c r="AC633" s="57">
        <f t="shared" si="296"/>
        <v>-1.2886789727501313</v>
      </c>
      <c r="AD633" s="57">
        <f t="shared" si="297"/>
        <v>-2.5944860639783247</v>
      </c>
      <c r="AE633" s="57">
        <f t="shared" si="298"/>
        <v>-0.47598276786771382</v>
      </c>
      <c r="AF633" s="57">
        <f t="shared" si="299"/>
        <v>-0.78574144282562897</v>
      </c>
      <c r="AG633" s="57">
        <f t="shared" si="300"/>
        <v>-1.177986009151591</v>
      </c>
      <c r="AH633" s="57">
        <f t="shared" si="301"/>
        <v>-2.2184545246511984</v>
      </c>
      <c r="AJ633" s="57">
        <f t="shared" si="302"/>
        <v>424963.82885144767</v>
      </c>
      <c r="AK633" s="57">
        <f t="shared" si="303"/>
        <v>442064.49173538527</v>
      </c>
      <c r="AL633" s="57">
        <f t="shared" si="304"/>
        <v>456404.11721539765</v>
      </c>
      <c r="AN633" s="41">
        <v>628</v>
      </c>
      <c r="AO633" s="57">
        <f t="shared" si="305"/>
        <v>4738.253774731229</v>
      </c>
      <c r="AP633" s="57">
        <f t="shared" si="306"/>
        <v>7504.5687973567829</v>
      </c>
      <c r="AR633" s="41">
        <v>628</v>
      </c>
      <c r="AS633" s="57">
        <f t="shared" si="307"/>
        <v>14877.85176154124</v>
      </c>
      <c r="AT633" s="57">
        <f t="shared" si="308"/>
        <v>-8497.8678945668344</v>
      </c>
      <c r="AV633" s="57">
        <f t="shared" si="309"/>
        <v>-4.6800671220283503</v>
      </c>
      <c r="AW633" s="57">
        <f t="shared" si="310"/>
        <v>-8.557643816707003</v>
      </c>
      <c r="AX633" s="57">
        <f t="shared" si="311"/>
        <v>-0.41348629006454785</v>
      </c>
      <c r="AY633" s="57">
        <f t="shared" si="312"/>
        <v>-0.83765393397615717</v>
      </c>
      <c r="BA633" s="57">
        <f t="shared" si="313"/>
        <v>425250.29860956303</v>
      </c>
      <c r="BB633" s="57">
        <f t="shared" si="314"/>
        <v>438384.48273730627</v>
      </c>
    </row>
    <row r="634" spans="9:54" x14ac:dyDescent="0.25">
      <c r="I634" s="41">
        <v>629</v>
      </c>
      <c r="J634" s="57">
        <f t="shared" si="288"/>
        <v>19912.737967813577</v>
      </c>
      <c r="K634" s="57">
        <f t="shared" si="289"/>
        <v>2500.7615242180436</v>
      </c>
      <c r="M634" s="41">
        <v>629</v>
      </c>
      <c r="N634" s="57">
        <f t="shared" si="290"/>
        <v>-20061.083422530497</v>
      </c>
      <c r="O634" s="57">
        <f t="shared" si="291"/>
        <v>6500.5330669526302</v>
      </c>
      <c r="Q634" s="41">
        <v>629</v>
      </c>
      <c r="R634" s="57">
        <f t="shared" si="292"/>
        <v>-5087.2620321864233</v>
      </c>
      <c r="S634" s="41">
        <f t="shared" si="293"/>
        <v>-19999.238475781956</v>
      </c>
      <c r="U634" s="41">
        <v>628</v>
      </c>
      <c r="V634" s="41">
        <f t="shared" si="315"/>
        <v>314</v>
      </c>
      <c r="W634" s="57">
        <f t="shared" si="316"/>
        <v>209627.12435568642</v>
      </c>
      <c r="X634" s="57">
        <f t="shared" si="317"/>
        <v>388931.42690324073</v>
      </c>
      <c r="Y634" s="57">
        <f t="shared" si="318"/>
        <v>1164.4641553114157</v>
      </c>
      <c r="Z634" s="57">
        <f t="shared" si="319"/>
        <v>1658.3056919955432</v>
      </c>
      <c r="AA634" s="57">
        <f t="shared" si="294"/>
        <v>-8.0030155917712946</v>
      </c>
      <c r="AB634" s="57">
        <f t="shared" si="295"/>
        <v>-14.921990198579747</v>
      </c>
      <c r="AC634" s="57">
        <f t="shared" si="296"/>
        <v>-1.2835432747507123</v>
      </c>
      <c r="AD634" s="57">
        <f t="shared" si="297"/>
        <v>-2.5818233780833113</v>
      </c>
      <c r="AE634" s="57">
        <f t="shared" si="298"/>
        <v>-0.47393017121569614</v>
      </c>
      <c r="AF634" s="57">
        <f t="shared" si="299"/>
        <v>-0.78208110882007686</v>
      </c>
      <c r="AG634" s="57">
        <f t="shared" si="300"/>
        <v>-1.1734114831840143</v>
      </c>
      <c r="AH634" s="57">
        <f t="shared" si="301"/>
        <v>-2.2083777908782722</v>
      </c>
      <c r="AJ634" s="57">
        <f t="shared" si="302"/>
        <v>425967.58059839392</v>
      </c>
      <c r="AK634" s="57">
        <f t="shared" si="303"/>
        <v>443077.46787078661</v>
      </c>
      <c r="AL634" s="57">
        <f t="shared" si="304"/>
        <v>457411.63097289007</v>
      </c>
      <c r="AN634" s="41">
        <v>629</v>
      </c>
      <c r="AO634" s="57">
        <f t="shared" si="305"/>
        <v>4869.106951720365</v>
      </c>
      <c r="AP634" s="57">
        <f t="shared" si="306"/>
        <v>7501.1422863270654</v>
      </c>
      <c r="AR634" s="41">
        <v>629</v>
      </c>
      <c r="AS634" s="57">
        <f t="shared" si="307"/>
        <v>14938.916577469503</v>
      </c>
      <c r="AT634" s="57">
        <f t="shared" si="308"/>
        <v>-8499.4669330473698</v>
      </c>
      <c r="AV634" s="57">
        <f t="shared" si="309"/>
        <v>-4.6602355430110558</v>
      </c>
      <c r="AW634" s="57">
        <f t="shared" si="310"/>
        <v>-8.5160192315183529</v>
      </c>
      <c r="AX634" s="57">
        <f t="shared" si="311"/>
        <v>-0.41189511960981645</v>
      </c>
      <c r="AY634" s="57">
        <f t="shared" si="312"/>
        <v>-0.83368868927973394</v>
      </c>
      <c r="BA634" s="57">
        <f t="shared" si="313"/>
        <v>426259.27796116204</v>
      </c>
      <c r="BB634" s="57">
        <f t="shared" si="314"/>
        <v>439387.85444864898</v>
      </c>
    </row>
    <row r="635" spans="9:54" x14ac:dyDescent="0.25">
      <c r="I635" s="41">
        <v>630</v>
      </c>
      <c r="J635" s="57">
        <f t="shared" si="288"/>
        <v>19999.999999999996</v>
      </c>
      <c r="K635" s="57">
        <f t="shared" si="289"/>
        <v>2500</v>
      </c>
      <c r="M635" s="41">
        <v>630</v>
      </c>
      <c r="N635" s="57">
        <f t="shared" si="290"/>
        <v>-20000</v>
      </c>
      <c r="O635" s="57">
        <f t="shared" si="291"/>
        <v>6500</v>
      </c>
      <c r="Q635" s="41">
        <v>630</v>
      </c>
      <c r="R635" s="57">
        <f t="shared" si="292"/>
        <v>-5000.0000000000018</v>
      </c>
      <c r="S635" s="41">
        <f t="shared" si="293"/>
        <v>-20000</v>
      </c>
      <c r="U635" s="41">
        <v>629</v>
      </c>
      <c r="V635" s="41">
        <f t="shared" si="315"/>
        <v>314.5</v>
      </c>
      <c r="W635" s="57">
        <f t="shared" si="316"/>
        <v>210208.35605639315</v>
      </c>
      <c r="X635" s="57">
        <f t="shared" si="317"/>
        <v>389758.71450046368</v>
      </c>
      <c r="Y635" s="57">
        <f t="shared" si="318"/>
        <v>1160.4626475155301</v>
      </c>
      <c r="Z635" s="57">
        <f t="shared" si="319"/>
        <v>1650.8446968962533</v>
      </c>
      <c r="AA635" s="57">
        <f t="shared" si="294"/>
        <v>-7.9701858943713564</v>
      </c>
      <c r="AB635" s="57">
        <f t="shared" si="295"/>
        <v>-14.850804239255238</v>
      </c>
      <c r="AC635" s="57">
        <f t="shared" si="296"/>
        <v>-1.278461321887707</v>
      </c>
      <c r="AD635" s="57">
        <f t="shared" si="297"/>
        <v>-2.5693034290169003</v>
      </c>
      <c r="AE635" s="57">
        <f t="shared" si="298"/>
        <v>-0.4719001365558379</v>
      </c>
      <c r="AF635" s="57">
        <f t="shared" si="299"/>
        <v>-0.77846083565766999</v>
      </c>
      <c r="AG635" s="57">
        <f t="shared" si="300"/>
        <v>-1.1688843687720818</v>
      </c>
      <c r="AH635" s="57">
        <f t="shared" si="301"/>
        <v>-2.1984096861921962</v>
      </c>
      <c r="AJ635" s="57">
        <f t="shared" si="302"/>
        <v>426967.14572109951</v>
      </c>
      <c r="AK635" s="57">
        <f t="shared" si="303"/>
        <v>444086.21734662261</v>
      </c>
      <c r="AL635" s="57">
        <f t="shared" si="304"/>
        <v>458414.93592657207</v>
      </c>
      <c r="AN635" s="41">
        <v>630</v>
      </c>
      <c r="AO635" s="57">
        <f t="shared" si="305"/>
        <v>4999.9999999999964</v>
      </c>
      <c r="AP635" s="57">
        <f t="shared" si="306"/>
        <v>7500</v>
      </c>
      <c r="AR635" s="41">
        <v>630</v>
      </c>
      <c r="AS635" s="57">
        <f t="shared" si="307"/>
        <v>14999.999999999998</v>
      </c>
      <c r="AT635" s="57">
        <f t="shared" si="308"/>
        <v>-8500</v>
      </c>
      <c r="AV635" s="57">
        <f t="shared" si="309"/>
        <v>-4.640619781546758</v>
      </c>
      <c r="AW635" s="57">
        <f t="shared" si="310"/>
        <v>-8.4748629989509858</v>
      </c>
      <c r="AX635" s="57">
        <f t="shared" si="311"/>
        <v>-0.41032028560897182</v>
      </c>
      <c r="AY635" s="57">
        <f t="shared" si="312"/>
        <v>-0.82976728943748523</v>
      </c>
      <c r="BA635" s="57">
        <f t="shared" si="313"/>
        <v>427264.04422722897</v>
      </c>
      <c r="BB635" s="57">
        <f t="shared" si="314"/>
        <v>440387.03994134313</v>
      </c>
    </row>
    <row r="636" spans="9:54" x14ac:dyDescent="0.25">
      <c r="I636" s="41">
        <v>631</v>
      </c>
      <c r="J636" s="57">
        <f t="shared" si="288"/>
        <v>20087.26203218642</v>
      </c>
      <c r="K636" s="57">
        <f t="shared" si="289"/>
        <v>2500.7615242180436</v>
      </c>
      <c r="M636" s="41">
        <v>631</v>
      </c>
      <c r="N636" s="57">
        <f t="shared" si="290"/>
        <v>-19938.916577469507</v>
      </c>
      <c r="O636" s="57">
        <f t="shared" si="291"/>
        <v>6500.5330669526302</v>
      </c>
      <c r="Q636" s="41">
        <v>631</v>
      </c>
      <c r="R636" s="57">
        <f t="shared" si="292"/>
        <v>-4912.7379678135812</v>
      </c>
      <c r="S636" s="41">
        <f t="shared" si="293"/>
        <v>-19999.238475781956</v>
      </c>
      <c r="U636" s="41">
        <v>630</v>
      </c>
      <c r="V636" s="41">
        <f t="shared" si="315"/>
        <v>315</v>
      </c>
      <c r="W636" s="57">
        <f t="shared" si="316"/>
        <v>210787.59110691413</v>
      </c>
      <c r="X636" s="57">
        <f t="shared" si="317"/>
        <v>390582.28049838194</v>
      </c>
      <c r="Y636" s="57">
        <f t="shared" si="318"/>
        <v>1156.4775545683444</v>
      </c>
      <c r="Z636" s="57">
        <f t="shared" si="319"/>
        <v>1643.4192947766257</v>
      </c>
      <c r="AA636" s="57">
        <f t="shared" si="294"/>
        <v>-7.9377068916261218</v>
      </c>
      <c r="AB636" s="57">
        <f t="shared" si="295"/>
        <v>-14.780409546369254</v>
      </c>
      <c r="AC636" s="57">
        <f t="shared" si="296"/>
        <v>-1.2734323563880505</v>
      </c>
      <c r="AD636" s="57">
        <f t="shared" si="297"/>
        <v>-2.5569240028414182</v>
      </c>
      <c r="AE636" s="57">
        <f t="shared" si="298"/>
        <v>-0.46989232581228468</v>
      </c>
      <c r="AF636" s="57">
        <f t="shared" si="299"/>
        <v>-0.77488001884591096</v>
      </c>
      <c r="AG636" s="57">
        <f t="shared" si="300"/>
        <v>-1.1644040007522298</v>
      </c>
      <c r="AH636" s="57">
        <f t="shared" si="301"/>
        <v>-2.1885485982951738</v>
      </c>
      <c r="AJ636" s="57">
        <f t="shared" si="302"/>
        <v>427962.54339862504</v>
      </c>
      <c r="AK636" s="57">
        <f t="shared" si="303"/>
        <v>445090.75977634185</v>
      </c>
      <c r="AL636" s="57">
        <f t="shared" si="304"/>
        <v>459414.05151561584</v>
      </c>
      <c r="AN636" s="41">
        <v>631</v>
      </c>
      <c r="AO636" s="57">
        <f t="shared" si="305"/>
        <v>5130.8930482796286</v>
      </c>
      <c r="AP636" s="57">
        <f t="shared" si="306"/>
        <v>7501.1422863270654</v>
      </c>
      <c r="AR636" s="41">
        <v>631</v>
      </c>
      <c r="AS636" s="57">
        <f t="shared" si="307"/>
        <v>15061.083422530493</v>
      </c>
      <c r="AT636" s="57">
        <f t="shared" si="308"/>
        <v>-8499.4669330473698</v>
      </c>
      <c r="AV636" s="57">
        <f t="shared" si="309"/>
        <v>-4.6212166462508497</v>
      </c>
      <c r="AW636" s="57">
        <f t="shared" si="310"/>
        <v>-8.4341678589077151</v>
      </c>
      <c r="AX636" s="57">
        <f t="shared" si="311"/>
        <v>-0.40876156242270645</v>
      </c>
      <c r="AY636" s="57">
        <f t="shared" si="312"/>
        <v>-0.82588906747903501</v>
      </c>
      <c r="BA636" s="57">
        <f t="shared" si="313"/>
        <v>428264.61688768049</v>
      </c>
      <c r="BB636" s="57">
        <f t="shared" si="314"/>
        <v>441382.05839810567</v>
      </c>
    </row>
    <row r="637" spans="9:54" x14ac:dyDescent="0.25">
      <c r="I637" s="41">
        <v>632</v>
      </c>
      <c r="J637" s="57">
        <f t="shared" si="288"/>
        <v>20174.497483512499</v>
      </c>
      <c r="K637" s="57">
        <f t="shared" si="289"/>
        <v>2503.0458649045213</v>
      </c>
      <c r="M637" s="41">
        <v>632</v>
      </c>
      <c r="N637" s="57">
        <f t="shared" si="290"/>
        <v>-19877.851761541249</v>
      </c>
      <c r="O637" s="57">
        <f t="shared" si="291"/>
        <v>6502.1321054331647</v>
      </c>
      <c r="Q637" s="41">
        <v>632</v>
      </c>
      <c r="R637" s="57">
        <f t="shared" si="292"/>
        <v>-4825.5025164874996</v>
      </c>
      <c r="S637" s="41">
        <f t="shared" si="293"/>
        <v>-19996.954135095479</v>
      </c>
      <c r="U637" s="41">
        <v>631</v>
      </c>
      <c r="V637" s="41">
        <f t="shared" si="315"/>
        <v>315.5</v>
      </c>
      <c r="W637" s="57">
        <f t="shared" si="316"/>
        <v>211364.83767083683</v>
      </c>
      <c r="X637" s="57">
        <f t="shared" si="317"/>
        <v>391402.14259457693</v>
      </c>
      <c r="Y637" s="57">
        <f t="shared" si="318"/>
        <v>1152.5087011225314</v>
      </c>
      <c r="Z637" s="57">
        <f t="shared" si="319"/>
        <v>1636.0290900034411</v>
      </c>
      <c r="AA637" s="57">
        <f t="shared" si="294"/>
        <v>-7.9055735059997563</v>
      </c>
      <c r="AB637" s="57">
        <f t="shared" si="295"/>
        <v>-14.710794012058846</v>
      </c>
      <c r="AC637" s="57">
        <f t="shared" si="296"/>
        <v>-1.2684556347295193</v>
      </c>
      <c r="AD637" s="57">
        <f t="shared" si="297"/>
        <v>-2.5446829307087353</v>
      </c>
      <c r="AE637" s="57">
        <f t="shared" si="298"/>
        <v>-0.46790640764597613</v>
      </c>
      <c r="AF637" s="57">
        <f t="shared" si="299"/>
        <v>-0.77133806591562926</v>
      </c>
      <c r="AG637" s="57">
        <f t="shared" si="300"/>
        <v>-1.1599697264786948</v>
      </c>
      <c r="AH637" s="57">
        <f t="shared" si="301"/>
        <v>-2.1787929464905256</v>
      </c>
      <c r="AJ637" s="57">
        <f t="shared" si="302"/>
        <v>428953.79259949736</v>
      </c>
      <c r="AK637" s="57">
        <f t="shared" si="303"/>
        <v>446091.11455641733</v>
      </c>
      <c r="AL637" s="57">
        <f t="shared" si="304"/>
        <v>460408.9969644277</v>
      </c>
      <c r="AN637" s="41">
        <v>632</v>
      </c>
      <c r="AO637" s="57">
        <f t="shared" si="305"/>
        <v>5261.746225268751</v>
      </c>
      <c r="AP637" s="57">
        <f t="shared" si="306"/>
        <v>7504.5687973567819</v>
      </c>
      <c r="AR637" s="41">
        <v>632</v>
      </c>
      <c r="AS637" s="57">
        <f t="shared" si="307"/>
        <v>15122.148238458751</v>
      </c>
      <c r="AT637" s="57">
        <f t="shared" si="308"/>
        <v>-8497.8678945668362</v>
      </c>
      <c r="AV637" s="57">
        <f t="shared" si="309"/>
        <v>-4.6020230085628642</v>
      </c>
      <c r="AW637" s="57">
        <f t="shared" si="310"/>
        <v>-8.3939266991578023</v>
      </c>
      <c r="AX637" s="57">
        <f t="shared" si="311"/>
        <v>-0.40721872858270164</v>
      </c>
      <c r="AY637" s="57">
        <f t="shared" si="312"/>
        <v>-0.8220533697861534</v>
      </c>
      <c r="BA637" s="57">
        <f t="shared" si="313"/>
        <v>429261.01520718029</v>
      </c>
      <c r="BB637" s="57">
        <f t="shared" si="314"/>
        <v>442372.92879093019</v>
      </c>
    </row>
    <row r="638" spans="9:54" x14ac:dyDescent="0.25">
      <c r="I638" s="41">
        <v>633</v>
      </c>
      <c r="J638" s="57">
        <f t="shared" si="288"/>
        <v>20261.67978121472</v>
      </c>
      <c r="K638" s="57">
        <f t="shared" si="289"/>
        <v>2506.852326227131</v>
      </c>
      <c r="M638" s="41">
        <v>633</v>
      </c>
      <c r="N638" s="57">
        <f t="shared" si="290"/>
        <v>-19816.824153149697</v>
      </c>
      <c r="O638" s="57">
        <f t="shared" si="291"/>
        <v>6504.7966283589922</v>
      </c>
      <c r="Q638" s="41">
        <v>633</v>
      </c>
      <c r="R638" s="57">
        <f t="shared" si="292"/>
        <v>-4738.3202187852812</v>
      </c>
      <c r="S638" s="41">
        <f t="shared" si="293"/>
        <v>-19993.14767377287</v>
      </c>
      <c r="U638" s="41">
        <v>632</v>
      </c>
      <c r="V638" s="41">
        <f t="shared" si="315"/>
        <v>316</v>
      </c>
      <c r="W638" s="57">
        <f t="shared" si="316"/>
        <v>211940.10382470986</v>
      </c>
      <c r="X638" s="57">
        <f t="shared" si="317"/>
        <v>392218.31829032715</v>
      </c>
      <c r="Y638" s="57">
        <f t="shared" si="318"/>
        <v>1148.5559143695316</v>
      </c>
      <c r="Z638" s="57">
        <f t="shared" si="319"/>
        <v>1628.6736929974115</v>
      </c>
      <c r="AA638" s="57">
        <f t="shared" si="294"/>
        <v>-7.8737807580582544</v>
      </c>
      <c r="AB638" s="57">
        <f t="shared" si="295"/>
        <v>-14.641945772195802</v>
      </c>
      <c r="AC638" s="57">
        <f t="shared" si="296"/>
        <v>-1.2635304273119652</v>
      </c>
      <c r="AD638" s="57">
        <f t="shared" si="297"/>
        <v>-2.5325780877353994</v>
      </c>
      <c r="AE638" s="57">
        <f t="shared" si="298"/>
        <v>-0.46594205728958155</v>
      </c>
      <c r="AF638" s="57">
        <f t="shared" si="299"/>
        <v>-0.76783439612734217</v>
      </c>
      <c r="AG638" s="57">
        <f t="shared" si="300"/>
        <v>-1.1555809055331545</v>
      </c>
      <c r="AH638" s="57">
        <f t="shared" si="301"/>
        <v>-2.1691411809217795</v>
      </c>
      <c r="AJ638" s="57">
        <f t="shared" si="302"/>
        <v>429940.91208487924</v>
      </c>
      <c r="AK638" s="57">
        <f t="shared" si="303"/>
        <v>447087.3008696434</v>
      </c>
      <c r="AL638" s="57">
        <f t="shared" si="304"/>
        <v>461399.79128590651</v>
      </c>
      <c r="AN638" s="41">
        <v>633</v>
      </c>
      <c r="AO638" s="57">
        <f t="shared" si="305"/>
        <v>5392.5196718220777</v>
      </c>
      <c r="AP638" s="57">
        <f t="shared" si="306"/>
        <v>7510.2784893406961</v>
      </c>
      <c r="AR638" s="41">
        <v>633</v>
      </c>
      <c r="AS638" s="57">
        <f t="shared" si="307"/>
        <v>15183.175846850303</v>
      </c>
      <c r="AT638" s="57">
        <f t="shared" si="308"/>
        <v>-8495.2033716410078</v>
      </c>
      <c r="AV638" s="57">
        <f t="shared" si="309"/>
        <v>-4.5830358012266643</v>
      </c>
      <c r="AW638" s="57">
        <f t="shared" si="310"/>
        <v>-8.3541325516463516</v>
      </c>
      <c r="AX638" s="57">
        <f t="shared" si="311"/>
        <v>-0.40569156669688866</v>
      </c>
      <c r="AY638" s="57">
        <f t="shared" si="312"/>
        <v>-0.8182595557649297</v>
      </c>
      <c r="BA638" s="57">
        <f t="shared" si="313"/>
        <v>430253.25823840575</v>
      </c>
      <c r="BB638" s="57">
        <f t="shared" si="314"/>
        <v>443359.6698842636</v>
      </c>
    </row>
    <row r="639" spans="9:54" x14ac:dyDescent="0.25">
      <c r="I639" s="41">
        <v>634</v>
      </c>
      <c r="J639" s="57">
        <f t="shared" si="288"/>
        <v>20348.782368720629</v>
      </c>
      <c r="K639" s="57">
        <f t="shared" si="289"/>
        <v>2512.1797487008789</v>
      </c>
      <c r="M639" s="41">
        <v>634</v>
      </c>
      <c r="N639" s="57">
        <f t="shared" si="290"/>
        <v>-19755.852341895559</v>
      </c>
      <c r="O639" s="57">
        <f t="shared" si="291"/>
        <v>6508.5258240906151</v>
      </c>
      <c r="Q639" s="41">
        <v>634</v>
      </c>
      <c r="R639" s="57">
        <f t="shared" si="292"/>
        <v>-4651.2176312793708</v>
      </c>
      <c r="S639" s="41">
        <f t="shared" si="293"/>
        <v>-19987.820251299119</v>
      </c>
      <c r="U639" s="41">
        <v>633</v>
      </c>
      <c r="V639" s="41">
        <f t="shared" si="315"/>
        <v>316.5</v>
      </c>
      <c r="W639" s="57">
        <f t="shared" si="316"/>
        <v>212513.39755929986</v>
      </c>
      <c r="X639" s="57">
        <f t="shared" si="317"/>
        <v>393030.82489360432</v>
      </c>
      <c r="Y639" s="57">
        <f t="shared" si="318"/>
        <v>1144.6190239905025</v>
      </c>
      <c r="Z639" s="57">
        <f t="shared" si="319"/>
        <v>1621.3527201113136</v>
      </c>
      <c r="AA639" s="57">
        <f t="shared" si="294"/>
        <v>-7.8423237641386097</v>
      </c>
      <c r="AB639" s="57">
        <f t="shared" si="295"/>
        <v>-14.573853200370575</v>
      </c>
      <c r="AC639" s="57">
        <f t="shared" si="296"/>
        <v>-1.2586560181375981</v>
      </c>
      <c r="AD639" s="57">
        <f t="shared" si="297"/>
        <v>-2.5206073919110792</v>
      </c>
      <c r="AE639" s="57">
        <f t="shared" si="298"/>
        <v>-0.46399895638730926</v>
      </c>
      <c r="AF639" s="57">
        <f t="shared" si="299"/>
        <v>-0.76436844018622907</v>
      </c>
      <c r="AG639" s="57">
        <f t="shared" si="300"/>
        <v>-1.1512369094424646</v>
      </c>
      <c r="AH639" s="57">
        <f t="shared" si="301"/>
        <v>-2.1595917818336177</v>
      </c>
      <c r="AJ639" s="57">
        <f t="shared" si="302"/>
        <v>430923.92041167553</v>
      </c>
      <c r="AK639" s="57">
        <f t="shared" si="303"/>
        <v>448079.33768836519</v>
      </c>
      <c r="AL639" s="57">
        <f t="shared" si="304"/>
        <v>462386.45328463637</v>
      </c>
      <c r="AN639" s="41">
        <v>634</v>
      </c>
      <c r="AO639" s="57">
        <f t="shared" si="305"/>
        <v>5523.1735530809437</v>
      </c>
      <c r="AP639" s="57">
        <f t="shared" si="306"/>
        <v>7518.2696230513184</v>
      </c>
      <c r="AR639" s="41">
        <v>634</v>
      </c>
      <c r="AS639" s="57">
        <f t="shared" si="307"/>
        <v>15244.147658104441</v>
      </c>
      <c r="AT639" s="57">
        <f t="shared" si="308"/>
        <v>-8491.4741759093849</v>
      </c>
      <c r="AV639" s="57">
        <f t="shared" si="309"/>
        <v>-4.5642520168139145</v>
      </c>
      <c r="AW639" s="57">
        <f t="shared" si="310"/>
        <v>-8.3147785889120538</v>
      </c>
      <c r="AX639" s="57">
        <f t="shared" si="311"/>
        <v>-0.40417986335732314</v>
      </c>
      <c r="AY639" s="57">
        <f t="shared" si="312"/>
        <v>-0.81450699752759514</v>
      </c>
      <c r="BA639" s="57">
        <f t="shared" si="313"/>
        <v>431241.36482524837</v>
      </c>
      <c r="BB639" s="57">
        <f t="shared" si="314"/>
        <v>444342.30023811723</v>
      </c>
    </row>
    <row r="640" spans="9:54" x14ac:dyDescent="0.25">
      <c r="I640" s="41">
        <v>635</v>
      </c>
      <c r="J640" s="57">
        <f t="shared" si="288"/>
        <v>20435.778713738287</v>
      </c>
      <c r="K640" s="57">
        <f t="shared" si="289"/>
        <v>2519.0265095412724</v>
      </c>
      <c r="M640" s="41">
        <v>635</v>
      </c>
      <c r="N640" s="57">
        <f t="shared" si="290"/>
        <v>-19694.9549003832</v>
      </c>
      <c r="O640" s="57">
        <f t="shared" si="291"/>
        <v>6513.3185566788907</v>
      </c>
      <c r="Q640" s="41">
        <v>635</v>
      </c>
      <c r="R640" s="57">
        <f t="shared" si="292"/>
        <v>-4564.2212862617116</v>
      </c>
      <c r="S640" s="41">
        <f t="shared" si="293"/>
        <v>-19980.973490458728</v>
      </c>
      <c r="U640" s="41">
        <v>634</v>
      </c>
      <c r="V640" s="41">
        <f t="shared" si="315"/>
        <v>317</v>
      </c>
      <c r="W640" s="57">
        <f t="shared" si="316"/>
        <v>213084.7267808246</v>
      </c>
      <c r="X640" s="57">
        <f t="shared" si="317"/>
        <v>393839.67952200992</v>
      </c>
      <c r="Y640" s="57">
        <f t="shared" si="318"/>
        <v>1140.6978621084331</v>
      </c>
      <c r="Z640" s="57">
        <f t="shared" si="319"/>
        <v>1614.0657935111283</v>
      </c>
      <c r="AA640" s="57">
        <f t="shared" si="294"/>
        <v>-7.8111977340839669</v>
      </c>
      <c r="AB640" s="57">
        <f t="shared" si="295"/>
        <v>-14.506504902052335</v>
      </c>
      <c r="AC640" s="57">
        <f t="shared" si="296"/>
        <v>-1.2538317044999538</v>
      </c>
      <c r="AD640" s="57">
        <f t="shared" si="297"/>
        <v>-2.5087688030390312</v>
      </c>
      <c r="AE640" s="57">
        <f t="shared" si="298"/>
        <v>-0.4620767928393073</v>
      </c>
      <c r="AF640" s="57">
        <f t="shared" si="299"/>
        <v>-0.76093963996524383</v>
      </c>
      <c r="AG640" s="57">
        <f t="shared" si="300"/>
        <v>-1.1469371214041297</v>
      </c>
      <c r="AH640" s="57">
        <f t="shared" si="301"/>
        <v>-2.1501432588537917</v>
      </c>
      <c r="AJ640" s="57">
        <f t="shared" si="302"/>
        <v>431902.83593557822</v>
      </c>
      <c r="AK640" s="57">
        <f t="shared" si="303"/>
        <v>449067.24377764505</v>
      </c>
      <c r="AL640" s="57">
        <f t="shared" si="304"/>
        <v>463369.00156001659</v>
      </c>
      <c r="AN640" s="41">
        <v>635</v>
      </c>
      <c r="AO640" s="57">
        <f t="shared" si="305"/>
        <v>5653.6680706074321</v>
      </c>
      <c r="AP640" s="57">
        <f t="shared" si="306"/>
        <v>7528.5397643119086</v>
      </c>
      <c r="AR640" s="41">
        <v>635</v>
      </c>
      <c r="AS640" s="57">
        <f t="shared" si="307"/>
        <v>15305.045099616802</v>
      </c>
      <c r="AT640" s="57">
        <f t="shared" si="308"/>
        <v>-8486.6814433211093</v>
      </c>
      <c r="AV640" s="57">
        <f t="shared" si="309"/>
        <v>-4.545668706290062</v>
      </c>
      <c r="AW640" s="57">
        <f t="shared" si="310"/>
        <v>-8.2758581206107529</v>
      </c>
      <c r="AX640" s="57">
        <f t="shared" si="311"/>
        <v>-0.40268340905051414</v>
      </c>
      <c r="AY640" s="57">
        <f t="shared" si="312"/>
        <v>-0.81079507958351493</v>
      </c>
      <c r="BA640" s="57">
        <f t="shared" si="313"/>
        <v>432225.35360595124</v>
      </c>
      <c r="BB640" s="57">
        <f t="shared" si="314"/>
        <v>445320.83821111888</v>
      </c>
    </row>
    <row r="641" spans="9:54" x14ac:dyDescent="0.25">
      <c r="I641" s="41">
        <v>636</v>
      </c>
      <c r="J641" s="57">
        <f t="shared" si="288"/>
        <v>20522.642316338268</v>
      </c>
      <c r="K641" s="57">
        <f t="shared" si="289"/>
        <v>2527.3905231586332</v>
      </c>
      <c r="M641" s="41">
        <v>636</v>
      </c>
      <c r="N641" s="57">
        <f t="shared" si="290"/>
        <v>-19634.150378563212</v>
      </c>
      <c r="O641" s="57">
        <f t="shared" si="291"/>
        <v>6519.1733662110437</v>
      </c>
      <c r="Q641" s="41">
        <v>636</v>
      </c>
      <c r="R641" s="57">
        <f t="shared" si="292"/>
        <v>-4477.3576836617322</v>
      </c>
      <c r="S641" s="41">
        <f t="shared" si="293"/>
        <v>-19972.609476841368</v>
      </c>
      <c r="U641" s="41">
        <v>635</v>
      </c>
      <c r="V641" s="41">
        <f t="shared" si="315"/>
        <v>317.5</v>
      </c>
      <c r="W641" s="57">
        <f t="shared" si="316"/>
        <v>213654.09931216206</v>
      </c>
      <c r="X641" s="57">
        <f t="shared" si="317"/>
        <v>394644.8991056527</v>
      </c>
      <c r="Y641" s="57">
        <f t="shared" si="318"/>
        <v>1136.7922632413911</v>
      </c>
      <c r="Z641" s="57">
        <f t="shared" si="319"/>
        <v>1606.8125410601021</v>
      </c>
      <c r="AA641" s="57">
        <f t="shared" si="294"/>
        <v>-7.7803979690423049</v>
      </c>
      <c r="AB641" s="57">
        <f t="shared" si="295"/>
        <v>-14.439889708918647</v>
      </c>
      <c r="AC641" s="57">
        <f t="shared" si="296"/>
        <v>-1.2490567966812456</v>
      </c>
      <c r="AD641" s="57">
        <f t="shared" si="297"/>
        <v>-2.497060321707433</v>
      </c>
      <c r="AE641" s="57">
        <f t="shared" si="298"/>
        <v>-0.4601752606505749</v>
      </c>
      <c r="AF641" s="57">
        <f t="shared" si="299"/>
        <v>-0.75754744823620768</v>
      </c>
      <c r="AG641" s="57">
        <f t="shared" si="300"/>
        <v>-1.14268093601929</v>
      </c>
      <c r="AH641" s="57">
        <f t="shared" si="301"/>
        <v>-2.1407941502953491</v>
      </c>
      <c r="AJ641" s="57">
        <f t="shared" si="302"/>
        <v>432877.67681405187</v>
      </c>
      <c r="AK641" s="57">
        <f t="shared" si="303"/>
        <v>450051.03769836528</v>
      </c>
      <c r="AL641" s="57">
        <f t="shared" si="304"/>
        <v>464347.45450932882</v>
      </c>
      <c r="AN641" s="41">
        <v>636</v>
      </c>
      <c r="AO641" s="57">
        <f t="shared" si="305"/>
        <v>5783.9634745074018</v>
      </c>
      <c r="AP641" s="57">
        <f t="shared" si="306"/>
        <v>7541.0857847379502</v>
      </c>
      <c r="AR641" s="41">
        <v>636</v>
      </c>
      <c r="AS641" s="57">
        <f t="shared" si="307"/>
        <v>15365.849621436788</v>
      </c>
      <c r="AT641" s="57">
        <f t="shared" si="308"/>
        <v>-8480.8266337889563</v>
      </c>
      <c r="AV641" s="57">
        <f t="shared" si="309"/>
        <v>-4.5272829776210495</v>
      </c>
      <c r="AW641" s="57">
        <f t="shared" si="310"/>
        <v>-8.2373645901405936</v>
      </c>
      <c r="AX641" s="57">
        <f t="shared" si="311"/>
        <v>-0.40120199807014523</v>
      </c>
      <c r="AY641" s="57">
        <f t="shared" si="312"/>
        <v>-0.80712319853906578</v>
      </c>
      <c r="BA641" s="57">
        <f t="shared" si="313"/>
        <v>433205.24301618373</v>
      </c>
      <c r="BB641" s="57">
        <f t="shared" si="314"/>
        <v>446295.30196350225</v>
      </c>
    </row>
    <row r="642" spans="9:54" x14ac:dyDescent="0.25">
      <c r="I642" s="41">
        <v>637</v>
      </c>
      <c r="J642" s="57">
        <f t="shared" si="288"/>
        <v>20609.346717025732</v>
      </c>
      <c r="K642" s="57">
        <f t="shared" si="289"/>
        <v>2537.2692417933895</v>
      </c>
      <c r="M642" s="41">
        <v>637</v>
      </c>
      <c r="N642" s="57">
        <f t="shared" si="290"/>
        <v>-19573.457298081987</v>
      </c>
      <c r="O642" s="57">
        <f t="shared" si="291"/>
        <v>6526.0884692553727</v>
      </c>
      <c r="Q642" s="41">
        <v>637</v>
      </c>
      <c r="R642" s="57">
        <f t="shared" si="292"/>
        <v>-4390.6532829742673</v>
      </c>
      <c r="S642" s="41">
        <f t="shared" si="293"/>
        <v>-19962.73075820661</v>
      </c>
      <c r="U642" s="41">
        <v>636</v>
      </c>
      <c r="V642" s="41">
        <f t="shared" si="315"/>
        <v>318</v>
      </c>
      <c r="W642" s="57">
        <f t="shared" si="316"/>
        <v>214221.52289403661</v>
      </c>
      <c r="X642" s="57">
        <f t="shared" si="317"/>
        <v>395446.50038996915</v>
      </c>
      <c r="Y642" s="57">
        <f t="shared" si="318"/>
        <v>1132.9020642568698</v>
      </c>
      <c r="Z642" s="57">
        <f t="shared" si="319"/>
        <v>1599.5925962056428</v>
      </c>
      <c r="AA642" s="57">
        <f t="shared" si="294"/>
        <v>-7.7499198593270471</v>
      </c>
      <c r="AB642" s="57">
        <f t="shared" si="295"/>
        <v>-14.373996673350046</v>
      </c>
      <c r="AC642" s="57">
        <f t="shared" si="296"/>
        <v>-1.244330617658036</v>
      </c>
      <c r="AD642" s="57">
        <f t="shared" si="297"/>
        <v>-2.4854799882909666</v>
      </c>
      <c r="AE642" s="57">
        <f t="shared" si="298"/>
        <v>-0.45829405978418503</v>
      </c>
      <c r="AF642" s="57">
        <f t="shared" si="299"/>
        <v>-0.75419132840854275</v>
      </c>
      <c r="AG642" s="57">
        <f t="shared" si="300"/>
        <v>-1.1384677590329646</v>
      </c>
      <c r="AH642" s="57">
        <f t="shared" si="301"/>
        <v>-2.1315430224784846</v>
      </c>
      <c r="AJ642" s="57">
        <f t="shared" si="302"/>
        <v>433848.46100925968</v>
      </c>
      <c r="AK642" s="57">
        <f t="shared" si="303"/>
        <v>451030.73781026964</v>
      </c>
      <c r="AL642" s="57">
        <f t="shared" si="304"/>
        <v>465321.83033074386</v>
      </c>
      <c r="AN642" s="41">
        <v>637</v>
      </c>
      <c r="AO642" s="57">
        <f t="shared" si="305"/>
        <v>5914.0200755385995</v>
      </c>
      <c r="AP642" s="57">
        <f t="shared" si="306"/>
        <v>7555.9038626900847</v>
      </c>
      <c r="AR642" s="41">
        <v>637</v>
      </c>
      <c r="AS642" s="57">
        <f t="shared" si="307"/>
        <v>15426.542701918013</v>
      </c>
      <c r="AT642" s="57">
        <f t="shared" si="308"/>
        <v>-8473.9115307446264</v>
      </c>
      <c r="AV642" s="57">
        <f t="shared" si="309"/>
        <v>-4.5090919944197303</v>
      </c>
      <c r="AW642" s="57">
        <f t="shared" si="310"/>
        <v>-8.1992915713659027</v>
      </c>
      <c r="AX642" s="57">
        <f t="shared" si="311"/>
        <v>-0.39973542843213156</v>
      </c>
      <c r="AY642" s="57">
        <f t="shared" si="312"/>
        <v>-0.80349076280614851</v>
      </c>
      <c r="BA642" s="57">
        <f t="shared" si="313"/>
        <v>434181.05129205569</v>
      </c>
      <c r="BB642" s="57">
        <f t="shared" si="314"/>
        <v>447265.7094600398</v>
      </c>
    </row>
    <row r="643" spans="9:54" x14ac:dyDescent="0.25">
      <c r="I643" s="41">
        <v>638</v>
      </c>
      <c r="J643" s="57">
        <f t="shared" si="288"/>
        <v>20695.865504800327</v>
      </c>
      <c r="K643" s="57">
        <f t="shared" si="289"/>
        <v>2548.6596562921486</v>
      </c>
      <c r="M643" s="41">
        <v>638</v>
      </c>
      <c r="N643" s="57">
        <f t="shared" si="290"/>
        <v>-19512.89414663977</v>
      </c>
      <c r="O643" s="57">
        <f t="shared" si="291"/>
        <v>6534.0617594045034</v>
      </c>
      <c r="Q643" s="41">
        <v>638</v>
      </c>
      <c r="R643" s="57">
        <f t="shared" si="292"/>
        <v>-4304.1344951996743</v>
      </c>
      <c r="S643" s="41">
        <f t="shared" si="293"/>
        <v>-19951.340343707852</v>
      </c>
      <c r="U643" s="41">
        <v>637</v>
      </c>
      <c r="V643" s="41">
        <f t="shared" si="315"/>
        <v>318.5</v>
      </c>
      <c r="W643" s="57">
        <f t="shared" si="316"/>
        <v>214787.00518618265</v>
      </c>
      <c r="X643" s="57">
        <f t="shared" si="317"/>
        <v>396244.49993848783</v>
      </c>
      <c r="Y643" s="57">
        <f t="shared" si="318"/>
        <v>1129.0271043272064</v>
      </c>
      <c r="Z643" s="57">
        <f t="shared" si="319"/>
        <v>1592.4055978689678</v>
      </c>
      <c r="AA643" s="57">
        <f t="shared" si="294"/>
        <v>-7.7197588823370165</v>
      </c>
      <c r="AB643" s="57">
        <f t="shared" si="295"/>
        <v>-14.308815063082722</v>
      </c>
      <c r="AC643" s="57">
        <f t="shared" si="296"/>
        <v>-1.2396525028146692</v>
      </c>
      <c r="AD643" s="57">
        <f t="shared" si="297"/>
        <v>-2.4740258819810017</v>
      </c>
      <c r="AE643" s="57">
        <f t="shared" si="298"/>
        <v>-0.45643289601874254</v>
      </c>
      <c r="AF643" s="57">
        <f t="shared" si="299"/>
        <v>-0.75087075427550143</v>
      </c>
      <c r="AG643" s="57">
        <f t="shared" si="300"/>
        <v>-1.1342970070814571</v>
      </c>
      <c r="AH643" s="57">
        <f t="shared" si="301"/>
        <v>-2.1223884690716148</v>
      </c>
      <c r="AJ643" s="57">
        <f t="shared" si="302"/>
        <v>434815.2062909333</v>
      </c>
      <c r="AK643" s="57">
        <f t="shared" si="303"/>
        <v>452006.36227494531</v>
      </c>
      <c r="AL643" s="57">
        <f t="shared" si="304"/>
        <v>466292.14702626935</v>
      </c>
      <c r="AN643" s="41">
        <v>638</v>
      </c>
      <c r="AO643" s="57">
        <f t="shared" si="305"/>
        <v>6043.7982572004894</v>
      </c>
      <c r="AP643" s="57">
        <f t="shared" si="306"/>
        <v>7572.9894844382225</v>
      </c>
      <c r="AR643" s="41">
        <v>638</v>
      </c>
      <c r="AS643" s="57">
        <f t="shared" si="307"/>
        <v>15487.105853360228</v>
      </c>
      <c r="AT643" s="57">
        <f t="shared" si="308"/>
        <v>-8465.9382405954966</v>
      </c>
      <c r="AV643" s="57">
        <f t="shared" si="309"/>
        <v>-4.4910929746302122</v>
      </c>
      <c r="AW643" s="57">
        <f t="shared" si="310"/>
        <v>-8.1616327654355736</v>
      </c>
      <c r="AX643" s="57">
        <f t="shared" si="311"/>
        <v>-0.39828350179193545</v>
      </c>
      <c r="AY643" s="57">
        <f t="shared" si="312"/>
        <v>-0.79989719231902978</v>
      </c>
      <c r="BA643" s="57">
        <f t="shared" si="313"/>
        <v>435152.79647307232</v>
      </c>
      <c r="BB643" s="57">
        <f t="shared" si="314"/>
        <v>448232.07847291668</v>
      </c>
    </row>
    <row r="644" spans="9:54" x14ac:dyDescent="0.25">
      <c r="I644" s="41">
        <v>639</v>
      </c>
      <c r="J644" s="57">
        <f t="shared" si="288"/>
        <v>20782.172325201147</v>
      </c>
      <c r="K644" s="57">
        <f t="shared" si="289"/>
        <v>2561.5582970243104</v>
      </c>
      <c r="M644" s="41">
        <v>639</v>
      </c>
      <c r="N644" s="57">
        <f t="shared" si="290"/>
        <v>-19452.479372359197</v>
      </c>
      <c r="O644" s="57">
        <f t="shared" si="291"/>
        <v>6543.0908079170176</v>
      </c>
      <c r="Q644" s="41">
        <v>639</v>
      </c>
      <c r="R644" s="57">
        <f t="shared" si="292"/>
        <v>-4217.8276747988521</v>
      </c>
      <c r="S644" s="41">
        <f t="shared" si="293"/>
        <v>-19938.441702975688</v>
      </c>
      <c r="U644" s="41">
        <v>638</v>
      </c>
      <c r="V644" s="41">
        <f t="shared" si="315"/>
        <v>319</v>
      </c>
      <c r="W644" s="57">
        <f t="shared" si="316"/>
        <v>215350.55376848596</v>
      </c>
      <c r="X644" s="57">
        <f t="shared" si="317"/>
        <v>397038.91413553944</v>
      </c>
      <c r="Y644" s="57">
        <f t="shared" si="318"/>
        <v>1125.167224886038</v>
      </c>
      <c r="Z644" s="57">
        <f t="shared" si="319"/>
        <v>1585.2511903374264</v>
      </c>
      <c r="AA644" s="57">
        <f t="shared" si="294"/>
        <v>-7.6899106005341551</v>
      </c>
      <c r="AB644" s="57">
        <f t="shared" si="295"/>
        <v>-14.244334356014924</v>
      </c>
      <c r="AC644" s="57">
        <f t="shared" si="296"/>
        <v>-1.2350217996645179</v>
      </c>
      <c r="AD644" s="57">
        <f t="shared" si="297"/>
        <v>-2.462696119844046</v>
      </c>
      <c r="AE644" s="57">
        <f t="shared" si="298"/>
        <v>-0.45459148080985107</v>
      </c>
      <c r="AF644" s="57">
        <f t="shared" si="299"/>
        <v>-0.74758520976750342</v>
      </c>
      <c r="AG644" s="57">
        <f t="shared" si="300"/>
        <v>-1.1301681074464687</v>
      </c>
      <c r="AH644" s="57">
        <f t="shared" si="301"/>
        <v>-2.1133291104506409</v>
      </c>
      <c r="AJ644" s="57">
        <f t="shared" si="302"/>
        <v>435777.93023918651</v>
      </c>
      <c r="AK644" s="57">
        <f t="shared" si="303"/>
        <v>452977.92905874614</v>
      </c>
      <c r="AL644" s="57">
        <f t="shared" si="304"/>
        <v>467258.42240463989</v>
      </c>
      <c r="AN644" s="41">
        <v>639</v>
      </c>
      <c r="AO644" s="57">
        <f t="shared" si="305"/>
        <v>6173.2584878017215</v>
      </c>
      <c r="AP644" s="57">
        <f t="shared" si="306"/>
        <v>7592.3374455364656</v>
      </c>
      <c r="AR644" s="41">
        <v>639</v>
      </c>
      <c r="AS644" s="57">
        <f t="shared" si="307"/>
        <v>15547.520627640803</v>
      </c>
      <c r="AT644" s="57">
        <f t="shared" si="308"/>
        <v>-8456.9091920829815</v>
      </c>
      <c r="AV644" s="57">
        <f t="shared" si="309"/>
        <v>-4.4732831892492699</v>
      </c>
      <c r="AW644" s="57">
        <f t="shared" si="310"/>
        <v>-8.1243819976935381</v>
      </c>
      <c r="AX644" s="57">
        <f t="shared" si="311"/>
        <v>-0.39684602336404723</v>
      </c>
      <c r="AY644" s="57">
        <f t="shared" si="312"/>
        <v>-0.79634191825919687</v>
      </c>
      <c r="BA644" s="57">
        <f t="shared" si="313"/>
        <v>436120.49640503118</v>
      </c>
      <c r="BB644" s="57">
        <f t="shared" si="314"/>
        <v>449194.42658454995</v>
      </c>
    </row>
    <row r="645" spans="9:54" x14ac:dyDescent="0.25">
      <c r="I645" s="41">
        <v>640</v>
      </c>
      <c r="J645" s="57">
        <f t="shared" si="288"/>
        <v>20868.240888334647</v>
      </c>
      <c r="K645" s="57">
        <f t="shared" si="289"/>
        <v>2575.961234938959</v>
      </c>
      <c r="M645" s="41">
        <v>640</v>
      </c>
      <c r="N645" s="57">
        <f t="shared" si="290"/>
        <v>-19392.231378165747</v>
      </c>
      <c r="O645" s="57">
        <f t="shared" si="291"/>
        <v>6553.1728644572713</v>
      </c>
      <c r="Q645" s="41">
        <v>640</v>
      </c>
      <c r="R645" s="57">
        <f t="shared" si="292"/>
        <v>-4131.7591116653512</v>
      </c>
      <c r="S645" s="41">
        <f t="shared" si="293"/>
        <v>-19924.038765061043</v>
      </c>
      <c r="U645" s="41">
        <v>639</v>
      </c>
      <c r="V645" s="41">
        <f t="shared" si="315"/>
        <v>319.5</v>
      </c>
      <c r="W645" s="57">
        <f t="shared" si="316"/>
        <v>215912.17614210391</v>
      </c>
      <c r="X645" s="57">
        <f t="shared" si="317"/>
        <v>397829.75918891368</v>
      </c>
      <c r="Y645" s="57">
        <f t="shared" si="318"/>
        <v>1121.322269585771</v>
      </c>
      <c r="Z645" s="57">
        <f t="shared" si="319"/>
        <v>1578.1290231594189</v>
      </c>
      <c r="AA645" s="57">
        <f t="shared" si="294"/>
        <v>-7.6603706594772252</v>
      </c>
      <c r="AB645" s="57">
        <f t="shared" si="295"/>
        <v>-14.180544235161907</v>
      </c>
      <c r="AC645" s="57">
        <f t="shared" si="296"/>
        <v>-1.2304378675785699</v>
      </c>
      <c r="AD645" s="57">
        <f t="shared" si="297"/>
        <v>-2.4514888559070345</v>
      </c>
      <c r="AE645" s="57">
        <f t="shared" si="298"/>
        <v>-0.45276953115551499</v>
      </c>
      <c r="AF645" s="57">
        <f t="shared" si="299"/>
        <v>-0.74433418871244672</v>
      </c>
      <c r="AG645" s="57">
        <f t="shared" si="300"/>
        <v>-1.1260804978158376</v>
      </c>
      <c r="AH645" s="57">
        <f t="shared" si="301"/>
        <v>-2.1043635930760378</v>
      </c>
      <c r="AJ645" s="57">
        <f t="shared" si="302"/>
        <v>436736.65024727437</v>
      </c>
      <c r="AK645" s="57">
        <f t="shared" si="303"/>
        <v>453945.45593565953</v>
      </c>
      <c r="AL645" s="57">
        <f t="shared" si="304"/>
        <v>468220.67408415064</v>
      </c>
      <c r="AN645" s="41">
        <v>640</v>
      </c>
      <c r="AO645" s="57">
        <f t="shared" si="305"/>
        <v>6302.3613325019724</v>
      </c>
      <c r="AP645" s="57">
        <f t="shared" si="306"/>
        <v>7613.9418524084394</v>
      </c>
      <c r="AR645" s="41">
        <v>640</v>
      </c>
      <c r="AS645" s="57">
        <f t="shared" si="307"/>
        <v>15607.768621834253</v>
      </c>
      <c r="AT645" s="57">
        <f t="shared" si="308"/>
        <v>-8446.8271355427278</v>
      </c>
      <c r="AV645" s="57">
        <f t="shared" si="309"/>
        <v>-4.4556599610837022</v>
      </c>
      <c r="AW645" s="57">
        <f t="shared" si="310"/>
        <v>-8.0875332146783609</v>
      </c>
      <c r="AX645" s="57">
        <f t="shared" si="311"/>
        <v>-0.39542280184360012</v>
      </c>
      <c r="AY645" s="57">
        <f t="shared" si="312"/>
        <v>-0.79282438278802725</v>
      </c>
      <c r="BA645" s="57">
        <f t="shared" si="313"/>
        <v>437084.16874286294</v>
      </c>
      <c r="BB645" s="57">
        <f t="shared" si="314"/>
        <v>450152.77119035262</v>
      </c>
    </row>
    <row r="646" spans="9:54" x14ac:dyDescent="0.25">
      <c r="I646" s="41">
        <v>641</v>
      </c>
      <c r="J646" s="57">
        <f t="shared" si="288"/>
        <v>20954.044976882724</v>
      </c>
      <c r="K646" s="57">
        <f t="shared" si="289"/>
        <v>2591.86408276168</v>
      </c>
      <c r="M646" s="41">
        <v>641</v>
      </c>
      <c r="N646" s="57">
        <f t="shared" si="290"/>
        <v>-19332.168516182093</v>
      </c>
      <c r="O646" s="57">
        <f t="shared" si="291"/>
        <v>6564.3048579331762</v>
      </c>
      <c r="Q646" s="41">
        <v>641</v>
      </c>
      <c r="R646" s="57">
        <f t="shared" si="292"/>
        <v>-4045.9550231172757</v>
      </c>
      <c r="S646" s="41">
        <f t="shared" si="293"/>
        <v>-19908.13591723832</v>
      </c>
      <c r="U646" s="41">
        <v>640</v>
      </c>
      <c r="V646" s="41">
        <f t="shared" si="315"/>
        <v>320</v>
      </c>
      <c r="W646" s="57">
        <f t="shared" si="316"/>
        <v>216471.87973056437</v>
      </c>
      <c r="X646" s="57">
        <f t="shared" si="317"/>
        <v>398617.05113246397</v>
      </c>
      <c r="Y646" s="57">
        <f t="shared" si="318"/>
        <v>1117.4920842560323</v>
      </c>
      <c r="Z646" s="57">
        <f t="shared" si="319"/>
        <v>1571.0387510418379</v>
      </c>
      <c r="AA646" s="57">
        <f t="shared" si="294"/>
        <v>-7.6311347859095831</v>
      </c>
      <c r="AB646" s="57">
        <f t="shared" si="295"/>
        <v>-14.117434583754399</v>
      </c>
      <c r="AC646" s="57">
        <f t="shared" si="296"/>
        <v>-1.2259000775212439</v>
      </c>
      <c r="AD646" s="57">
        <f t="shared" si="297"/>
        <v>-2.4404022802688061</v>
      </c>
      <c r="AE646" s="57">
        <f t="shared" si="298"/>
        <v>-0.45096676946536479</v>
      </c>
      <c r="AF646" s="57">
        <f t="shared" si="299"/>
        <v>-0.74111719460278802</v>
      </c>
      <c r="AG646" s="57">
        <f t="shared" si="300"/>
        <v>-1.1220336260508001</v>
      </c>
      <c r="AH646" s="57">
        <f t="shared" si="301"/>
        <v>-2.0954905888873911</v>
      </c>
      <c r="AJ646" s="57">
        <f t="shared" si="302"/>
        <v>437691.38352429989</v>
      </c>
      <c r="AK646" s="57">
        <f t="shared" si="303"/>
        <v>454908.96049011673</v>
      </c>
      <c r="AL646" s="57">
        <f t="shared" si="304"/>
        <v>469178.91949543607</v>
      </c>
      <c r="AN646" s="41">
        <v>641</v>
      </c>
      <c r="AO646" s="57">
        <f t="shared" si="305"/>
        <v>6431.0674653240867</v>
      </c>
      <c r="AP646" s="57">
        <f t="shared" si="306"/>
        <v>7637.7961241425201</v>
      </c>
      <c r="AR646" s="41">
        <v>641</v>
      </c>
      <c r="AS646" s="57">
        <f t="shared" si="307"/>
        <v>15667.831483817907</v>
      </c>
      <c r="AT646" s="57">
        <f t="shared" si="308"/>
        <v>-8435.6951420668229</v>
      </c>
      <c r="AV646" s="57">
        <f t="shared" si="309"/>
        <v>-4.4382206635421353</v>
      </c>
      <c r="AW646" s="57">
        <f t="shared" si="310"/>
        <v>-8.0510804812084213</v>
      </c>
      <c r="AX646" s="57">
        <f t="shared" si="311"/>
        <v>-0.39401364933003841</v>
      </c>
      <c r="AY646" s="57">
        <f t="shared" si="312"/>
        <v>-0.78934403878699233</v>
      </c>
      <c r="BA646" s="57">
        <f t="shared" si="313"/>
        <v>438043.830953417</v>
      </c>
      <c r="BB646" s="57">
        <f t="shared" si="314"/>
        <v>451107.12950144452</v>
      </c>
    </row>
    <row r="647" spans="9:54" x14ac:dyDescent="0.25">
      <c r="I647" s="41">
        <v>642</v>
      </c>
      <c r="J647" s="57">
        <f t="shared" ref="J647:J710" si="320">$F$8*COS(I647*PI()/180)+$E$7</f>
        <v>21039.55845408879</v>
      </c>
      <c r="K647" s="57">
        <f t="shared" ref="K647:K710" si="321">$F$8*SIN(I647*PI()/180)+$G$7</f>
        <v>2609.2619963309708</v>
      </c>
      <c r="M647" s="41">
        <v>642</v>
      </c>
      <c r="N647" s="57">
        <f t="shared" ref="N647:N710" si="322">$F$19*COS(M647*PI()/180)+$E$18</f>
        <v>-19272.309082137846</v>
      </c>
      <c r="O647" s="57">
        <f t="shared" ref="O647:O710" si="323">$F$19*SIN(M647*PI()/180)+$G$18</f>
        <v>6576.4833974316798</v>
      </c>
      <c r="Q647" s="41">
        <v>642</v>
      </c>
      <c r="R647" s="57">
        <f t="shared" ref="R647:R710" si="324">$F$30*COS(Q647*PI()/180)+$E$29</f>
        <v>-3960.4415459112083</v>
      </c>
      <c r="S647" s="41">
        <f t="shared" ref="S647:S710" si="325">$F$30*SIN(Q647*PI()/180)+$G$29</f>
        <v>-19890.73800366903</v>
      </c>
      <c r="U647" s="41">
        <v>641</v>
      </c>
      <c r="V647" s="41">
        <f t="shared" si="315"/>
        <v>320.5</v>
      </c>
      <c r="W647" s="57">
        <f t="shared" si="316"/>
        <v>217029.67188084414</v>
      </c>
      <c r="X647" s="57">
        <f t="shared" si="317"/>
        <v>399400.80582866195</v>
      </c>
      <c r="Y647" s="57">
        <f t="shared" si="318"/>
        <v>1113.6765168630775</v>
      </c>
      <c r="Z647" s="57">
        <f t="shared" si="319"/>
        <v>1563.9800337499607</v>
      </c>
      <c r="AA647" s="57">
        <f t="shared" ref="AA647:AA710" si="326">AC647+AE647+AG647+AV647+AX647</f>
        <v>-7.6021987858989704</v>
      </c>
      <c r="AB647" s="57">
        <f t="shared" ref="AB647:AB710" si="327">AD647+AF647+AH647+AW647+AY647</f>
        <v>-14.054995480475315</v>
      </c>
      <c r="AC647" s="57">
        <f t="shared" ref="AC647:AC710" si="328">(($E$7-W647)/(AJ647^2+$F$12^2)^(3/2))*$E$11</f>
        <v>-1.221407811793275</v>
      </c>
      <c r="AD647" s="57">
        <f t="shared" ref="AD647:AD710" si="329">(($G$7-X647)/(AJ647^2+$F$12^2)^(3/2))*$E$11</f>
        <v>-2.4294346182370363</v>
      </c>
      <c r="AE647" s="57">
        <f t="shared" ref="AE647:AE710" si="330">(($E$18-W647)/(AK647^2+$F$23^2)^(3/2))*$E$22</f>
        <v>-0.44918292343349625</v>
      </c>
      <c r="AF647" s="57">
        <f t="shared" ref="AF647:AF710" si="331">(($G$18-X647)/(AK647^2+$F$23^2)^(3/2))*$E$22</f>
        <v>-0.73793374036904014</v>
      </c>
      <c r="AG647" s="57">
        <f t="shared" ref="AG647:AG710" si="332">(($E$29-W647)/(AL647^2+$F$34^2)^(3/2))*$E$33</f>
        <v>-1.1180269499593212</v>
      </c>
      <c r="AH647" s="57">
        <f t="shared" ref="AH647:AH710" si="333">(($G$29-X647)/(AL647^2+$F$34^2)^(3/2))*$E$33</f>
        <v>-2.0867087947143723</v>
      </c>
      <c r="AJ647" s="57">
        <f t="shared" ref="AJ647:AJ710" si="334">SQRT(($E$7-W647)^2+($G$7-X647)^2)</f>
        <v>438642.14709786803</v>
      </c>
      <c r="AK647" s="57">
        <f t="shared" ref="AK647:AK710" si="335">SQRT(($E$18-W647)^2+($G$18-X647)^2)</f>
        <v>455868.46011974983</v>
      </c>
      <c r="AL647" s="57">
        <f t="shared" ref="AL647:AL710" si="336">SQRT(($E$29-W647)^2+($G$29-X647)^2)</f>
        <v>470133.17588419531</v>
      </c>
      <c r="AN647" s="41">
        <v>642</v>
      </c>
      <c r="AO647" s="57">
        <f t="shared" ref="AO647:AO710" si="337">$F$41*COS(AN647*PI()/180)+$E$40</f>
        <v>6559.3376811331873</v>
      </c>
      <c r="AP647" s="57">
        <f t="shared" ref="AP647:AP710" si="338">$F$41*SIN(AN647*PI()/180)+$G$40</f>
        <v>7663.8929944964566</v>
      </c>
      <c r="AR647" s="41">
        <v>642</v>
      </c>
      <c r="AS647" s="57">
        <f t="shared" ref="AS647:AS710" si="339">$F$52*COS(AR647*PI()/180)+$E$51</f>
        <v>15727.690917862154</v>
      </c>
      <c r="AT647" s="57">
        <f t="shared" ref="AT647:AT710" si="340">$F$52*SIN(AR647*PI()/180)+$G$51</f>
        <v>-8423.5166025683211</v>
      </c>
      <c r="AV647" s="57">
        <f t="shared" ref="AV647:AV710" si="341">(($E$40-W647)/(BA647^2+$F$45^2)^(3/2))*$E$44</f>
        <v>-4.4209627194601255</v>
      </c>
      <c r="AW647" s="57">
        <f t="shared" ref="AW647:AW710" si="342">(($G$40-X647)/(BA647^2+$F$45^2)^(3/2))*$E$44</f>
        <v>-8.0150179775497712</v>
      </c>
      <c r="AX647" s="57">
        <f t="shared" ref="AX647:AX710" si="343">(($E$51-W647)/(BB647^2+$F$56^2)^(3/2))*$E$55</f>
        <v>-0.39261838125275295</v>
      </c>
      <c r="AY647" s="57">
        <f t="shared" ref="AY647:AY710" si="344">(($G$51-X647)/(BB647^2+$F$56^2)^(3/2))*$E$55</f>
        <v>-0.78590034960509547</v>
      </c>
      <c r="BA647" s="57">
        <f t="shared" ref="BA647:BA710" si="345">SQRT(($E$40-W647)^2+($G$40-X647)^2)</f>
        <v>438999.50031819299</v>
      </c>
      <c r="BB647" s="57">
        <f t="shared" ref="BB647:BB710" si="346">SQRT(($E$51-W647)^2+($G$51-X647)^2)</f>
        <v>452057.51854731131</v>
      </c>
    </row>
    <row r="648" spans="9:54" x14ac:dyDescent="0.25">
      <c r="I648" s="41">
        <v>643</v>
      </c>
      <c r="J648" s="57">
        <f t="shared" si="320"/>
        <v>21124.755271719325</v>
      </c>
      <c r="K648" s="57">
        <f t="shared" si="321"/>
        <v>2628.1496760738228</v>
      </c>
      <c r="M648" s="41">
        <v>643</v>
      </c>
      <c r="N648" s="57">
        <f t="shared" si="322"/>
        <v>-19212.671309796475</v>
      </c>
      <c r="O648" s="57">
        <f t="shared" si="323"/>
        <v>6589.7047732516767</v>
      </c>
      <c r="Q648" s="41">
        <v>643</v>
      </c>
      <c r="R648" s="57">
        <f t="shared" si="324"/>
        <v>-3875.2447282806766</v>
      </c>
      <c r="S648" s="41">
        <f t="shared" si="325"/>
        <v>-19871.850323926177</v>
      </c>
      <c r="U648" s="41">
        <v>642</v>
      </c>
      <c r="V648" s="41">
        <f t="shared" ref="V648:V711" si="347">V647+0.5</f>
        <v>321</v>
      </c>
      <c r="W648" s="57">
        <f t="shared" ref="W648:W711" si="348">W647+Y647*$F$3+((1/2)*AA647)*$F$3^2</f>
        <v>217585.55986442743</v>
      </c>
      <c r="X648" s="57">
        <f t="shared" ref="X648:X711" si="349">X647+Z647*$F$3+((1/2)*AB647)*$F$3^2</f>
        <v>400181.03897110187</v>
      </c>
      <c r="Y648" s="57">
        <f t="shared" ref="Y648:Y711" si="350">Y647+AA647*$F$3</f>
        <v>1109.875417470128</v>
      </c>
      <c r="Z648" s="57">
        <f t="shared" ref="Z648:Z711" si="351">Z647+AB647*$F$3</f>
        <v>1556.9525360097232</v>
      </c>
      <c r="AA648" s="57">
        <f t="shared" si="326"/>
        <v>-7.5735585430286427</v>
      </c>
      <c r="AB648" s="57">
        <f t="shared" si="327"/>
        <v>-13.993217194831818</v>
      </c>
      <c r="AC648" s="57">
        <f t="shared" si="328"/>
        <v>-1.2169604637812435</v>
      </c>
      <c r="AD648" s="57">
        <f t="shared" si="329"/>
        <v>-2.4185841294893531</v>
      </c>
      <c r="AE648" s="57">
        <f t="shared" si="330"/>
        <v>-0.44741772591490109</v>
      </c>
      <c r="AF648" s="57">
        <f t="shared" si="331"/>
        <v>-0.7347833481596282</v>
      </c>
      <c r="AG648" s="57">
        <f t="shared" si="332"/>
        <v>-1.1140599370755464</v>
      </c>
      <c r="AH648" s="57">
        <f t="shared" si="333"/>
        <v>-2.0780169317040507</v>
      </c>
      <c r="AJ648" s="57">
        <f t="shared" si="334"/>
        <v>439588.95781668951</v>
      </c>
      <c r="AK648" s="57">
        <f t="shared" si="335"/>
        <v>456823.97203809471</v>
      </c>
      <c r="AL648" s="57">
        <f t="shared" si="336"/>
        <v>471083.46031386434</v>
      </c>
      <c r="AN648" s="41">
        <v>643</v>
      </c>
      <c r="AO648" s="57">
        <f t="shared" si="337"/>
        <v>6687.1329075789854</v>
      </c>
      <c r="AP648" s="57">
        <f t="shared" si="338"/>
        <v>7692.2245141107351</v>
      </c>
      <c r="AR648" s="41">
        <v>643</v>
      </c>
      <c r="AS648" s="57">
        <f t="shared" si="339"/>
        <v>15787.328690203527</v>
      </c>
      <c r="AT648" s="57">
        <f t="shared" si="340"/>
        <v>-8410.2952267483233</v>
      </c>
      <c r="AV648" s="57">
        <f t="shared" si="341"/>
        <v>-4.4038835999582577</v>
      </c>
      <c r="AW648" s="57">
        <f t="shared" si="342"/>
        <v>-7.9793399966653311</v>
      </c>
      <c r="AX648" s="57">
        <f t="shared" si="343"/>
        <v>-0.39123681629869395</v>
      </c>
      <c r="AY648" s="57">
        <f t="shared" si="344"/>
        <v>-0.78249278881345485</v>
      </c>
      <c r="BA648" s="57">
        <f t="shared" si="345"/>
        <v>439951.19393602008</v>
      </c>
      <c r="BB648" s="57">
        <f t="shared" si="346"/>
        <v>453003.95517841243</v>
      </c>
    </row>
    <row r="649" spans="9:54" x14ac:dyDescent="0.25">
      <c r="I649" s="41">
        <v>644</v>
      </c>
      <c r="J649" s="57">
        <f t="shared" si="320"/>
        <v>21209.609477998332</v>
      </c>
      <c r="K649" s="57">
        <f t="shared" si="321"/>
        <v>2648.5213686200159</v>
      </c>
      <c r="M649" s="41">
        <v>644</v>
      </c>
      <c r="N649" s="57">
        <f t="shared" si="322"/>
        <v>-19153.273365401168</v>
      </c>
      <c r="O649" s="57">
        <f t="shared" si="323"/>
        <v>6603.964958034011</v>
      </c>
      <c r="Q649" s="41">
        <v>644</v>
      </c>
      <c r="R649" s="57">
        <f t="shared" si="324"/>
        <v>-3790.3905220016686</v>
      </c>
      <c r="S649" s="41">
        <f t="shared" si="325"/>
        <v>-19851.478631379985</v>
      </c>
      <c r="U649" s="41">
        <v>643</v>
      </c>
      <c r="V649" s="41">
        <f t="shared" si="347"/>
        <v>321.5</v>
      </c>
      <c r="W649" s="57">
        <f t="shared" si="348"/>
        <v>218139.5508783446</v>
      </c>
      <c r="X649" s="57">
        <f t="shared" si="349"/>
        <v>400957.76608695736</v>
      </c>
      <c r="Y649" s="57">
        <f t="shared" si="350"/>
        <v>1106.0886381986136</v>
      </c>
      <c r="Z649" s="57">
        <f t="shared" si="351"/>
        <v>1549.9559274123073</v>
      </c>
      <c r="AA649" s="57">
        <f t="shared" si="326"/>
        <v>-7.545210016636914</v>
      </c>
      <c r="AB649" s="57">
        <f t="shared" si="327"/>
        <v>-13.93209018265612</v>
      </c>
      <c r="AC649" s="57">
        <f t="shared" si="328"/>
        <v>-1.2125574377138122</v>
      </c>
      <c r="AD649" s="57">
        <f t="shared" si="329"/>
        <v>-2.4078491072583956</v>
      </c>
      <c r="AE649" s="57">
        <f t="shared" si="330"/>
        <v>-0.44567091480532844</v>
      </c>
      <c r="AF649" s="57">
        <f t="shared" si="331"/>
        <v>-0.73166554912683512</v>
      </c>
      <c r="AG649" s="57">
        <f t="shared" si="332"/>
        <v>-1.1101320644450647</v>
      </c>
      <c r="AH649" s="57">
        <f t="shared" si="333"/>
        <v>-2.0694137447638168</v>
      </c>
      <c r="AJ649" s="57">
        <f t="shared" si="334"/>
        <v>440531.83235313534</v>
      </c>
      <c r="AK649" s="57">
        <f t="shared" si="335"/>
        <v>457775.51327724353</v>
      </c>
      <c r="AL649" s="57">
        <f t="shared" si="336"/>
        <v>472029.78966823826</v>
      </c>
      <c r="AN649" s="41">
        <v>644</v>
      </c>
      <c r="AO649" s="57">
        <f t="shared" si="337"/>
        <v>6814.4142169974975</v>
      </c>
      <c r="AP649" s="57">
        <f t="shared" si="338"/>
        <v>7722.7820529300243</v>
      </c>
      <c r="AR649" s="41">
        <v>644</v>
      </c>
      <c r="AS649" s="57">
        <f t="shared" si="339"/>
        <v>15846.726634598832</v>
      </c>
      <c r="AT649" s="57">
        <f t="shared" si="340"/>
        <v>-8396.0350419659881</v>
      </c>
      <c r="AV649" s="57">
        <f t="shared" si="341"/>
        <v>-4.3869808233308971</v>
      </c>
      <c r="AW649" s="57">
        <f t="shared" si="342"/>
        <v>-7.9440409415404538</v>
      </c>
      <c r="AX649" s="57">
        <f t="shared" si="343"/>
        <v>-0.38986877634181138</v>
      </c>
      <c r="AY649" s="57">
        <f t="shared" si="344"/>
        <v>-0.77912083996661785</v>
      </c>
      <c r="BA649" s="57">
        <f t="shared" si="345"/>
        <v>440898.92872568534</v>
      </c>
      <c r="BB649" s="57">
        <f t="shared" si="346"/>
        <v>453946.45606873982</v>
      </c>
    </row>
    <row r="650" spans="9:54" x14ac:dyDescent="0.25">
      <c r="I650" s="41">
        <v>645</v>
      </c>
      <c r="J650" s="57">
        <f t="shared" si="320"/>
        <v>21294.095225512599</v>
      </c>
      <c r="K650" s="57">
        <f t="shared" si="321"/>
        <v>2670.370868554658</v>
      </c>
      <c r="M650" s="41">
        <v>645</v>
      </c>
      <c r="N650" s="57">
        <f t="shared" si="322"/>
        <v>-19094.13334214118</v>
      </c>
      <c r="O650" s="57">
        <f t="shared" si="323"/>
        <v>6619.2596079882605</v>
      </c>
      <c r="Q650" s="41">
        <v>645</v>
      </c>
      <c r="R650" s="57">
        <f t="shared" si="324"/>
        <v>-3705.9047744873997</v>
      </c>
      <c r="S650" s="41">
        <f t="shared" si="325"/>
        <v>-19829.629131445341</v>
      </c>
      <c r="U650" s="41">
        <v>644</v>
      </c>
      <c r="V650" s="41">
        <f t="shared" si="347"/>
        <v>322</v>
      </c>
      <c r="W650" s="57">
        <f t="shared" si="348"/>
        <v>218691.65204619183</v>
      </c>
      <c r="X650" s="57">
        <f t="shared" si="349"/>
        <v>401731.00253939064</v>
      </c>
      <c r="Y650" s="57">
        <f t="shared" si="350"/>
        <v>1102.3160331902952</v>
      </c>
      <c r="Z650" s="57">
        <f t="shared" si="351"/>
        <v>1542.9898823209792</v>
      </c>
      <c r="AA650" s="57">
        <f t="shared" si="326"/>
        <v>-7.5171492401046436</v>
      </c>
      <c r="AB650" s="57">
        <f t="shared" si="327"/>
        <v>-13.871605081732604</v>
      </c>
      <c r="AC650" s="57">
        <f t="shared" si="328"/>
        <v>-1.2081981484242035</v>
      </c>
      <c r="AD650" s="57">
        <f t="shared" si="329"/>
        <v>-2.3972278775394997</v>
      </c>
      <c r="AE650" s="57">
        <f t="shared" si="330"/>
        <v>-0.44394223292444607</v>
      </c>
      <c r="AF650" s="57">
        <f t="shared" si="331"/>
        <v>-0.72857988321859912</v>
      </c>
      <c r="AG650" s="57">
        <f t="shared" si="332"/>
        <v>-1.1062428184157376</v>
      </c>
      <c r="AH650" s="57">
        <f t="shared" si="333"/>
        <v>-2.0608980020192917</v>
      </c>
      <c r="AJ650" s="57">
        <f t="shared" si="334"/>
        <v>441470.78720574256</v>
      </c>
      <c r="AK650" s="57">
        <f t="shared" si="335"/>
        <v>458723.10069044528</v>
      </c>
      <c r="AL650" s="57">
        <f t="shared" si="336"/>
        <v>472972.1806540424</v>
      </c>
      <c r="AN650" s="41">
        <v>645</v>
      </c>
      <c r="AO650" s="57">
        <f t="shared" si="337"/>
        <v>6941.142838268901</v>
      </c>
      <c r="AP650" s="57">
        <f t="shared" si="338"/>
        <v>7755.5563028319866</v>
      </c>
      <c r="AR650" s="41">
        <v>645</v>
      </c>
      <c r="AS650" s="57">
        <f t="shared" si="339"/>
        <v>15905.86665785882</v>
      </c>
      <c r="AT650" s="57">
        <f t="shared" si="340"/>
        <v>-8380.7403920117395</v>
      </c>
      <c r="AV650" s="57">
        <f t="shared" si="341"/>
        <v>-4.3702519539659246</v>
      </c>
      <c r="AW650" s="57">
        <f t="shared" si="342"/>
        <v>-7.9091153225846966</v>
      </c>
      <c r="AX650" s="57">
        <f t="shared" si="343"/>
        <v>-0.38851408637433266</v>
      </c>
      <c r="AY650" s="57">
        <f t="shared" si="344"/>
        <v>-0.7757839963705182</v>
      </c>
      <c r="BA650" s="57">
        <f t="shared" si="345"/>
        <v>441842.72142851114</v>
      </c>
      <c r="BB650" s="57">
        <f t="shared" si="346"/>
        <v>454885.03771832801</v>
      </c>
    </row>
    <row r="651" spans="9:54" x14ac:dyDescent="0.25">
      <c r="I651" s="41">
        <v>646</v>
      </c>
      <c r="J651" s="57">
        <f t="shared" si="320"/>
        <v>21378.186779084997</v>
      </c>
      <c r="K651" s="57">
        <f t="shared" si="321"/>
        <v>2693.6915203084054</v>
      </c>
      <c r="M651" s="41">
        <v>646</v>
      </c>
      <c r="N651" s="57">
        <f t="shared" si="322"/>
        <v>-19035.269254640501</v>
      </c>
      <c r="O651" s="57">
        <f t="shared" si="323"/>
        <v>6635.5840642158837</v>
      </c>
      <c r="Q651" s="41">
        <v>646</v>
      </c>
      <c r="R651" s="57">
        <f t="shared" si="324"/>
        <v>-3621.8132209150044</v>
      </c>
      <c r="S651" s="41">
        <f t="shared" si="325"/>
        <v>-19806.308479691594</v>
      </c>
      <c r="U651" s="41">
        <v>645</v>
      </c>
      <c r="V651" s="41">
        <f t="shared" si="347"/>
        <v>322.5</v>
      </c>
      <c r="W651" s="57">
        <f t="shared" si="348"/>
        <v>219241.87041913197</v>
      </c>
      <c r="X651" s="57">
        <f t="shared" si="349"/>
        <v>402500.76352991589</v>
      </c>
      <c r="Y651" s="57">
        <f t="shared" si="350"/>
        <v>1098.5574585702429</v>
      </c>
      <c r="Z651" s="57">
        <f t="shared" si="351"/>
        <v>1536.0540797801129</v>
      </c>
      <c r="AA651" s="57">
        <f t="shared" si="326"/>
        <v>-7.4893723191888366</v>
      </c>
      <c r="AB651" s="57">
        <f t="shared" si="327"/>
        <v>-13.811752707546724</v>
      </c>
      <c r="AC651" s="57">
        <f t="shared" si="328"/>
        <v>-1.2038820211189436</v>
      </c>
      <c r="AD651" s="57">
        <f t="shared" si="329"/>
        <v>-2.3867187983207083</v>
      </c>
      <c r="AE651" s="57">
        <f t="shared" si="330"/>
        <v>-0.44223142790225695</v>
      </c>
      <c r="AF651" s="57">
        <f t="shared" si="331"/>
        <v>-0.72552589897608522</v>
      </c>
      <c r="AG651" s="57">
        <f t="shared" si="332"/>
        <v>-1.1023916944341774</v>
      </c>
      <c r="AH651" s="57">
        <f t="shared" si="333"/>
        <v>-2.0524684942872251</v>
      </c>
      <c r="AJ651" s="57">
        <f t="shared" si="334"/>
        <v>442405.83870167297</v>
      </c>
      <c r="AK651" s="57">
        <f t="shared" si="335"/>
        <v>459666.75095465808</v>
      </c>
      <c r="AL651" s="57">
        <f t="shared" si="336"/>
        <v>473910.64980345557</v>
      </c>
      <c r="AN651" s="41">
        <v>646</v>
      </c>
      <c r="AO651" s="57">
        <f t="shared" si="337"/>
        <v>7067.2801686274943</v>
      </c>
      <c r="AP651" s="57">
        <f t="shared" si="338"/>
        <v>7790.5372804626086</v>
      </c>
      <c r="AR651" s="41">
        <v>646</v>
      </c>
      <c r="AS651" s="57">
        <f t="shared" si="339"/>
        <v>15964.730745359497</v>
      </c>
      <c r="AT651" s="57">
        <f t="shared" si="340"/>
        <v>-8364.4159357841163</v>
      </c>
      <c r="AV651" s="57">
        <f t="shared" si="341"/>
        <v>-4.3536946012936477</v>
      </c>
      <c r="AW651" s="57">
        <f t="shared" si="342"/>
        <v>-7.8745577551058643</v>
      </c>
      <c r="AX651" s="57">
        <f t="shared" si="343"/>
        <v>-0.38717257443981057</v>
      </c>
      <c r="AY651" s="57">
        <f t="shared" si="344"/>
        <v>-0.77248176085684184</v>
      </c>
      <c r="BA651" s="57">
        <f t="shared" si="345"/>
        <v>442782.58861088468</v>
      </c>
      <c r="BB651" s="57">
        <f t="shared" si="346"/>
        <v>455819.71645571664</v>
      </c>
    </row>
    <row r="652" spans="9:54" x14ac:dyDescent="0.25">
      <c r="I652" s="41">
        <v>647</v>
      </c>
      <c r="J652" s="57">
        <f t="shared" si="320"/>
        <v>21461.858523613686</v>
      </c>
      <c r="K652" s="57">
        <f t="shared" si="321"/>
        <v>2718.4762201848234</v>
      </c>
      <c r="M652" s="41">
        <v>647</v>
      </c>
      <c r="N652" s="57">
        <f t="shared" si="322"/>
        <v>-18976.699033470421</v>
      </c>
      <c r="O652" s="57">
        <f t="shared" si="323"/>
        <v>6652.9333541293763</v>
      </c>
      <c r="Q652" s="41">
        <v>647</v>
      </c>
      <c r="R652" s="57">
        <f t="shared" si="324"/>
        <v>-3538.1414763863131</v>
      </c>
      <c r="S652" s="41">
        <f t="shared" si="325"/>
        <v>-19781.523779815176</v>
      </c>
      <c r="U652" s="41">
        <v>646</v>
      </c>
      <c r="V652" s="41">
        <f t="shared" si="347"/>
        <v>323</v>
      </c>
      <c r="W652" s="57">
        <f t="shared" si="348"/>
        <v>219790.2129768772</v>
      </c>
      <c r="X652" s="57">
        <f t="shared" si="349"/>
        <v>403267.06410071749</v>
      </c>
      <c r="Y652" s="57">
        <f t="shared" si="350"/>
        <v>1094.8127724106484</v>
      </c>
      <c r="Z652" s="57">
        <f t="shared" si="351"/>
        <v>1529.1482034263395</v>
      </c>
      <c r="AA652" s="57">
        <f t="shared" si="326"/>
        <v>-7.4618754304005899</v>
      </c>
      <c r="AB652" s="57">
        <f t="shared" si="327"/>
        <v>-13.752524049151083</v>
      </c>
      <c r="AC652" s="57">
        <f t="shared" si="328"/>
        <v>-1.1996084911525717</v>
      </c>
      <c r="AD652" s="57">
        <f t="shared" si="329"/>
        <v>-2.3763202588341605</v>
      </c>
      <c r="AE652" s="57">
        <f t="shared" si="330"/>
        <v>-0.44053825206859759</v>
      </c>
      <c r="AF652" s="57">
        <f t="shared" si="331"/>
        <v>-0.72250315333672721</v>
      </c>
      <c r="AG652" s="57">
        <f t="shared" si="332"/>
        <v>-1.0985781968473818</v>
      </c>
      <c r="AH652" s="57">
        <f t="shared" si="333"/>
        <v>-2.0441240345623068</v>
      </c>
      <c r="AJ652" s="57">
        <f t="shared" si="334"/>
        <v>443337.00299912639</v>
      </c>
      <c r="AK652" s="57">
        <f t="shared" si="335"/>
        <v>460606.48057305266</v>
      </c>
      <c r="AL652" s="57">
        <f t="shared" si="336"/>
        <v>474845.21347658493</v>
      </c>
      <c r="AN652" s="41">
        <v>647</v>
      </c>
      <c r="AO652" s="57">
        <f t="shared" si="337"/>
        <v>7192.7877854205299</v>
      </c>
      <c r="AP652" s="57">
        <f t="shared" si="338"/>
        <v>7827.7143302772347</v>
      </c>
      <c r="AR652" s="41">
        <v>647</v>
      </c>
      <c r="AS652" s="57">
        <f t="shared" si="339"/>
        <v>16023.300966529581</v>
      </c>
      <c r="AT652" s="57">
        <f t="shared" si="340"/>
        <v>-8347.0666458706237</v>
      </c>
      <c r="AV652" s="57">
        <f t="shared" si="341"/>
        <v>-4.3373064187641788</v>
      </c>
      <c r="AW652" s="57">
        <f t="shared" si="342"/>
        <v>-7.8403629568543503</v>
      </c>
      <c r="AX652" s="57">
        <f t="shared" si="343"/>
        <v>-0.38584407156785955</v>
      </c>
      <c r="AY652" s="57">
        <f t="shared" si="344"/>
        <v>-0.76921364556353822</v>
      </c>
      <c r="BA652" s="57">
        <f t="shared" si="345"/>
        <v>443718.54666673887</v>
      </c>
      <c r="BB652" s="57">
        <f t="shared" si="346"/>
        <v>456750.50844036735</v>
      </c>
    </row>
    <row r="653" spans="9:54" x14ac:dyDescent="0.25">
      <c r="I653" s="41">
        <v>648</v>
      </c>
      <c r="J653" s="57">
        <f t="shared" si="320"/>
        <v>21545.084971874734</v>
      </c>
      <c r="K653" s="57">
        <f t="shared" si="321"/>
        <v>2744.7174185242311</v>
      </c>
      <c r="M653" s="41">
        <v>648</v>
      </c>
      <c r="N653" s="57">
        <f t="shared" si="322"/>
        <v>-18918.440519687687</v>
      </c>
      <c r="O653" s="57">
        <f t="shared" si="323"/>
        <v>6671.3021929669612</v>
      </c>
      <c r="Q653" s="41">
        <v>648</v>
      </c>
      <c r="R653" s="57">
        <f t="shared" si="324"/>
        <v>-3454.9150281252651</v>
      </c>
      <c r="S653" s="41">
        <f t="shared" si="325"/>
        <v>-19755.282581475767</v>
      </c>
      <c r="U653" s="41">
        <v>647</v>
      </c>
      <c r="V653" s="41">
        <f t="shared" si="347"/>
        <v>323.5</v>
      </c>
      <c r="W653" s="57">
        <f t="shared" si="348"/>
        <v>220336.68662865373</v>
      </c>
      <c r="X653" s="57">
        <f t="shared" si="349"/>
        <v>404029.91913692455</v>
      </c>
      <c r="Y653" s="57">
        <f t="shared" si="350"/>
        <v>1091.0818346954482</v>
      </c>
      <c r="Z653" s="57">
        <f t="shared" si="351"/>
        <v>1522.271941401764</v>
      </c>
      <c r="AA653" s="57">
        <f t="shared" si="326"/>
        <v>-7.4346548194265116</v>
      </c>
      <c r="AB653" s="57">
        <f t="shared" si="327"/>
        <v>-13.693910265145888</v>
      </c>
      <c r="AC653" s="57">
        <f t="shared" si="328"/>
        <v>-1.195377003808179</v>
      </c>
      <c r="AD653" s="57">
        <f t="shared" si="329"/>
        <v>-2.3660306788282526</v>
      </c>
      <c r="AE653" s="57">
        <f t="shared" si="330"/>
        <v>-0.43886246234566267</v>
      </c>
      <c r="AF653" s="57">
        <f t="shared" si="331"/>
        <v>-0.71951121144264107</v>
      </c>
      <c r="AG653" s="57">
        <f t="shared" si="332"/>
        <v>-1.0948018387096328</v>
      </c>
      <c r="AH653" s="57">
        <f t="shared" si="333"/>
        <v>-2.0358634575179675</v>
      </c>
      <c r="AJ653" s="57">
        <f t="shared" si="334"/>
        <v>444264.29608970758</v>
      </c>
      <c r="AK653" s="57">
        <f t="shared" si="335"/>
        <v>461542.30587746884</v>
      </c>
      <c r="AL653" s="57">
        <f t="shared" si="336"/>
        <v>475775.88786389504</v>
      </c>
      <c r="AN653" s="41">
        <v>648</v>
      </c>
      <c r="AO653" s="57">
        <f t="shared" si="337"/>
        <v>7317.6274578121029</v>
      </c>
      <c r="AP653" s="57">
        <f t="shared" si="338"/>
        <v>7867.0761277863467</v>
      </c>
      <c r="AR653" s="41">
        <v>648</v>
      </c>
      <c r="AS653" s="57">
        <f t="shared" si="339"/>
        <v>16081.559480312315</v>
      </c>
      <c r="AT653" s="57">
        <f t="shared" si="340"/>
        <v>-8328.6978070330388</v>
      </c>
      <c r="AV653" s="57">
        <f t="shared" si="341"/>
        <v>-4.3210851028524555</v>
      </c>
      <c r="AW653" s="57">
        <f t="shared" si="342"/>
        <v>-7.8065257456356454</v>
      </c>
      <c r="AX653" s="57">
        <f t="shared" si="343"/>
        <v>-0.38452841171058127</v>
      </c>
      <c r="AY653" s="57">
        <f t="shared" si="344"/>
        <v>-0.76597917172138164</v>
      </c>
      <c r="BA653" s="57">
        <f t="shared" si="345"/>
        <v>444650.61181998736</v>
      </c>
      <c r="BB653" s="57">
        <f t="shared" si="346"/>
        <v>457677.42966503493</v>
      </c>
    </row>
    <row r="654" spans="9:54" x14ac:dyDescent="0.25">
      <c r="I654" s="41">
        <v>649</v>
      </c>
      <c r="J654" s="57">
        <f t="shared" si="320"/>
        <v>21627.840772285785</v>
      </c>
      <c r="K654" s="57">
        <f t="shared" si="321"/>
        <v>2772.4071220034166</v>
      </c>
      <c r="M654" s="41">
        <v>649</v>
      </c>
      <c r="N654" s="57">
        <f t="shared" si="322"/>
        <v>-18860.51145939995</v>
      </c>
      <c r="O654" s="57">
        <f t="shared" si="323"/>
        <v>6690.6849854023912</v>
      </c>
      <c r="Q654" s="41">
        <v>649</v>
      </c>
      <c r="R654" s="57">
        <f t="shared" si="324"/>
        <v>-3372.1592277142154</v>
      </c>
      <c r="S654" s="41">
        <f t="shared" si="325"/>
        <v>-19727.592877996583</v>
      </c>
      <c r="U654" s="41">
        <v>648</v>
      </c>
      <c r="V654" s="41">
        <f t="shared" si="347"/>
        <v>324</v>
      </c>
      <c r="W654" s="57">
        <f t="shared" si="348"/>
        <v>220881.29821414905</v>
      </c>
      <c r="X654" s="57">
        <f t="shared" si="349"/>
        <v>404789.34336884227</v>
      </c>
      <c r="Y654" s="57">
        <f t="shared" si="350"/>
        <v>1087.3645072857348</v>
      </c>
      <c r="Z654" s="57">
        <f t="shared" si="351"/>
        <v>1515.4249862691911</v>
      </c>
      <c r="AA654" s="57">
        <f t="shared" si="326"/>
        <v>-7.4077067995920869</v>
      </c>
      <c r="AB654" s="57">
        <f t="shared" si="327"/>
        <v>-13.635902679769769</v>
      </c>
      <c r="AC654" s="57">
        <f t="shared" si="328"/>
        <v>-1.1911870140835348</v>
      </c>
      <c r="AD654" s="57">
        <f t="shared" si="329"/>
        <v>-2.3558485078597844</v>
      </c>
      <c r="AE654" s="57">
        <f t="shared" si="330"/>
        <v>-0.43720382014349179</v>
      </c>
      <c r="AF654" s="57">
        <f t="shared" si="331"/>
        <v>-0.71654964645428854</v>
      </c>
      <c r="AG654" s="57">
        <f t="shared" si="332"/>
        <v>-1.0910621415943205</v>
      </c>
      <c r="AH654" s="57">
        <f t="shared" si="333"/>
        <v>-2.027685619020374</v>
      </c>
      <c r="AJ654" s="57">
        <f t="shared" si="334"/>
        <v>445187.73380075034</v>
      </c>
      <c r="AK654" s="57">
        <f t="shared" si="335"/>
        <v>462474.24303082592</v>
      </c>
      <c r="AL654" s="57">
        <f t="shared" si="336"/>
        <v>476702.68898859079</v>
      </c>
      <c r="AN654" s="41">
        <v>649</v>
      </c>
      <c r="AO654" s="57">
        <f t="shared" si="337"/>
        <v>7441.7611584286769</v>
      </c>
      <c r="AP654" s="57">
        <f t="shared" si="338"/>
        <v>7908.6106830051249</v>
      </c>
      <c r="AR654" s="41">
        <v>649</v>
      </c>
      <c r="AS654" s="57">
        <f t="shared" si="339"/>
        <v>16139.488540600049</v>
      </c>
      <c r="AT654" s="57">
        <f t="shared" si="340"/>
        <v>-8309.3150145976088</v>
      </c>
      <c r="AV654" s="57">
        <f t="shared" si="341"/>
        <v>-4.3050283920901622</v>
      </c>
      <c r="AW654" s="57">
        <f t="shared" si="342"/>
        <v>-7.7730410369890297</v>
      </c>
      <c r="AX654" s="57">
        <f t="shared" si="343"/>
        <v>-0.38322543168057821</v>
      </c>
      <c r="AY654" s="57">
        <f t="shared" si="344"/>
        <v>-0.76277786944629189</v>
      </c>
      <c r="BA654" s="57">
        <f t="shared" si="345"/>
        <v>445578.80012691306</v>
      </c>
      <c r="BB654" s="57">
        <f t="shared" si="346"/>
        <v>458600.49595809454</v>
      </c>
    </row>
    <row r="655" spans="9:54" x14ac:dyDescent="0.25">
      <c r="I655" s="41">
        <v>650</v>
      </c>
      <c r="J655" s="57">
        <f t="shared" si="320"/>
        <v>21710.100716628338</v>
      </c>
      <c r="K655" s="57">
        <f t="shared" si="321"/>
        <v>2801.5368960704564</v>
      </c>
      <c r="M655" s="41">
        <v>650</v>
      </c>
      <c r="N655" s="57">
        <f t="shared" si="322"/>
        <v>-18802.929498360161</v>
      </c>
      <c r="O655" s="57">
        <f t="shared" si="323"/>
        <v>6711.0758272493204</v>
      </c>
      <c r="Q655" s="41">
        <v>650</v>
      </c>
      <c r="R655" s="57">
        <f t="shared" si="324"/>
        <v>-3289.8992833716602</v>
      </c>
      <c r="S655" s="41">
        <f t="shared" si="325"/>
        <v>-19698.463103929542</v>
      </c>
      <c r="U655" s="41">
        <v>649</v>
      </c>
      <c r="V655" s="41">
        <f t="shared" si="347"/>
        <v>324.5</v>
      </c>
      <c r="W655" s="57">
        <f t="shared" si="348"/>
        <v>221424.05450444197</v>
      </c>
      <c r="X655" s="57">
        <f t="shared" si="349"/>
        <v>405545.35137414187</v>
      </c>
      <c r="Y655" s="57">
        <f t="shared" si="350"/>
        <v>1083.6606538859387</v>
      </c>
      <c r="Z655" s="57">
        <f t="shared" si="351"/>
        <v>1508.6070349293061</v>
      </c>
      <c r="AA655" s="57">
        <f t="shared" si="326"/>
        <v>-7.3810277503655763</v>
      </c>
      <c r="AB655" s="57">
        <f t="shared" si="327"/>
        <v>-13.578492779097351</v>
      </c>
      <c r="AC655" s="57">
        <f t="shared" si="328"/>
        <v>-1.1870379864827783</v>
      </c>
      <c r="AD655" s="57">
        <f t="shared" si="329"/>
        <v>-2.3457722246057333</v>
      </c>
      <c r="AE655" s="57">
        <f t="shared" si="330"/>
        <v>-0.43556209125821355</v>
      </c>
      <c r="AF655" s="57">
        <f t="shared" si="331"/>
        <v>-0.71361803936904833</v>
      </c>
      <c r="AG655" s="57">
        <f t="shared" si="332"/>
        <v>-1.087358635410689</v>
      </c>
      <c r="AH655" s="57">
        <f t="shared" si="333"/>
        <v>-2.0195893956555073</v>
      </c>
      <c r="AJ655" s="57">
        <f t="shared" si="334"/>
        <v>446107.33179759828</v>
      </c>
      <c r="AK655" s="57">
        <f t="shared" si="335"/>
        <v>463402.30802948872</v>
      </c>
      <c r="AL655" s="57">
        <f t="shared" si="336"/>
        <v>477625.63270895643</v>
      </c>
      <c r="AN655" s="41">
        <v>650</v>
      </c>
      <c r="AO655" s="57">
        <f t="shared" si="337"/>
        <v>7565.1510749425097</v>
      </c>
      <c r="AP655" s="57">
        <f t="shared" si="338"/>
        <v>7952.3053441056854</v>
      </c>
      <c r="AR655" s="41">
        <v>650</v>
      </c>
      <c r="AS655" s="57">
        <f t="shared" si="339"/>
        <v>16197.070501639839</v>
      </c>
      <c r="AT655" s="57">
        <f t="shared" si="340"/>
        <v>-8288.9241727506796</v>
      </c>
      <c r="AV655" s="57">
        <f t="shared" si="341"/>
        <v>-4.2891340661233546</v>
      </c>
      <c r="AW655" s="57">
        <f t="shared" si="342"/>
        <v>-7.7399038419297641</v>
      </c>
      <c r="AX655" s="57">
        <f t="shared" si="343"/>
        <v>-0.38193497109054153</v>
      </c>
      <c r="AY655" s="57">
        <f t="shared" si="344"/>
        <v>-0.75960927753729834</v>
      </c>
      <c r="BA655" s="57">
        <f t="shared" si="345"/>
        <v>446503.1274785134</v>
      </c>
      <c r="BB655" s="57">
        <f t="shared" si="346"/>
        <v>459519.7229858262</v>
      </c>
    </row>
    <row r="656" spans="9:54" x14ac:dyDescent="0.25">
      <c r="I656" s="41">
        <v>651</v>
      </c>
      <c r="J656" s="57">
        <f t="shared" si="320"/>
        <v>21791.839747726503</v>
      </c>
      <c r="K656" s="57">
        <f t="shared" si="321"/>
        <v>2832.0978675139904</v>
      </c>
      <c r="M656" s="41">
        <v>651</v>
      </c>
      <c r="N656" s="57">
        <f t="shared" si="322"/>
        <v>-18745.712176591449</v>
      </c>
      <c r="O656" s="57">
        <f t="shared" si="323"/>
        <v>6732.4685072597931</v>
      </c>
      <c r="Q656" s="41">
        <v>651</v>
      </c>
      <c r="R656" s="57">
        <f t="shared" si="324"/>
        <v>-3208.1602522734993</v>
      </c>
      <c r="S656" s="41">
        <f t="shared" si="325"/>
        <v>-19667.902132486008</v>
      </c>
      <c r="U656" s="41">
        <v>650</v>
      </c>
      <c r="V656" s="41">
        <f t="shared" si="347"/>
        <v>325</v>
      </c>
      <c r="W656" s="57">
        <f t="shared" si="348"/>
        <v>221964.96220291613</v>
      </c>
      <c r="X656" s="57">
        <f t="shared" si="349"/>
        <v>406297.95758000913</v>
      </c>
      <c r="Y656" s="57">
        <f t="shared" si="350"/>
        <v>1079.9701400107558</v>
      </c>
      <c r="Z656" s="57">
        <f t="shared" si="351"/>
        <v>1501.8177885397574</v>
      </c>
      <c r="AA656" s="57">
        <f t="shared" si="326"/>
        <v>-7.3546141159012306</v>
      </c>
      <c r="AB656" s="57">
        <f t="shared" si="327"/>
        <v>-13.521672207340087</v>
      </c>
      <c r="AC656" s="57">
        <f t="shared" si="328"/>
        <v>-1.1829293948133128</v>
      </c>
      <c r="AD656" s="57">
        <f t="shared" si="329"/>
        <v>-2.3358003361936306</v>
      </c>
      <c r="AE656" s="57">
        <f t="shared" si="330"/>
        <v>-0.43393704577309294</v>
      </c>
      <c r="AF656" s="57">
        <f t="shared" si="331"/>
        <v>-0.71071597884475501</v>
      </c>
      <c r="AG656" s="57">
        <f t="shared" si="332"/>
        <v>-1.0836908582252069</v>
      </c>
      <c r="AH656" s="57">
        <f t="shared" si="333"/>
        <v>-2.0115736842686149</v>
      </c>
      <c r="AJ656" s="57">
        <f t="shared" si="334"/>
        <v>447023.10558584338</v>
      </c>
      <c r="AK656" s="57">
        <f t="shared" si="335"/>
        <v>464326.51670558867</v>
      </c>
      <c r="AL656" s="57">
        <f t="shared" si="336"/>
        <v>478544.73472065106</v>
      </c>
      <c r="AN656" s="41">
        <v>651</v>
      </c>
      <c r="AO656" s="57">
        <f t="shared" si="337"/>
        <v>7687.7596215897511</v>
      </c>
      <c r="AP656" s="57">
        <f t="shared" si="338"/>
        <v>7998.1468012709865</v>
      </c>
      <c r="AR656" s="41">
        <v>651</v>
      </c>
      <c r="AS656" s="57">
        <f t="shared" si="339"/>
        <v>16254.287823408551</v>
      </c>
      <c r="AT656" s="57">
        <f t="shared" si="340"/>
        <v>-8267.5314927402069</v>
      </c>
      <c r="AV656" s="57">
        <f t="shared" si="341"/>
        <v>-4.2733999447952637</v>
      </c>
      <c r="AW656" s="57">
        <f t="shared" si="342"/>
        <v>-7.7071092647531438</v>
      </c>
      <c r="AX656" s="57">
        <f t="shared" si="343"/>
        <v>-0.38065687229435408</v>
      </c>
      <c r="AY656" s="57">
        <f t="shared" si="344"/>
        <v>-0.7564729432799433</v>
      </c>
      <c r="BA656" s="57">
        <f t="shared" si="345"/>
        <v>447423.60960280075</v>
      </c>
      <c r="BB656" s="57">
        <f t="shared" si="346"/>
        <v>460435.12625465653</v>
      </c>
    </row>
    <row r="657" spans="9:54" x14ac:dyDescent="0.25">
      <c r="I657" s="41">
        <v>652</v>
      </c>
      <c r="J657" s="57">
        <f t="shared" si="320"/>
        <v>21873.032967079555</v>
      </c>
      <c r="K657" s="57">
        <f t="shared" si="321"/>
        <v>2864.0807271660606</v>
      </c>
      <c r="M657" s="41">
        <v>652</v>
      </c>
      <c r="N657" s="57">
        <f t="shared" si="322"/>
        <v>-18688.87692304431</v>
      </c>
      <c r="O657" s="57">
        <f t="shared" si="323"/>
        <v>6754.8565090162429</v>
      </c>
      <c r="Q657" s="41">
        <v>652</v>
      </c>
      <c r="R657" s="57">
        <f t="shared" si="324"/>
        <v>-3126.9670329204455</v>
      </c>
      <c r="S657" s="41">
        <f t="shared" si="325"/>
        <v>-19635.91927283394</v>
      </c>
      <c r="U657" s="41">
        <v>651</v>
      </c>
      <c r="V657" s="41">
        <f t="shared" si="347"/>
        <v>325.5</v>
      </c>
      <c r="W657" s="57">
        <f t="shared" si="348"/>
        <v>222504.02794615703</v>
      </c>
      <c r="X657" s="57">
        <f t="shared" si="349"/>
        <v>407047.1762652531</v>
      </c>
      <c r="Y657" s="57">
        <f t="shared" si="350"/>
        <v>1076.2928329528052</v>
      </c>
      <c r="Z657" s="57">
        <f t="shared" si="351"/>
        <v>1495.0569524360874</v>
      </c>
      <c r="AA657" s="57">
        <f t="shared" si="326"/>
        <v>-7.3284624036208434</v>
      </c>
      <c r="AB657" s="57">
        <f t="shared" si="327"/>
        <v>-13.465432763247625</v>
      </c>
      <c r="AC657" s="57">
        <f t="shared" si="328"/>
        <v>-1.178860721987945</v>
      </c>
      <c r="AD657" s="57">
        <f t="shared" si="329"/>
        <v>-2.3259313775503569</v>
      </c>
      <c r="AE657" s="57">
        <f t="shared" si="330"/>
        <v>-0.43232845796220498</v>
      </c>
      <c r="AF657" s="57">
        <f t="shared" si="331"/>
        <v>-0.70784306102790606</v>
      </c>
      <c r="AG657" s="57">
        <f t="shared" si="332"/>
        <v>-1.0800583560875696</v>
      </c>
      <c r="AH657" s="57">
        <f t="shared" si="333"/>
        <v>-2.0036374015159493</v>
      </c>
      <c r="AJ657" s="57">
        <f t="shared" si="334"/>
        <v>447935.07051352342</v>
      </c>
      <c r="AK657" s="57">
        <f t="shared" si="335"/>
        <v>465246.88472930313</v>
      </c>
      <c r="AL657" s="57">
        <f t="shared" si="336"/>
        <v>479460.01055896148</v>
      </c>
      <c r="AN657" s="41">
        <v>652</v>
      </c>
      <c r="AO657" s="57">
        <f t="shared" si="337"/>
        <v>7809.5494506193318</v>
      </c>
      <c r="AP657" s="57">
        <f t="shared" si="338"/>
        <v>8046.1210907490913</v>
      </c>
      <c r="AR657" s="41">
        <v>652</v>
      </c>
      <c r="AS657" s="57">
        <f t="shared" si="339"/>
        <v>16311.123076955688</v>
      </c>
      <c r="AT657" s="57">
        <f t="shared" si="340"/>
        <v>-8245.1434909837571</v>
      </c>
      <c r="AV657" s="57">
        <f t="shared" si="341"/>
        <v>-4.2578238872534531</v>
      </c>
      <c r="AW657" s="57">
        <f t="shared" si="342"/>
        <v>-7.6746525008984463</v>
      </c>
      <c r="AX657" s="57">
        <f t="shared" si="343"/>
        <v>-0.37939098032967061</v>
      </c>
      <c r="AY657" s="57">
        <f t="shared" si="344"/>
        <v>-0.75336842225496725</v>
      </c>
      <c r="BA657" s="57">
        <f t="shared" si="345"/>
        <v>448340.26206706115</v>
      </c>
      <c r="BB657" s="57">
        <f t="shared" si="346"/>
        <v>461346.72111335967</v>
      </c>
    </row>
    <row r="658" spans="9:54" x14ac:dyDescent="0.25">
      <c r="I658" s="41">
        <v>653</v>
      </c>
      <c r="J658" s="57">
        <f t="shared" si="320"/>
        <v>21953.655642446374</v>
      </c>
      <c r="K658" s="57">
        <f t="shared" si="321"/>
        <v>2897.4757327378011</v>
      </c>
      <c r="M658" s="41">
        <v>653</v>
      </c>
      <c r="N658" s="57">
        <f t="shared" si="322"/>
        <v>-18632.44105028754</v>
      </c>
      <c r="O658" s="57">
        <f t="shared" si="323"/>
        <v>6778.2330129164602</v>
      </c>
      <c r="Q658" s="41">
        <v>653</v>
      </c>
      <c r="R658" s="57">
        <f t="shared" si="324"/>
        <v>-3046.3443575536257</v>
      </c>
      <c r="S658" s="41">
        <f t="shared" si="325"/>
        <v>-19602.524267262197</v>
      </c>
      <c r="U658" s="41">
        <v>652</v>
      </c>
      <c r="V658" s="41">
        <f t="shared" si="347"/>
        <v>326</v>
      </c>
      <c r="W658" s="57">
        <f t="shared" si="348"/>
        <v>223041.25830483297</v>
      </c>
      <c r="X658" s="57">
        <f t="shared" si="349"/>
        <v>407793.02156237577</v>
      </c>
      <c r="Y658" s="57">
        <f t="shared" si="350"/>
        <v>1072.6286017509947</v>
      </c>
      <c r="Z658" s="57">
        <f t="shared" si="351"/>
        <v>1488.3242360544637</v>
      </c>
      <c r="AA658" s="57">
        <f t="shared" si="326"/>
        <v>-7.3025691828324018</v>
      </c>
      <c r="AB658" s="57">
        <f t="shared" si="327"/>
        <v>-13.409766396606411</v>
      </c>
      <c r="AC658" s="57">
        <f t="shared" si="328"/>
        <v>-1.1748314598319618</v>
      </c>
      <c r="AD658" s="57">
        <f t="shared" si="329"/>
        <v>-2.3161639107684695</v>
      </c>
      <c r="AE658" s="57">
        <f t="shared" si="330"/>
        <v>-0.43073610619669622</v>
      </c>
      <c r="AF658" s="57">
        <f t="shared" si="331"/>
        <v>-0.70499888938646471</v>
      </c>
      <c r="AG658" s="57">
        <f t="shared" si="332"/>
        <v>-1.0764606828611099</v>
      </c>
      <c r="AH658" s="57">
        <f t="shared" si="333"/>
        <v>-1.995779483428247</v>
      </c>
      <c r="AJ658" s="57">
        <f t="shared" si="334"/>
        <v>448843.24177327938</v>
      </c>
      <c r="AK658" s="57">
        <f t="shared" si="335"/>
        <v>466163.42761109147</v>
      </c>
      <c r="AL658" s="57">
        <f t="shared" si="336"/>
        <v>480371.47560101346</v>
      </c>
      <c r="AN658" s="41">
        <v>653</v>
      </c>
      <c r="AO658" s="57">
        <f t="shared" si="337"/>
        <v>7930.4834636695614</v>
      </c>
      <c r="AP658" s="57">
        <f t="shared" si="338"/>
        <v>8096.2135991067016</v>
      </c>
      <c r="AR658" s="41">
        <v>653</v>
      </c>
      <c r="AS658" s="57">
        <f t="shared" si="339"/>
        <v>16367.558949712462</v>
      </c>
      <c r="AT658" s="57">
        <f t="shared" si="340"/>
        <v>-8221.7669870835398</v>
      </c>
      <c r="AV658" s="57">
        <f t="shared" si="341"/>
        <v>-4.2424037910806955</v>
      </c>
      <c r="AW658" s="57">
        <f t="shared" si="342"/>
        <v>-7.6425288348711033</v>
      </c>
      <c r="AX658" s="57">
        <f t="shared" si="343"/>
        <v>-0.37813714286193789</v>
      </c>
      <c r="AY658" s="57">
        <f t="shared" si="344"/>
        <v>-0.7502952781521266</v>
      </c>
      <c r="BA658" s="57">
        <f t="shared" si="345"/>
        <v>449253.10028007138</v>
      </c>
      <c r="BB658" s="57">
        <f t="shared" si="346"/>
        <v>462254.52275521791</v>
      </c>
    </row>
    <row r="659" spans="9:54" x14ac:dyDescent="0.25">
      <c r="I659" s="41">
        <v>654</v>
      </c>
      <c r="J659" s="57">
        <f t="shared" si="320"/>
        <v>22033.683215379002</v>
      </c>
      <c r="K659" s="57">
        <f t="shared" si="321"/>
        <v>2932.2727117869954</v>
      </c>
      <c r="M659" s="41">
        <v>654</v>
      </c>
      <c r="N659" s="57">
        <f t="shared" si="322"/>
        <v>-18576.421749234698</v>
      </c>
      <c r="O659" s="57">
        <f t="shared" si="323"/>
        <v>6802.5908982508972</v>
      </c>
      <c r="Q659" s="41">
        <v>654</v>
      </c>
      <c r="R659" s="57">
        <f t="shared" si="324"/>
        <v>-2966.3167846209981</v>
      </c>
      <c r="S659" s="41">
        <f t="shared" si="325"/>
        <v>-19567.727288213006</v>
      </c>
      <c r="U659" s="41">
        <v>653</v>
      </c>
      <c r="V659" s="41">
        <f t="shared" si="347"/>
        <v>326.5</v>
      </c>
      <c r="W659" s="57">
        <f t="shared" si="348"/>
        <v>223576.65978456062</v>
      </c>
      <c r="X659" s="57">
        <f t="shared" si="349"/>
        <v>408535.50745960342</v>
      </c>
      <c r="Y659" s="57">
        <f t="shared" si="350"/>
        <v>1068.9773171595784</v>
      </c>
      <c r="Z659" s="57">
        <f t="shared" si="351"/>
        <v>1481.6193528561605</v>
      </c>
      <c r="AA659" s="57">
        <f t="shared" si="326"/>
        <v>-7.2769310833843432</v>
      </c>
      <c r="AB659" s="57">
        <f t="shared" si="327"/>
        <v>-13.354665204831779</v>
      </c>
      <c r="AC659" s="57">
        <f t="shared" si="328"/>
        <v>-1.1708411088951707</v>
      </c>
      <c r="AD659" s="57">
        <f t="shared" si="329"/>
        <v>-2.3064965244898397</v>
      </c>
      <c r="AE659" s="57">
        <f t="shared" si="330"/>
        <v>-0.42915977285351403</v>
      </c>
      <c r="AF659" s="57">
        <f t="shared" si="331"/>
        <v>-0.70218307454704909</v>
      </c>
      <c r="AG659" s="57">
        <f t="shared" si="332"/>
        <v>-1.0728974000574758</v>
      </c>
      <c r="AH659" s="57">
        <f t="shared" si="333"/>
        <v>-1.9879988849855685</v>
      </c>
      <c r="AJ659" s="57">
        <f t="shared" si="334"/>
        <v>449747.63440447394</v>
      </c>
      <c r="AK659" s="57">
        <f t="shared" si="335"/>
        <v>467076.16070389119</v>
      </c>
      <c r="AL659" s="57">
        <f t="shared" si="336"/>
        <v>481279.14506794343</v>
      </c>
      <c r="AN659" s="41">
        <v>654</v>
      </c>
      <c r="AO659" s="57">
        <f t="shared" si="337"/>
        <v>8050.5248230685029</v>
      </c>
      <c r="AP659" s="57">
        <f t="shared" si="338"/>
        <v>8148.4090676804935</v>
      </c>
      <c r="AR659" s="41">
        <v>654</v>
      </c>
      <c r="AS659" s="57">
        <f t="shared" si="339"/>
        <v>16423.578250765302</v>
      </c>
      <c r="AT659" s="57">
        <f t="shared" si="340"/>
        <v>-8197.4091017491028</v>
      </c>
      <c r="AV659" s="57">
        <f t="shared" si="341"/>
        <v>-4.2271375914483995</v>
      </c>
      <c r="AW659" s="57">
        <f t="shared" si="342"/>
        <v>-7.6107336382203998</v>
      </c>
      <c r="AX659" s="57">
        <f t="shared" si="343"/>
        <v>-0.37689521012978344</v>
      </c>
      <c r="AY659" s="57">
        <f t="shared" si="344"/>
        <v>-0.74725308258892253</v>
      </c>
      <c r="BA659" s="57">
        <f t="shared" si="345"/>
        <v>450162.13949427503</v>
      </c>
      <c r="BB659" s="57">
        <f t="shared" si="346"/>
        <v>463158.54622014269</v>
      </c>
    </row>
    <row r="660" spans="9:54" x14ac:dyDescent="0.25">
      <c r="I660" s="41">
        <v>655</v>
      </c>
      <c r="J660" s="57">
        <f t="shared" si="320"/>
        <v>22113.091308703493</v>
      </c>
      <c r="K660" s="57">
        <f t="shared" si="321"/>
        <v>2968.4610648167481</v>
      </c>
      <c r="M660" s="41">
        <v>655</v>
      </c>
      <c r="N660" s="57">
        <f t="shared" si="322"/>
        <v>-18520.836083907554</v>
      </c>
      <c r="O660" s="57">
        <f t="shared" si="323"/>
        <v>6827.9227453717231</v>
      </c>
      <c r="Q660" s="41">
        <v>655</v>
      </c>
      <c r="R660" s="57">
        <f t="shared" si="324"/>
        <v>-2886.9086912965067</v>
      </c>
      <c r="S660" s="41">
        <f t="shared" si="325"/>
        <v>-19531.538935183253</v>
      </c>
      <c r="U660" s="41">
        <v>654</v>
      </c>
      <c r="V660" s="41">
        <f t="shared" si="347"/>
        <v>327</v>
      </c>
      <c r="W660" s="57">
        <f t="shared" si="348"/>
        <v>224110.238826755</v>
      </c>
      <c r="X660" s="57">
        <f t="shared" si="349"/>
        <v>409274.64780288091</v>
      </c>
      <c r="Y660" s="57">
        <f t="shared" si="350"/>
        <v>1065.3388516178863</v>
      </c>
      <c r="Z660" s="57">
        <f t="shared" si="351"/>
        <v>1474.9420202537447</v>
      </c>
      <c r="AA660" s="57">
        <f t="shared" si="326"/>
        <v>-7.2515447943550218</v>
      </c>
      <c r="AB660" s="57">
        <f t="shared" si="327"/>
        <v>-13.300121429651888</v>
      </c>
      <c r="AC660" s="57">
        <f t="shared" si="328"/>
        <v>-1.1668891782684729</v>
      </c>
      <c r="AD660" s="57">
        <f t="shared" si="329"/>
        <v>-2.2969278333055114</v>
      </c>
      <c r="AE660" s="57">
        <f t="shared" si="330"/>
        <v>-0.42759924422660878</v>
      </c>
      <c r="AF660" s="57">
        <f t="shared" si="331"/>
        <v>-0.69939523413650828</v>
      </c>
      <c r="AG660" s="57">
        <f t="shared" si="332"/>
        <v>-1.069368076675544</v>
      </c>
      <c r="AH660" s="57">
        <f t="shared" si="333"/>
        <v>-1.9802945797033398</v>
      </c>
      <c r="AJ660" s="57">
        <f t="shared" si="334"/>
        <v>450648.26329527103</v>
      </c>
      <c r="AK660" s="57">
        <f t="shared" si="335"/>
        <v>467985.09920527379</v>
      </c>
      <c r="AL660" s="57">
        <f t="shared" si="336"/>
        <v>482183.03402702935</v>
      </c>
      <c r="AN660" s="41">
        <v>655</v>
      </c>
      <c r="AO660" s="57">
        <f t="shared" si="337"/>
        <v>8169.6369630552399</v>
      </c>
      <c r="AP660" s="57">
        <f t="shared" si="338"/>
        <v>8202.6915972251227</v>
      </c>
      <c r="AR660" s="41">
        <v>655</v>
      </c>
      <c r="AS660" s="57">
        <f t="shared" si="339"/>
        <v>16479.163916092446</v>
      </c>
      <c r="AT660" s="57">
        <f t="shared" si="340"/>
        <v>-8172.0772546282769</v>
      </c>
      <c r="AV660" s="57">
        <f t="shared" si="341"/>
        <v>-4.2120232602926153</v>
      </c>
      <c r="AW660" s="57">
        <f t="shared" si="342"/>
        <v>-7.5792623675723449</v>
      </c>
      <c r="AX660" s="57">
        <f t="shared" si="343"/>
        <v>-0.37566503489178055</v>
      </c>
      <c r="AY660" s="57">
        <f t="shared" si="344"/>
        <v>-0.74424141493418428</v>
      </c>
      <c r="BA660" s="57">
        <f t="shared" si="345"/>
        <v>451067.39480791939</v>
      </c>
      <c r="BB660" s="57">
        <f t="shared" si="346"/>
        <v>464058.80639675783</v>
      </c>
    </row>
    <row r="661" spans="9:54" x14ac:dyDescent="0.25">
      <c r="I661" s="41">
        <v>656</v>
      </c>
      <c r="J661" s="57">
        <f t="shared" si="320"/>
        <v>22191.855733945376</v>
      </c>
      <c r="K661" s="57">
        <f t="shared" si="321"/>
        <v>3006.0297685041605</v>
      </c>
      <c r="M661" s="41">
        <v>656</v>
      </c>
      <c r="N661" s="57">
        <f t="shared" si="322"/>
        <v>-18465.700986238237</v>
      </c>
      <c r="O661" s="57">
        <f t="shared" si="323"/>
        <v>6854.2208379529129</v>
      </c>
      <c r="Q661" s="41">
        <v>656</v>
      </c>
      <c r="R661" s="57">
        <f t="shared" si="324"/>
        <v>-2808.1442660546222</v>
      </c>
      <c r="S661" s="41">
        <f t="shared" si="325"/>
        <v>-19493.970231495841</v>
      </c>
      <c r="U661" s="41">
        <v>655</v>
      </c>
      <c r="V661" s="41">
        <f t="shared" si="347"/>
        <v>327.5</v>
      </c>
      <c r="W661" s="57">
        <f t="shared" si="348"/>
        <v>224642.00180946465</v>
      </c>
      <c r="X661" s="57">
        <f t="shared" si="349"/>
        <v>410010.45629782905</v>
      </c>
      <c r="Y661" s="57">
        <f t="shared" si="350"/>
        <v>1061.7130792207088</v>
      </c>
      <c r="Z661" s="57">
        <f t="shared" si="351"/>
        <v>1468.2919595389187</v>
      </c>
      <c r="AA661" s="57">
        <f t="shared" si="326"/>
        <v>-7.2264070627756265</v>
      </c>
      <c r="AB661" s="57">
        <f t="shared" si="327"/>
        <v>-13.246127453879408</v>
      </c>
      <c r="AC661" s="57">
        <f t="shared" si="328"/>
        <v>-1.1629751854052381</v>
      </c>
      <c r="AD661" s="57">
        <f t="shared" si="329"/>
        <v>-2.2874564771720522</v>
      </c>
      <c r="AE661" s="57">
        <f t="shared" si="330"/>
        <v>-0.42605431044041037</v>
      </c>
      <c r="AF661" s="57">
        <f t="shared" si="331"/>
        <v>-0.69663499262754991</v>
      </c>
      <c r="AG661" s="57">
        <f t="shared" si="332"/>
        <v>-1.0658722890443435</v>
      </c>
      <c r="AH661" s="57">
        <f t="shared" si="333"/>
        <v>-1.9726655592290581</v>
      </c>
      <c r="AJ661" s="57">
        <f t="shared" si="334"/>
        <v>451545.14318467816</v>
      </c>
      <c r="AK661" s="57">
        <f t="shared" si="335"/>
        <v>468890.25815956073</v>
      </c>
      <c r="AL661" s="57">
        <f t="shared" si="336"/>
        <v>483083.15739378351</v>
      </c>
      <c r="AN661" s="41">
        <v>656</v>
      </c>
      <c r="AO661" s="57">
        <f t="shared" si="337"/>
        <v>8287.7836009180664</v>
      </c>
      <c r="AP661" s="57">
        <f t="shared" si="338"/>
        <v>8259.0446527562417</v>
      </c>
      <c r="AR661" s="41">
        <v>656</v>
      </c>
      <c r="AS661" s="57">
        <f t="shared" si="339"/>
        <v>16534.299013761763</v>
      </c>
      <c r="AT661" s="57">
        <f t="shared" si="340"/>
        <v>-8145.7791620470871</v>
      </c>
      <c r="AV661" s="57">
        <f t="shared" si="341"/>
        <v>-4.1970588055111326</v>
      </c>
      <c r="AW661" s="57">
        <f t="shared" si="342"/>
        <v>-7.5481105627144824</v>
      </c>
      <c r="AX661" s="57">
        <f t="shared" si="343"/>
        <v>-0.3744464723745019</v>
      </c>
      <c r="AY661" s="57">
        <f t="shared" si="344"/>
        <v>-0.7412598621362656</v>
      </c>
      <c r="BA661" s="57">
        <f t="shared" si="345"/>
        <v>451968.8811671529</v>
      </c>
      <c r="BB661" s="57">
        <f t="shared" si="346"/>
        <v>464955.31802444399</v>
      </c>
    </row>
    <row r="662" spans="9:54" x14ac:dyDescent="0.25">
      <c r="I662" s="41">
        <v>657</v>
      </c>
      <c r="J662" s="57">
        <f t="shared" si="320"/>
        <v>22269.952498697734</v>
      </c>
      <c r="K662" s="57">
        <f t="shared" si="321"/>
        <v>3044.9673790581619</v>
      </c>
      <c r="M662" s="41">
        <v>657</v>
      </c>
      <c r="N662" s="57">
        <f t="shared" si="322"/>
        <v>-18411.033250911583</v>
      </c>
      <c r="O662" s="57">
        <f t="shared" si="323"/>
        <v>6881.4771653407133</v>
      </c>
      <c r="Q662" s="41">
        <v>657</v>
      </c>
      <c r="R662" s="57">
        <f t="shared" si="324"/>
        <v>-2730.0475013022642</v>
      </c>
      <c r="S662" s="41">
        <f t="shared" si="325"/>
        <v>-19455.032620941838</v>
      </c>
      <c r="U662" s="41">
        <v>656</v>
      </c>
      <c r="V662" s="41">
        <f t="shared" si="347"/>
        <v>328</v>
      </c>
      <c r="W662" s="57">
        <f t="shared" si="348"/>
        <v>225171.95504819218</v>
      </c>
      <c r="X662" s="57">
        <f t="shared" si="349"/>
        <v>410742.94651166676</v>
      </c>
      <c r="Y662" s="57">
        <f t="shared" si="350"/>
        <v>1058.0998756893209</v>
      </c>
      <c r="Z662" s="57">
        <f t="shared" si="351"/>
        <v>1461.6688958119789</v>
      </c>
      <c r="AA662" s="57">
        <f t="shared" si="326"/>
        <v>-7.2015146923861266</v>
      </c>
      <c r="AB662" s="57">
        <f t="shared" si="327"/>
        <v>-13.192675798269239</v>
      </c>
      <c r="AC662" s="57">
        <f t="shared" si="328"/>
        <v>-1.159098655946927</v>
      </c>
      <c r="AD662" s="57">
        <f t="shared" si="329"/>
        <v>-2.2780811208430793</v>
      </c>
      <c r="AE662" s="57">
        <f t="shared" si="330"/>
        <v>-0.42452476536561995</v>
      </c>
      <c r="AF662" s="57">
        <f t="shared" si="331"/>
        <v>-0.6939019811884759</v>
      </c>
      <c r="AG662" s="57">
        <f t="shared" si="332"/>
        <v>-1.0624096206698852</v>
      </c>
      <c r="AH662" s="57">
        <f t="shared" si="333"/>
        <v>-1.9651108329493752</v>
      </c>
      <c r="AJ662" s="57">
        <f t="shared" si="334"/>
        <v>452438.28866455186</v>
      </c>
      <c r="AK662" s="57">
        <f t="shared" si="335"/>
        <v>469791.65245990205</v>
      </c>
      <c r="AL662" s="57">
        <f t="shared" si="336"/>
        <v>483979.52993400756</v>
      </c>
      <c r="AN662" s="41">
        <v>657</v>
      </c>
      <c r="AO662" s="57">
        <f t="shared" si="337"/>
        <v>8404.9287480466046</v>
      </c>
      <c r="AP662" s="57">
        <f t="shared" si="338"/>
        <v>8317.4510685872428</v>
      </c>
      <c r="AR662" s="41">
        <v>657</v>
      </c>
      <c r="AS662" s="57">
        <f t="shared" si="339"/>
        <v>16588.966749088417</v>
      </c>
      <c r="AT662" s="57">
        <f t="shared" si="340"/>
        <v>-8118.5228346592867</v>
      </c>
      <c r="AV662" s="57">
        <f t="shared" si="341"/>
        <v>-4.1822422701818178</v>
      </c>
      <c r="AW662" s="57">
        <f t="shared" si="342"/>
        <v>-7.5172738447324994</v>
      </c>
      <c r="AX662" s="57">
        <f t="shared" si="343"/>
        <v>-0.37323938022187692</v>
      </c>
      <c r="AY662" s="57">
        <f t="shared" si="344"/>
        <v>-0.73830801855580952</v>
      </c>
      <c r="BA662" s="57">
        <f t="shared" si="345"/>
        <v>452866.61336808559</v>
      </c>
      <c r="BB662" s="57">
        <f t="shared" si="346"/>
        <v>465848.09569534782</v>
      </c>
    </row>
    <row r="663" spans="9:54" x14ac:dyDescent="0.25">
      <c r="I663" s="41">
        <v>658</v>
      </c>
      <c r="J663" s="57">
        <f t="shared" si="320"/>
        <v>22347.357813929451</v>
      </c>
      <c r="K663" s="57">
        <f t="shared" si="321"/>
        <v>3085.2620357053638</v>
      </c>
      <c r="M663" s="41">
        <v>658</v>
      </c>
      <c r="N663" s="57">
        <f t="shared" si="322"/>
        <v>-18356.849530249383</v>
      </c>
      <c r="O663" s="57">
        <f t="shared" si="323"/>
        <v>6909.6834249937547</v>
      </c>
      <c r="Q663" s="41">
        <v>658</v>
      </c>
      <c r="R663" s="57">
        <f t="shared" si="324"/>
        <v>-2652.6421860705491</v>
      </c>
      <c r="S663" s="41">
        <f t="shared" si="325"/>
        <v>-19414.737964294636</v>
      </c>
      <c r="U663" s="41">
        <v>657</v>
      </c>
      <c r="V663" s="41">
        <f t="shared" si="347"/>
        <v>328.5</v>
      </c>
      <c r="W663" s="57">
        <f t="shared" si="348"/>
        <v>225700.1047967003</v>
      </c>
      <c r="X663" s="57">
        <f t="shared" si="349"/>
        <v>411472.13187509798</v>
      </c>
      <c r="Y663" s="57">
        <f t="shared" si="350"/>
        <v>1054.499118343128</v>
      </c>
      <c r="Z663" s="57">
        <f t="shared" si="351"/>
        <v>1455.0725579128443</v>
      </c>
      <c r="AA663" s="57">
        <f t="shared" si="326"/>
        <v>-7.176864542422952</v>
      </c>
      <c r="AB663" s="57">
        <f t="shared" si="327"/>
        <v>-13.13975911845913</v>
      </c>
      <c r="AC663" s="57">
        <f t="shared" si="328"/>
        <v>-1.1552591235531859</v>
      </c>
      <c r="AD663" s="57">
        <f t="shared" si="329"/>
        <v>-2.2688004533161719</v>
      </c>
      <c r="AE663" s="57">
        <f t="shared" si="330"/>
        <v>-0.42301040653721605</v>
      </c>
      <c r="AF663" s="57">
        <f t="shared" si="331"/>
        <v>-0.69119583753685376</v>
      </c>
      <c r="AG663" s="57">
        <f t="shared" si="332"/>
        <v>-1.0589796620858849</v>
      </c>
      <c r="AH663" s="57">
        <f t="shared" si="333"/>
        <v>-1.9576294276074291</v>
      </c>
      <c r="AJ663" s="57">
        <f t="shared" si="334"/>
        <v>453327.7141815676</v>
      </c>
      <c r="AK663" s="57">
        <f t="shared" si="335"/>
        <v>470689.29685031669</v>
      </c>
      <c r="AL663" s="57">
        <f t="shared" si="336"/>
        <v>484872.1662658102</v>
      </c>
      <c r="AN663" s="41">
        <v>658</v>
      </c>
      <c r="AO663" s="57">
        <f t="shared" si="337"/>
        <v>8521.0367208941771</v>
      </c>
      <c r="AP663" s="57">
        <f t="shared" si="338"/>
        <v>8377.8930535580457</v>
      </c>
      <c r="AR663" s="41">
        <v>658</v>
      </c>
      <c r="AS663" s="57">
        <f t="shared" si="339"/>
        <v>16643.150469750617</v>
      </c>
      <c r="AT663" s="57">
        <f t="shared" si="340"/>
        <v>-8090.3165750062453</v>
      </c>
      <c r="AV663" s="57">
        <f t="shared" si="341"/>
        <v>-4.1675717318009227</v>
      </c>
      <c r="AW663" s="57">
        <f t="shared" si="342"/>
        <v>-7.4867479141958695</v>
      </c>
      <c r="AX663" s="57">
        <f t="shared" si="343"/>
        <v>-0.37204361844574196</v>
      </c>
      <c r="AY663" s="57">
        <f t="shared" si="344"/>
        <v>-0.73538548580280649</v>
      </c>
      <c r="BA663" s="57">
        <f t="shared" si="345"/>
        <v>453760.60605881113</v>
      </c>
      <c r="BB663" s="57">
        <f t="shared" si="346"/>
        <v>466737.1538563536</v>
      </c>
    </row>
    <row r="664" spans="9:54" x14ac:dyDescent="0.25">
      <c r="I664" s="41">
        <v>659</v>
      </c>
      <c r="J664" s="57">
        <f t="shared" si="320"/>
        <v>22424.048101231678</v>
      </c>
      <c r="K664" s="57">
        <f t="shared" si="321"/>
        <v>3126.9014643030168</v>
      </c>
      <c r="M664" s="41">
        <v>659</v>
      </c>
      <c r="N664" s="57">
        <f t="shared" si="322"/>
        <v>-18303.166329137825</v>
      </c>
      <c r="O664" s="57">
        <f t="shared" si="323"/>
        <v>6938.8310250121121</v>
      </c>
      <c r="Q664" s="41">
        <v>659</v>
      </c>
      <c r="R664" s="57">
        <f t="shared" si="324"/>
        <v>-2575.9518987683223</v>
      </c>
      <c r="S664" s="41">
        <f t="shared" si="325"/>
        <v>-19373.098535696983</v>
      </c>
      <c r="U664" s="41">
        <v>658</v>
      </c>
      <c r="V664" s="41">
        <f t="shared" si="347"/>
        <v>329</v>
      </c>
      <c r="W664" s="57">
        <f t="shared" si="348"/>
        <v>226226.45724780404</v>
      </c>
      <c r="X664" s="57">
        <f t="shared" si="349"/>
        <v>412198.02568416455</v>
      </c>
      <c r="Y664" s="57">
        <f t="shared" si="350"/>
        <v>1050.9106860719164</v>
      </c>
      <c r="Z664" s="57">
        <f t="shared" si="351"/>
        <v>1448.5026783536148</v>
      </c>
      <c r="AA664" s="57">
        <f t="shared" si="326"/>
        <v>-7.1524535264375411</v>
      </c>
      <c r="AB664" s="57">
        <f t="shared" si="327"/>
        <v>-13.087370201990762</v>
      </c>
      <c r="AC664" s="57">
        <f t="shared" si="328"/>
        <v>-1.1514561297360326</v>
      </c>
      <c r="AD664" s="57">
        <f t="shared" si="329"/>
        <v>-2.2596131872942005</v>
      </c>
      <c r="AE664" s="57">
        <f t="shared" si="330"/>
        <v>-0.4215110350745469</v>
      </c>
      <c r="AF664" s="57">
        <f t="shared" si="331"/>
        <v>-0.68851620579690298</v>
      </c>
      <c r="AG664" s="57">
        <f t="shared" si="332"/>
        <v>-1.0555820107081424</v>
      </c>
      <c r="AH664" s="57">
        <f t="shared" si="333"/>
        <v>-1.950220386929886</v>
      </c>
      <c r="AJ664" s="57">
        <f t="shared" si="334"/>
        <v>454213.43403915415</v>
      </c>
      <c r="AK664" s="57">
        <f t="shared" si="335"/>
        <v>471583.20592769689</v>
      </c>
      <c r="AL664" s="57">
        <f t="shared" si="336"/>
        <v>485761.08086158842</v>
      </c>
      <c r="AN664" s="41">
        <v>659</v>
      </c>
      <c r="AO664" s="57">
        <f t="shared" si="337"/>
        <v>8636.0721518475166</v>
      </c>
      <c r="AP664" s="57">
        <f t="shared" si="338"/>
        <v>8440.3521964545253</v>
      </c>
      <c r="AR664" s="41">
        <v>659</v>
      </c>
      <c r="AS664" s="57">
        <f t="shared" si="339"/>
        <v>16696.833670862175</v>
      </c>
      <c r="AT664" s="57">
        <f t="shared" si="340"/>
        <v>-8061.1689749878879</v>
      </c>
      <c r="AV664" s="57">
        <f t="shared" si="341"/>
        <v>-4.1530453015411659</v>
      </c>
      <c r="AW664" s="57">
        <f t="shared" si="342"/>
        <v>-7.456528549391761</v>
      </c>
      <c r="AX664" s="57">
        <f t="shared" si="343"/>
        <v>-0.37085904937765374</v>
      </c>
      <c r="AY664" s="57">
        <f t="shared" si="344"/>
        <v>-0.7324918725780114</v>
      </c>
      <c r="BA664" s="57">
        <f t="shared" si="345"/>
        <v>454650.87374139368</v>
      </c>
      <c r="BB664" s="57">
        <f t="shared" si="346"/>
        <v>467622.50681102084</v>
      </c>
    </row>
    <row r="665" spans="9:54" x14ac:dyDescent="0.25">
      <c r="I665" s="41">
        <v>660</v>
      </c>
      <c r="J665" s="57">
        <f t="shared" si="320"/>
        <v>22499.999999999996</v>
      </c>
      <c r="K665" s="57">
        <f t="shared" si="321"/>
        <v>3169.8729810778041</v>
      </c>
      <c r="M665" s="41">
        <v>660</v>
      </c>
      <c r="N665" s="57">
        <f t="shared" si="322"/>
        <v>-18250.000000000004</v>
      </c>
      <c r="O665" s="57">
        <f t="shared" si="323"/>
        <v>6968.9110867544623</v>
      </c>
      <c r="Q665" s="41">
        <v>660</v>
      </c>
      <c r="R665" s="57">
        <f t="shared" si="324"/>
        <v>-2500.0000000000045</v>
      </c>
      <c r="S665" s="41">
        <f t="shared" si="325"/>
        <v>-19330.127018922198</v>
      </c>
      <c r="U665" s="41">
        <v>659</v>
      </c>
      <c r="V665" s="41">
        <f t="shared" si="347"/>
        <v>329.5</v>
      </c>
      <c r="W665" s="57">
        <f t="shared" si="348"/>
        <v>226751.01853414919</v>
      </c>
      <c r="X665" s="57">
        <f t="shared" si="349"/>
        <v>412920.64110206609</v>
      </c>
      <c r="Y665" s="57">
        <f t="shared" si="350"/>
        <v>1047.3344593086977</v>
      </c>
      <c r="Z665" s="57">
        <f t="shared" si="351"/>
        <v>1441.9589932526194</v>
      </c>
      <c r="AA665" s="57">
        <f t="shared" si="326"/>
        <v>-7.1282786111446406</v>
      </c>
      <c r="AB665" s="57">
        <f t="shared" si="327"/>
        <v>-13.035501965408486</v>
      </c>
      <c r="AC665" s="57">
        <f t="shared" si="328"/>
        <v>-1.1476892236982021</v>
      </c>
      <c r="AD665" s="57">
        <f t="shared" si="329"/>
        <v>-2.2505180586609992</v>
      </c>
      <c r="AE665" s="57">
        <f t="shared" si="330"/>
        <v>-0.42002645560353696</v>
      </c>
      <c r="AF665" s="57">
        <f t="shared" si="331"/>
        <v>-0.6858627363606361</v>
      </c>
      <c r="AG665" s="57">
        <f t="shared" si="332"/>
        <v>-1.0522162706925342</v>
      </c>
      <c r="AH665" s="57">
        <f t="shared" si="333"/>
        <v>-1.9428827712635337</v>
      </c>
      <c r="AJ665" s="57">
        <f t="shared" si="334"/>
        <v>455095.46239939419</v>
      </c>
      <c r="AK665" s="57">
        <f t="shared" si="335"/>
        <v>472473.3941437761</v>
      </c>
      <c r="AL665" s="57">
        <f t="shared" si="336"/>
        <v>486646.28804997454</v>
      </c>
      <c r="AN665" s="41">
        <v>660</v>
      </c>
      <c r="AO665" s="57">
        <f t="shared" si="337"/>
        <v>8749.9999999999927</v>
      </c>
      <c r="AP665" s="57">
        <f t="shared" si="338"/>
        <v>8504.809471616707</v>
      </c>
      <c r="AR665" s="41">
        <v>660</v>
      </c>
      <c r="AS665" s="57">
        <f t="shared" si="339"/>
        <v>16749.999999999996</v>
      </c>
      <c r="AT665" s="57">
        <f t="shared" si="340"/>
        <v>-8031.0889132455377</v>
      </c>
      <c r="AV665" s="57">
        <f t="shared" si="341"/>
        <v>-4.1386611235285464</v>
      </c>
      <c r="AW665" s="57">
        <f t="shared" si="342"/>
        <v>-7.4266116046049344</v>
      </c>
      <c r="AX665" s="57">
        <f t="shared" si="343"/>
        <v>-0.36968553762182177</v>
      </c>
      <c r="AY665" s="57">
        <f t="shared" si="344"/>
        <v>-0.72962679451838197</v>
      </c>
      <c r="BA665" s="57">
        <f t="shared" si="345"/>
        <v>455537.43077381892</v>
      </c>
      <c r="BB665" s="57">
        <f t="shared" si="346"/>
        <v>468504.16872148699</v>
      </c>
    </row>
    <row r="666" spans="9:54" x14ac:dyDescent="0.25">
      <c r="I666" s="41">
        <v>661</v>
      </c>
      <c r="J666" s="57">
        <f t="shared" si="320"/>
        <v>22575.190374550271</v>
      </c>
      <c r="K666" s="57">
        <f t="shared" si="321"/>
        <v>3214.1634964894374</v>
      </c>
      <c r="M666" s="41">
        <v>661</v>
      </c>
      <c r="N666" s="57">
        <f t="shared" si="322"/>
        <v>-18197.366737814809</v>
      </c>
      <c r="O666" s="57">
        <f t="shared" si="323"/>
        <v>6999.9144475426065</v>
      </c>
      <c r="Q666" s="41">
        <v>661</v>
      </c>
      <c r="R666" s="57">
        <f t="shared" si="324"/>
        <v>-2424.8096254497304</v>
      </c>
      <c r="S666" s="41">
        <f t="shared" si="325"/>
        <v>-19285.836503510563</v>
      </c>
      <c r="U666" s="41">
        <v>660</v>
      </c>
      <c r="V666" s="41">
        <f t="shared" si="347"/>
        <v>330</v>
      </c>
      <c r="W666" s="57">
        <f t="shared" si="348"/>
        <v>227273.79472897714</v>
      </c>
      <c r="X666" s="57">
        <f t="shared" si="349"/>
        <v>413639.99116094672</v>
      </c>
      <c r="Y666" s="57">
        <f t="shared" si="350"/>
        <v>1043.7703200031253</v>
      </c>
      <c r="Z666" s="57">
        <f t="shared" si="351"/>
        <v>1435.4412422699152</v>
      </c>
      <c r="AA666" s="57">
        <f t="shared" si="326"/>
        <v>-7.1043368153001989</v>
      </c>
      <c r="AB666" s="57">
        <f t="shared" si="327"/>
        <v>-12.984147451434655</v>
      </c>
      <c r="AC666" s="57">
        <f t="shared" si="328"/>
        <v>-1.1439579621753744</v>
      </c>
      <c r="AD666" s="57">
        <f t="shared" si="329"/>
        <v>-2.2415138259706331</v>
      </c>
      <c r="AE666" s="57">
        <f t="shared" si="330"/>
        <v>-0.41855647618089481</v>
      </c>
      <c r="AF666" s="57">
        <f t="shared" si="331"/>
        <v>-0.68323508575255909</v>
      </c>
      <c r="AG666" s="57">
        <f t="shared" si="332"/>
        <v>-1.0488820527964882</v>
      </c>
      <c r="AH666" s="57">
        <f t="shared" si="333"/>
        <v>-1.9356156572210759</v>
      </c>
      <c r="AJ666" s="57">
        <f t="shared" si="334"/>
        <v>455973.81328489038</v>
      </c>
      <c r="AK666" s="57">
        <f t="shared" si="335"/>
        <v>473359.87580706232</v>
      </c>
      <c r="AL666" s="57">
        <f t="shared" si="336"/>
        <v>487527.80201774696</v>
      </c>
      <c r="AN666" s="41">
        <v>661</v>
      </c>
      <c r="AO666" s="57">
        <f t="shared" si="337"/>
        <v>8862.7855618254034</v>
      </c>
      <c r="AP666" s="57">
        <f t="shared" si="338"/>
        <v>8571.2452447341566</v>
      </c>
      <c r="AR666" s="41">
        <v>661</v>
      </c>
      <c r="AS666" s="57">
        <f t="shared" si="339"/>
        <v>16802.633262185191</v>
      </c>
      <c r="AT666" s="57">
        <f t="shared" si="340"/>
        <v>-8000.0855524573935</v>
      </c>
      <c r="AV666" s="57">
        <f t="shared" si="341"/>
        <v>-4.1244173741382362</v>
      </c>
      <c r="AW666" s="57">
        <f t="shared" si="342"/>
        <v>-7.3969930084438227</v>
      </c>
      <c r="AX666" s="57">
        <f t="shared" si="343"/>
        <v>-0.36852295000920476</v>
      </c>
      <c r="AY666" s="57">
        <f t="shared" si="344"/>
        <v>-0.72678987404656414</v>
      </c>
      <c r="BA666" s="57">
        <f t="shared" si="345"/>
        <v>456420.29137190996</v>
      </c>
      <c r="BB666" s="57">
        <f t="shared" si="346"/>
        <v>469382.15361033642</v>
      </c>
    </row>
    <row r="667" spans="9:54" x14ac:dyDescent="0.25">
      <c r="I667" s="41">
        <v>662</v>
      </c>
      <c r="J667" s="57">
        <f t="shared" si="320"/>
        <v>22649.596321166027</v>
      </c>
      <c r="K667" s="57">
        <f t="shared" si="321"/>
        <v>3259.7595192178705</v>
      </c>
      <c r="M667" s="41">
        <v>662</v>
      </c>
      <c r="N667" s="57">
        <f t="shared" si="322"/>
        <v>-18145.282575183781</v>
      </c>
      <c r="O667" s="57">
        <f t="shared" si="323"/>
        <v>7031.831663452509</v>
      </c>
      <c r="Q667" s="41">
        <v>662</v>
      </c>
      <c r="R667" s="57">
        <f t="shared" si="324"/>
        <v>-2350.403678833974</v>
      </c>
      <c r="S667" s="41">
        <f t="shared" si="325"/>
        <v>-19240.240480782129</v>
      </c>
      <c r="U667" s="41">
        <v>661</v>
      </c>
      <c r="V667" s="41">
        <f t="shared" si="347"/>
        <v>330.5</v>
      </c>
      <c r="W667" s="57">
        <f t="shared" si="348"/>
        <v>227794.79184687682</v>
      </c>
      <c r="X667" s="57">
        <f t="shared" si="349"/>
        <v>414356.08876365027</v>
      </c>
      <c r="Y667" s="57">
        <f t="shared" si="350"/>
        <v>1040.2181515954753</v>
      </c>
      <c r="Z667" s="57">
        <f t="shared" si="351"/>
        <v>1428.9491685441978</v>
      </c>
      <c r="AA667" s="57">
        <f t="shared" si="326"/>
        <v>-7.080625208607005</v>
      </c>
      <c r="AB667" s="57">
        <f t="shared" si="327"/>
        <v>-12.933299826217509</v>
      </c>
      <c r="AC667" s="57">
        <f t="shared" si="328"/>
        <v>-1.1402619092823429</v>
      </c>
      <c r="AD667" s="57">
        <f t="shared" si="329"/>
        <v>-2.2325992699501778</v>
      </c>
      <c r="AE667" s="57">
        <f t="shared" si="330"/>
        <v>-0.41710090822026613</v>
      </c>
      <c r="AF667" s="57">
        <f t="shared" si="331"/>
        <v>-0.68063291649783242</v>
      </c>
      <c r="AG667" s="57">
        <f t="shared" si="332"/>
        <v>-1.045578974243893</v>
      </c>
      <c r="AH667" s="57">
        <f t="shared" si="333"/>
        <v>-1.9284181373359628</v>
      </c>
      <c r="AJ667" s="57">
        <f t="shared" si="334"/>
        <v>456848.50058059959</v>
      </c>
      <c r="AK667" s="57">
        <f t="shared" si="335"/>
        <v>474242.665084737</v>
      </c>
      <c r="AL667" s="57">
        <f t="shared" si="336"/>
        <v>488405.63681170822</v>
      </c>
      <c r="AN667" s="41">
        <v>662</v>
      </c>
      <c r="AO667" s="57">
        <f t="shared" si="337"/>
        <v>8974.3944817490392</v>
      </c>
      <c r="AP667" s="57">
        <f t="shared" si="338"/>
        <v>8639.6392788268058</v>
      </c>
      <c r="AR667" s="41">
        <v>662</v>
      </c>
      <c r="AS667" s="57">
        <f t="shared" si="339"/>
        <v>16854.717424816219</v>
      </c>
      <c r="AT667" s="57">
        <f t="shared" si="340"/>
        <v>-7968.168336547491</v>
      </c>
      <c r="AV667" s="57">
        <f t="shared" si="341"/>
        <v>-4.1103122613078069</v>
      </c>
      <c r="AW667" s="57">
        <f t="shared" si="342"/>
        <v>-7.3676687622093127</v>
      </c>
      <c r="AX667" s="57">
        <f t="shared" si="343"/>
        <v>-0.36737115555269645</v>
      </c>
      <c r="AY667" s="57">
        <f t="shared" si="344"/>
        <v>-0.7239807402242231</v>
      </c>
      <c r="BA667" s="57">
        <f t="shared" si="345"/>
        <v>457299.4696112097</v>
      </c>
      <c r="BB667" s="57">
        <f t="shared" si="346"/>
        <v>470256.47536243685</v>
      </c>
    </row>
    <row r="668" spans="9:54" x14ac:dyDescent="0.25">
      <c r="I668" s="41">
        <v>663</v>
      </c>
      <c r="J668" s="57">
        <f t="shared" si="320"/>
        <v>22723.195175075132</v>
      </c>
      <c r="K668" s="57">
        <f t="shared" si="321"/>
        <v>3306.647160272878</v>
      </c>
      <c r="M668" s="41">
        <v>663</v>
      </c>
      <c r="N668" s="57">
        <f t="shared" si="322"/>
        <v>-18093.763377447409</v>
      </c>
      <c r="O668" s="57">
        <f t="shared" si="323"/>
        <v>7064.6530121910146</v>
      </c>
      <c r="Q668" s="41">
        <v>663</v>
      </c>
      <c r="R668" s="57">
        <f t="shared" si="324"/>
        <v>-2276.8048249248677</v>
      </c>
      <c r="S668" s="41">
        <f t="shared" si="325"/>
        <v>-19193.352839727122</v>
      </c>
      <c r="U668" s="41">
        <v>662</v>
      </c>
      <c r="V668" s="41">
        <f t="shared" si="347"/>
        <v>331</v>
      </c>
      <c r="W668" s="57">
        <f t="shared" si="348"/>
        <v>228314.0158445235</v>
      </c>
      <c r="X668" s="57">
        <f t="shared" si="349"/>
        <v>415068.9466854441</v>
      </c>
      <c r="Y668" s="57">
        <f t="shared" si="350"/>
        <v>1036.6778389911717</v>
      </c>
      <c r="Z668" s="57">
        <f t="shared" si="351"/>
        <v>1422.4825186310891</v>
      </c>
      <c r="AA668" s="57">
        <f t="shared" si="326"/>
        <v>-7.0571409106478624</v>
      </c>
      <c r="AB668" s="57">
        <f t="shared" si="327"/>
        <v>-12.882952376650406</v>
      </c>
      <c r="AC668" s="57">
        <f t="shared" si="328"/>
        <v>-1.1366006363627823</v>
      </c>
      <c r="AD668" s="57">
        <f t="shared" si="329"/>
        <v>-2.2237731930151501</v>
      </c>
      <c r="AE668" s="57">
        <f t="shared" si="330"/>
        <v>-0.4156595664202733</v>
      </c>
      <c r="AF668" s="57">
        <f t="shared" si="331"/>
        <v>-0.67805589699378976</v>
      </c>
      <c r="AG668" s="57">
        <f t="shared" si="332"/>
        <v>-1.0423066585932843</v>
      </c>
      <c r="AH668" s="57">
        <f t="shared" si="333"/>
        <v>-1.9212893197258833</v>
      </c>
      <c r="AJ668" s="57">
        <f t="shared" si="334"/>
        <v>457719.53803563461</v>
      </c>
      <c r="AK668" s="57">
        <f t="shared" si="335"/>
        <v>475121.77600452013</v>
      </c>
      <c r="AL668" s="57">
        <f t="shared" si="336"/>
        <v>489279.80634052935</v>
      </c>
      <c r="AN668" s="41">
        <v>663</v>
      </c>
      <c r="AO668" s="57">
        <f t="shared" si="337"/>
        <v>9084.7927626126984</v>
      </c>
      <c r="AP668" s="57">
        <f t="shared" si="338"/>
        <v>8709.9707404093169</v>
      </c>
      <c r="AR668" s="41">
        <v>663</v>
      </c>
      <c r="AS668" s="57">
        <f t="shared" si="339"/>
        <v>16906.236622552591</v>
      </c>
      <c r="AT668" s="57">
        <f t="shared" si="340"/>
        <v>-7935.3469878089854</v>
      </c>
      <c r="AV668" s="57">
        <f t="shared" si="341"/>
        <v>-4.0963440238681166</v>
      </c>
      <c r="AW668" s="57">
        <f t="shared" si="342"/>
        <v>-7.3386349383064093</v>
      </c>
      <c r="AX668" s="57">
        <f t="shared" si="343"/>
        <v>-0.36623002540340638</v>
      </c>
      <c r="AY668" s="57">
        <f t="shared" si="344"/>
        <v>-0.72119902860917429</v>
      </c>
      <c r="BA668" s="57">
        <f t="shared" si="345"/>
        <v>458174.97942882997</v>
      </c>
      <c r="BB668" s="57">
        <f t="shared" si="346"/>
        <v>471127.14772674278</v>
      </c>
    </row>
    <row r="669" spans="9:54" x14ac:dyDescent="0.25">
      <c r="I669" s="41">
        <v>664</v>
      </c>
      <c r="J669" s="57">
        <f t="shared" si="320"/>
        <v>22795.964517353736</v>
      </c>
      <c r="K669" s="57">
        <f t="shared" si="321"/>
        <v>3354.8121372247915</v>
      </c>
      <c r="M669" s="41">
        <v>664</v>
      </c>
      <c r="N669" s="57">
        <f t="shared" si="322"/>
        <v>-18042.824837852386</v>
      </c>
      <c r="O669" s="57">
        <f t="shared" si="323"/>
        <v>7098.3684960573537</v>
      </c>
      <c r="Q669" s="41">
        <v>664</v>
      </c>
      <c r="R669" s="57">
        <f t="shared" si="324"/>
        <v>-2204.0354826462662</v>
      </c>
      <c r="S669" s="41">
        <f t="shared" si="325"/>
        <v>-19145.187862775208</v>
      </c>
      <c r="U669" s="41">
        <v>663</v>
      </c>
      <c r="V669" s="41">
        <f t="shared" si="347"/>
        <v>331.5</v>
      </c>
      <c r="W669" s="57">
        <f t="shared" si="348"/>
        <v>228831.47262140526</v>
      </c>
      <c r="X669" s="57">
        <f t="shared" si="349"/>
        <v>415778.57757571252</v>
      </c>
      <c r="Y669" s="57">
        <f t="shared" si="350"/>
        <v>1033.1492685358478</v>
      </c>
      <c r="Z669" s="57">
        <f t="shared" si="351"/>
        <v>1416.0410424427639</v>
      </c>
      <c r="AA669" s="57">
        <f t="shared" si="326"/>
        <v>-7.0338810898455266</v>
      </c>
      <c r="AB669" s="57">
        <f t="shared" si="327"/>
        <v>-12.83309850776048</v>
      </c>
      <c r="AC669" s="57">
        <f t="shared" si="328"/>
        <v>-1.1329737218428657</v>
      </c>
      <c r="AD669" s="57">
        <f t="shared" si="329"/>
        <v>-2.2150344187979103</v>
      </c>
      <c r="AE669" s="57">
        <f t="shared" si="330"/>
        <v>-0.41423226869440227</v>
      </c>
      <c r="AF669" s="57">
        <f t="shared" si="331"/>
        <v>-0.67550370138474014</v>
      </c>
      <c r="AG669" s="57">
        <f t="shared" si="332"/>
        <v>-1.0390647356092457</v>
      </c>
      <c r="AH669" s="57">
        <f t="shared" si="333"/>
        <v>-1.9142283277647207</v>
      </c>
      <c r="AJ669" s="57">
        <f t="shared" si="334"/>
        <v>458586.93926503381</v>
      </c>
      <c r="AK669" s="57">
        <f t="shared" si="335"/>
        <v>475997.22245650314</v>
      </c>
      <c r="AL669" s="57">
        <f t="shared" si="336"/>
        <v>490150.3243765622</v>
      </c>
      <c r="AN669" s="41">
        <v>664</v>
      </c>
      <c r="AO669" s="57">
        <f t="shared" si="337"/>
        <v>9193.9467760305997</v>
      </c>
      <c r="AP669" s="57">
        <f t="shared" si="338"/>
        <v>8782.2182058371873</v>
      </c>
      <c r="AR669" s="41">
        <v>664</v>
      </c>
      <c r="AS669" s="57">
        <f t="shared" si="339"/>
        <v>16957.175162147614</v>
      </c>
      <c r="AT669" s="57">
        <f t="shared" si="340"/>
        <v>-7901.6315039426463</v>
      </c>
      <c r="AV669" s="57">
        <f t="shared" si="341"/>
        <v>-4.0825109308910479</v>
      </c>
      <c r="AW669" s="57">
        <f t="shared" si="342"/>
        <v>-7.3098876786969864</v>
      </c>
      <c r="AX669" s="57">
        <f t="shared" si="343"/>
        <v>-0.36509943280796497</v>
      </c>
      <c r="AY669" s="57">
        <f t="shared" si="344"/>
        <v>-0.71844438111612396</v>
      </c>
      <c r="BA669" s="57">
        <f t="shared" si="345"/>
        <v>459046.83462526818</v>
      </c>
      <c r="BB669" s="57">
        <f t="shared" si="346"/>
        <v>471994.18431806838</v>
      </c>
    </row>
    <row r="670" spans="9:54" x14ac:dyDescent="0.25">
      <c r="I670" s="41">
        <v>665</v>
      </c>
      <c r="J670" s="57">
        <f t="shared" si="320"/>
        <v>22867.882181755234</v>
      </c>
      <c r="K670" s="57">
        <f t="shared" si="321"/>
        <v>3404.2397785550424</v>
      </c>
      <c r="M670" s="41">
        <v>665</v>
      </c>
      <c r="N670" s="57">
        <f t="shared" si="322"/>
        <v>-17992.482472771339</v>
      </c>
      <c r="O670" s="57">
        <f t="shared" si="323"/>
        <v>7132.9678449885305</v>
      </c>
      <c r="Q670" s="41">
        <v>665</v>
      </c>
      <c r="R670" s="57">
        <f t="shared" si="324"/>
        <v>-2132.117818244767</v>
      </c>
      <c r="S670" s="41">
        <f t="shared" si="325"/>
        <v>-19095.760221444958</v>
      </c>
      <c r="U670" s="41">
        <v>664</v>
      </c>
      <c r="V670" s="41">
        <f t="shared" si="347"/>
        <v>332</v>
      </c>
      <c r="W670" s="57">
        <f t="shared" si="348"/>
        <v>229347.16802053695</v>
      </c>
      <c r="X670" s="57">
        <f t="shared" si="349"/>
        <v>416484.99395962042</v>
      </c>
      <c r="Y670" s="57">
        <f t="shared" si="350"/>
        <v>1029.632327990925</v>
      </c>
      <c r="Z670" s="57">
        <f t="shared" si="351"/>
        <v>1409.6244931888837</v>
      </c>
      <c r="AA670" s="57">
        <f t="shared" si="326"/>
        <v>-7.0108429624483337</v>
      </c>
      <c r="AB670" s="57">
        <f t="shared" si="327"/>
        <v>-12.783731740163967</v>
      </c>
      <c r="AC670" s="57">
        <f t="shared" si="328"/>
        <v>-1.1293807510881677</v>
      </c>
      <c r="AD670" s="57">
        <f t="shared" si="329"/>
        <v>-2.2063817916877362</v>
      </c>
      <c r="AE670" s="57">
        <f t="shared" si="330"/>
        <v>-0.41281883610265585</v>
      </c>
      <c r="AF670" s="57">
        <f t="shared" si="331"/>
        <v>-0.67297600943991764</v>
      </c>
      <c r="AG670" s="57">
        <f t="shared" si="332"/>
        <v>-1.0358528411369297</v>
      </c>
      <c r="AH670" s="57">
        <f t="shared" si="333"/>
        <v>-1.9072342997627136</v>
      </c>
      <c r="AJ670" s="57">
        <f t="shared" si="334"/>
        <v>459450.7177515013</v>
      </c>
      <c r="AK670" s="57">
        <f t="shared" si="335"/>
        <v>476869.01819494896</v>
      </c>
      <c r="AL670" s="57">
        <f t="shared" si="336"/>
        <v>491017.20455761981</v>
      </c>
      <c r="AN670" s="41">
        <v>665</v>
      </c>
      <c r="AO670" s="57">
        <f t="shared" si="337"/>
        <v>9301.8232726328497</v>
      </c>
      <c r="AP670" s="57">
        <f t="shared" si="338"/>
        <v>8856.359667832563</v>
      </c>
      <c r="AR670" s="41">
        <v>665</v>
      </c>
      <c r="AS670" s="57">
        <f t="shared" si="339"/>
        <v>17007.517527228661</v>
      </c>
      <c r="AT670" s="57">
        <f t="shared" si="340"/>
        <v>-7867.0321550114695</v>
      </c>
      <c r="AV670" s="57">
        <f t="shared" si="341"/>
        <v>-4.0688112810537325</v>
      </c>
      <c r="AW670" s="57">
        <f t="shared" si="342"/>
        <v>-7.2814231933926399</v>
      </c>
      <c r="AX670" s="57">
        <f t="shared" si="343"/>
        <v>-0.36397925306684775</v>
      </c>
      <c r="AY670" s="57">
        <f t="shared" si="344"/>
        <v>-0.71571644588095906</v>
      </c>
      <c r="BA670" s="57">
        <f t="shared" si="345"/>
        <v>459915.0488661917</v>
      </c>
      <c r="BB670" s="57">
        <f t="shared" si="346"/>
        <v>472857.59861882898</v>
      </c>
    </row>
    <row r="671" spans="9:54" x14ac:dyDescent="0.25">
      <c r="I671" s="41">
        <v>666</v>
      </c>
      <c r="J671" s="57">
        <f t="shared" si="320"/>
        <v>22938.926261462366</v>
      </c>
      <c r="K671" s="57">
        <f t="shared" si="321"/>
        <v>3454.9150281252614</v>
      </c>
      <c r="M671" s="41">
        <v>666</v>
      </c>
      <c r="N671" s="57">
        <f t="shared" si="322"/>
        <v>-17942.751616976344</v>
      </c>
      <c r="O671" s="57">
        <f t="shared" si="323"/>
        <v>7168.4405196876833</v>
      </c>
      <c r="Q671" s="41">
        <v>666</v>
      </c>
      <c r="R671" s="57">
        <f t="shared" si="324"/>
        <v>-2061.073738537636</v>
      </c>
      <c r="S671" s="41">
        <f t="shared" si="325"/>
        <v>-19045.084971874738</v>
      </c>
      <c r="U671" s="41">
        <v>665</v>
      </c>
      <c r="V671" s="41">
        <f t="shared" si="347"/>
        <v>332.5</v>
      </c>
      <c r="W671" s="57">
        <f t="shared" si="348"/>
        <v>229861.10782916209</v>
      </c>
      <c r="X671" s="57">
        <f t="shared" si="349"/>
        <v>417188.20823974739</v>
      </c>
      <c r="Y671" s="57">
        <f t="shared" si="350"/>
        <v>1026.1269065097008</v>
      </c>
      <c r="Z671" s="57">
        <f t="shared" si="351"/>
        <v>1403.2326273188016</v>
      </c>
      <c r="AA671" s="57">
        <f t="shared" si="326"/>
        <v>-6.9880237915410266</v>
      </c>
      <c r="AB671" s="57">
        <f t="shared" si="327"/>
        <v>-12.734845707586731</v>
      </c>
      <c r="AC671" s="57">
        <f t="shared" si="328"/>
        <v>-1.125821316264217</v>
      </c>
      <c r="AD671" s="57">
        <f t="shared" si="329"/>
        <v>-2.1978141763831291</v>
      </c>
      <c r="AE671" s="57">
        <f t="shared" si="330"/>
        <v>-0.41141909278497274</v>
      </c>
      <c r="AF671" s="57">
        <f t="shared" si="331"/>
        <v>-0.67047250643456502</v>
      </c>
      <c r="AG671" s="57">
        <f t="shared" si="332"/>
        <v>-1.0326706169795965</v>
      </c>
      <c r="AH671" s="57">
        <f t="shared" si="333"/>
        <v>-1.9003063886545686</v>
      </c>
      <c r="AJ671" s="57">
        <f t="shared" si="334"/>
        <v>460310.88684711535</v>
      </c>
      <c r="AK671" s="57">
        <f t="shared" si="335"/>
        <v>477737.17684006138</v>
      </c>
      <c r="AL671" s="57">
        <f t="shared" si="336"/>
        <v>491880.46038872551</v>
      </c>
      <c r="AN671" s="41">
        <v>666</v>
      </c>
      <c r="AO671" s="57">
        <f t="shared" si="337"/>
        <v>9408.3893921935451</v>
      </c>
      <c r="AP671" s="57">
        <f t="shared" si="338"/>
        <v>8932.3725421878917</v>
      </c>
      <c r="AR671" s="41">
        <v>666</v>
      </c>
      <c r="AS671" s="57">
        <f t="shared" si="339"/>
        <v>17057.248383023656</v>
      </c>
      <c r="AT671" s="57">
        <f t="shared" si="340"/>
        <v>-7831.5594803123167</v>
      </c>
      <c r="AV671" s="57">
        <f t="shared" si="341"/>
        <v>-4.0552434020185348</v>
      </c>
      <c r="AW671" s="57">
        <f t="shared" si="342"/>
        <v>-7.2532377589859607</v>
      </c>
      <c r="AX671" s="57">
        <f t="shared" si="343"/>
        <v>-0.3628693634937048</v>
      </c>
      <c r="AY671" s="57">
        <f t="shared" si="344"/>
        <v>-0.71301487712850664</v>
      </c>
      <c r="BA671" s="57">
        <f t="shared" si="345"/>
        <v>460779.63568419177</v>
      </c>
      <c r="BB671" s="57">
        <f t="shared" si="346"/>
        <v>473717.40398075216</v>
      </c>
    </row>
    <row r="672" spans="9:54" x14ac:dyDescent="0.25">
      <c r="I672" s="41">
        <v>667</v>
      </c>
      <c r="J672" s="57">
        <f t="shared" si="320"/>
        <v>23009.075115760235</v>
      </c>
      <c r="K672" s="57">
        <f t="shared" si="321"/>
        <v>3506.8224497635315</v>
      </c>
      <c r="M672" s="41">
        <v>667</v>
      </c>
      <c r="N672" s="57">
        <f t="shared" si="322"/>
        <v>-17893.647418967834</v>
      </c>
      <c r="O672" s="57">
        <f t="shared" si="323"/>
        <v>7204.7757148344717</v>
      </c>
      <c r="Q672" s="41">
        <v>667</v>
      </c>
      <c r="R672" s="57">
        <f t="shared" si="324"/>
        <v>-1990.9248842397647</v>
      </c>
      <c r="S672" s="41">
        <f t="shared" si="325"/>
        <v>-18993.177550236469</v>
      </c>
      <c r="U672" s="41">
        <v>666</v>
      </c>
      <c r="V672" s="41">
        <f t="shared" si="347"/>
        <v>333</v>
      </c>
      <c r="W672" s="57">
        <f t="shared" si="348"/>
        <v>230373.297779443</v>
      </c>
      <c r="X672" s="57">
        <f t="shared" si="349"/>
        <v>417888.23269769334</v>
      </c>
      <c r="Y672" s="57">
        <f t="shared" si="350"/>
        <v>1022.6328946139303</v>
      </c>
      <c r="Z672" s="57">
        <f t="shared" si="351"/>
        <v>1396.8652044650082</v>
      </c>
      <c r="AA672" s="57">
        <f t="shared" si="326"/>
        <v>-6.9654208860799054</v>
      </c>
      <c r="AB672" s="57">
        <f t="shared" si="327"/>
        <v>-12.686434154447836</v>
      </c>
      <c r="AC672" s="57">
        <f t="shared" si="328"/>
        <v>-1.1222950162002654</v>
      </c>
      <c r="AD672" s="57">
        <f t="shared" si="329"/>
        <v>-2.1893304574553385</v>
      </c>
      <c r="AE672" s="57">
        <f t="shared" si="330"/>
        <v>-0.41003286589626403</v>
      </c>
      <c r="AF672" s="57">
        <f t="shared" si="331"/>
        <v>-0.66799288303390869</v>
      </c>
      <c r="AG672" s="57">
        <f t="shared" si="332"/>
        <v>-1.0295177107791154</v>
      </c>
      <c r="AH672" s="57">
        <f t="shared" si="333"/>
        <v>-1.893443761695341</v>
      </c>
      <c r="AJ672" s="57">
        <f t="shared" si="334"/>
        <v>461167.45977500873</v>
      </c>
      <c r="AK672" s="57">
        <f t="shared" si="335"/>
        <v>478601.71187972289</v>
      </c>
      <c r="AL672" s="57">
        <f t="shared" si="336"/>
        <v>492740.10524383199</v>
      </c>
      <c r="AN672" s="41">
        <v>667</v>
      </c>
      <c r="AO672" s="57">
        <f t="shared" si="337"/>
        <v>9513.612673640353</v>
      </c>
      <c r="AP672" s="57">
        <f t="shared" si="338"/>
        <v>9010.2336746452966</v>
      </c>
      <c r="AR672" s="41">
        <v>667</v>
      </c>
      <c r="AS672" s="57">
        <f t="shared" si="339"/>
        <v>17106.352581032166</v>
      </c>
      <c r="AT672" s="57">
        <f t="shared" si="340"/>
        <v>-7795.2242851655283</v>
      </c>
      <c r="AV672" s="57">
        <f t="shared" si="341"/>
        <v>-4.0418056498286399</v>
      </c>
      <c r="AW672" s="57">
        <f t="shared" si="342"/>
        <v>-7.2253277172196739</v>
      </c>
      <c r="AX672" s="57">
        <f t="shared" si="343"/>
        <v>-0.36176964337562112</v>
      </c>
      <c r="AY672" s="57">
        <f t="shared" si="344"/>
        <v>-0.71033933504357405</v>
      </c>
      <c r="BA672" s="57">
        <f t="shared" si="345"/>
        <v>461640.6084805064</v>
      </c>
      <c r="BB672" s="57">
        <f t="shared" si="346"/>
        <v>474573.61362655961</v>
      </c>
    </row>
    <row r="673" spans="9:54" x14ac:dyDescent="0.25">
      <c r="I673" s="41">
        <v>668</v>
      </c>
      <c r="J673" s="57">
        <f t="shared" si="320"/>
        <v>23078.307376628294</v>
      </c>
      <c r="K673" s="57">
        <f t="shared" si="321"/>
        <v>3559.946231966393</v>
      </c>
      <c r="M673" s="41">
        <v>668</v>
      </c>
      <c r="N673" s="57">
        <f t="shared" si="322"/>
        <v>-17845.184836360193</v>
      </c>
      <c r="O673" s="57">
        <f t="shared" si="323"/>
        <v>7241.9623623764746</v>
      </c>
      <c r="Q673" s="41">
        <v>668</v>
      </c>
      <c r="R673" s="57">
        <f t="shared" si="324"/>
        <v>-1921.6926233717054</v>
      </c>
      <c r="S673" s="41">
        <f t="shared" si="325"/>
        <v>-18940.053768033606</v>
      </c>
      <c r="U673" s="41">
        <v>667</v>
      </c>
      <c r="V673" s="41">
        <f t="shared" si="347"/>
        <v>333.5</v>
      </c>
      <c r="W673" s="57">
        <f t="shared" si="348"/>
        <v>230883.74354913921</v>
      </c>
      <c r="X673" s="57">
        <f t="shared" si="349"/>
        <v>418585.07949565654</v>
      </c>
      <c r="Y673" s="57">
        <f t="shared" si="350"/>
        <v>1019.1501841708903</v>
      </c>
      <c r="Z673" s="57">
        <f t="shared" si="351"/>
        <v>1390.5219873877843</v>
      </c>
      <c r="AA673" s="57">
        <f t="shared" si="326"/>
        <v>-6.943031599951734</v>
      </c>
      <c r="AB673" s="57">
        <f t="shared" si="327"/>
        <v>-12.638490933504441</v>
      </c>
      <c r="AC673" s="57">
        <f t="shared" si="328"/>
        <v>-1.1188014562563284</v>
      </c>
      <c r="AD673" s="57">
        <f t="shared" si="329"/>
        <v>-2.1809295389230416</v>
      </c>
      <c r="AE673" s="57">
        <f t="shared" si="330"/>
        <v>-0.4086599855431377</v>
      </c>
      <c r="AF673" s="57">
        <f t="shared" si="331"/>
        <v>-0.6655368351801273</v>
      </c>
      <c r="AG673" s="57">
        <f t="shared" si="332"/>
        <v>-1.0263937758993478</v>
      </c>
      <c r="AH673" s="57">
        <f t="shared" si="333"/>
        <v>-1.8866456001638681</v>
      </c>
      <c r="AJ673" s="57">
        <f t="shared" si="334"/>
        <v>462020.44963101944</v>
      </c>
      <c r="AK673" s="57">
        <f t="shared" si="335"/>
        <v>479462.63667120325</v>
      </c>
      <c r="AL673" s="57">
        <f t="shared" si="336"/>
        <v>493596.15236751072</v>
      </c>
      <c r="AN673" s="41">
        <v>668</v>
      </c>
      <c r="AO673" s="57">
        <f t="shared" si="337"/>
        <v>9617.461064942443</v>
      </c>
      <c r="AP673" s="57">
        <f t="shared" si="338"/>
        <v>9089.9193479495898</v>
      </c>
      <c r="AR673" s="41">
        <v>668</v>
      </c>
      <c r="AS673" s="57">
        <f t="shared" si="339"/>
        <v>17154.815163639807</v>
      </c>
      <c r="AT673" s="57">
        <f t="shared" si="340"/>
        <v>-7758.0376376235254</v>
      </c>
      <c r="AV673" s="57">
        <f t="shared" si="341"/>
        <v>-4.028496408318567</v>
      </c>
      <c r="AW673" s="57">
        <f t="shared" si="342"/>
        <v>-7.1976894735920949</v>
      </c>
      <c r="AX673" s="57">
        <f t="shared" si="343"/>
        <v>-0.36067997393435264</v>
      </c>
      <c r="AY673" s="57">
        <f t="shared" si="344"/>
        <v>-0.70768948564530887</v>
      </c>
      <c r="BA673" s="57">
        <f t="shared" si="345"/>
        <v>462497.98052671395</v>
      </c>
      <c r="BB673" s="57">
        <f t="shared" si="346"/>
        <v>475426.24065162009</v>
      </c>
    </row>
    <row r="674" spans="9:54" x14ac:dyDescent="0.25">
      <c r="I674" s="41">
        <v>669</v>
      </c>
      <c r="J674" s="57">
        <f t="shared" si="320"/>
        <v>23146.601955249185</v>
      </c>
      <c r="K674" s="57">
        <f t="shared" si="321"/>
        <v>3614.2701927151447</v>
      </c>
      <c r="M674" s="41">
        <v>669</v>
      </c>
      <c r="N674" s="57">
        <f t="shared" si="322"/>
        <v>-17797.37863132557</v>
      </c>
      <c r="O674" s="57">
        <f t="shared" si="323"/>
        <v>7279.9891349006011</v>
      </c>
      <c r="Q674" s="41">
        <v>669</v>
      </c>
      <c r="R674" s="57">
        <f t="shared" si="324"/>
        <v>-1853.3980447508138</v>
      </c>
      <c r="S674" s="41">
        <f t="shared" si="325"/>
        <v>-18885.729807284857</v>
      </c>
      <c r="U674" s="41">
        <v>668</v>
      </c>
      <c r="V674" s="41">
        <f t="shared" si="347"/>
        <v>334</v>
      </c>
      <c r="W674" s="57">
        <f t="shared" si="348"/>
        <v>231392.45076227465</v>
      </c>
      <c r="X674" s="57">
        <f t="shared" si="349"/>
        <v>419278.76067798375</v>
      </c>
      <c r="Y674" s="57">
        <f t="shared" si="350"/>
        <v>1015.6786683709144</v>
      </c>
      <c r="Z674" s="57">
        <f t="shared" si="351"/>
        <v>1384.2027419210322</v>
      </c>
      <c r="AA674" s="57">
        <f t="shared" si="326"/>
        <v>-6.9208533310554854</v>
      </c>
      <c r="AB674" s="57">
        <f t="shared" si="327"/>
        <v>-12.59101000355588</v>
      </c>
      <c r="AC674" s="57">
        <f t="shared" si="328"/>
        <v>-1.1153402481933989</v>
      </c>
      <c r="AD674" s="57">
        <f t="shared" si="329"/>
        <v>-2.1726103438378566</v>
      </c>
      <c r="AE674" s="57">
        <f t="shared" si="330"/>
        <v>-0.4073002847221816</v>
      </c>
      <c r="AF674" s="57">
        <f t="shared" si="331"/>
        <v>-0.66310406398210031</v>
      </c>
      <c r="AG674" s="57">
        <f t="shared" si="332"/>
        <v>-1.0232984713122439</v>
      </c>
      <c r="AH674" s="57">
        <f t="shared" si="333"/>
        <v>-1.8799110990733754</v>
      </c>
      <c r="AJ674" s="57">
        <f t="shared" si="334"/>
        <v>462869.86938531324</v>
      </c>
      <c r="AK674" s="57">
        <f t="shared" si="335"/>
        <v>480319.96444283781</v>
      </c>
      <c r="AL674" s="57">
        <f t="shared" si="336"/>
        <v>494448.61487661174</v>
      </c>
      <c r="AN674" s="41">
        <v>669</v>
      </c>
      <c r="AO674" s="57">
        <f t="shared" si="337"/>
        <v>9719.9029328737797</v>
      </c>
      <c r="AP674" s="57">
        <f t="shared" si="338"/>
        <v>9171.405289072718</v>
      </c>
      <c r="AR674" s="41">
        <v>669</v>
      </c>
      <c r="AS674" s="57">
        <f t="shared" si="339"/>
        <v>17202.62136867443</v>
      </c>
      <c r="AT674" s="57">
        <f t="shared" si="340"/>
        <v>-7720.0108650993989</v>
      </c>
      <c r="AV674" s="57">
        <f t="shared" si="341"/>
        <v>-4.0153140885392418</v>
      </c>
      <c r="AW674" s="57">
        <f t="shared" si="342"/>
        <v>-7.170319495997945</v>
      </c>
      <c r="AX674" s="57">
        <f t="shared" si="343"/>
        <v>-0.35960023828841947</v>
      </c>
      <c r="AY674" s="57">
        <f t="shared" si="344"/>
        <v>-0.70506500066460298</v>
      </c>
      <c r="BA674" s="57">
        <f t="shared" si="345"/>
        <v>463351.7649663972</v>
      </c>
      <c r="BB674" s="57">
        <f t="shared" si="346"/>
        <v>476275.29802557389</v>
      </c>
    </row>
    <row r="675" spans="9:54" x14ac:dyDescent="0.25">
      <c r="I675" s="41">
        <v>670</v>
      </c>
      <c r="J675" s="57">
        <f t="shared" si="320"/>
        <v>23213.93804843269</v>
      </c>
      <c r="K675" s="57">
        <f t="shared" si="321"/>
        <v>3669.7777844051061</v>
      </c>
      <c r="M675" s="41">
        <v>670</v>
      </c>
      <c r="N675" s="57">
        <f t="shared" si="322"/>
        <v>-17750.243366097115</v>
      </c>
      <c r="O675" s="57">
        <f t="shared" si="323"/>
        <v>7318.8444490835736</v>
      </c>
      <c r="Q675" s="41">
        <v>670</v>
      </c>
      <c r="R675" s="57">
        <f t="shared" si="324"/>
        <v>-1786.0619515673084</v>
      </c>
      <c r="S675" s="41">
        <f t="shared" si="325"/>
        <v>-18830.222215594895</v>
      </c>
      <c r="U675" s="41">
        <v>669</v>
      </c>
      <c r="V675" s="41">
        <f t="shared" si="347"/>
        <v>334.5</v>
      </c>
      <c r="W675" s="57">
        <f t="shared" si="348"/>
        <v>231899.42498979374</v>
      </c>
      <c r="X675" s="57">
        <f t="shared" si="349"/>
        <v>419969.28817269386</v>
      </c>
      <c r="Y675" s="57">
        <f t="shared" si="350"/>
        <v>1012.2182417053866</v>
      </c>
      <c r="Z675" s="57">
        <f t="shared" si="351"/>
        <v>1377.9072369192543</v>
      </c>
      <c r="AA675" s="57">
        <f t="shared" si="326"/>
        <v>-6.8988835204068852</v>
      </c>
      <c r="AB675" s="57">
        <f t="shared" si="327"/>
        <v>-12.543985427206209</v>
      </c>
      <c r="AC675" s="57">
        <f t="shared" si="328"/>
        <v>-1.1119110100467799</v>
      </c>
      <c r="AD675" s="57">
        <f t="shared" si="329"/>
        <v>-2.1643718138804129</v>
      </c>
      <c r="AE675" s="57">
        <f t="shared" si="330"/>
        <v>-0.40595359925977315</v>
      </c>
      <c r="AF675" s="57">
        <f t="shared" si="331"/>
        <v>-0.66069427560787575</v>
      </c>
      <c r="AG675" s="57">
        <f t="shared" si="332"/>
        <v>-1.0202314614867283</v>
      </c>
      <c r="AH675" s="57">
        <f t="shared" si="333"/>
        <v>-1.8732394668893266</v>
      </c>
      <c r="AJ675" s="57">
        <f t="shared" si="334"/>
        <v>463715.7318839787</v>
      </c>
      <c r="AK675" s="57">
        <f t="shared" si="335"/>
        <v>481173.70829567779</v>
      </c>
      <c r="AL675" s="57">
        <f t="shared" si="336"/>
        <v>495297.5057618955</v>
      </c>
      <c r="AN675" s="41">
        <v>670</v>
      </c>
      <c r="AO675" s="57">
        <f t="shared" si="337"/>
        <v>9820.907072649039</v>
      </c>
      <c r="AP675" s="57">
        <f t="shared" si="338"/>
        <v>9254.6666766076596</v>
      </c>
      <c r="AR675" s="41">
        <v>670</v>
      </c>
      <c r="AS675" s="57">
        <f t="shared" si="339"/>
        <v>17249.756633902885</v>
      </c>
      <c r="AT675" s="57">
        <f t="shared" si="340"/>
        <v>-7681.1555509164264</v>
      </c>
      <c r="AV675" s="57">
        <f t="shared" si="341"/>
        <v>-4.0022571281974706</v>
      </c>
      <c r="AW675" s="57">
        <f t="shared" si="342"/>
        <v>-7.1432143134039467</v>
      </c>
      <c r="AX675" s="57">
        <f t="shared" si="343"/>
        <v>-0.35853032141613256</v>
      </c>
      <c r="AY675" s="57">
        <f t="shared" si="344"/>
        <v>-0.70246555742464756</v>
      </c>
      <c r="BA675" s="57">
        <f t="shared" si="345"/>
        <v>464201.97481677885</v>
      </c>
      <c r="BB675" s="57">
        <f t="shared" si="346"/>
        <v>477120.79859392979</v>
      </c>
    </row>
    <row r="676" spans="9:54" x14ac:dyDescent="0.25">
      <c r="I676" s="41">
        <v>671</v>
      </c>
      <c r="J676" s="57">
        <f t="shared" si="320"/>
        <v>23280.295144952528</v>
      </c>
      <c r="K676" s="57">
        <f t="shared" si="321"/>
        <v>3726.4520988861323</v>
      </c>
      <c r="M676" s="41">
        <v>671</v>
      </c>
      <c r="N676" s="57">
        <f t="shared" si="322"/>
        <v>-17703.793398533231</v>
      </c>
      <c r="O676" s="57">
        <f t="shared" si="323"/>
        <v>7358.5164692202925</v>
      </c>
      <c r="Q676" s="41">
        <v>671</v>
      </c>
      <c r="R676" s="57">
        <f t="shared" si="324"/>
        <v>-1719.7048550474724</v>
      </c>
      <c r="S676" s="41">
        <f t="shared" si="325"/>
        <v>-18773.547901113867</v>
      </c>
      <c r="U676" s="41">
        <v>670</v>
      </c>
      <c r="V676" s="41">
        <f t="shared" si="347"/>
        <v>335</v>
      </c>
      <c r="W676" s="57">
        <f t="shared" si="348"/>
        <v>232404.67175020638</v>
      </c>
      <c r="X676" s="57">
        <f t="shared" si="349"/>
        <v>420656.67379297508</v>
      </c>
      <c r="Y676" s="57">
        <f t="shared" si="350"/>
        <v>1008.7687999451832</v>
      </c>
      <c r="Z676" s="57">
        <f t="shared" si="351"/>
        <v>1371.6352442056511</v>
      </c>
      <c r="AA676" s="57">
        <f t="shared" si="326"/>
        <v>-6.8771196512640262</v>
      </c>
      <c r="AB676" s="57">
        <f t="shared" si="327"/>
        <v>-12.497411368681659</v>
      </c>
      <c r="AC676" s="57">
        <f t="shared" si="328"/>
        <v>-1.1085133660022628</v>
      </c>
      <c r="AD676" s="57">
        <f t="shared" si="329"/>
        <v>-2.1562129089663244</v>
      </c>
      <c r="AE676" s="57">
        <f t="shared" si="330"/>
        <v>-0.40461976775340153</v>
      </c>
      <c r="AF676" s="57">
        <f t="shared" si="331"/>
        <v>-0.65830718117982723</v>
      </c>
      <c r="AG676" s="57">
        <f t="shared" si="332"/>
        <v>-1.0171924162801627</v>
      </c>
      <c r="AH676" s="57">
        <f t="shared" si="333"/>
        <v>-1.8666299252540706</v>
      </c>
      <c r="AJ676" s="57">
        <f t="shared" si="334"/>
        <v>464558.04985059483</v>
      </c>
      <c r="AK676" s="57">
        <f t="shared" si="335"/>
        <v>482023.88120511145</v>
      </c>
      <c r="AL676" s="57">
        <f t="shared" si="336"/>
        <v>496142.83788963634</v>
      </c>
      <c r="AN676" s="41">
        <v>671</v>
      </c>
      <c r="AO676" s="57">
        <f t="shared" si="337"/>
        <v>9920.4427174287921</v>
      </c>
      <c r="AP676" s="57">
        <f t="shared" si="338"/>
        <v>9339.6781483291979</v>
      </c>
      <c r="AR676" s="41">
        <v>671</v>
      </c>
      <c r="AS676" s="57">
        <f t="shared" si="339"/>
        <v>17296.206601466769</v>
      </c>
      <c r="AT676" s="57">
        <f t="shared" si="340"/>
        <v>-7641.4835307797075</v>
      </c>
      <c r="AV676" s="57">
        <f t="shared" si="341"/>
        <v>-3.9893239911087486</v>
      </c>
      <c r="AW676" s="57">
        <f t="shared" si="342"/>
        <v>-7.1163705145570404</v>
      </c>
      <c r="AX676" s="57">
        <f t="shared" si="343"/>
        <v>-0.35747011011945085</v>
      </c>
      <c r="AY676" s="57">
        <f t="shared" si="344"/>
        <v>-0.69989083872439617</v>
      </c>
      <c r="BA676" s="57">
        <f t="shared" si="345"/>
        <v>465048.62297032907</v>
      </c>
      <c r="BB676" s="57">
        <f t="shared" si="346"/>
        <v>477962.75507963402</v>
      </c>
    </row>
    <row r="677" spans="9:54" x14ac:dyDescent="0.25">
      <c r="I677" s="41">
        <v>672</v>
      </c>
      <c r="J677" s="57">
        <f t="shared" si="320"/>
        <v>23345.653031794292</v>
      </c>
      <c r="K677" s="57">
        <f t="shared" si="321"/>
        <v>3784.2758726130292</v>
      </c>
      <c r="M677" s="41">
        <v>672</v>
      </c>
      <c r="N677" s="57">
        <f t="shared" si="322"/>
        <v>-17658.042877743996</v>
      </c>
      <c r="O677" s="57">
        <f t="shared" si="323"/>
        <v>7398.9931108291203</v>
      </c>
      <c r="Q677" s="41">
        <v>672</v>
      </c>
      <c r="R677" s="57">
        <f t="shared" si="324"/>
        <v>-1654.3469682057084</v>
      </c>
      <c r="S677" s="41">
        <f t="shared" si="325"/>
        <v>-18715.724127386969</v>
      </c>
      <c r="U677" s="41">
        <v>671</v>
      </c>
      <c r="V677" s="41">
        <f t="shared" si="347"/>
        <v>335.5</v>
      </c>
      <c r="W677" s="57">
        <f t="shared" si="348"/>
        <v>232908.19651022257</v>
      </c>
      <c r="X677" s="57">
        <f t="shared" si="349"/>
        <v>421340.92923865677</v>
      </c>
      <c r="Y677" s="57">
        <f t="shared" si="350"/>
        <v>1005.3302401195511</v>
      </c>
      <c r="Z677" s="57">
        <f t="shared" si="351"/>
        <v>1365.3865385213103</v>
      </c>
      <c r="AA677" s="57">
        <f t="shared" si="326"/>
        <v>-6.8555592482747851</v>
      </c>
      <c r="AB677" s="57">
        <f t="shared" si="327"/>
        <v>-12.451282091703693</v>
      </c>
      <c r="AC677" s="57">
        <f t="shared" si="328"/>
        <v>-1.1051469462753789</v>
      </c>
      <c r="AD677" s="57">
        <f t="shared" si="329"/>
        <v>-2.1481326068623536</v>
      </c>
      <c r="AE677" s="57">
        <f t="shared" si="330"/>
        <v>-0.40329863151442891</v>
      </c>
      <c r="AF677" s="57">
        <f t="shared" si="331"/>
        <v>-0.65594249667237803</v>
      </c>
      <c r="AG677" s="57">
        <f t="shared" si="332"/>
        <v>-1.0141810108324125</v>
      </c>
      <c r="AH677" s="57">
        <f t="shared" si="333"/>
        <v>-1.8600817087182628</v>
      </c>
      <c r="AJ677" s="57">
        <f t="shared" si="334"/>
        <v>465396.83588777273</v>
      </c>
      <c r="AK677" s="57">
        <f t="shared" si="335"/>
        <v>482870.49602245836</v>
      </c>
      <c r="AL677" s="57">
        <f t="shared" si="336"/>
        <v>496984.62400319905</v>
      </c>
      <c r="AN677" s="41">
        <v>672</v>
      </c>
      <c r="AO677" s="57">
        <f t="shared" si="337"/>
        <v>10018.479547691437</v>
      </c>
      <c r="AP677" s="57">
        <f t="shared" si="338"/>
        <v>9426.413808919544</v>
      </c>
      <c r="AR677" s="41">
        <v>672</v>
      </c>
      <c r="AS677" s="57">
        <f t="shared" si="339"/>
        <v>17341.957122256004</v>
      </c>
      <c r="AT677" s="57">
        <f t="shared" si="340"/>
        <v>-7601.0068891708797</v>
      </c>
      <c r="AV677" s="57">
        <f t="shared" si="341"/>
        <v>-3.9765131666638802</v>
      </c>
      <c r="AW677" s="57">
        <f t="shared" si="342"/>
        <v>-7.0897847467257682</v>
      </c>
      <c r="AX677" s="57">
        <f t="shared" si="343"/>
        <v>-0.35641949298868569</v>
      </c>
      <c r="AY677" s="57">
        <f t="shared" si="344"/>
        <v>-0.69734053272492913</v>
      </c>
      <c r="BA677" s="57">
        <f t="shared" si="345"/>
        <v>465891.72219634609</v>
      </c>
      <c r="BB677" s="57">
        <f t="shared" si="346"/>
        <v>478801.18008461414</v>
      </c>
    </row>
    <row r="678" spans="9:54" x14ac:dyDescent="0.25">
      <c r="I678" s="41">
        <v>673</v>
      </c>
      <c r="J678" s="57">
        <f t="shared" si="320"/>
        <v>23409.991800312488</v>
      </c>
      <c r="K678" s="57">
        <f t="shared" si="321"/>
        <v>3843.2314919041441</v>
      </c>
      <c r="M678" s="41">
        <v>673</v>
      </c>
      <c r="N678" s="57">
        <f t="shared" si="322"/>
        <v>-17613.005739781256</v>
      </c>
      <c r="O678" s="57">
        <f t="shared" si="323"/>
        <v>7440.2620443329015</v>
      </c>
      <c r="Q678" s="41">
        <v>673</v>
      </c>
      <c r="R678" s="57">
        <f t="shared" si="324"/>
        <v>-1590.008199687511</v>
      </c>
      <c r="S678" s="41">
        <f t="shared" si="325"/>
        <v>-18656.768508095854</v>
      </c>
      <c r="U678" s="41">
        <v>672</v>
      </c>
      <c r="V678" s="41">
        <f t="shared" si="347"/>
        <v>336</v>
      </c>
      <c r="W678" s="57">
        <f t="shared" si="348"/>
        <v>233410.00468537631</v>
      </c>
      <c r="X678" s="57">
        <f t="shared" si="349"/>
        <v>422022.06609765592</v>
      </c>
      <c r="Y678" s="57">
        <f t="shared" si="350"/>
        <v>1001.9024604954137</v>
      </c>
      <c r="Z678" s="57">
        <f t="shared" si="351"/>
        <v>1359.1608974754583</v>
      </c>
      <c r="AA678" s="57">
        <f t="shared" si="326"/>
        <v>-6.8341998766443393</v>
      </c>
      <c r="AB678" s="57">
        <f t="shared" si="327"/>
        <v>-12.405591957414181</v>
      </c>
      <c r="AC678" s="57">
        <f t="shared" si="328"/>
        <v>-1.101811386993369</v>
      </c>
      <c r="AD678" s="57">
        <f t="shared" si="329"/>
        <v>-2.1401299028119647</v>
      </c>
      <c r="AE678" s="57">
        <f t="shared" si="330"/>
        <v>-0.40199003451225829</v>
      </c>
      <c r="AF678" s="57">
        <f t="shared" si="331"/>
        <v>-0.65359994281222911</v>
      </c>
      <c r="AG678" s="57">
        <f t="shared" si="332"/>
        <v>-1.0111969254623459</v>
      </c>
      <c r="AH678" s="57">
        <f t="shared" si="333"/>
        <v>-1.8535940644786963</v>
      </c>
      <c r="AJ678" s="57">
        <f t="shared" si="334"/>
        <v>466232.10247867077</v>
      </c>
      <c r="AK678" s="57">
        <f t="shared" si="335"/>
        <v>483713.56547653652</v>
      </c>
      <c r="AL678" s="57">
        <f t="shared" si="336"/>
        <v>497822.87672458874</v>
      </c>
      <c r="AN678" s="41">
        <v>673</v>
      </c>
      <c r="AO678" s="57">
        <f t="shared" si="337"/>
        <v>10114.987700468733</v>
      </c>
      <c r="AP678" s="57">
        <f t="shared" si="338"/>
        <v>9514.8472378562165</v>
      </c>
      <c r="AR678" s="41">
        <v>673</v>
      </c>
      <c r="AS678" s="57">
        <f t="shared" si="339"/>
        <v>17386.994260218744</v>
      </c>
      <c r="AT678" s="57">
        <f t="shared" si="340"/>
        <v>-7559.7379556670985</v>
      </c>
      <c r="AV678" s="57">
        <f t="shared" si="341"/>
        <v>-3.9638231693083408</v>
      </c>
      <c r="AW678" s="57">
        <f t="shared" si="342"/>
        <v>-7.0634537144726615</v>
      </c>
      <c r="AX678" s="57">
        <f t="shared" si="343"/>
        <v>-0.35537836036802489</v>
      </c>
      <c r="AY678" s="57">
        <f t="shared" si="344"/>
        <v>-0.69481433283862781</v>
      </c>
      <c r="BA678" s="57">
        <f t="shared" si="345"/>
        <v>466731.28514250915</v>
      </c>
      <c r="BB678" s="57">
        <f t="shared" si="346"/>
        <v>479636.08609129582</v>
      </c>
    </row>
    <row r="679" spans="9:54" x14ac:dyDescent="0.25">
      <c r="I679" s="41">
        <v>674</v>
      </c>
      <c r="J679" s="57">
        <f t="shared" si="320"/>
        <v>23473.29185229498</v>
      </c>
      <c r="K679" s="57">
        <f t="shared" si="321"/>
        <v>3903.3009983067373</v>
      </c>
      <c r="M679" s="41">
        <v>674</v>
      </c>
      <c r="N679" s="57">
        <f t="shared" si="322"/>
        <v>-17568.695703393514</v>
      </c>
      <c r="O679" s="57">
        <f t="shared" si="323"/>
        <v>7482.3106988147156</v>
      </c>
      <c r="Q679" s="41">
        <v>674</v>
      </c>
      <c r="R679" s="57">
        <f t="shared" si="324"/>
        <v>-1526.708147705021</v>
      </c>
      <c r="S679" s="41">
        <f t="shared" si="325"/>
        <v>-18596.699001693261</v>
      </c>
      <c r="U679" s="41">
        <v>673</v>
      </c>
      <c r="V679" s="41">
        <f t="shared" si="347"/>
        <v>336.5</v>
      </c>
      <c r="W679" s="57">
        <f t="shared" si="348"/>
        <v>233910.10164063942</v>
      </c>
      <c r="X679" s="57">
        <f t="shared" si="349"/>
        <v>422700.09584739897</v>
      </c>
      <c r="Y679" s="57">
        <f t="shared" si="350"/>
        <v>998.48536055709155</v>
      </c>
      <c r="Z679" s="57">
        <f t="shared" si="351"/>
        <v>1352.9581014967512</v>
      </c>
      <c r="AA679" s="57">
        <f t="shared" si="326"/>
        <v>-6.8130391413227809</v>
      </c>
      <c r="AB679" s="57">
        <f t="shared" si="327"/>
        <v>-12.360335422352174</v>
      </c>
      <c r="AC679" s="57">
        <f t="shared" si="328"/>
        <v>-1.0985063300799518</v>
      </c>
      <c r="AD679" s="57">
        <f t="shared" si="329"/>
        <v>-2.1322038091702677</v>
      </c>
      <c r="AE679" s="57">
        <f t="shared" si="330"/>
        <v>-0.40069382331987669</v>
      </c>
      <c r="AF679" s="57">
        <f t="shared" si="331"/>
        <v>-0.6512792449810364</v>
      </c>
      <c r="AG679" s="57">
        <f t="shared" si="332"/>
        <v>-1.0082398455668358</v>
      </c>
      <c r="AH679" s="57">
        <f t="shared" si="333"/>
        <v>-1.8471662521226058</v>
      </c>
      <c r="AJ679" s="57">
        <f t="shared" si="334"/>
        <v>467063.86198848439</v>
      </c>
      <c r="AK679" s="57">
        <f t="shared" si="335"/>
        <v>484553.1021752024</v>
      </c>
      <c r="AL679" s="57">
        <f t="shared" si="336"/>
        <v>498657.60855597386</v>
      </c>
      <c r="AN679" s="41">
        <v>674</v>
      </c>
      <c r="AO679" s="57">
        <f t="shared" si="337"/>
        <v>10209.937778442469</v>
      </c>
      <c r="AP679" s="57">
        <f t="shared" si="338"/>
        <v>9604.9514974601061</v>
      </c>
      <c r="AR679" s="41">
        <v>674</v>
      </c>
      <c r="AS679" s="57">
        <f t="shared" si="339"/>
        <v>17431.304296606486</v>
      </c>
      <c r="AT679" s="57">
        <f t="shared" si="340"/>
        <v>-7517.6893011852844</v>
      </c>
      <c r="AV679" s="57">
        <f t="shared" si="341"/>
        <v>-3.9512525380342796</v>
      </c>
      <c r="AW679" s="57">
        <f t="shared" si="342"/>
        <v>-7.037374178457223</v>
      </c>
      <c r="AX679" s="57">
        <f t="shared" si="343"/>
        <v>-0.35434660432183668</v>
      </c>
      <c r="AY679" s="57">
        <f t="shared" si="344"/>
        <v>-0.69231193762104004</v>
      </c>
      <c r="BA679" s="57">
        <f t="shared" si="345"/>
        <v>467567.32433640631</v>
      </c>
      <c r="BB679" s="57">
        <f t="shared" si="346"/>
        <v>480467.48546409397</v>
      </c>
    </row>
    <row r="680" spans="9:54" x14ac:dyDescent="0.25">
      <c r="I680" s="41">
        <v>675</v>
      </c>
      <c r="J680" s="57">
        <f t="shared" si="320"/>
        <v>23535.533905932738</v>
      </c>
      <c r="K680" s="57">
        <f t="shared" si="321"/>
        <v>3964.4660940672638</v>
      </c>
      <c r="M680" s="41">
        <v>675</v>
      </c>
      <c r="N680" s="57">
        <f t="shared" si="322"/>
        <v>-17525.126265847084</v>
      </c>
      <c r="O680" s="57">
        <f t="shared" si="323"/>
        <v>7525.1262658470841</v>
      </c>
      <c r="Q680" s="41">
        <v>675</v>
      </c>
      <c r="R680" s="57">
        <f t="shared" si="324"/>
        <v>-1464.4660940672611</v>
      </c>
      <c r="S680" s="41">
        <f t="shared" si="325"/>
        <v>-18535.533905932738</v>
      </c>
      <c r="U680" s="41">
        <v>674</v>
      </c>
      <c r="V680" s="41">
        <f t="shared" si="347"/>
        <v>337</v>
      </c>
      <c r="W680" s="57">
        <f t="shared" si="348"/>
        <v>234408.49269102531</v>
      </c>
      <c r="X680" s="57">
        <f t="shared" si="349"/>
        <v>423375.0298562196</v>
      </c>
      <c r="Y680" s="57">
        <f t="shared" si="350"/>
        <v>995.07884098643012</v>
      </c>
      <c r="Z680" s="57">
        <f t="shared" si="351"/>
        <v>1346.777933785575</v>
      </c>
      <c r="AA680" s="57">
        <f t="shared" si="326"/>
        <v>-6.7920746862121941</v>
      </c>
      <c r="AB680" s="57">
        <f t="shared" si="327"/>
        <v>-12.315507036480604</v>
      </c>
      <c r="AC680" s="57">
        <f t="shared" si="328"/>
        <v>-1.0952314231427647</v>
      </c>
      <c r="AD680" s="57">
        <f t="shared" si="329"/>
        <v>-2.1243533550480134</v>
      </c>
      <c r="AE680" s="57">
        <f t="shared" si="330"/>
        <v>-0.39940984706073063</v>
      </c>
      <c r="AF680" s="57">
        <f t="shared" si="331"/>
        <v>-0.64898013312046177</v>
      </c>
      <c r="AG680" s="57">
        <f t="shared" si="332"/>
        <v>-1.0053094615220299</v>
      </c>
      <c r="AH680" s="57">
        <f t="shared" si="333"/>
        <v>-1.8407975433779611</v>
      </c>
      <c r="AJ680" s="57">
        <f t="shared" si="334"/>
        <v>467892.12666591106</v>
      </c>
      <c r="AK680" s="57">
        <f t="shared" si="335"/>
        <v>485389.1186068657</v>
      </c>
      <c r="AL680" s="57">
        <f t="shared" si="336"/>
        <v>499488.83188118448</v>
      </c>
      <c r="AN680" s="41">
        <v>675</v>
      </c>
      <c r="AO680" s="57">
        <f t="shared" si="337"/>
        <v>10303.300858899109</v>
      </c>
      <c r="AP680" s="57">
        <f t="shared" si="338"/>
        <v>9696.6991411008967</v>
      </c>
      <c r="AR680" s="41">
        <v>675</v>
      </c>
      <c r="AS680" s="57">
        <f t="shared" si="339"/>
        <v>17474.873734152916</v>
      </c>
      <c r="AT680" s="57">
        <f t="shared" si="340"/>
        <v>-7474.8737341529159</v>
      </c>
      <c r="AV680" s="57">
        <f t="shared" si="341"/>
        <v>-3.9387998358849141</v>
      </c>
      <c r="AW680" s="57">
        <f t="shared" si="342"/>
        <v>-7.0115429542687586</v>
      </c>
      <c r="AX680" s="57">
        <f t="shared" si="343"/>
        <v>-0.35332411860175478</v>
      </c>
      <c r="AY680" s="57">
        <f t="shared" si="344"/>
        <v>-0.68983305066540945</v>
      </c>
      <c r="BA680" s="57">
        <f t="shared" si="345"/>
        <v>468399.85218703526</v>
      </c>
      <c r="BB680" s="57">
        <f t="shared" si="346"/>
        <v>481295.39045087964</v>
      </c>
    </row>
    <row r="681" spans="9:54" x14ac:dyDescent="0.25">
      <c r="I681" s="41">
        <v>676</v>
      </c>
      <c r="J681" s="57">
        <f t="shared" si="320"/>
        <v>23596.699001693254</v>
      </c>
      <c r="K681" s="57">
        <f t="shared" si="321"/>
        <v>4026.708147705011</v>
      </c>
      <c r="M681" s="41">
        <v>676</v>
      </c>
      <c r="N681" s="57">
        <f t="shared" si="322"/>
        <v>-17482.310698814723</v>
      </c>
      <c r="O681" s="57">
        <f t="shared" si="323"/>
        <v>7568.6957033935078</v>
      </c>
      <c r="Q681" s="41">
        <v>676</v>
      </c>
      <c r="R681" s="57">
        <f t="shared" si="324"/>
        <v>-1403.3009983067468</v>
      </c>
      <c r="S681" s="41">
        <f t="shared" si="325"/>
        <v>-18473.291852294988</v>
      </c>
      <c r="U681" s="41">
        <v>675</v>
      </c>
      <c r="V681" s="41">
        <f t="shared" si="347"/>
        <v>337.5</v>
      </c>
      <c r="W681" s="57">
        <f t="shared" si="348"/>
        <v>234905.18310218275</v>
      </c>
      <c r="X681" s="57">
        <f t="shared" si="349"/>
        <v>424046.87938473281</v>
      </c>
      <c r="Y681" s="57">
        <f t="shared" si="350"/>
        <v>991.68280364332406</v>
      </c>
      <c r="Z681" s="57">
        <f t="shared" si="351"/>
        <v>1340.6201802673347</v>
      </c>
      <c r="AA681" s="57">
        <f t="shared" si="326"/>
        <v>-6.7713041933925506</v>
      </c>
      <c r="AB681" s="57">
        <f t="shared" si="327"/>
        <v>-12.271101441261411</v>
      </c>
      <c r="AC681" s="57">
        <f t="shared" si="328"/>
        <v>-1.0919863193633519</v>
      </c>
      <c r="AD681" s="57">
        <f t="shared" si="329"/>
        <v>-2.1165775859642562</v>
      </c>
      <c r="AE681" s="57">
        <f t="shared" si="330"/>
        <v>-0.39813795735687457</v>
      </c>
      <c r="AF681" s="57">
        <f t="shared" si="331"/>
        <v>-0.64670234163949469</v>
      </c>
      <c r="AG681" s="57">
        <f t="shared" si="332"/>
        <v>-1.0024054685869852</v>
      </c>
      <c r="AH681" s="57">
        <f t="shared" si="333"/>
        <v>-1.8344872218698736</v>
      </c>
      <c r="AJ681" s="57">
        <f t="shared" si="334"/>
        <v>468716.90864459099</v>
      </c>
      <c r="AK681" s="57">
        <f t="shared" si="335"/>
        <v>486221.62714197813</v>
      </c>
      <c r="AL681" s="57">
        <f t="shared" si="336"/>
        <v>500316.55896718422</v>
      </c>
      <c r="AN681" s="41">
        <v>676</v>
      </c>
      <c r="AO681" s="57">
        <f t="shared" si="337"/>
        <v>10395.048502539879</v>
      </c>
      <c r="AP681" s="57">
        <f t="shared" si="338"/>
        <v>9790.0622215575168</v>
      </c>
      <c r="AR681" s="41">
        <v>676</v>
      </c>
      <c r="AS681" s="57">
        <f t="shared" si="339"/>
        <v>17517.689301185277</v>
      </c>
      <c r="AT681" s="57">
        <f t="shared" si="340"/>
        <v>-7431.3042966064922</v>
      </c>
      <c r="AV681" s="57">
        <f t="shared" si="341"/>
        <v>-3.9264636494708092</v>
      </c>
      <c r="AW681" s="57">
        <f t="shared" si="342"/>
        <v>-6.9859569112879871</v>
      </c>
      <c r="AX681" s="57">
        <f t="shared" si="343"/>
        <v>-0.35231079861453046</v>
      </c>
      <c r="AY681" s="57">
        <f t="shared" si="344"/>
        <v>-0.68737738049980046</v>
      </c>
      <c r="BA681" s="57">
        <f t="shared" si="345"/>
        <v>469228.88098627981</v>
      </c>
      <c r="BB681" s="57">
        <f t="shared" si="346"/>
        <v>482119.81318442203</v>
      </c>
    </row>
    <row r="682" spans="9:54" x14ac:dyDescent="0.25">
      <c r="I682" s="41">
        <v>677</v>
      </c>
      <c r="J682" s="57">
        <f t="shared" si="320"/>
        <v>23656.768508095851</v>
      </c>
      <c r="K682" s="57">
        <f t="shared" si="321"/>
        <v>4090.0081996875078</v>
      </c>
      <c r="M682" s="41">
        <v>677</v>
      </c>
      <c r="N682" s="57">
        <f t="shared" si="322"/>
        <v>-17440.262044332903</v>
      </c>
      <c r="O682" s="57">
        <f t="shared" si="323"/>
        <v>7613.0057397812552</v>
      </c>
      <c r="Q682" s="41">
        <v>677</v>
      </c>
      <c r="R682" s="57">
        <f t="shared" si="324"/>
        <v>-1343.2314919041478</v>
      </c>
      <c r="S682" s="41">
        <f t="shared" si="325"/>
        <v>-18409.991800312491</v>
      </c>
      <c r="U682" s="41">
        <v>676</v>
      </c>
      <c r="V682" s="41">
        <f t="shared" si="347"/>
        <v>338</v>
      </c>
      <c r="W682" s="57">
        <f t="shared" si="348"/>
        <v>235400.17809098025</v>
      </c>
      <c r="X682" s="57">
        <f t="shared" si="349"/>
        <v>424715.65558718634</v>
      </c>
      <c r="Y682" s="57">
        <f t="shared" si="350"/>
        <v>988.29715154662779</v>
      </c>
      <c r="Z682" s="57">
        <f t="shared" si="351"/>
        <v>1334.4846295467039</v>
      </c>
      <c r="AA682" s="57">
        <f t="shared" si="326"/>
        <v>-6.7507253823658342</v>
      </c>
      <c r="AB682" s="57">
        <f t="shared" si="327"/>
        <v>-12.227113367777509</v>
      </c>
      <c r="AC682" s="57">
        <f t="shared" si="328"/>
        <v>-1.0887706773898151</v>
      </c>
      <c r="AD682" s="57">
        <f t="shared" si="329"/>
        <v>-2.1088755635078011</v>
      </c>
      <c r="AE682" s="57">
        <f t="shared" si="330"/>
        <v>-0.39687800827839353</v>
      </c>
      <c r="AF682" s="57">
        <f t="shared" si="331"/>
        <v>-0.64444560932404249</v>
      </c>
      <c r="AG682" s="57">
        <f t="shared" si="332"/>
        <v>-0.99952756680948818</v>
      </c>
      <c r="AH682" s="57">
        <f t="shared" si="333"/>
        <v>-1.8282345828827387</v>
      </c>
      <c r="AJ682" s="57">
        <f t="shared" si="334"/>
        <v>469538.21994452347</v>
      </c>
      <c r="AK682" s="57">
        <f t="shared" si="335"/>
        <v>487050.64003449806</v>
      </c>
      <c r="AL682" s="57">
        <f t="shared" si="336"/>
        <v>501140.80196551955</v>
      </c>
      <c r="AN682" s="41">
        <v>677</v>
      </c>
      <c r="AO682" s="57">
        <f t="shared" si="337"/>
        <v>10485.152762143778</v>
      </c>
      <c r="AP682" s="57">
        <f t="shared" si="338"/>
        <v>9885.0122995312613</v>
      </c>
      <c r="AR682" s="41">
        <v>677</v>
      </c>
      <c r="AS682" s="57">
        <f t="shared" si="339"/>
        <v>17559.737955667097</v>
      </c>
      <c r="AT682" s="57">
        <f t="shared" si="340"/>
        <v>-7386.9942602187448</v>
      </c>
      <c r="AV682" s="57">
        <f t="shared" si="341"/>
        <v>-3.9142425884975642</v>
      </c>
      <c r="AW682" s="57">
        <f t="shared" si="342"/>
        <v>-6.9606129715762917</v>
      </c>
      <c r="AX682" s="57">
        <f t="shared" si="343"/>
        <v>-0.35130654139057227</v>
      </c>
      <c r="AY682" s="57">
        <f t="shared" si="344"/>
        <v>-0.68494464048663506</v>
      </c>
      <c r="BA682" s="57">
        <f t="shared" si="345"/>
        <v>470054.42291036184</v>
      </c>
      <c r="BB682" s="57">
        <f t="shared" si="346"/>
        <v>482940.76568380638</v>
      </c>
    </row>
    <row r="683" spans="9:54" x14ac:dyDescent="0.25">
      <c r="I683" s="41">
        <v>678</v>
      </c>
      <c r="J683" s="57">
        <f t="shared" si="320"/>
        <v>23715.724127386966</v>
      </c>
      <c r="K683" s="57">
        <f t="shared" si="321"/>
        <v>4154.3469682057048</v>
      </c>
      <c r="M683" s="41">
        <v>678</v>
      </c>
      <c r="N683" s="57">
        <f t="shared" si="322"/>
        <v>-17398.993110829124</v>
      </c>
      <c r="O683" s="57">
        <f t="shared" si="323"/>
        <v>7658.0428777439938</v>
      </c>
      <c r="Q683" s="41">
        <v>678</v>
      </c>
      <c r="R683" s="57">
        <f t="shared" si="324"/>
        <v>-1284.2758726130323</v>
      </c>
      <c r="S683" s="41">
        <f t="shared" si="325"/>
        <v>-18345.653031794296</v>
      </c>
      <c r="U683" s="41">
        <v>677</v>
      </c>
      <c r="V683" s="41">
        <f t="shared" si="347"/>
        <v>338.5</v>
      </c>
      <c r="W683" s="57">
        <f t="shared" si="348"/>
        <v>235893.48282608076</v>
      </c>
      <c r="X683" s="57">
        <f t="shared" si="349"/>
        <v>425381.36951278872</v>
      </c>
      <c r="Y683" s="57">
        <f t="shared" si="350"/>
        <v>984.9217888554449</v>
      </c>
      <c r="Z683" s="57">
        <f t="shared" si="351"/>
        <v>1328.3710728628153</v>
      </c>
      <c r="AA683" s="57">
        <f t="shared" si="326"/>
        <v>-6.7303360093183331</v>
      </c>
      <c r="AB683" s="57">
        <f t="shared" si="327"/>
        <v>-12.183537634901077</v>
      </c>
      <c r="AC683" s="57">
        <f t="shared" si="328"/>
        <v>-1.0855841612317898</v>
      </c>
      <c r="AD683" s="57">
        <f t="shared" si="329"/>
        <v>-2.1012463650066708</v>
      </c>
      <c r="AE683" s="57">
        <f t="shared" si="330"/>
        <v>-0.39562985629404562</v>
      </c>
      <c r="AF683" s="57">
        <f t="shared" si="331"/>
        <v>-0.64220967924869377</v>
      </c>
      <c r="AG683" s="57">
        <f t="shared" si="332"/>
        <v>-0.99667546093407755</v>
      </c>
      <c r="AH683" s="57">
        <f t="shared" si="333"/>
        <v>-1.8220389331280775</v>
      </c>
      <c r="AJ683" s="57">
        <f t="shared" si="334"/>
        <v>470356.07247346034</v>
      </c>
      <c r="AK683" s="57">
        <f t="shared" si="335"/>
        <v>487876.16942332982</v>
      </c>
      <c r="AL683" s="57">
        <f t="shared" si="336"/>
        <v>501961.57291374268</v>
      </c>
      <c r="AN683" s="41">
        <v>678</v>
      </c>
      <c r="AO683" s="57">
        <f t="shared" si="337"/>
        <v>10573.586191080452</v>
      </c>
      <c r="AP683" s="57">
        <f t="shared" si="338"/>
        <v>9981.5204523085577</v>
      </c>
      <c r="AR683" s="41">
        <v>678</v>
      </c>
      <c r="AS683" s="57">
        <f t="shared" si="339"/>
        <v>17601.006889170876</v>
      </c>
      <c r="AT683" s="57">
        <f t="shared" si="340"/>
        <v>-7341.9571222560062</v>
      </c>
      <c r="AV683" s="57">
        <f t="shared" si="341"/>
        <v>-3.9021352853051634</v>
      </c>
      <c r="AW683" s="57">
        <f t="shared" si="342"/>
        <v>-6.9355081087928667</v>
      </c>
      <c r="AX683" s="57">
        <f t="shared" si="343"/>
        <v>-0.35031124555325632</v>
      </c>
      <c r="AY683" s="57">
        <f t="shared" si="344"/>
        <v>-0.68253454872476782</v>
      </c>
      <c r="BA683" s="57">
        <f t="shared" si="345"/>
        <v>470876.49002126843</v>
      </c>
      <c r="BB683" s="57">
        <f t="shared" si="346"/>
        <v>483758.25985582883</v>
      </c>
    </row>
    <row r="684" spans="9:54" x14ac:dyDescent="0.25">
      <c r="I684" s="41">
        <v>679</v>
      </c>
      <c r="J684" s="57">
        <f t="shared" si="320"/>
        <v>23773.54790111386</v>
      </c>
      <c r="K684" s="57">
        <f t="shared" si="321"/>
        <v>4219.7048550474619</v>
      </c>
      <c r="M684" s="41">
        <v>679</v>
      </c>
      <c r="N684" s="57">
        <f t="shared" si="322"/>
        <v>-17358.5164692203</v>
      </c>
      <c r="O684" s="57">
        <f t="shared" si="323"/>
        <v>7703.7933985332238</v>
      </c>
      <c r="Q684" s="41">
        <v>679</v>
      </c>
      <c r="R684" s="57">
        <f t="shared" si="324"/>
        <v>-1226.4520988861409</v>
      </c>
      <c r="S684" s="41">
        <f t="shared" si="325"/>
        <v>-18280.295144952539</v>
      </c>
      <c r="U684" s="41">
        <v>678</v>
      </c>
      <c r="V684" s="41">
        <f t="shared" si="347"/>
        <v>339</v>
      </c>
      <c r="W684" s="57">
        <f t="shared" si="348"/>
        <v>236385.10242850732</v>
      </c>
      <c r="X684" s="57">
        <f t="shared" si="349"/>
        <v>426044.03210701572</v>
      </c>
      <c r="Y684" s="57">
        <f t="shared" si="350"/>
        <v>981.55662085078575</v>
      </c>
      <c r="Z684" s="57">
        <f t="shared" si="351"/>
        <v>1322.2793040453648</v>
      </c>
      <c r="AA684" s="57">
        <f t="shared" si="326"/>
        <v>-6.7101338664000592</v>
      </c>
      <c r="AB684" s="57">
        <f t="shared" si="327"/>
        <v>-12.140369147505909</v>
      </c>
      <c r="AC684" s="57">
        <f t="shared" si="328"/>
        <v>-1.0824264401579424</v>
      </c>
      <c r="AD684" s="57">
        <f t="shared" si="329"/>
        <v>-2.0936890832058643</v>
      </c>
      <c r="AE684" s="57">
        <f t="shared" si="330"/>
        <v>-0.39439336022307953</v>
      </c>
      <c r="AF684" s="57">
        <f t="shared" si="331"/>
        <v>-0.63999429869057856</v>
      </c>
      <c r="AG684" s="57">
        <f t="shared" si="332"/>
        <v>-0.99384886031215702</v>
      </c>
      <c r="AH684" s="57">
        <f t="shared" si="333"/>
        <v>-1.8158995905178514</v>
      </c>
      <c r="AJ684" s="57">
        <f t="shared" si="334"/>
        <v>471170.47802827612</v>
      </c>
      <c r="AK684" s="57">
        <f t="shared" si="335"/>
        <v>488698.22733373987</v>
      </c>
      <c r="AL684" s="57">
        <f t="shared" si="336"/>
        <v>502778.88373681257</v>
      </c>
      <c r="AN684" s="41">
        <v>679</v>
      </c>
      <c r="AO684" s="57">
        <f t="shared" si="337"/>
        <v>10660.321851670789</v>
      </c>
      <c r="AP684" s="57">
        <f t="shared" si="338"/>
        <v>10079.557282571193</v>
      </c>
      <c r="AR684" s="41">
        <v>679</v>
      </c>
      <c r="AS684" s="57">
        <f t="shared" si="339"/>
        <v>17641.4835307797</v>
      </c>
      <c r="AT684" s="57">
        <f t="shared" si="340"/>
        <v>-7296.2066014667762</v>
      </c>
      <c r="AV684" s="57">
        <f t="shared" si="341"/>
        <v>-3.8901403944179953</v>
      </c>
      <c r="AW684" s="57">
        <f t="shared" si="342"/>
        <v>-6.9106393471377849</v>
      </c>
      <c r="AX684" s="57">
        <f t="shared" si="343"/>
        <v>-0.34932481128888476</v>
      </c>
      <c r="AY684" s="57">
        <f t="shared" si="344"/>
        <v>-0.68014682795383119</v>
      </c>
      <c r="BA684" s="57">
        <f t="shared" si="345"/>
        <v>471695.09426815558</v>
      </c>
      <c r="BB684" s="57">
        <f t="shared" si="346"/>
        <v>484572.30749636807</v>
      </c>
    </row>
    <row r="685" spans="9:54" x14ac:dyDescent="0.25">
      <c r="I685" s="41">
        <v>680</v>
      </c>
      <c r="J685" s="57">
        <f t="shared" si="320"/>
        <v>23830.222215594891</v>
      </c>
      <c r="K685" s="57">
        <f t="shared" si="321"/>
        <v>4286.0619515673043</v>
      </c>
      <c r="M685" s="41">
        <v>680</v>
      </c>
      <c r="N685" s="57">
        <f t="shared" si="322"/>
        <v>-17318.844449083575</v>
      </c>
      <c r="O685" s="57">
        <f t="shared" si="323"/>
        <v>7750.2433660971128</v>
      </c>
      <c r="Q685" s="41">
        <v>680</v>
      </c>
      <c r="R685" s="57">
        <f t="shared" si="324"/>
        <v>-1169.7777844051088</v>
      </c>
      <c r="S685" s="41">
        <f t="shared" si="325"/>
        <v>-18213.938048432694</v>
      </c>
      <c r="U685" s="41">
        <v>679</v>
      </c>
      <c r="V685" s="41">
        <f t="shared" si="347"/>
        <v>339.5</v>
      </c>
      <c r="W685" s="57">
        <f t="shared" si="348"/>
        <v>236875.04197219943</v>
      </c>
      <c r="X685" s="57">
        <f t="shared" si="349"/>
        <v>426703.65421289497</v>
      </c>
      <c r="Y685" s="57">
        <f t="shared" si="350"/>
        <v>978.20155391758567</v>
      </c>
      <c r="Z685" s="57">
        <f t="shared" si="351"/>
        <v>1316.2091194716118</v>
      </c>
      <c r="AA685" s="57">
        <f t="shared" si="326"/>
        <v>-6.6901167810209676</v>
      </c>
      <c r="AB685" s="57">
        <f t="shared" si="327"/>
        <v>-12.097602894722845</v>
      </c>
      <c r="AC685" s="57">
        <f t="shared" si="328"/>
        <v>-1.0792971885957212</v>
      </c>
      <c r="AD685" s="57">
        <f t="shared" si="329"/>
        <v>-2.0862028259527814</v>
      </c>
      <c r="AE685" s="57">
        <f t="shared" si="330"/>
        <v>-0.39316838118821773</v>
      </c>
      <c r="AF685" s="57">
        <f t="shared" si="331"/>
        <v>-0.63779921904530512</v>
      </c>
      <c r="AG685" s="57">
        <f t="shared" si="332"/>
        <v>-0.99104747881420174</v>
      </c>
      <c r="AH685" s="57">
        <f t="shared" si="333"/>
        <v>-1.8098158839431786</v>
      </c>
      <c r="AJ685" s="57">
        <f t="shared" si="334"/>
        <v>471981.44829631562</v>
      </c>
      <c r="AK685" s="57">
        <f t="shared" si="335"/>
        <v>489516.82567874942</v>
      </c>
      <c r="AL685" s="57">
        <f t="shared" si="336"/>
        <v>503592.74624847202</v>
      </c>
      <c r="AN685" s="41">
        <v>680</v>
      </c>
      <c r="AO685" s="57">
        <f t="shared" si="337"/>
        <v>10745.333323392337</v>
      </c>
      <c r="AP685" s="57">
        <f t="shared" si="338"/>
        <v>10179.092927350957</v>
      </c>
      <c r="AR685" s="41">
        <v>680</v>
      </c>
      <c r="AS685" s="57">
        <f t="shared" si="339"/>
        <v>17681.155550916425</v>
      </c>
      <c r="AT685" s="57">
        <f t="shared" si="340"/>
        <v>-7249.7566339028872</v>
      </c>
      <c r="AV685" s="57">
        <f t="shared" si="341"/>
        <v>-3.878256592105497</v>
      </c>
      <c r="AW685" s="57">
        <f t="shared" si="342"/>
        <v>-6.8860037603206852</v>
      </c>
      <c r="AX685" s="57">
        <f t="shared" si="343"/>
        <v>-0.34834714031733044</v>
      </c>
      <c r="AY685" s="57">
        <f t="shared" si="344"/>
        <v>-0.67778120546089327</v>
      </c>
      <c r="BA685" s="57">
        <f t="shared" si="345"/>
        <v>472510.24748872931</v>
      </c>
      <c r="BB685" s="57">
        <f t="shared" si="346"/>
        <v>485382.92029173422</v>
      </c>
    </row>
    <row r="686" spans="9:54" x14ac:dyDescent="0.25">
      <c r="I686" s="41">
        <v>681</v>
      </c>
      <c r="J686" s="57">
        <f t="shared" si="320"/>
        <v>23885.72980728485</v>
      </c>
      <c r="K686" s="57">
        <f t="shared" si="321"/>
        <v>4353.3980447508093</v>
      </c>
      <c r="M686" s="41">
        <v>681</v>
      </c>
      <c r="N686" s="57">
        <f t="shared" si="322"/>
        <v>-17279.989134900603</v>
      </c>
      <c r="O686" s="57">
        <f t="shared" si="323"/>
        <v>7797.3786313255669</v>
      </c>
      <c r="Q686" s="41">
        <v>681</v>
      </c>
      <c r="R686" s="57">
        <f t="shared" si="324"/>
        <v>-1114.2701927151484</v>
      </c>
      <c r="S686" s="41">
        <f t="shared" si="325"/>
        <v>-18146.601955249189</v>
      </c>
      <c r="U686" s="41">
        <v>680</v>
      </c>
      <c r="V686" s="41">
        <f t="shared" si="347"/>
        <v>340</v>
      </c>
      <c r="W686" s="57">
        <f t="shared" si="348"/>
        <v>237363.3064845606</v>
      </c>
      <c r="X686" s="57">
        <f t="shared" si="349"/>
        <v>427360.24657226895</v>
      </c>
      <c r="Y686" s="57">
        <f t="shared" si="350"/>
        <v>974.85649552707514</v>
      </c>
      <c r="Z686" s="57">
        <f t="shared" si="351"/>
        <v>1310.1603180242503</v>
      </c>
      <c r="AA686" s="57">
        <f t="shared" si="326"/>
        <v>-6.6702826151639005</v>
      </c>
      <c r="AB686" s="57">
        <f t="shared" si="327"/>
        <v>-12.05523394823769</v>
      </c>
      <c r="AC686" s="57">
        <f t="shared" si="328"/>
        <v>-1.0761960860334143</v>
      </c>
      <c r="AD686" s="57">
        <f t="shared" si="329"/>
        <v>-2.0787867158903164</v>
      </c>
      <c r="AE686" s="57">
        <f t="shared" si="330"/>
        <v>-0.39195478256974581</v>
      </c>
      <c r="AF686" s="57">
        <f t="shared" si="331"/>
        <v>-0.6356241957448695</v>
      </c>
      <c r="AG686" s="57">
        <f t="shared" si="332"/>
        <v>-0.98827103474389955</v>
      </c>
      <c r="AH686" s="57">
        <f t="shared" si="333"/>
        <v>-1.8037871530581391</v>
      </c>
      <c r="AJ686" s="57">
        <f t="shared" si="334"/>
        <v>472788.99485671986</v>
      </c>
      <c r="AK686" s="57">
        <f t="shared" si="335"/>
        <v>490331.97626050352</v>
      </c>
      <c r="AL686" s="57">
        <f t="shared" si="336"/>
        <v>504403.17215260217</v>
      </c>
      <c r="AN686" s="41">
        <v>681</v>
      </c>
      <c r="AO686" s="57">
        <f t="shared" si="337"/>
        <v>10828.594710927278</v>
      </c>
      <c r="AP686" s="57">
        <f t="shared" si="338"/>
        <v>10280.097067126215</v>
      </c>
      <c r="AR686" s="41">
        <v>681</v>
      </c>
      <c r="AS686" s="57">
        <f t="shared" si="339"/>
        <v>17720.010865099397</v>
      </c>
      <c r="AT686" s="57">
        <f t="shared" si="340"/>
        <v>-7202.6213686744331</v>
      </c>
      <c r="AV686" s="57">
        <f t="shared" si="341"/>
        <v>-3.86648257595348</v>
      </c>
      <c r="AW686" s="57">
        <f t="shared" si="342"/>
        <v>-6.861598470554978</v>
      </c>
      <c r="AX686" s="57">
        <f t="shared" si="343"/>
        <v>-0.34737813586336058</v>
      </c>
      <c r="AY686" s="57">
        <f t="shared" si="344"/>
        <v>-0.67543741298938664</v>
      </c>
      <c r="BA686" s="57">
        <f t="shared" si="345"/>
        <v>473321.9614106029</v>
      </c>
      <c r="BB686" s="57">
        <f t="shared" si="346"/>
        <v>486190.10981999605</v>
      </c>
    </row>
    <row r="687" spans="9:54" x14ac:dyDescent="0.25">
      <c r="I687" s="41">
        <v>682</v>
      </c>
      <c r="J687" s="57">
        <f t="shared" si="320"/>
        <v>23940.053768033606</v>
      </c>
      <c r="K687" s="57">
        <f t="shared" si="321"/>
        <v>4421.6926233717013</v>
      </c>
      <c r="M687" s="41">
        <v>682</v>
      </c>
      <c r="N687" s="57">
        <f t="shared" si="322"/>
        <v>-17241.962362376478</v>
      </c>
      <c r="O687" s="57">
        <f t="shared" si="323"/>
        <v>7845.1848363601912</v>
      </c>
      <c r="Q687" s="41">
        <v>682</v>
      </c>
      <c r="R687" s="57">
        <f t="shared" si="324"/>
        <v>-1059.9462319663962</v>
      </c>
      <c r="S687" s="41">
        <f t="shared" si="325"/>
        <v>-18078.307376628298</v>
      </c>
      <c r="U687" s="41">
        <v>681</v>
      </c>
      <c r="V687" s="41">
        <f t="shared" si="347"/>
        <v>340.5</v>
      </c>
      <c r="W687" s="57">
        <f t="shared" si="348"/>
        <v>237849.90094699725</v>
      </c>
      <c r="X687" s="57">
        <f t="shared" si="349"/>
        <v>428013.81982703751</v>
      </c>
      <c r="Y687" s="57">
        <f t="shared" si="350"/>
        <v>971.52135421949322</v>
      </c>
      <c r="Z687" s="57">
        <f t="shared" si="351"/>
        <v>1304.1327010501313</v>
      </c>
      <c r="AA687" s="57">
        <f t="shared" si="326"/>
        <v>-6.6506292647132943</v>
      </c>
      <c r="AB687" s="57">
        <f t="shared" si="327"/>
        <v>-12.013257460629671</v>
      </c>
      <c r="AC687" s="57">
        <f t="shared" si="328"/>
        <v>-1.0731228169244478</v>
      </c>
      <c r="AD687" s="57">
        <f t="shared" si="329"/>
        <v>-2.071439890157408</v>
      </c>
      <c r="AE687" s="57">
        <f t="shared" si="330"/>
        <v>-0.39075242996071519</v>
      </c>
      <c r="AF687" s="57">
        <f t="shared" si="331"/>
        <v>-0.6334689881775486</v>
      </c>
      <c r="AG687" s="57">
        <f t="shared" si="332"/>
        <v>-0.98551925075432112</v>
      </c>
      <c r="AH687" s="57">
        <f t="shared" si="333"/>
        <v>-1.7978127480687787</v>
      </c>
      <c r="AJ687" s="57">
        <f t="shared" si="334"/>
        <v>473593.12918172986</v>
      </c>
      <c r="AK687" s="57">
        <f t="shared" si="335"/>
        <v>491143.69077161857</v>
      </c>
      <c r="AL687" s="57">
        <f t="shared" si="336"/>
        <v>505210.17304455501</v>
      </c>
      <c r="AN687" s="41">
        <v>682</v>
      </c>
      <c r="AO687" s="57">
        <f t="shared" si="337"/>
        <v>10910.080652050405</v>
      </c>
      <c r="AP687" s="57">
        <f t="shared" si="338"/>
        <v>10382.538935057553</v>
      </c>
      <c r="AR687" s="41">
        <v>682</v>
      </c>
      <c r="AS687" s="57">
        <f t="shared" si="339"/>
        <v>17758.037637623522</v>
      </c>
      <c r="AT687" s="57">
        <f t="shared" si="340"/>
        <v>-7154.8151636398088</v>
      </c>
      <c r="AV687" s="57">
        <f t="shared" si="341"/>
        <v>-3.854817064445228</v>
      </c>
      <c r="AW687" s="57">
        <f t="shared" si="342"/>
        <v>-6.8374206475757662</v>
      </c>
      <c r="AX687" s="57">
        <f t="shared" si="343"/>
        <v>-0.34641770262858279</v>
      </c>
      <c r="AY687" s="57">
        <f t="shared" si="344"/>
        <v>-0.67311518665016756</v>
      </c>
      <c r="BA687" s="57">
        <f t="shared" si="345"/>
        <v>474130.24765263294</v>
      </c>
      <c r="BB687" s="57">
        <f t="shared" si="346"/>
        <v>486993.88755228603</v>
      </c>
    </row>
    <row r="688" spans="9:54" x14ac:dyDescent="0.25">
      <c r="I688" s="41">
        <v>683</v>
      </c>
      <c r="J688" s="57">
        <f t="shared" si="320"/>
        <v>23993.177550236465</v>
      </c>
      <c r="K688" s="57">
        <f t="shared" si="321"/>
        <v>4490.924884239761</v>
      </c>
      <c r="M688" s="41">
        <v>683</v>
      </c>
      <c r="N688" s="57">
        <f t="shared" si="322"/>
        <v>-17204.775714834475</v>
      </c>
      <c r="O688" s="57">
        <f t="shared" si="323"/>
        <v>7893.647418967832</v>
      </c>
      <c r="Q688" s="41">
        <v>683</v>
      </c>
      <c r="R688" s="57">
        <f t="shared" si="324"/>
        <v>-1006.8224497635338</v>
      </c>
      <c r="S688" s="41">
        <f t="shared" si="325"/>
        <v>-18009.075115760239</v>
      </c>
      <c r="U688" s="41">
        <v>682</v>
      </c>
      <c r="V688" s="41">
        <f t="shared" si="347"/>
        <v>341</v>
      </c>
      <c r="W688" s="57">
        <f t="shared" si="348"/>
        <v>238334.83029544889</v>
      </c>
      <c r="X688" s="57">
        <f t="shared" si="349"/>
        <v>428664.38452038</v>
      </c>
      <c r="Y688" s="57">
        <f t="shared" si="350"/>
        <v>968.19603958713662</v>
      </c>
      <c r="Z688" s="57">
        <f t="shared" si="351"/>
        <v>1298.1260723198166</v>
      </c>
      <c r="AA688" s="57">
        <f t="shared" si="326"/>
        <v>-6.631154658799602</v>
      </c>
      <c r="AB688" s="57">
        <f t="shared" si="327"/>
        <v>-11.971668663749805</v>
      </c>
      <c r="AC688" s="57">
        <f t="shared" si="328"/>
        <v>-1.0700770705938427</v>
      </c>
      <c r="AD688" s="57">
        <f t="shared" si="329"/>
        <v>-2.0641615000967679</v>
      </c>
      <c r="AE688" s="57">
        <f t="shared" si="330"/>
        <v>-0.38956119112318072</v>
      </c>
      <c r="AF688" s="57">
        <f t="shared" si="331"/>
        <v>-0.63133335960964232</v>
      </c>
      <c r="AG688" s="57">
        <f t="shared" si="332"/>
        <v>-0.98279185376592526</v>
      </c>
      <c r="AH688" s="57">
        <f t="shared" si="333"/>
        <v>-1.7918920295269281</v>
      </c>
      <c r="AJ688" s="57">
        <f t="shared" si="334"/>
        <v>474393.86263796978</v>
      </c>
      <c r="AK688" s="57">
        <f t="shared" si="335"/>
        <v>491951.98079650721</v>
      </c>
      <c r="AL688" s="57">
        <f t="shared" si="336"/>
        <v>506013.76041246398</v>
      </c>
      <c r="AN688" s="41">
        <v>683</v>
      </c>
      <c r="AO688" s="57">
        <f t="shared" si="337"/>
        <v>10989.7663253547</v>
      </c>
      <c r="AP688" s="57">
        <f t="shared" si="338"/>
        <v>10486.387326359642</v>
      </c>
      <c r="AR688" s="41">
        <v>683</v>
      </c>
      <c r="AS688" s="57">
        <f t="shared" si="339"/>
        <v>17795.224285165525</v>
      </c>
      <c r="AT688" s="57">
        <f t="shared" si="340"/>
        <v>-7106.352581032168</v>
      </c>
      <c r="AV688" s="57">
        <f t="shared" si="341"/>
        <v>-3.8432587965526364</v>
      </c>
      <c r="AW688" s="57">
        <f t="shared" si="342"/>
        <v>-6.8134675076817786</v>
      </c>
      <c r="AX688" s="57">
        <f t="shared" si="343"/>
        <v>-0.34546574676401687</v>
      </c>
      <c r="AY688" s="57">
        <f t="shared" si="344"/>
        <v>-0.67081426683468726</v>
      </c>
      <c r="BA688" s="57">
        <f t="shared" si="345"/>
        <v>474935.11772623291</v>
      </c>
      <c r="BB688" s="57">
        <f t="shared" si="346"/>
        <v>487794.2648540847</v>
      </c>
    </row>
    <row r="689" spans="9:54" x14ac:dyDescent="0.25">
      <c r="I689" s="41">
        <v>684</v>
      </c>
      <c r="J689" s="57">
        <f t="shared" si="320"/>
        <v>24045.084971874734</v>
      </c>
      <c r="K689" s="57">
        <f t="shared" si="321"/>
        <v>4561.0737385376324</v>
      </c>
      <c r="M689" s="41">
        <v>684</v>
      </c>
      <c r="N689" s="57">
        <f t="shared" si="322"/>
        <v>-17168.440519687683</v>
      </c>
      <c r="O689" s="57">
        <f t="shared" si="323"/>
        <v>7942.751616976343</v>
      </c>
      <c r="Q689" s="41">
        <v>684</v>
      </c>
      <c r="R689" s="57">
        <f t="shared" si="324"/>
        <v>-954.9150281252646</v>
      </c>
      <c r="S689" s="41">
        <f t="shared" si="325"/>
        <v>-17938.926261462366</v>
      </c>
      <c r="U689" s="41">
        <v>683</v>
      </c>
      <c r="V689" s="41">
        <f t="shared" si="347"/>
        <v>341.5</v>
      </c>
      <c r="W689" s="57">
        <f t="shared" si="348"/>
        <v>238818.09942091012</v>
      </c>
      <c r="X689" s="57">
        <f t="shared" si="349"/>
        <v>429311.95109795692</v>
      </c>
      <c r="Y689" s="57">
        <f t="shared" si="350"/>
        <v>964.88046225773678</v>
      </c>
      <c r="Z689" s="57">
        <f t="shared" si="351"/>
        <v>1292.1402379879416</v>
      </c>
      <c r="AA689" s="57">
        <f t="shared" si="326"/>
        <v>-6.6118567591586341</v>
      </c>
      <c r="AB689" s="57">
        <f t="shared" si="327"/>
        <v>-11.930462867137546</v>
      </c>
      <c r="AC689" s="57">
        <f t="shared" si="328"/>
        <v>-1.0670585411467022</v>
      </c>
      <c r="AD689" s="57">
        <f t="shared" si="329"/>
        <v>-2.0569507109694736</v>
      </c>
      <c r="AE689" s="57">
        <f t="shared" si="330"/>
        <v>-0.388380935945496</v>
      </c>
      <c r="AF689" s="57">
        <f t="shared" si="331"/>
        <v>-0.62921707710909613</v>
      </c>
      <c r="AG689" s="57">
        <f t="shared" si="332"/>
        <v>-0.98008857488647505</v>
      </c>
      <c r="AH689" s="57">
        <f t="shared" si="333"/>
        <v>-1.7860243681289225</v>
      </c>
      <c r="AJ689" s="57">
        <f t="shared" si="334"/>
        <v>475191.20648770902</v>
      </c>
      <c r="AK689" s="57">
        <f t="shared" si="335"/>
        <v>492756.85781268182</v>
      </c>
      <c r="AL689" s="57">
        <f t="shared" si="336"/>
        <v>506813.94563853316</v>
      </c>
      <c r="AN689" s="41">
        <v>684</v>
      </c>
      <c r="AO689" s="57">
        <f t="shared" si="337"/>
        <v>11067.627457812105</v>
      </c>
      <c r="AP689" s="57">
        <f t="shared" si="338"/>
        <v>10591.610607806448</v>
      </c>
      <c r="AR689" s="41">
        <v>684</v>
      </c>
      <c r="AS689" s="57">
        <f t="shared" si="339"/>
        <v>17831.559480312317</v>
      </c>
      <c r="AT689" s="57">
        <f t="shared" si="340"/>
        <v>-7057.248383023657</v>
      </c>
      <c r="AV689" s="57">
        <f t="shared" si="341"/>
        <v>-3.8318065313366803</v>
      </c>
      <c r="AW689" s="57">
        <f t="shared" si="342"/>
        <v>-6.7897363127998318</v>
      </c>
      <c r="AX689" s="57">
        <f t="shared" si="343"/>
        <v>-0.34452217584328076</v>
      </c>
      <c r="AY689" s="57">
        <f t="shared" si="344"/>
        <v>-0.66853439813022342</v>
      </c>
      <c r="BA689" s="57">
        <f t="shared" si="345"/>
        <v>475736.58303666586</v>
      </c>
      <c r="BB689" s="57">
        <f t="shared" si="346"/>
        <v>488591.25298648409</v>
      </c>
    </row>
    <row r="690" spans="9:54" x14ac:dyDescent="0.25">
      <c r="I690" s="41">
        <v>685</v>
      </c>
      <c r="J690" s="57">
        <f t="shared" si="320"/>
        <v>24095.760221444954</v>
      </c>
      <c r="K690" s="57">
        <f t="shared" si="321"/>
        <v>4632.1178182447629</v>
      </c>
      <c r="M690" s="41">
        <v>685</v>
      </c>
      <c r="N690" s="57">
        <f t="shared" si="322"/>
        <v>-17132.967844988532</v>
      </c>
      <c r="O690" s="57">
        <f t="shared" si="323"/>
        <v>7992.482472771334</v>
      </c>
      <c r="Q690" s="41">
        <v>685</v>
      </c>
      <c r="R690" s="57">
        <f t="shared" si="324"/>
        <v>-904.23977855504563</v>
      </c>
      <c r="S690" s="41">
        <f t="shared" si="325"/>
        <v>-17867.882181755238</v>
      </c>
      <c r="U690" s="41">
        <v>684</v>
      </c>
      <c r="V690" s="41">
        <f t="shared" si="347"/>
        <v>342</v>
      </c>
      <c r="W690" s="57">
        <f t="shared" si="348"/>
        <v>239299.71316994409</v>
      </c>
      <c r="X690" s="57">
        <f t="shared" si="349"/>
        <v>429956.52990909253</v>
      </c>
      <c r="Y690" s="57">
        <f t="shared" si="350"/>
        <v>961.57453387815747</v>
      </c>
      <c r="Z690" s="57">
        <f t="shared" si="351"/>
        <v>1286.1750065543729</v>
      </c>
      <c r="AA690" s="57">
        <f t="shared" si="326"/>
        <v>-6.5927335595058816</v>
      </c>
      <c r="AB690" s="57">
        <f t="shared" si="327"/>
        <v>-11.889635456475435</v>
      </c>
      <c r="AC690" s="57">
        <f t="shared" si="328"/>
        <v>-1.0640669273788745</v>
      </c>
      <c r="AD690" s="57">
        <f t="shared" si="329"/>
        <v>-2.0498067016766099</v>
      </c>
      <c r="AE690" s="57">
        <f t="shared" si="330"/>
        <v>-0.38721153640058659</v>
      </c>
      <c r="AF690" s="57">
        <f t="shared" si="331"/>
        <v>-0.62711991147087498</v>
      </c>
      <c r="AG690" s="57">
        <f t="shared" si="332"/>
        <v>-0.97740914933267942</v>
      </c>
      <c r="AH690" s="57">
        <f t="shared" si="333"/>
        <v>-1.7802091445188517</v>
      </c>
      <c r="AJ690" s="57">
        <f t="shared" si="334"/>
        <v>475985.1718901039</v>
      </c>
      <c r="AK690" s="57">
        <f t="shared" si="335"/>
        <v>493558.33319203701</v>
      </c>
      <c r="AL690" s="57">
        <f t="shared" si="336"/>
        <v>507610.74000030587</v>
      </c>
      <c r="AN690" s="41">
        <v>685</v>
      </c>
      <c r="AO690" s="57">
        <f t="shared" si="337"/>
        <v>11143.640332167432</v>
      </c>
      <c r="AP690" s="57">
        <f t="shared" si="338"/>
        <v>10698.176727367145</v>
      </c>
      <c r="AR690" s="41">
        <v>685</v>
      </c>
      <c r="AS690" s="57">
        <f t="shared" si="339"/>
        <v>17867.032155011468</v>
      </c>
      <c r="AT690" s="57">
        <f t="shared" si="340"/>
        <v>-7007.517527228666</v>
      </c>
      <c r="AV690" s="57">
        <f t="shared" si="341"/>
        <v>-3.8204590475573843</v>
      </c>
      <c r="AW690" s="57">
        <f t="shared" si="342"/>
        <v>-6.766224369572015</v>
      </c>
      <c r="AX690" s="57">
        <f t="shared" si="343"/>
        <v>-0.34358689883635629</v>
      </c>
      <c r="AY690" s="57">
        <f t="shared" si="344"/>
        <v>-0.66627532923708388</v>
      </c>
      <c r="BA690" s="57">
        <f t="shared" si="345"/>
        <v>476534.65488431545</v>
      </c>
      <c r="BB690" s="57">
        <f t="shared" si="346"/>
        <v>489384.86310743052</v>
      </c>
    </row>
    <row r="691" spans="9:54" x14ac:dyDescent="0.25">
      <c r="I691" s="41">
        <v>686</v>
      </c>
      <c r="J691" s="57">
        <f t="shared" si="320"/>
        <v>24145.187862775212</v>
      </c>
      <c r="K691" s="57">
        <f t="shared" si="321"/>
        <v>4704.0354826462699</v>
      </c>
      <c r="M691" s="41">
        <v>686</v>
      </c>
      <c r="N691" s="57">
        <f t="shared" si="322"/>
        <v>-17098.368496057352</v>
      </c>
      <c r="O691" s="57">
        <f t="shared" si="323"/>
        <v>8042.8248378523895</v>
      </c>
      <c r="Q691" s="41">
        <v>686</v>
      </c>
      <c r="R691" s="57">
        <f t="shared" si="324"/>
        <v>-854.81213722478878</v>
      </c>
      <c r="S691" s="41">
        <f t="shared" si="325"/>
        <v>-17795.964517353728</v>
      </c>
      <c r="U691" s="41">
        <v>685</v>
      </c>
      <c r="V691" s="41">
        <f t="shared" si="347"/>
        <v>342.5</v>
      </c>
      <c r="W691" s="57">
        <f t="shared" si="348"/>
        <v>239779.67634518826</v>
      </c>
      <c r="X691" s="57">
        <f t="shared" si="349"/>
        <v>430598.13120793767</v>
      </c>
      <c r="Y691" s="57">
        <f t="shared" si="350"/>
        <v>958.27816709840454</v>
      </c>
      <c r="Z691" s="57">
        <f t="shared" si="351"/>
        <v>1280.2301888261352</v>
      </c>
      <c r="AA691" s="57">
        <f t="shared" si="326"/>
        <v>-6.5737830849250978</v>
      </c>
      <c r="AB691" s="57">
        <f t="shared" si="327"/>
        <v>-11.849181892080086</v>
      </c>
      <c r="AC691" s="57">
        <f t="shared" si="328"/>
        <v>-1.0611019326894817</v>
      </c>
      <c r="AD691" s="57">
        <f t="shared" si="329"/>
        <v>-2.0427286644872686</v>
      </c>
      <c r="AE691" s="57">
        <f t="shared" si="330"/>
        <v>-0.38605286650521586</v>
      </c>
      <c r="AF691" s="57">
        <f t="shared" si="331"/>
        <v>-0.62504163714410121</v>
      </c>
      <c r="AG691" s="57">
        <f t="shared" si="332"/>
        <v>-0.97475331635365825</v>
      </c>
      <c r="AH691" s="57">
        <f t="shared" si="333"/>
        <v>-1.7744457490964731</v>
      </c>
      <c r="AJ691" s="57">
        <f t="shared" si="334"/>
        <v>476775.76990241953</v>
      </c>
      <c r="AK691" s="57">
        <f t="shared" si="335"/>
        <v>494356.41820211086</v>
      </c>
      <c r="AL691" s="57">
        <f t="shared" si="336"/>
        <v>508404.15467191214</v>
      </c>
      <c r="AN691" s="41">
        <v>686</v>
      </c>
      <c r="AO691" s="57">
        <f t="shared" si="337"/>
        <v>11217.781794162816</v>
      </c>
      <c r="AP691" s="57">
        <f t="shared" si="338"/>
        <v>10806.053223969404</v>
      </c>
      <c r="AR691" s="41">
        <v>686</v>
      </c>
      <c r="AS691" s="57">
        <f t="shared" si="339"/>
        <v>17901.631503942648</v>
      </c>
      <c r="AT691" s="57">
        <f t="shared" si="340"/>
        <v>-6957.1751621476105</v>
      </c>
      <c r="AV691" s="57">
        <f t="shared" si="341"/>
        <v>-3.8092151432927781</v>
      </c>
      <c r="AW691" s="57">
        <f t="shared" si="342"/>
        <v>-6.7429290284644372</v>
      </c>
      <c r="AX691" s="57">
        <f t="shared" si="343"/>
        <v>-0.34265982608396395</v>
      </c>
      <c r="AY691" s="57">
        <f t="shared" si="344"/>
        <v>-0.66403681288780714</v>
      </c>
      <c r="BA691" s="57">
        <f t="shared" si="345"/>
        <v>477329.34446593741</v>
      </c>
      <c r="BB691" s="57">
        <f t="shared" si="346"/>
        <v>490175.10627294739</v>
      </c>
    </row>
    <row r="692" spans="9:54" x14ac:dyDescent="0.25">
      <c r="I692" s="41">
        <v>687</v>
      </c>
      <c r="J692" s="57">
        <f t="shared" si="320"/>
        <v>24193.352839727118</v>
      </c>
      <c r="K692" s="57">
        <f t="shared" si="321"/>
        <v>4776.8048249248641</v>
      </c>
      <c r="M692" s="41">
        <v>687</v>
      </c>
      <c r="N692" s="57">
        <f t="shared" si="322"/>
        <v>-17064.653012191018</v>
      </c>
      <c r="O692" s="57">
        <f t="shared" si="323"/>
        <v>8093.7633774474052</v>
      </c>
      <c r="Q692" s="41">
        <v>687</v>
      </c>
      <c r="R692" s="57">
        <f t="shared" si="324"/>
        <v>-806.64716027288068</v>
      </c>
      <c r="S692" s="41">
        <f t="shared" si="325"/>
        <v>-17723.195175075136</v>
      </c>
      <c r="U692" s="41">
        <v>686</v>
      </c>
      <c r="V692" s="41">
        <f t="shared" si="347"/>
        <v>343</v>
      </c>
      <c r="W692" s="57">
        <f t="shared" si="348"/>
        <v>240257.99370585184</v>
      </c>
      <c r="X692" s="57">
        <f t="shared" si="349"/>
        <v>431236.76515461423</v>
      </c>
      <c r="Y692" s="57">
        <f t="shared" si="350"/>
        <v>954.99127555594202</v>
      </c>
      <c r="Z692" s="57">
        <f t="shared" si="351"/>
        <v>1274.3055978800951</v>
      </c>
      <c r="AA692" s="57">
        <f t="shared" si="326"/>
        <v>-6.5550033912706853</v>
      </c>
      <c r="AB692" s="57">
        <f t="shared" si="327"/>
        <v>-11.809097707428474</v>
      </c>
      <c r="AC692" s="57">
        <f t="shared" si="328"/>
        <v>-1.0581632649954837</v>
      </c>
      <c r="AD692" s="57">
        <f t="shared" si="329"/>
        <v>-2.035715804773166</v>
      </c>
      <c r="AE692" s="57">
        <f t="shared" si="330"/>
        <v>-0.38490480228020363</v>
      </c>
      <c r="AF692" s="57">
        <f t="shared" si="331"/>
        <v>-0.62298203216089643</v>
      </c>
      <c r="AG692" s="57">
        <f t="shared" si="332"/>
        <v>-0.9721208191560915</v>
      </c>
      <c r="AH692" s="57">
        <f t="shared" si="333"/>
        <v>-1.7687335818294989</v>
      </c>
      <c r="AJ692" s="57">
        <f t="shared" si="334"/>
        <v>477563.01148123242</v>
      </c>
      <c r="AK692" s="57">
        <f t="shared" si="335"/>
        <v>495151.12400732649</v>
      </c>
      <c r="AL692" s="57">
        <f t="shared" si="336"/>
        <v>509194.20072529692</v>
      </c>
      <c r="AN692" s="41">
        <v>687</v>
      </c>
      <c r="AO692" s="57">
        <f t="shared" si="337"/>
        <v>11290.029259590679</v>
      </c>
      <c r="AP692" s="57">
        <f t="shared" si="338"/>
        <v>10915.207237387296</v>
      </c>
      <c r="AR692" s="41">
        <v>687</v>
      </c>
      <c r="AS692" s="57">
        <f t="shared" si="339"/>
        <v>17935.346987808982</v>
      </c>
      <c r="AT692" s="57">
        <f t="shared" si="340"/>
        <v>-6906.2366225525948</v>
      </c>
      <c r="AV692" s="57">
        <f t="shared" si="341"/>
        <v>-3.7980736355664457</v>
      </c>
      <c r="AW692" s="57">
        <f t="shared" si="342"/>
        <v>-6.7198476828967326</v>
      </c>
      <c r="AX692" s="57">
        <f t="shared" si="343"/>
        <v>-0.34174086927246106</v>
      </c>
      <c r="AY692" s="57">
        <f t="shared" si="344"/>
        <v>-0.66181860576817997</v>
      </c>
      <c r="BA692" s="57">
        <f t="shared" si="345"/>
        <v>478120.66287588963</v>
      </c>
      <c r="BB692" s="57">
        <f t="shared" si="346"/>
        <v>490961.99343833898</v>
      </c>
    </row>
    <row r="693" spans="9:54" x14ac:dyDescent="0.25">
      <c r="I693" s="41">
        <v>688</v>
      </c>
      <c r="J693" s="57">
        <f t="shared" si="320"/>
        <v>24240.240480782126</v>
      </c>
      <c r="K693" s="57">
        <f t="shared" si="321"/>
        <v>4850.4036788339699</v>
      </c>
      <c r="M693" s="41">
        <v>688</v>
      </c>
      <c r="N693" s="57">
        <f t="shared" si="322"/>
        <v>-17031.831663452511</v>
      </c>
      <c r="O693" s="57">
        <f t="shared" si="323"/>
        <v>8145.282575183779</v>
      </c>
      <c r="Q693" s="41">
        <v>688</v>
      </c>
      <c r="R693" s="57">
        <f t="shared" si="324"/>
        <v>-759.75951921787328</v>
      </c>
      <c r="S693" s="41">
        <f t="shared" si="325"/>
        <v>-17649.596321166031</v>
      </c>
      <c r="U693" s="41">
        <v>687</v>
      </c>
      <c r="V693" s="41">
        <f t="shared" si="347"/>
        <v>343.5</v>
      </c>
      <c r="W693" s="57">
        <f t="shared" si="348"/>
        <v>240734.66996820588</v>
      </c>
      <c r="X693" s="57">
        <f t="shared" si="349"/>
        <v>431872.44181634084</v>
      </c>
      <c r="Y693" s="57">
        <f t="shared" si="350"/>
        <v>951.71377386030667</v>
      </c>
      <c r="Z693" s="57">
        <f t="shared" si="351"/>
        <v>1268.4010490263809</v>
      </c>
      <c r="AA693" s="57">
        <f t="shared" si="326"/>
        <v>-6.5363925645840171</v>
      </c>
      <c r="AB693" s="57">
        <f t="shared" si="327"/>
        <v>-11.769378507719361</v>
      </c>
      <c r="AC693" s="57">
        <f t="shared" si="328"/>
        <v>-1.0552506366481078</v>
      </c>
      <c r="AD693" s="57">
        <f t="shared" si="329"/>
        <v>-2.028767340749456</v>
      </c>
      <c r="AE693" s="57">
        <f t="shared" si="330"/>
        <v>-0.38376722171155747</v>
      </c>
      <c r="AF693" s="57">
        <f t="shared" si="331"/>
        <v>-0.62094087806684894</v>
      </c>
      <c r="AG693" s="57">
        <f t="shared" si="332"/>
        <v>-0.96951140483097742</v>
      </c>
      <c r="AH693" s="57">
        <f t="shared" si="333"/>
        <v>-1.7630720520700851</v>
      </c>
      <c r="AJ693" s="57">
        <f t="shared" si="334"/>
        <v>478346.90748361318</v>
      </c>
      <c r="AK693" s="57">
        <f t="shared" si="335"/>
        <v>495942.46167021344</v>
      </c>
      <c r="AL693" s="57">
        <f t="shared" si="336"/>
        <v>509980.88913142815</v>
      </c>
      <c r="AN693" s="41">
        <v>688</v>
      </c>
      <c r="AO693" s="57">
        <f t="shared" si="337"/>
        <v>11360.360721173191</v>
      </c>
      <c r="AP693" s="57">
        <f t="shared" si="338"/>
        <v>11025.605518250955</v>
      </c>
      <c r="AR693" s="41">
        <v>688</v>
      </c>
      <c r="AS693" s="57">
        <f t="shared" si="339"/>
        <v>17968.168336547489</v>
      </c>
      <c r="AT693" s="57">
        <f t="shared" si="340"/>
        <v>-6854.717424816221</v>
      </c>
      <c r="AV693" s="57">
        <f t="shared" si="341"/>
        <v>-3.7870333599840502</v>
      </c>
      <c r="AW693" s="57">
        <f t="shared" si="342"/>
        <v>-6.6969777683928173</v>
      </c>
      <c r="AX693" s="57">
        <f t="shared" si="343"/>
        <v>-0.3408299414093241</v>
      </c>
      <c r="AY693" s="57">
        <f t="shared" si="344"/>
        <v>-0.65962046844015521</v>
      </c>
      <c r="BA693" s="57">
        <f t="shared" si="345"/>
        <v>478908.62110734388</v>
      </c>
      <c r="BB693" s="57">
        <f t="shared" si="346"/>
        <v>491745.53545937449</v>
      </c>
    </row>
    <row r="694" spans="9:54" x14ac:dyDescent="0.25">
      <c r="I694" s="41">
        <v>689</v>
      </c>
      <c r="J694" s="57">
        <f t="shared" si="320"/>
        <v>24285.836503510556</v>
      </c>
      <c r="K694" s="57">
        <f t="shared" si="321"/>
        <v>4924.8096254497186</v>
      </c>
      <c r="M694" s="41">
        <v>689</v>
      </c>
      <c r="N694" s="57">
        <f t="shared" si="322"/>
        <v>-16999.914447542611</v>
      </c>
      <c r="O694" s="57">
        <f t="shared" si="323"/>
        <v>8197.3667378148039</v>
      </c>
      <c r="Q694" s="41">
        <v>689</v>
      </c>
      <c r="R694" s="57">
        <f t="shared" si="324"/>
        <v>-714.1634964894447</v>
      </c>
      <c r="S694" s="41">
        <f t="shared" si="325"/>
        <v>-17575.190374550282</v>
      </c>
      <c r="U694" s="41">
        <v>688</v>
      </c>
      <c r="V694" s="41">
        <f t="shared" si="347"/>
        <v>344</v>
      </c>
      <c r="W694" s="57">
        <f t="shared" si="348"/>
        <v>241209.70980606545</v>
      </c>
      <c r="X694" s="57">
        <f t="shared" si="349"/>
        <v>432505.1711685406</v>
      </c>
      <c r="Y694" s="57">
        <f t="shared" si="350"/>
        <v>948.44557757801465</v>
      </c>
      <c r="Z694" s="57">
        <f t="shared" si="351"/>
        <v>1262.5163597725211</v>
      </c>
      <c r="AA694" s="57">
        <f t="shared" si="326"/>
        <v>-6.5179487205226163</v>
      </c>
      <c r="AB694" s="57">
        <f t="shared" si="327"/>
        <v>-11.730019968467717</v>
      </c>
      <c r="AC694" s="57">
        <f t="shared" si="328"/>
        <v>-1.0523637643511137</v>
      </c>
      <c r="AD694" s="57">
        <f t="shared" si="329"/>
        <v>-2.0218825032216157</v>
      </c>
      <c r="AE694" s="57">
        <f t="shared" si="330"/>
        <v>-0.38264000471249426</v>
      </c>
      <c r="AF694" s="57">
        <f t="shared" si="331"/>
        <v>-0.61891795985307418</v>
      </c>
      <c r="AG694" s="57">
        <f t="shared" si="332"/>
        <v>-0.96692482428213289</v>
      </c>
      <c r="AH694" s="57">
        <f t="shared" si="333"/>
        <v>-1.757460578375724</v>
      </c>
      <c r="AJ694" s="57">
        <f t="shared" si="334"/>
        <v>479127.468668291</v>
      </c>
      <c r="AK694" s="57">
        <f t="shared" si="335"/>
        <v>496730.44215260929</v>
      </c>
      <c r="AL694" s="57">
        <f t="shared" si="336"/>
        <v>510764.23076148529</v>
      </c>
      <c r="AN694" s="41">
        <v>689</v>
      </c>
      <c r="AO694" s="57">
        <f t="shared" si="337"/>
        <v>11428.754755265833</v>
      </c>
      <c r="AP694" s="57">
        <f t="shared" si="338"/>
        <v>11137.214438174578</v>
      </c>
      <c r="AR694" s="41">
        <v>689</v>
      </c>
      <c r="AS694" s="57">
        <f t="shared" si="339"/>
        <v>18000.085552457389</v>
      </c>
      <c r="AT694" s="57">
        <f t="shared" si="340"/>
        <v>-6802.6332621851971</v>
      </c>
      <c r="AV694" s="57">
        <f t="shared" si="341"/>
        <v>-3.7760931703777421</v>
      </c>
      <c r="AW694" s="57">
        <f t="shared" si="342"/>
        <v>-6.6743167617508057</v>
      </c>
      <c r="AX694" s="57">
        <f t="shared" si="343"/>
        <v>-0.33992695679913304</v>
      </c>
      <c r="AY694" s="57">
        <f t="shared" si="344"/>
        <v>-0.65744216526649779</v>
      </c>
      <c r="BA694" s="57">
        <f t="shared" si="345"/>
        <v>479693.23005347705</v>
      </c>
      <c r="BB694" s="57">
        <f t="shared" si="346"/>
        <v>492525.74309345329</v>
      </c>
    </row>
    <row r="695" spans="9:54" x14ac:dyDescent="0.25">
      <c r="I695" s="41">
        <v>690</v>
      </c>
      <c r="J695" s="57">
        <f t="shared" si="320"/>
        <v>24330.127018922194</v>
      </c>
      <c r="K695" s="57">
        <f t="shared" si="321"/>
        <v>5000</v>
      </c>
      <c r="M695" s="41">
        <v>690</v>
      </c>
      <c r="N695" s="57">
        <f t="shared" si="322"/>
        <v>-16968.911086754466</v>
      </c>
      <c r="O695" s="57">
        <f t="shared" si="323"/>
        <v>8250</v>
      </c>
      <c r="Q695" s="41">
        <v>690</v>
      </c>
      <c r="R695" s="57">
        <f t="shared" si="324"/>
        <v>-669.8729810778068</v>
      </c>
      <c r="S695" s="41">
        <f t="shared" si="325"/>
        <v>-17500</v>
      </c>
      <c r="U695" s="41">
        <v>689</v>
      </c>
      <c r="V695" s="41">
        <f t="shared" si="347"/>
        <v>344.5</v>
      </c>
      <c r="W695" s="57">
        <f t="shared" si="348"/>
        <v>241683.1178512644</v>
      </c>
      <c r="X695" s="57">
        <f t="shared" si="349"/>
        <v>433134.96309593081</v>
      </c>
      <c r="Y695" s="57">
        <f t="shared" si="350"/>
        <v>945.18660321775337</v>
      </c>
      <c r="Z695" s="57">
        <f t="shared" si="351"/>
        <v>1256.6513497882872</v>
      </c>
      <c r="AA695" s="57">
        <f t="shared" si="326"/>
        <v>-6.4996700038025486</v>
      </c>
      <c r="AB695" s="57">
        <f t="shared" si="327"/>
        <v>-11.691017834132388</v>
      </c>
      <c r="AC695" s="57">
        <f t="shared" si="328"/>
        <v>-1.0495023690808634</v>
      </c>
      <c r="AD695" s="57">
        <f t="shared" si="329"/>
        <v>-2.0150605353382685</v>
      </c>
      <c r="AE695" s="57">
        <f t="shared" si="330"/>
        <v>-0.38152303308638613</v>
      </c>
      <c r="AF695" s="57">
        <f t="shared" si="331"/>
        <v>-0.61691306588991546</v>
      </c>
      <c r="AG695" s="57">
        <f t="shared" si="332"/>
        <v>-0.96436083215613366</v>
      </c>
      <c r="AH695" s="57">
        <f t="shared" si="333"/>
        <v>-1.7518985883339602</v>
      </c>
      <c r="AJ695" s="57">
        <f t="shared" si="334"/>
        <v>479904.70569679973</v>
      </c>
      <c r="AK695" s="57">
        <f t="shared" si="335"/>
        <v>497515.07631684234</v>
      </c>
      <c r="AL695" s="57">
        <f t="shared" si="336"/>
        <v>511544.23638802936</v>
      </c>
      <c r="AN695" s="41">
        <v>690</v>
      </c>
      <c r="AO695" s="57">
        <f t="shared" si="337"/>
        <v>11495.190528383289</v>
      </c>
      <c r="AP695" s="57">
        <f t="shared" si="338"/>
        <v>11250</v>
      </c>
      <c r="AR695" s="41">
        <v>690</v>
      </c>
      <c r="AS695" s="57">
        <f t="shared" si="339"/>
        <v>18031.088913245534</v>
      </c>
      <c r="AT695" s="57">
        <f t="shared" si="340"/>
        <v>-6750</v>
      </c>
      <c r="AV695" s="57">
        <f t="shared" si="341"/>
        <v>-3.7652519384590577</v>
      </c>
      <c r="AW695" s="57">
        <f t="shared" si="342"/>
        <v>-6.6518621802330182</v>
      </c>
      <c r="AX695" s="57">
        <f t="shared" si="343"/>
        <v>-0.33903183102010703</v>
      </c>
      <c r="AY695" s="57">
        <f t="shared" si="344"/>
        <v>-0.65528346433722706</v>
      </c>
      <c r="BA695" s="57">
        <f t="shared" si="345"/>
        <v>480474.50050864398</v>
      </c>
      <c r="BB695" s="57">
        <f t="shared" si="346"/>
        <v>493302.62700075185</v>
      </c>
    </row>
    <row r="696" spans="9:54" x14ac:dyDescent="0.25">
      <c r="I696" s="41">
        <v>691</v>
      </c>
      <c r="J696" s="57">
        <f t="shared" si="320"/>
        <v>24373.098535696976</v>
      </c>
      <c r="K696" s="57">
        <f t="shared" si="321"/>
        <v>5075.9518987683105</v>
      </c>
      <c r="M696" s="41">
        <v>691</v>
      </c>
      <c r="N696" s="57">
        <f t="shared" si="322"/>
        <v>-16938.831025012118</v>
      </c>
      <c r="O696" s="57">
        <f t="shared" si="323"/>
        <v>8303.1663291378172</v>
      </c>
      <c r="Q696" s="41">
        <v>691</v>
      </c>
      <c r="R696" s="57">
        <f t="shared" si="324"/>
        <v>-626.9014643030232</v>
      </c>
      <c r="S696" s="41">
        <f t="shared" si="325"/>
        <v>-17424.048101231689</v>
      </c>
      <c r="U696" s="41">
        <v>690</v>
      </c>
      <c r="V696" s="41">
        <f t="shared" si="347"/>
        <v>345</v>
      </c>
      <c r="W696" s="57">
        <f t="shared" si="348"/>
        <v>242154.89869412279</v>
      </c>
      <c r="X696" s="57">
        <f t="shared" si="349"/>
        <v>433761.82739359571</v>
      </c>
      <c r="Y696" s="57">
        <f t="shared" si="350"/>
        <v>941.93676821585211</v>
      </c>
      <c r="Z696" s="57">
        <f t="shared" si="351"/>
        <v>1250.8058408712211</v>
      </c>
      <c r="AA696" s="57">
        <f t="shared" si="326"/>
        <v>-6.4815545876530898</v>
      </c>
      <c r="AB696" s="57">
        <f t="shared" si="327"/>
        <v>-11.652367916775185</v>
      </c>
      <c r="AC696" s="57">
        <f t="shared" si="328"/>
        <v>-1.046666176008155</v>
      </c>
      <c r="AD696" s="57">
        <f t="shared" si="329"/>
        <v>-2.0083006923497844</v>
      </c>
      <c r="AE696" s="57">
        <f t="shared" si="330"/>
        <v>-0.3804161904904767</v>
      </c>
      <c r="AF696" s="57">
        <f t="shared" si="331"/>
        <v>-0.6149259878620329</v>
      </c>
      <c r="AG696" s="57">
        <f t="shared" si="332"/>
        <v>-0.96181918677392808</v>
      </c>
      <c r="AH696" s="57">
        <f t="shared" si="333"/>
        <v>-1.7463855183913213</v>
      </c>
      <c r="AJ696" s="57">
        <f t="shared" si="334"/>
        <v>480678.62913460541</v>
      </c>
      <c r="AK696" s="57">
        <f t="shared" si="335"/>
        <v>498296.37492689572</v>
      </c>
      <c r="AL696" s="57">
        <f t="shared" si="336"/>
        <v>512320.91668615438</v>
      </c>
      <c r="AN696" s="41">
        <v>691</v>
      </c>
      <c r="AO696" s="57">
        <f t="shared" si="337"/>
        <v>11559.647803545464</v>
      </c>
      <c r="AP696" s="57">
        <f t="shared" si="338"/>
        <v>11363.927848152465</v>
      </c>
      <c r="AR696" s="41">
        <v>691</v>
      </c>
      <c r="AS696" s="57">
        <f t="shared" si="339"/>
        <v>18061.168974987882</v>
      </c>
      <c r="AT696" s="57">
        <f t="shared" si="340"/>
        <v>-6696.8336708621828</v>
      </c>
      <c r="AV696" s="57">
        <f t="shared" si="341"/>
        <v>-3.7545085534793983</v>
      </c>
      <c r="AW696" s="57">
        <f t="shared" si="342"/>
        <v>-6.6296115807743261</v>
      </c>
      <c r="AX696" s="57">
        <f t="shared" si="343"/>
        <v>-0.33814448090113197</v>
      </c>
      <c r="AY696" s="57">
        <f t="shared" si="344"/>
        <v>-0.65314413739772081</v>
      </c>
      <c r="BA696" s="57">
        <f t="shared" si="345"/>
        <v>481252.44316953165</v>
      </c>
      <c r="BB696" s="57">
        <f t="shared" si="346"/>
        <v>494076.19774535252</v>
      </c>
    </row>
    <row r="697" spans="9:54" x14ac:dyDescent="0.25">
      <c r="I697" s="41">
        <v>692</v>
      </c>
      <c r="J697" s="57">
        <f t="shared" si="320"/>
        <v>24414.737964294633</v>
      </c>
      <c r="K697" s="57">
        <f t="shared" si="321"/>
        <v>5152.642186070545</v>
      </c>
      <c r="M697" s="41">
        <v>692</v>
      </c>
      <c r="N697" s="57">
        <f t="shared" si="322"/>
        <v>-16909.683424993756</v>
      </c>
      <c r="O697" s="57">
        <f t="shared" si="323"/>
        <v>8356.8495302493811</v>
      </c>
      <c r="Q697" s="41">
        <v>692</v>
      </c>
      <c r="R697" s="57">
        <f t="shared" si="324"/>
        <v>-585.26203570536654</v>
      </c>
      <c r="S697" s="41">
        <f t="shared" si="325"/>
        <v>-17347.357813929455</v>
      </c>
      <c r="U697" s="41">
        <v>691</v>
      </c>
      <c r="V697" s="41">
        <f t="shared" si="347"/>
        <v>345.5</v>
      </c>
      <c r="W697" s="57">
        <f t="shared" si="348"/>
        <v>242625.05688390727</v>
      </c>
      <c r="X697" s="57">
        <f t="shared" si="349"/>
        <v>434385.77376804169</v>
      </c>
      <c r="Y697" s="57">
        <f t="shared" si="350"/>
        <v>938.69599092202554</v>
      </c>
      <c r="Z697" s="57">
        <f t="shared" si="351"/>
        <v>1244.9796569128334</v>
      </c>
      <c r="AA697" s="57">
        <f t="shared" si="326"/>
        <v>-6.4636006732840023</v>
      </c>
      <c r="AB697" s="57">
        <f t="shared" si="327"/>
        <v>-11.614066094751561</v>
      </c>
      <c r="AC697" s="57">
        <f t="shared" si="328"/>
        <v>-1.0438549144217666</v>
      </c>
      <c r="AD697" s="57">
        <f t="shared" si="329"/>
        <v>-2.0016022413724985</v>
      </c>
      <c r="AE697" s="57">
        <f t="shared" si="330"/>
        <v>-0.37931936240051872</v>
      </c>
      <c r="AF697" s="57">
        <f t="shared" si="331"/>
        <v>-0.61295652070512119</v>
      </c>
      <c r="AG697" s="57">
        <f t="shared" si="332"/>
        <v>-0.95929965006384366</v>
      </c>
      <c r="AH697" s="57">
        <f t="shared" si="333"/>
        <v>-1.7409208136859116</v>
      </c>
      <c r="AJ697" s="57">
        <f t="shared" si="334"/>
        <v>481449.24945221649</v>
      </c>
      <c r="AK697" s="57">
        <f t="shared" si="335"/>
        <v>499074.34864955244</v>
      </c>
      <c r="AL697" s="57">
        <f t="shared" si="336"/>
        <v>513094.28223461995</v>
      </c>
      <c r="AN697" s="41">
        <v>692</v>
      </c>
      <c r="AO697" s="57">
        <f t="shared" si="337"/>
        <v>11622.106946441951</v>
      </c>
      <c r="AP697" s="57">
        <f t="shared" si="338"/>
        <v>11478.963279105817</v>
      </c>
      <c r="AR697" s="41">
        <v>692</v>
      </c>
      <c r="AS697" s="57">
        <f t="shared" si="339"/>
        <v>18090.316575006244</v>
      </c>
      <c r="AT697" s="57">
        <f t="shared" si="340"/>
        <v>-6643.1504697506189</v>
      </c>
      <c r="AV697" s="57">
        <f t="shared" si="341"/>
        <v>-3.7438619218985956</v>
      </c>
      <c r="AW697" s="57">
        <f t="shared" si="342"/>
        <v>-6.6075625592095708</v>
      </c>
      <c r="AX697" s="57">
        <f t="shared" si="343"/>
        <v>-0.33726482449927764</v>
      </c>
      <c r="AY697" s="57">
        <f t="shared" si="344"/>
        <v>-0.65102395977845728</v>
      </c>
      <c r="BA697" s="57">
        <f t="shared" si="345"/>
        <v>482027.06863629475</v>
      </c>
      <c r="BB697" s="57">
        <f t="shared" si="346"/>
        <v>494846.46579635458</v>
      </c>
    </row>
    <row r="698" spans="9:54" x14ac:dyDescent="0.25">
      <c r="I698" s="41">
        <v>693</v>
      </c>
      <c r="J698" s="57">
        <f t="shared" si="320"/>
        <v>24455.032620941834</v>
      </c>
      <c r="K698" s="57">
        <f t="shared" si="321"/>
        <v>5230.0475013022597</v>
      </c>
      <c r="M698" s="41">
        <v>693</v>
      </c>
      <c r="N698" s="57">
        <f t="shared" si="322"/>
        <v>-16881.477165340715</v>
      </c>
      <c r="O698" s="57">
        <f t="shared" si="323"/>
        <v>8411.0332509115815</v>
      </c>
      <c r="Q698" s="41">
        <v>693</v>
      </c>
      <c r="R698" s="57">
        <f t="shared" si="324"/>
        <v>-544.96737905816371</v>
      </c>
      <c r="S698" s="41">
        <f t="shared" si="325"/>
        <v>-17269.952498697741</v>
      </c>
      <c r="U698" s="41">
        <v>692</v>
      </c>
      <c r="V698" s="41">
        <f t="shared" si="347"/>
        <v>346</v>
      </c>
      <c r="W698" s="57">
        <f t="shared" si="348"/>
        <v>243093.59692928413</v>
      </c>
      <c r="X698" s="57">
        <f t="shared" si="349"/>
        <v>435006.81183823629</v>
      </c>
      <c r="Y698" s="57">
        <f t="shared" si="350"/>
        <v>935.46419058538356</v>
      </c>
      <c r="Z698" s="57">
        <f t="shared" si="351"/>
        <v>1239.1726238654576</v>
      </c>
      <c r="AA698" s="57">
        <f t="shared" si="326"/>
        <v>-6.4458064893641698</v>
      </c>
      <c r="AB698" s="57">
        <f t="shared" si="327"/>
        <v>-11.576108311430561</v>
      </c>
      <c r="AC698" s="57">
        <f t="shared" si="328"/>
        <v>-1.0410683176536253</v>
      </c>
      <c r="AD698" s="57">
        <f t="shared" si="329"/>
        <v>-1.9949644611583059</v>
      </c>
      <c r="AE698" s="57">
        <f t="shared" si="330"/>
        <v>-0.37823243607614293</v>
      </c>
      <c r="AF698" s="57">
        <f t="shared" si="331"/>
        <v>-0.61100446254394669</v>
      </c>
      <c r="AG698" s="57">
        <f t="shared" si="332"/>
        <v>-0.95680198749608925</v>
      </c>
      <c r="AH698" s="57">
        <f t="shared" si="333"/>
        <v>-1.7355039278838416</v>
      </c>
      <c r="AJ698" s="57">
        <f t="shared" si="334"/>
        <v>482216.57702627673</v>
      </c>
      <c r="AK698" s="57">
        <f t="shared" si="335"/>
        <v>499849.00805552333</v>
      </c>
      <c r="AL698" s="57">
        <f t="shared" si="336"/>
        <v>513864.34351696743</v>
      </c>
      <c r="AN698" s="41">
        <v>693</v>
      </c>
      <c r="AO698" s="57">
        <f t="shared" si="337"/>
        <v>11682.548931412755</v>
      </c>
      <c r="AP698" s="57">
        <f t="shared" si="338"/>
        <v>11595.07125195339</v>
      </c>
      <c r="AR698" s="41">
        <v>693</v>
      </c>
      <c r="AS698" s="57">
        <f t="shared" si="339"/>
        <v>18118.522834659285</v>
      </c>
      <c r="AT698" s="57">
        <f t="shared" si="340"/>
        <v>-6588.9667490884185</v>
      </c>
      <c r="AV698" s="57">
        <f t="shared" si="341"/>
        <v>-3.7333109670604814</v>
      </c>
      <c r="AW698" s="57">
        <f t="shared" si="342"/>
        <v>-6.5857127495180396</v>
      </c>
      <c r="AX698" s="57">
        <f t="shared" si="343"/>
        <v>-0.3363927810778311</v>
      </c>
      <c r="AY698" s="57">
        <f t="shared" si="344"/>
        <v>-0.64892271032642523</v>
      </c>
      <c r="BA698" s="57">
        <f t="shared" si="345"/>
        <v>482798.38741367398</v>
      </c>
      <c r="BB698" s="57">
        <f t="shared" si="346"/>
        <v>495613.44152896805</v>
      </c>
    </row>
    <row r="699" spans="9:54" x14ac:dyDescent="0.25">
      <c r="I699" s="41">
        <v>694</v>
      </c>
      <c r="J699" s="57">
        <f t="shared" si="320"/>
        <v>24493.970231495834</v>
      </c>
      <c r="K699" s="57">
        <f t="shared" si="321"/>
        <v>5308.1442660546099</v>
      </c>
      <c r="M699" s="41">
        <v>694</v>
      </c>
      <c r="N699" s="57">
        <f t="shared" si="322"/>
        <v>-16854.220837952918</v>
      </c>
      <c r="O699" s="57">
        <f t="shared" si="323"/>
        <v>8465.7009862382274</v>
      </c>
      <c r="Q699" s="41">
        <v>694</v>
      </c>
      <c r="R699" s="57">
        <f t="shared" si="324"/>
        <v>-506.0297685041669</v>
      </c>
      <c r="S699" s="41">
        <f t="shared" si="325"/>
        <v>-17191.855733945391</v>
      </c>
      <c r="U699" s="41">
        <v>693</v>
      </c>
      <c r="V699" s="41">
        <f t="shared" si="347"/>
        <v>346.5</v>
      </c>
      <c r="W699" s="57">
        <f t="shared" si="348"/>
        <v>243560.52329876565</v>
      </c>
      <c r="X699" s="57">
        <f t="shared" si="349"/>
        <v>435624.95113663009</v>
      </c>
      <c r="Y699" s="57">
        <f t="shared" si="350"/>
        <v>932.24128734070143</v>
      </c>
      <c r="Z699" s="57">
        <f t="shared" si="351"/>
        <v>1233.3845697097422</v>
      </c>
      <c r="AA699" s="57">
        <f t="shared" si="326"/>
        <v>-6.4281702915123615</v>
      </c>
      <c r="AB699" s="57">
        <f t="shared" si="327"/>
        <v>-11.538490573945003</v>
      </c>
      <c r="AC699" s="57">
        <f t="shared" si="328"/>
        <v>-1.03830612300569</v>
      </c>
      <c r="AD699" s="57">
        <f t="shared" si="329"/>
        <v>-1.988386641869742</v>
      </c>
      <c r="AE699" s="57">
        <f t="shared" si="330"/>
        <v>-0.37715530052705654</v>
      </c>
      <c r="AF699" s="57">
        <f t="shared" si="331"/>
        <v>-0.60906961463185583</v>
      </c>
      <c r="AG699" s="57">
        <f t="shared" si="332"/>
        <v>-0.95432596801873881</v>
      </c>
      <c r="AH699" s="57">
        <f t="shared" si="333"/>
        <v>-1.7301343230194151</v>
      </c>
      <c r="AJ699" s="57">
        <f t="shared" si="334"/>
        <v>482980.62214064022</v>
      </c>
      <c r="AK699" s="57">
        <f t="shared" si="335"/>
        <v>500620.36362055625</v>
      </c>
      <c r="AL699" s="57">
        <f t="shared" si="336"/>
        <v>514631.11092261656</v>
      </c>
      <c r="AN699" s="41">
        <v>694</v>
      </c>
      <c r="AO699" s="57">
        <f t="shared" si="337"/>
        <v>11740.955347243751</v>
      </c>
      <c r="AP699" s="57">
        <f t="shared" si="338"/>
        <v>11712.216399081915</v>
      </c>
      <c r="AR699" s="41">
        <v>694</v>
      </c>
      <c r="AS699" s="57">
        <f t="shared" si="339"/>
        <v>18145.779162047082</v>
      </c>
      <c r="AT699" s="57">
        <f t="shared" si="340"/>
        <v>-6534.2990137617726</v>
      </c>
      <c r="AV699" s="57">
        <f t="shared" si="341"/>
        <v>-3.7228546288761297</v>
      </c>
      <c r="AW699" s="57">
        <f t="shared" si="342"/>
        <v>-6.5640598230859988</v>
      </c>
      <c r="AX699" s="57">
        <f t="shared" si="343"/>
        <v>-0.33552827108474648</v>
      </c>
      <c r="AY699" s="57">
        <f t="shared" si="344"/>
        <v>-0.64684017133799077</v>
      </c>
      <c r="BA699" s="57">
        <f t="shared" si="345"/>
        <v>483566.4099120961</v>
      </c>
      <c r="BB699" s="57">
        <f t="shared" si="346"/>
        <v>496377.13522558956</v>
      </c>
    </row>
    <row r="700" spans="9:54" x14ac:dyDescent="0.25">
      <c r="I700" s="41">
        <v>695</v>
      </c>
      <c r="J700" s="57">
        <f t="shared" si="320"/>
        <v>24531.538935183249</v>
      </c>
      <c r="K700" s="57">
        <f t="shared" si="321"/>
        <v>5386.9086912965031</v>
      </c>
      <c r="M700" s="41">
        <v>695</v>
      </c>
      <c r="N700" s="57">
        <f t="shared" si="322"/>
        <v>-16827.922745371725</v>
      </c>
      <c r="O700" s="57">
        <f t="shared" si="323"/>
        <v>8520.8360839075522</v>
      </c>
      <c r="Q700" s="41">
        <v>695</v>
      </c>
      <c r="R700" s="57">
        <f t="shared" si="324"/>
        <v>-468.46106481674997</v>
      </c>
      <c r="S700" s="41">
        <f t="shared" si="325"/>
        <v>-17113.091308703497</v>
      </c>
      <c r="U700" s="41">
        <v>694</v>
      </c>
      <c r="V700" s="41">
        <f t="shared" si="347"/>
        <v>347</v>
      </c>
      <c r="W700" s="57">
        <f t="shared" si="348"/>
        <v>244025.84042114957</v>
      </c>
      <c r="X700" s="57">
        <f t="shared" si="349"/>
        <v>436240.20111016324</v>
      </c>
      <c r="Y700" s="57">
        <f t="shared" si="350"/>
        <v>929.02720219494529</v>
      </c>
      <c r="Z700" s="57">
        <f t="shared" si="351"/>
        <v>1227.6153244227696</v>
      </c>
      <c r="AA700" s="57">
        <f t="shared" si="326"/>
        <v>-6.4106903617990625</v>
      </c>
      <c r="AB700" s="57">
        <f t="shared" si="327"/>
        <v>-11.501208951969874</v>
      </c>
      <c r="AC700" s="57">
        <f t="shared" si="328"/>
        <v>-1.03556807167829</v>
      </c>
      <c r="AD700" s="57">
        <f t="shared" si="329"/>
        <v>-1.9818680848599923</v>
      </c>
      <c r="AE700" s="57">
        <f t="shared" si="330"/>
        <v>-0.37608784647999144</v>
      </c>
      <c r="AF700" s="57">
        <f t="shared" si="331"/>
        <v>-0.60715178129162672</v>
      </c>
      <c r="AG700" s="57">
        <f t="shared" si="332"/>
        <v>-0.95187136399500871</v>
      </c>
      <c r="AH700" s="57">
        <f t="shared" si="333"/>
        <v>-1.724811469338722</v>
      </c>
      <c r="AJ700" s="57">
        <f t="shared" si="334"/>
        <v>483741.39498743083</v>
      </c>
      <c r="AK700" s="57">
        <f t="shared" si="335"/>
        <v>501388.42572652863</v>
      </c>
      <c r="AL700" s="57">
        <f t="shared" si="336"/>
        <v>515394.59474794689</v>
      </c>
      <c r="AN700" s="41">
        <v>695</v>
      </c>
      <c r="AO700" s="57">
        <f t="shared" si="337"/>
        <v>11797.308402774874</v>
      </c>
      <c r="AP700" s="57">
        <f t="shared" si="338"/>
        <v>11830.363036944755</v>
      </c>
      <c r="AR700" s="41">
        <v>695</v>
      </c>
      <c r="AS700" s="57">
        <f t="shared" si="339"/>
        <v>18172.077254628275</v>
      </c>
      <c r="AT700" s="57">
        <f t="shared" si="340"/>
        <v>-6479.1639160924478</v>
      </c>
      <c r="AV700" s="57">
        <f t="shared" si="341"/>
        <v>-3.7124918635141548</v>
      </c>
      <c r="AW700" s="57">
        <f t="shared" si="342"/>
        <v>-6.5426014879861256</v>
      </c>
      <c r="AX700" s="57">
        <f t="shared" si="343"/>
        <v>-0.33467121613161721</v>
      </c>
      <c r="AY700" s="57">
        <f t="shared" si="344"/>
        <v>-0.64477612849340704</v>
      </c>
      <c r="BA700" s="57">
        <f t="shared" si="345"/>
        <v>484331.14644875738</v>
      </c>
      <c r="BB700" s="57">
        <f t="shared" si="346"/>
        <v>497137.55707686296</v>
      </c>
    </row>
    <row r="701" spans="9:54" x14ac:dyDescent="0.25">
      <c r="I701" s="41">
        <v>696</v>
      </c>
      <c r="J701" s="57">
        <f t="shared" si="320"/>
        <v>24567.727288213002</v>
      </c>
      <c r="K701" s="57">
        <f t="shared" si="321"/>
        <v>5466.3167846209944</v>
      </c>
      <c r="M701" s="41">
        <v>696</v>
      </c>
      <c r="N701" s="57">
        <f t="shared" si="322"/>
        <v>-16802.590898250899</v>
      </c>
      <c r="O701" s="57">
        <f t="shared" si="323"/>
        <v>8576.4217492346961</v>
      </c>
      <c r="Q701" s="41">
        <v>696</v>
      </c>
      <c r="R701" s="57">
        <f t="shared" si="324"/>
        <v>-432.27271178699812</v>
      </c>
      <c r="S701" s="41">
        <f t="shared" si="325"/>
        <v>-17033.683215379006</v>
      </c>
      <c r="U701" s="41">
        <v>695</v>
      </c>
      <c r="V701" s="41">
        <f t="shared" si="347"/>
        <v>347.5</v>
      </c>
      <c r="W701" s="57">
        <f t="shared" si="348"/>
        <v>244489.55268595181</v>
      </c>
      <c r="X701" s="57">
        <f t="shared" si="349"/>
        <v>436852.57112125558</v>
      </c>
      <c r="Y701" s="57">
        <f t="shared" si="350"/>
        <v>925.8218570140458</v>
      </c>
      <c r="Z701" s="57">
        <f t="shared" si="351"/>
        <v>1221.8647199467846</v>
      </c>
      <c r="AA701" s="57">
        <f t="shared" si="326"/>
        <v>-6.3933650082592699</v>
      </c>
      <c r="AB701" s="57">
        <f t="shared" si="327"/>
        <v>-11.464259576528429</v>
      </c>
      <c r="AC701" s="57">
        <f t="shared" si="328"/>
        <v>-1.032853908700134</v>
      </c>
      <c r="AD701" s="57">
        <f t="shared" si="329"/>
        <v>-1.9754081024581776</v>
      </c>
      <c r="AE701" s="57">
        <f t="shared" si="330"/>
        <v>-0.37502996634640418</v>
      </c>
      <c r="AF701" s="57">
        <f t="shared" si="331"/>
        <v>-0.60525076985766035</v>
      </c>
      <c r="AG701" s="57">
        <f t="shared" si="332"/>
        <v>-0.94943795114197527</v>
      </c>
      <c r="AH701" s="57">
        <f t="shared" si="333"/>
        <v>-1.7195348451468644</v>
      </c>
      <c r="AJ701" s="57">
        <f t="shared" si="334"/>
        <v>484498.90566808463</v>
      </c>
      <c r="AK701" s="57">
        <f t="shared" si="335"/>
        <v>502153.20466252271</v>
      </c>
      <c r="AL701" s="57">
        <f t="shared" si="336"/>
        <v>516154.80519736098</v>
      </c>
      <c r="AN701" s="41">
        <v>696</v>
      </c>
      <c r="AO701" s="57">
        <f t="shared" si="337"/>
        <v>11851.590932319503</v>
      </c>
      <c r="AP701" s="57">
        <f t="shared" si="338"/>
        <v>11949.47517693149</v>
      </c>
      <c r="AR701" s="41">
        <v>696</v>
      </c>
      <c r="AS701" s="57">
        <f t="shared" si="339"/>
        <v>18197.409101749101</v>
      </c>
      <c r="AT701" s="57">
        <f t="shared" si="340"/>
        <v>-6423.5782507653039</v>
      </c>
      <c r="AV701" s="57">
        <f t="shared" si="341"/>
        <v>-3.7022216430977166</v>
      </c>
      <c r="AW701" s="57">
        <f t="shared" si="342"/>
        <v>-6.5213354882730306</v>
      </c>
      <c r="AX701" s="57">
        <f t="shared" si="343"/>
        <v>-0.33382153897303946</v>
      </c>
      <c r="AY701" s="57">
        <f t="shared" si="344"/>
        <v>-0.64273037079269657</v>
      </c>
      <c r="BA701" s="57">
        <f t="shared" si="345"/>
        <v>485092.60724868946</v>
      </c>
      <c r="BB701" s="57">
        <f t="shared" si="346"/>
        <v>497894.71718272171</v>
      </c>
    </row>
    <row r="702" spans="9:54" x14ac:dyDescent="0.25">
      <c r="I702" s="41">
        <v>697</v>
      </c>
      <c r="J702" s="57">
        <f t="shared" si="320"/>
        <v>24602.524267262204</v>
      </c>
      <c r="K702" s="57">
        <f t="shared" si="321"/>
        <v>5546.3443575536376</v>
      </c>
      <c r="M702" s="41">
        <v>697</v>
      </c>
      <c r="N702" s="57">
        <f t="shared" si="322"/>
        <v>-16778.233012916455</v>
      </c>
      <c r="O702" s="57">
        <f t="shared" si="323"/>
        <v>8632.4410502875471</v>
      </c>
      <c r="Q702" s="41">
        <v>697</v>
      </c>
      <c r="R702" s="57">
        <f t="shared" si="324"/>
        <v>-397.47573273779562</v>
      </c>
      <c r="S702" s="41">
        <f t="shared" si="325"/>
        <v>-16953.655642446363</v>
      </c>
      <c r="U702" s="41">
        <v>696</v>
      </c>
      <c r="V702" s="41">
        <f t="shared" si="347"/>
        <v>348</v>
      </c>
      <c r="W702" s="57">
        <f t="shared" si="348"/>
        <v>244951.66444383279</v>
      </c>
      <c r="X702" s="57">
        <f t="shared" si="349"/>
        <v>437462.07044878189</v>
      </c>
      <c r="Y702" s="57">
        <f t="shared" si="350"/>
        <v>922.62517450991618</v>
      </c>
      <c r="Z702" s="57">
        <f t="shared" si="351"/>
        <v>1216.1325901585203</v>
      </c>
      <c r="AA702" s="57">
        <f t="shared" si="326"/>
        <v>-6.3761925644161499</v>
      </c>
      <c r="AB702" s="57">
        <f t="shared" si="327"/>
        <v>-11.427638638825657</v>
      </c>
      <c r="AC702" s="57">
        <f t="shared" si="328"/>
        <v>-1.0301633828597359</v>
      </c>
      <c r="AD702" s="57">
        <f t="shared" si="329"/>
        <v>-1.9690060177593698</v>
      </c>
      <c r="AE702" s="57">
        <f t="shared" si="330"/>
        <v>-0.37398155419090029</v>
      </c>
      <c r="AF702" s="57">
        <f t="shared" si="331"/>
        <v>-0.60336639061946695</v>
      </c>
      <c r="AG702" s="57">
        <f t="shared" si="332"/>
        <v>-0.94702550847053013</v>
      </c>
      <c r="AH702" s="57">
        <f t="shared" si="333"/>
        <v>-1.7143039366584181</v>
      </c>
      <c r="AJ702" s="57">
        <f t="shared" si="334"/>
        <v>485253.16419437598</v>
      </c>
      <c r="AK702" s="57">
        <f t="shared" si="335"/>
        <v>502914.71062588412</v>
      </c>
      <c r="AL702" s="57">
        <f t="shared" si="336"/>
        <v>516911.75238433189</v>
      </c>
      <c r="AN702" s="41">
        <v>697</v>
      </c>
      <c r="AO702" s="57">
        <f t="shared" si="337"/>
        <v>11903.786400893307</v>
      </c>
      <c r="AP702" s="57">
        <f t="shared" si="338"/>
        <v>12069.516536330457</v>
      </c>
      <c r="AR702" s="41">
        <v>697</v>
      </c>
      <c r="AS702" s="57">
        <f t="shared" si="339"/>
        <v>18221.766987083545</v>
      </c>
      <c r="AT702" s="57">
        <f t="shared" si="340"/>
        <v>-6367.5589497124538</v>
      </c>
      <c r="AV702" s="57">
        <f t="shared" si="341"/>
        <v>-3.6920429554085259</v>
      </c>
      <c r="AW702" s="57">
        <f t="shared" si="342"/>
        <v>-6.5002596032953415</v>
      </c>
      <c r="AX702" s="57">
        <f t="shared" si="343"/>
        <v>-0.33297916348645679</v>
      </c>
      <c r="AY702" s="57">
        <f t="shared" si="344"/>
        <v>-0.6407026904930605</v>
      </c>
      <c r="BA702" s="57">
        <f t="shared" si="345"/>
        <v>485850.80244580976</v>
      </c>
      <c r="BB702" s="57">
        <f t="shared" si="346"/>
        <v>498648.62555341702</v>
      </c>
    </row>
    <row r="703" spans="9:54" x14ac:dyDescent="0.25">
      <c r="I703" s="41">
        <v>698</v>
      </c>
      <c r="J703" s="57">
        <f t="shared" si="320"/>
        <v>24635.919272833937</v>
      </c>
      <c r="K703" s="57">
        <f t="shared" si="321"/>
        <v>5626.9670329204419</v>
      </c>
      <c r="M703" s="41">
        <v>698</v>
      </c>
      <c r="N703" s="57">
        <f t="shared" si="322"/>
        <v>-16754.856509016245</v>
      </c>
      <c r="O703" s="57">
        <f t="shared" si="323"/>
        <v>8688.8769230443086</v>
      </c>
      <c r="Q703" s="41">
        <v>698</v>
      </c>
      <c r="R703" s="57">
        <f t="shared" si="324"/>
        <v>-364.08072716606239</v>
      </c>
      <c r="S703" s="41">
        <f t="shared" si="325"/>
        <v>-16873.032967079558</v>
      </c>
      <c r="U703" s="41">
        <v>697</v>
      </c>
      <c r="V703" s="41">
        <f t="shared" si="347"/>
        <v>348.5</v>
      </c>
      <c r="W703" s="57">
        <f t="shared" si="348"/>
        <v>245412.18000701722</v>
      </c>
      <c r="X703" s="57">
        <f t="shared" si="349"/>
        <v>438068.70828903129</v>
      </c>
      <c r="Y703" s="57">
        <f t="shared" si="350"/>
        <v>919.43707822770807</v>
      </c>
      <c r="Z703" s="57">
        <f t="shared" si="351"/>
        <v>1210.4187708391075</v>
      </c>
      <c r="AA703" s="57">
        <f t="shared" si="326"/>
        <v>-6.3591713888151205</v>
      </c>
      <c r="AB703" s="57">
        <f t="shared" si="327"/>
        <v>-11.391342389108059</v>
      </c>
      <c r="AC703" s="57">
        <f t="shared" si="328"/>
        <v>-1.0274962466383644</v>
      </c>
      <c r="AD703" s="57">
        <f t="shared" si="329"/>
        <v>-1.9626611644194918</v>
      </c>
      <c r="AE703" s="57">
        <f t="shared" si="330"/>
        <v>-0.37294250570035692</v>
      </c>
      <c r="AF703" s="57">
        <f t="shared" si="331"/>
        <v>-0.60149845676639868</v>
      </c>
      <c r="AG703" s="57">
        <f t="shared" si="332"/>
        <v>-0.94463381822673176</v>
      </c>
      <c r="AH703" s="57">
        <f t="shared" si="333"/>
        <v>-1.7091182378514003</v>
      </c>
      <c r="AJ703" s="57">
        <f t="shared" si="334"/>
        <v>486004.18048942834</v>
      </c>
      <c r="AK703" s="57">
        <f t="shared" si="335"/>
        <v>503672.95372326387</v>
      </c>
      <c r="AL703" s="57">
        <f t="shared" si="336"/>
        <v>517665.44633243402</v>
      </c>
      <c r="AN703" s="41">
        <v>698</v>
      </c>
      <c r="AO703" s="57">
        <f t="shared" si="337"/>
        <v>11953.878909250907</v>
      </c>
      <c r="AP703" s="57">
        <f t="shared" si="338"/>
        <v>12190.450549380661</v>
      </c>
      <c r="AR703" s="41">
        <v>698</v>
      </c>
      <c r="AS703" s="57">
        <f t="shared" si="339"/>
        <v>18245.143490983755</v>
      </c>
      <c r="AT703" s="57">
        <f t="shared" si="340"/>
        <v>-6311.1230769556914</v>
      </c>
      <c r="AV703" s="57">
        <f t="shared" si="341"/>
        <v>-3.6819548035972676</v>
      </c>
      <c r="AW703" s="57">
        <f t="shared" si="342"/>
        <v>-6.4793716470231368</v>
      </c>
      <c r="AX703" s="57">
        <f t="shared" si="343"/>
        <v>-0.33214401465240007</v>
      </c>
      <c r="AY703" s="57">
        <f t="shared" si="344"/>
        <v>-0.63869288304763283</v>
      </c>
      <c r="BA703" s="57">
        <f t="shared" si="345"/>
        <v>486605.74208395433</v>
      </c>
      <c r="BB703" s="57">
        <f t="shared" si="346"/>
        <v>499399.29211052833</v>
      </c>
    </row>
    <row r="704" spans="9:54" x14ac:dyDescent="0.25">
      <c r="I704" s="41">
        <v>699</v>
      </c>
      <c r="J704" s="57">
        <f t="shared" si="320"/>
        <v>24667.902132486008</v>
      </c>
      <c r="K704" s="57">
        <f t="shared" si="321"/>
        <v>5708.1602522734947</v>
      </c>
      <c r="M704" s="41">
        <v>699</v>
      </c>
      <c r="N704" s="57">
        <f t="shared" si="322"/>
        <v>-16732.468507259793</v>
      </c>
      <c r="O704" s="57">
        <f t="shared" si="323"/>
        <v>8745.7121765914471</v>
      </c>
      <c r="Q704" s="41">
        <v>699</v>
      </c>
      <c r="R704" s="57">
        <f t="shared" si="324"/>
        <v>-332.09786751399224</v>
      </c>
      <c r="S704" s="41">
        <f t="shared" si="325"/>
        <v>-16791.839747726506</v>
      </c>
      <c r="U704" s="41">
        <v>698</v>
      </c>
      <c r="V704" s="41">
        <f t="shared" si="347"/>
        <v>349</v>
      </c>
      <c r="W704" s="57">
        <f t="shared" si="348"/>
        <v>245871.10364970745</v>
      </c>
      <c r="X704" s="57">
        <f t="shared" si="349"/>
        <v>438672.49375665223</v>
      </c>
      <c r="Y704" s="57">
        <f t="shared" si="350"/>
        <v>916.25749253330048</v>
      </c>
      <c r="Z704" s="57">
        <f t="shared" si="351"/>
        <v>1204.7230996445535</v>
      </c>
      <c r="AA704" s="57">
        <f t="shared" si="326"/>
        <v>-6.3422998645680257</v>
      </c>
      <c r="AB704" s="57">
        <f t="shared" si="327"/>
        <v>-11.355367135548946</v>
      </c>
      <c r="AC704" s="57">
        <f t="shared" si="328"/>
        <v>-1.0248522561443758</v>
      </c>
      <c r="AD704" s="57">
        <f t="shared" si="329"/>
        <v>-1.956372886454766</v>
      </c>
      <c r="AE704" s="57">
        <f t="shared" si="330"/>
        <v>-0.37191271815374927</v>
      </c>
      <c r="AF704" s="57">
        <f t="shared" si="331"/>
        <v>-0.59964678433363872</v>
      </c>
      <c r="AG704" s="57">
        <f t="shared" si="332"/>
        <v>-0.94226266583427232</v>
      </c>
      <c r="AH704" s="57">
        <f t="shared" si="333"/>
        <v>-1.7039772503241981</v>
      </c>
      <c r="AJ704" s="57">
        <f t="shared" si="334"/>
        <v>486751.96438870917</v>
      </c>
      <c r="AK704" s="57">
        <f t="shared" si="335"/>
        <v>504427.9439716445</v>
      </c>
      <c r="AL704" s="57">
        <f t="shared" si="336"/>
        <v>518415.89697635808</v>
      </c>
      <c r="AN704" s="41">
        <v>699</v>
      </c>
      <c r="AO704" s="57">
        <f t="shared" si="337"/>
        <v>12001.853198729012</v>
      </c>
      <c r="AP704" s="57">
        <f t="shared" si="338"/>
        <v>12312.240378410243</v>
      </c>
      <c r="AR704" s="41">
        <v>699</v>
      </c>
      <c r="AS704" s="57">
        <f t="shared" si="339"/>
        <v>18267.531492740207</v>
      </c>
      <c r="AT704" s="57">
        <f t="shared" si="340"/>
        <v>-6254.2878234085538</v>
      </c>
      <c r="AV704" s="57">
        <f t="shared" si="341"/>
        <v>-3.6719562059004596</v>
      </c>
      <c r="AW704" s="57">
        <f t="shared" si="342"/>
        <v>-6.4586694673906866</v>
      </c>
      <c r="AX704" s="57">
        <f t="shared" si="343"/>
        <v>-0.33131601853516862</v>
      </c>
      <c r="AY704" s="57">
        <f t="shared" si="344"/>
        <v>-0.63670074704565449</v>
      </c>
      <c r="BA704" s="57">
        <f t="shared" si="345"/>
        <v>487357.43611789553</v>
      </c>
      <c r="BB704" s="57">
        <f t="shared" si="346"/>
        <v>500146.72668795963</v>
      </c>
    </row>
    <row r="705" spans="9:54" x14ac:dyDescent="0.25">
      <c r="I705" s="41">
        <v>700</v>
      </c>
      <c r="J705" s="57">
        <f t="shared" si="320"/>
        <v>24698.463103929538</v>
      </c>
      <c r="K705" s="57">
        <f t="shared" si="321"/>
        <v>5789.8992833716475</v>
      </c>
      <c r="M705" s="41">
        <v>700</v>
      </c>
      <c r="N705" s="57">
        <f t="shared" si="322"/>
        <v>-16711.075827249322</v>
      </c>
      <c r="O705" s="57">
        <f t="shared" si="323"/>
        <v>8802.929498360154</v>
      </c>
      <c r="Q705" s="41">
        <v>700</v>
      </c>
      <c r="R705" s="57">
        <f t="shared" si="324"/>
        <v>-301.5368960704609</v>
      </c>
      <c r="S705" s="41">
        <f t="shared" si="325"/>
        <v>-16710.100716628353</v>
      </c>
      <c r="U705" s="41">
        <v>699</v>
      </c>
      <c r="V705" s="41">
        <f t="shared" si="347"/>
        <v>349.5</v>
      </c>
      <c r="W705" s="57">
        <f t="shared" si="348"/>
        <v>246328.43960849103</v>
      </c>
      <c r="X705" s="57">
        <f t="shared" si="349"/>
        <v>439273.43588558253</v>
      </c>
      <c r="Y705" s="57">
        <f t="shared" si="350"/>
        <v>913.08634260101644</v>
      </c>
      <c r="Z705" s="57">
        <f t="shared" si="351"/>
        <v>1199.045416076779</v>
      </c>
      <c r="AA705" s="57">
        <f t="shared" si="326"/>
        <v>-6.3255763989073923</v>
      </c>
      <c r="AB705" s="57">
        <f t="shared" si="327"/>
        <v>-11.319709243159023</v>
      </c>
      <c r="AC705" s="57">
        <f t="shared" si="328"/>
        <v>-1.0222311710489789</v>
      </c>
      <c r="AD705" s="57">
        <f t="shared" si="329"/>
        <v>-1.950140538045761</v>
      </c>
      <c r="AE705" s="57">
        <f t="shared" si="330"/>
        <v>-0.37089209039264109</v>
      </c>
      <c r="AF705" s="57">
        <f t="shared" si="331"/>
        <v>-0.59781119214937595</v>
      </c>
      <c r="AG705" s="57">
        <f t="shared" si="332"/>
        <v>-0.93991183983830917</v>
      </c>
      <c r="AH705" s="57">
        <f t="shared" si="333"/>
        <v>-1.6988804831558857</v>
      </c>
      <c r="AJ705" s="57">
        <f t="shared" si="334"/>
        <v>487496.52564100968</v>
      </c>
      <c r="AK705" s="57">
        <f t="shared" si="335"/>
        <v>505179.69129935047</v>
      </c>
      <c r="AL705" s="57">
        <f t="shared" si="336"/>
        <v>519163.11416291061</v>
      </c>
      <c r="AN705" s="41">
        <v>700</v>
      </c>
      <c r="AO705" s="57">
        <f t="shared" si="337"/>
        <v>12047.694655894309</v>
      </c>
      <c r="AP705" s="57">
        <f t="shared" si="338"/>
        <v>12434.848925057471</v>
      </c>
      <c r="AR705" s="41">
        <v>700</v>
      </c>
      <c r="AS705" s="57">
        <f t="shared" si="339"/>
        <v>18288.924172750678</v>
      </c>
      <c r="AT705" s="57">
        <f t="shared" si="340"/>
        <v>-6197.070501639847</v>
      </c>
      <c r="AV705" s="57">
        <f t="shared" si="341"/>
        <v>-3.6620461953635637</v>
      </c>
      <c r="AW705" s="57">
        <f t="shared" si="342"/>
        <v>-6.4381509456540558</v>
      </c>
      <c r="AX705" s="57">
        <f t="shared" si="343"/>
        <v>-0.33049510226389966</v>
      </c>
      <c r="AY705" s="57">
        <f t="shared" si="344"/>
        <v>-0.63472608415394405</v>
      </c>
      <c r="BA705" s="57">
        <f t="shared" si="345"/>
        <v>488105.89441434387</v>
      </c>
      <c r="BB705" s="57">
        <f t="shared" si="346"/>
        <v>500890.9390329197</v>
      </c>
    </row>
    <row r="706" spans="9:54" x14ac:dyDescent="0.25">
      <c r="I706" s="41">
        <v>701</v>
      </c>
      <c r="J706" s="57">
        <f t="shared" si="320"/>
        <v>24727.592877996583</v>
      </c>
      <c r="K706" s="57">
        <f t="shared" si="321"/>
        <v>5872.159227714219</v>
      </c>
      <c r="M706" s="41">
        <v>701</v>
      </c>
      <c r="N706" s="57">
        <f t="shared" si="322"/>
        <v>-16690.684985402389</v>
      </c>
      <c r="O706" s="57">
        <f t="shared" si="323"/>
        <v>8860.5114593999533</v>
      </c>
      <c r="Q706" s="41">
        <v>701</v>
      </c>
      <c r="R706" s="57">
        <f t="shared" si="324"/>
        <v>-272.40712200341477</v>
      </c>
      <c r="S706" s="41">
        <f t="shared" si="325"/>
        <v>-16627.840772285781</v>
      </c>
      <c r="U706" s="41">
        <v>700</v>
      </c>
      <c r="V706" s="41">
        <f t="shared" si="347"/>
        <v>350</v>
      </c>
      <c r="W706" s="57">
        <f t="shared" si="348"/>
        <v>246784.19208274165</v>
      </c>
      <c r="X706" s="57">
        <f t="shared" si="349"/>
        <v>439871.54362996551</v>
      </c>
      <c r="Y706" s="57">
        <f t="shared" si="350"/>
        <v>909.9235544015628</v>
      </c>
      <c r="Z706" s="57">
        <f t="shared" si="351"/>
        <v>1193.3855614551994</v>
      </c>
      <c r="AA706" s="57">
        <f t="shared" si="326"/>
        <v>-6.3089994227502997</v>
      </c>
      <c r="AB706" s="57">
        <f t="shared" si="327"/>
        <v>-11.284365132721268</v>
      </c>
      <c r="AC706" s="57">
        <f t="shared" si="328"/>
        <v>-1.0196327545233588</v>
      </c>
      <c r="AD706" s="57">
        <f t="shared" si="329"/>
        <v>-1.943963483345839</v>
      </c>
      <c r="AE706" s="57">
        <f t="shared" si="330"/>
        <v>-0.36988052279232858</v>
      </c>
      <c r="AF706" s="57">
        <f t="shared" si="331"/>
        <v>-0.59599150178314764</v>
      </c>
      <c r="AG706" s="57">
        <f t="shared" si="332"/>
        <v>-0.9375811318503966</v>
      </c>
      <c r="AH706" s="57">
        <f t="shared" si="333"/>
        <v>-1.6938274527694337</v>
      </c>
      <c r="AJ706" s="57">
        <f t="shared" si="334"/>
        <v>488237.87390941009</v>
      </c>
      <c r="AK706" s="57">
        <f t="shared" si="335"/>
        <v>505928.20554704254</v>
      </c>
      <c r="AL706" s="57">
        <f t="shared" si="336"/>
        <v>519907.10765199829</v>
      </c>
      <c r="AN706" s="41">
        <v>701</v>
      </c>
      <c r="AO706" s="57">
        <f t="shared" si="337"/>
        <v>12091.389316994877</v>
      </c>
      <c r="AP706" s="57">
        <f t="shared" si="338"/>
        <v>12558.238841571329</v>
      </c>
      <c r="AR706" s="41">
        <v>701</v>
      </c>
      <c r="AS706" s="57">
        <f t="shared" si="339"/>
        <v>18309.315014597611</v>
      </c>
      <c r="AT706" s="57">
        <f t="shared" si="340"/>
        <v>-6139.4885406000467</v>
      </c>
      <c r="AV706" s="57">
        <f t="shared" si="341"/>
        <v>-3.6522238195701835</v>
      </c>
      <c r="AW706" s="57">
        <f t="shared" si="342"/>
        <v>-6.4178139957631801</v>
      </c>
      <c r="AX706" s="57">
        <f t="shared" si="343"/>
        <v>-0.32968119401403223</v>
      </c>
      <c r="AY706" s="57">
        <f t="shared" si="344"/>
        <v>-0.63276869905966826</v>
      </c>
      <c r="BA706" s="57">
        <f t="shared" si="345"/>
        <v>488851.12675293465</v>
      </c>
      <c r="BB706" s="57">
        <f t="shared" si="346"/>
        <v>501631.93880688818</v>
      </c>
    </row>
    <row r="707" spans="9:54" x14ac:dyDescent="0.25">
      <c r="I707" s="41">
        <v>702</v>
      </c>
      <c r="J707" s="57">
        <f t="shared" si="320"/>
        <v>24755.282581475767</v>
      </c>
      <c r="K707" s="57">
        <f t="shared" si="321"/>
        <v>5954.9150281252605</v>
      </c>
      <c r="M707" s="41">
        <v>702</v>
      </c>
      <c r="N707" s="57">
        <f t="shared" si="322"/>
        <v>-16671.302192966963</v>
      </c>
      <c r="O707" s="57">
        <f t="shared" si="323"/>
        <v>8918.4405196876833</v>
      </c>
      <c r="Q707" s="41">
        <v>702</v>
      </c>
      <c r="R707" s="57">
        <f t="shared" si="324"/>
        <v>-244.71741852423293</v>
      </c>
      <c r="S707" s="41">
        <f t="shared" si="325"/>
        <v>-16545.084971874741</v>
      </c>
      <c r="U707" s="41">
        <v>701</v>
      </c>
      <c r="V707" s="41">
        <f t="shared" si="347"/>
        <v>350.5</v>
      </c>
      <c r="W707" s="57">
        <f t="shared" si="348"/>
        <v>247238.36523501459</v>
      </c>
      <c r="X707" s="57">
        <f t="shared" si="349"/>
        <v>440466.82586505148</v>
      </c>
      <c r="Y707" s="57">
        <f t="shared" si="350"/>
        <v>906.76905469018766</v>
      </c>
      <c r="Z707" s="57">
        <f t="shared" si="351"/>
        <v>1187.7433788888388</v>
      </c>
      <c r="AA707" s="57">
        <f t="shared" si="326"/>
        <v>-6.2925673902716968</v>
      </c>
      <c r="AB707" s="57">
        <f t="shared" si="327"/>
        <v>-11.249331279749516</v>
      </c>
      <c r="AC707" s="57">
        <f t="shared" si="328"/>
        <v>-1.0170567731770981</v>
      </c>
      <c r="AD707" s="57">
        <f t="shared" si="329"/>
        <v>-1.9378410962938359</v>
      </c>
      <c r="AE707" s="57">
        <f t="shared" si="330"/>
        <v>-0.36887791723361379</v>
      </c>
      <c r="AF707" s="57">
        <f t="shared" si="331"/>
        <v>-0.59418753749530739</v>
      </c>
      <c r="AG707" s="57">
        <f t="shared" si="332"/>
        <v>-0.93527033649462021</v>
      </c>
      <c r="AH707" s="57">
        <f t="shared" si="333"/>
        <v>-1.6888176827979617</v>
      </c>
      <c r="AJ707" s="57">
        <f t="shared" si="334"/>
        <v>488976.01877222944</v>
      </c>
      <c r="AK707" s="57">
        <f t="shared" si="335"/>
        <v>506673.49646869791</v>
      </c>
      <c r="AL707" s="57">
        <f t="shared" si="336"/>
        <v>520647.88711759669</v>
      </c>
      <c r="AN707" s="41">
        <v>702</v>
      </c>
      <c r="AO707" s="57">
        <f t="shared" si="337"/>
        <v>12132.923872213651</v>
      </c>
      <c r="AP707" s="57">
        <f t="shared" si="338"/>
        <v>12682.372542187892</v>
      </c>
      <c r="AR707" s="41">
        <v>702</v>
      </c>
      <c r="AS707" s="57">
        <f t="shared" si="339"/>
        <v>18328.697807033037</v>
      </c>
      <c r="AT707" s="57">
        <f t="shared" si="340"/>
        <v>-6081.5594803123176</v>
      </c>
      <c r="AV707" s="57">
        <f t="shared" si="341"/>
        <v>-3.6424881403771847</v>
      </c>
      <c r="AW707" s="57">
        <f t="shared" si="342"/>
        <v>-6.3976565637479936</v>
      </c>
      <c r="AX707" s="57">
        <f t="shared" si="343"/>
        <v>-0.32887422298917995</v>
      </c>
      <c r="AY707" s="57">
        <f t="shared" si="344"/>
        <v>-0.63082839941441737</v>
      </c>
      <c r="BA707" s="57">
        <f t="shared" si="345"/>
        <v>489593.14282719931</v>
      </c>
      <c r="BB707" s="57">
        <f t="shared" si="346"/>
        <v>502369.73558656586</v>
      </c>
    </row>
    <row r="708" spans="9:54" x14ac:dyDescent="0.25">
      <c r="I708" s="41">
        <v>703</v>
      </c>
      <c r="J708" s="57">
        <f t="shared" si="320"/>
        <v>24781.523779815176</v>
      </c>
      <c r="K708" s="57">
        <f t="shared" si="321"/>
        <v>6038.1414763863086</v>
      </c>
      <c r="M708" s="41">
        <v>703</v>
      </c>
      <c r="N708" s="57">
        <f t="shared" si="322"/>
        <v>-16652.933354129378</v>
      </c>
      <c r="O708" s="57">
        <f t="shared" si="323"/>
        <v>8976.6990334704169</v>
      </c>
      <c r="Q708" s="41">
        <v>703</v>
      </c>
      <c r="R708" s="57">
        <f t="shared" si="324"/>
        <v>-218.47622018482525</v>
      </c>
      <c r="S708" s="41">
        <f t="shared" si="325"/>
        <v>-16461.85852361369</v>
      </c>
      <c r="U708" s="41">
        <v>702</v>
      </c>
      <c r="V708" s="41">
        <f t="shared" si="347"/>
        <v>351</v>
      </c>
      <c r="W708" s="57">
        <f t="shared" si="348"/>
        <v>247690.96319143591</v>
      </c>
      <c r="X708" s="57">
        <f t="shared" si="349"/>
        <v>441059.29138808593</v>
      </c>
      <c r="Y708" s="57">
        <f t="shared" si="350"/>
        <v>903.62277099505184</v>
      </c>
      <c r="Z708" s="57">
        <f t="shared" si="351"/>
        <v>1182.118713248964</v>
      </c>
      <c r="AA708" s="57">
        <f t="shared" si="326"/>
        <v>-6.2762787784869465</v>
      </c>
      <c r="AB708" s="57">
        <f t="shared" si="327"/>
        <v>-11.214604213470265</v>
      </c>
      <c r="AC708" s="57">
        <f t="shared" si="328"/>
        <v>-1.0145029969979589</v>
      </c>
      <c r="AD708" s="57">
        <f t="shared" si="329"/>
        <v>-1.9317727604310488</v>
      </c>
      <c r="AE708" s="57">
        <f t="shared" si="330"/>
        <v>-0.36788417707521948</v>
      </c>
      <c r="AF708" s="57">
        <f t="shared" si="331"/>
        <v>-0.5923991261876359</v>
      </c>
      <c r="AG708" s="57">
        <f t="shared" si="332"/>
        <v>-0.93297925135486648</v>
      </c>
      <c r="AH708" s="57">
        <f t="shared" si="333"/>
        <v>-1.6838507039538957</v>
      </c>
      <c r="AJ708" s="57">
        <f t="shared" si="334"/>
        <v>489710.96972396178</v>
      </c>
      <c r="AK708" s="57">
        <f t="shared" si="335"/>
        <v>507415.57373257424</v>
      </c>
      <c r="AL708" s="57">
        <f t="shared" si="336"/>
        <v>521385.46214870497</v>
      </c>
      <c r="AN708" s="41">
        <v>703</v>
      </c>
      <c r="AO708" s="57">
        <f t="shared" si="337"/>
        <v>12172.285669722762</v>
      </c>
      <c r="AP708" s="57">
        <f t="shared" si="338"/>
        <v>12807.212214579464</v>
      </c>
      <c r="AR708" s="41">
        <v>703</v>
      </c>
      <c r="AS708" s="57">
        <f t="shared" si="339"/>
        <v>18347.066645870622</v>
      </c>
      <c r="AT708" s="57">
        <f t="shared" si="340"/>
        <v>-6023.300966529584</v>
      </c>
      <c r="AV708" s="57">
        <f t="shared" si="341"/>
        <v>-3.6328382336555447</v>
      </c>
      <c r="AW708" s="57">
        <f t="shared" si="342"/>
        <v>-6.3776766271182117</v>
      </c>
      <c r="AX708" s="57">
        <f t="shared" si="343"/>
        <v>-0.32807411940335685</v>
      </c>
      <c r="AY708" s="57">
        <f t="shared" si="344"/>
        <v>-0.62890499577947356</v>
      </c>
      <c r="BA708" s="57">
        <f t="shared" si="345"/>
        <v>490331.95224552194</v>
      </c>
      <c r="BB708" s="57">
        <f t="shared" si="346"/>
        <v>503104.33886481199</v>
      </c>
    </row>
    <row r="709" spans="9:54" x14ac:dyDescent="0.25">
      <c r="I709" s="41">
        <v>704</v>
      </c>
      <c r="J709" s="57">
        <f t="shared" si="320"/>
        <v>24806.308479691594</v>
      </c>
      <c r="K709" s="57">
        <f t="shared" si="321"/>
        <v>6121.8132209149999</v>
      </c>
      <c r="M709" s="41">
        <v>704</v>
      </c>
      <c r="N709" s="57">
        <f t="shared" si="322"/>
        <v>-16635.584064215884</v>
      </c>
      <c r="O709" s="57">
        <f t="shared" si="323"/>
        <v>9035.2692546404996</v>
      </c>
      <c r="Q709" s="41">
        <v>704</v>
      </c>
      <c r="R709" s="57">
        <f t="shared" si="324"/>
        <v>-193.69152030840633</v>
      </c>
      <c r="S709" s="41">
        <f t="shared" si="325"/>
        <v>-16378.186779085001</v>
      </c>
      <c r="U709" s="41">
        <v>703</v>
      </c>
      <c r="V709" s="41">
        <f t="shared" si="347"/>
        <v>351.5</v>
      </c>
      <c r="W709" s="57">
        <f t="shared" si="348"/>
        <v>248141.99004208614</v>
      </c>
      <c r="X709" s="57">
        <f t="shared" si="349"/>
        <v>441648.94891918375</v>
      </c>
      <c r="Y709" s="57">
        <f t="shared" si="350"/>
        <v>900.48463160580832</v>
      </c>
      <c r="Z709" s="57">
        <f t="shared" si="351"/>
        <v>1176.5114111422288</v>
      </c>
      <c r="AA709" s="57">
        <f t="shared" si="326"/>
        <v>-6.2601320868432886</v>
      </c>
      <c r="AB709" s="57">
        <f t="shared" si="327"/>
        <v>-11.180180515826914</v>
      </c>
      <c r="AC709" s="57">
        <f t="shared" si="328"/>
        <v>-1.0119711992928329</v>
      </c>
      <c r="AD709" s="57">
        <f t="shared" si="329"/>
        <v>-1.9257578687221122</v>
      </c>
      <c r="AE709" s="57">
        <f t="shared" si="330"/>
        <v>-0.36689920712678981</v>
      </c>
      <c r="AF709" s="57">
        <f t="shared" si="331"/>
        <v>-0.59062609735500049</v>
      </c>
      <c r="AG709" s="57">
        <f t="shared" si="332"/>
        <v>-0.93070767692317991</v>
      </c>
      <c r="AH709" s="57">
        <f t="shared" si="333"/>
        <v>-1.6789260539009188</v>
      </c>
      <c r="AJ709" s="57">
        <f t="shared" si="334"/>
        <v>490442.73617619759</v>
      </c>
      <c r="AK709" s="57">
        <f t="shared" si="335"/>
        <v>508154.44692215999</v>
      </c>
      <c r="AL709" s="57">
        <f t="shared" si="336"/>
        <v>522119.84225028544</v>
      </c>
      <c r="AN709" s="41">
        <v>704</v>
      </c>
      <c r="AO709" s="57">
        <f t="shared" si="337"/>
        <v>12209.462719537391</v>
      </c>
      <c r="AP709" s="57">
        <f t="shared" si="338"/>
        <v>12932.7198313725</v>
      </c>
      <c r="AR709" s="41">
        <v>704</v>
      </c>
      <c r="AS709" s="57">
        <f t="shared" si="339"/>
        <v>18364.415935784116</v>
      </c>
      <c r="AT709" s="57">
        <f t="shared" si="340"/>
        <v>-5964.7307453595004</v>
      </c>
      <c r="AV709" s="57">
        <f t="shared" si="341"/>
        <v>-3.6232731890369068</v>
      </c>
      <c r="AW709" s="57">
        <f t="shared" si="342"/>
        <v>-6.3578721942765908</v>
      </c>
      <c r="AX709" s="57">
        <f t="shared" si="343"/>
        <v>-0.32728081446357937</v>
      </c>
      <c r="AY709" s="57">
        <f t="shared" si="344"/>
        <v>-0.62699830157229153</v>
      </c>
      <c r="BA709" s="57">
        <f t="shared" si="345"/>
        <v>491067.56453208165</v>
      </c>
      <c r="BB709" s="57">
        <f t="shared" si="346"/>
        <v>503835.75805156567</v>
      </c>
    </row>
    <row r="710" spans="9:54" x14ac:dyDescent="0.25">
      <c r="I710" s="41">
        <v>705</v>
      </c>
      <c r="J710" s="57">
        <f t="shared" si="320"/>
        <v>24829.629131445341</v>
      </c>
      <c r="K710" s="57">
        <f t="shared" si="321"/>
        <v>6205.9047744873951</v>
      </c>
      <c r="M710" s="41">
        <v>705</v>
      </c>
      <c r="N710" s="57">
        <f t="shared" si="322"/>
        <v>-16619.259607988261</v>
      </c>
      <c r="O710" s="57">
        <f t="shared" si="323"/>
        <v>9094.1333421411764</v>
      </c>
      <c r="Q710" s="41">
        <v>705</v>
      </c>
      <c r="R710" s="57">
        <f t="shared" si="324"/>
        <v>-170.37086855465895</v>
      </c>
      <c r="S710" s="41">
        <f t="shared" si="325"/>
        <v>-16294.095225512605</v>
      </c>
      <c r="U710" s="41">
        <v>704</v>
      </c>
      <c r="V710" s="41">
        <f t="shared" si="347"/>
        <v>352</v>
      </c>
      <c r="W710" s="57">
        <f t="shared" si="348"/>
        <v>248591.44984137817</v>
      </c>
      <c r="X710" s="57">
        <f t="shared" si="349"/>
        <v>442235.80710219039</v>
      </c>
      <c r="Y710" s="57">
        <f t="shared" si="350"/>
        <v>897.35456556238671</v>
      </c>
      <c r="Z710" s="57">
        <f t="shared" si="351"/>
        <v>1170.9213208843153</v>
      </c>
      <c r="AA710" s="57">
        <f t="shared" si="326"/>
        <v>-6.2441258368201087</v>
      </c>
      <c r="AB710" s="57">
        <f t="shared" si="327"/>
        <v>-11.146056820506061</v>
      </c>
      <c r="AC710" s="57">
        <f t="shared" si="328"/>
        <v>-1.0094611566300373</v>
      </c>
      <c r="AD710" s="57">
        <f t="shared" si="329"/>
        <v>-1.9197958233800578</v>
      </c>
      <c r="AE710" s="57">
        <f t="shared" si="330"/>
        <v>-0.36592291362249246</v>
      </c>
      <c r="AF710" s="57">
        <f t="shared" si="331"/>
        <v>-0.58886828303808825</v>
      </c>
      <c r="AG710" s="57">
        <f t="shared" si="332"/>
        <v>-0.92845541654923747</v>
      </c>
      <c r="AH710" s="57">
        <f t="shared" si="333"/>
        <v>-1.674043277128747</v>
      </c>
      <c r="AJ710" s="57">
        <f t="shared" si="334"/>
        <v>491171.32745853171</v>
      </c>
      <c r="AK710" s="57">
        <f t="shared" si="335"/>
        <v>508890.12553710991</v>
      </c>
      <c r="AL710" s="57">
        <f t="shared" si="336"/>
        <v>522851.03684418916</v>
      </c>
      <c r="AN710" s="41">
        <v>705</v>
      </c>
      <c r="AO710" s="57">
        <f t="shared" si="337"/>
        <v>12244.443697168012</v>
      </c>
      <c r="AP710" s="57">
        <f t="shared" si="338"/>
        <v>13058.857161731094</v>
      </c>
      <c r="AR710" s="41">
        <v>705</v>
      </c>
      <c r="AS710" s="57">
        <f t="shared" si="339"/>
        <v>18380.740392011739</v>
      </c>
      <c r="AT710" s="57">
        <f t="shared" si="340"/>
        <v>-5905.8666578588236</v>
      </c>
      <c r="AV710" s="57">
        <f t="shared" si="341"/>
        <v>-3.6137921096655026</v>
      </c>
      <c r="AW710" s="57">
        <f t="shared" si="342"/>
        <v>-6.3382413039449927</v>
      </c>
      <c r="AX710" s="57">
        <f t="shared" si="343"/>
        <v>-0.32649424035283875</v>
      </c>
      <c r="AY710" s="57">
        <f t="shared" si="344"/>
        <v>-0.62510813301417567</v>
      </c>
      <c r="BA710" s="57">
        <f t="shared" si="345"/>
        <v>491799.98912778014</v>
      </c>
      <c r="BB710" s="57">
        <f t="shared" si="346"/>
        <v>504564.00247475517</v>
      </c>
    </row>
    <row r="711" spans="9:54" x14ac:dyDescent="0.25">
      <c r="I711" s="41">
        <v>706</v>
      </c>
      <c r="J711" s="57">
        <f t="shared" ref="J711:J774" si="352">$F$8*COS(I711*PI()/180)+$E$7</f>
        <v>24851.478631379981</v>
      </c>
      <c r="K711" s="57">
        <f t="shared" ref="K711:K774" si="353">$F$8*SIN(I711*PI()/180)+$G$7</f>
        <v>6290.390522001655</v>
      </c>
      <c r="M711" s="41">
        <v>706</v>
      </c>
      <c r="N711" s="57">
        <f t="shared" ref="N711:N774" si="354">$F$19*COS(M711*PI()/180)+$E$18</f>
        <v>-16603.964958034012</v>
      </c>
      <c r="O711" s="57">
        <f t="shared" ref="O711:O774" si="355">$F$19*SIN(M711*PI()/180)+$G$18</f>
        <v>9153.273365401159</v>
      </c>
      <c r="Q711" s="41">
        <v>706</v>
      </c>
      <c r="R711" s="57">
        <f t="shared" ref="R711:R774" si="356">$F$30*COS(Q711*PI()/180)+$E$29</f>
        <v>-148.52136862001953</v>
      </c>
      <c r="S711" s="41">
        <f t="shared" ref="S711:S774" si="357">$F$30*SIN(Q711*PI()/180)+$G$29</f>
        <v>-16209.609477998345</v>
      </c>
      <c r="U711" s="41">
        <v>705</v>
      </c>
      <c r="V711" s="41">
        <f t="shared" si="347"/>
        <v>352.5</v>
      </c>
      <c r="W711" s="57">
        <f t="shared" si="348"/>
        <v>249039.34660842977</v>
      </c>
      <c r="X711" s="57">
        <f t="shared" si="349"/>
        <v>442819.87450553</v>
      </c>
      <c r="Y711" s="57">
        <f t="shared" si="350"/>
        <v>894.23250264397666</v>
      </c>
      <c r="Z711" s="57">
        <f t="shared" si="351"/>
        <v>1165.3482924740622</v>
      </c>
      <c r="AA711" s="57">
        <f t="shared" ref="AA711:AA774" si="358">AC711+AE711+AG711+AV711+AX711</f>
        <v>-6.2282585715377756</v>
      </c>
      <c r="AB711" s="57">
        <f t="shared" ref="AB711:AB774" si="359">AD711+AF711+AH711+AW711+AY711</f>
        <v>-11.112229811985291</v>
      </c>
      <c r="AC711" s="57">
        <f t="shared" ref="AC711:AC774" si="360">(($E$7-W711)/(AJ711^2+$F$12^2)^(3/2))*$E$11</f>
        <v>-1.0069726487827124</v>
      </c>
      <c r="AD711" s="57">
        <f t="shared" ref="AD711:AD774" si="361">(($G$7-X711)/(AJ711^2+$F$12^2)^(3/2))*$E$11</f>
        <v>-1.9138860356950473</v>
      </c>
      <c r="AE711" s="57">
        <f t="shared" ref="AE711:AE774" si="362">(($E$18-W711)/(AK711^2+$F$23^2)^(3/2))*$E$22</f>
        <v>-0.3649552041951814</v>
      </c>
      <c r="AF711" s="57">
        <f t="shared" ref="AF711:AF774" si="363">(($G$18-X711)/(AK711^2+$F$23^2)^(3/2))*$E$22</f>
        <v>-0.58712551777714272</v>
      </c>
      <c r="AG711" s="57">
        <f t="shared" ref="AG711:AG774" si="364">(($E$29-W711)/(AL711^2+$F$34^2)^(3/2))*$E$33</f>
        <v>-0.9262222763908331</v>
      </c>
      <c r="AH711" s="57">
        <f t="shared" ref="AH711:AH774" si="365">(($G$29-X711)/(AL711^2+$F$34^2)^(3/2))*$E$33</f>
        <v>-1.6692019248305159</v>
      </c>
      <c r="AJ711" s="57">
        <f t="shared" ref="AJ711:AJ774" si="366">SQRT(($E$7-W711)^2+($G$7-X711)^2)</f>
        <v>491896.75281945785</v>
      </c>
      <c r="AK711" s="57">
        <f t="shared" ref="AK711:AK774" si="367">SQRT(($E$18-W711)^2+($G$18-X711)^2)</f>
        <v>509622.61899416667</v>
      </c>
      <c r="AL711" s="57">
        <f t="shared" ref="AL711:AL774" si="368">SQRT(($E$29-W711)^2+($G$29-X711)^2)</f>
        <v>523579.05527006823</v>
      </c>
      <c r="AN711" s="41">
        <v>706</v>
      </c>
      <c r="AO711" s="57">
        <f t="shared" ref="AO711:AO774" si="369">$F$41*COS(AN711*PI()/180)+$E$40</f>
        <v>12277.21794706997</v>
      </c>
      <c r="AP711" s="57">
        <f t="shared" ref="AP711:AP774" si="370">$F$41*SIN(AN711*PI()/180)+$G$40</f>
        <v>13185.585783002483</v>
      </c>
      <c r="AR711" s="41">
        <v>706</v>
      </c>
      <c r="AS711" s="57">
        <f t="shared" ref="AS711:AS774" si="371">$F$52*COS(AR711*PI()/180)+$E$51</f>
        <v>18396.035041965988</v>
      </c>
      <c r="AT711" s="57">
        <f t="shared" ref="AT711:AT774" si="372">$F$52*SIN(AR711*PI()/180)+$G$51</f>
        <v>-5846.726634598841</v>
      </c>
      <c r="AV711" s="57">
        <f t="shared" ref="AV711:AV774" si="373">(($E$40-W711)/(BA711^2+$F$45^2)^(3/2))*$E$44</f>
        <v>-3.6043941119556466</v>
      </c>
      <c r="AW711" s="57">
        <f t="shared" ref="AW711:AW774" si="374">(($G$40-X711)/(BA711^2+$F$45^2)^(3/2))*$E$44</f>
        <v>-6.3187820246035278</v>
      </c>
      <c r="AX711" s="57">
        <f t="shared" ref="AX711:AX774" si="375">(($E$51-W711)/(BB711^2+$F$56^2)^(3/2))*$E$55</f>
        <v>-0.32571433021340163</v>
      </c>
      <c r="AY711" s="57">
        <f t="shared" ref="AY711:AY774" si="376">(($G$51-X711)/(BB711^2+$F$56^2)^(3/2))*$E$55</f>
        <v>-0.62323430907905519</v>
      </c>
      <c r="BA711" s="57">
        <f t="shared" ref="BA711:BA774" si="377">SQRT(($E$40-W711)^2+($G$40-X711)^2)</f>
        <v>492529.23539115599</v>
      </c>
      <c r="BB711" s="57">
        <f t="shared" ref="BB711:BB774" si="378">SQRT(($E$51-W711)^2+($G$51-X711)^2)</f>
        <v>505289.08138119249</v>
      </c>
    </row>
    <row r="712" spans="9:54" x14ac:dyDescent="0.25">
      <c r="I712" s="41">
        <v>707</v>
      </c>
      <c r="J712" s="57">
        <f t="shared" si="352"/>
        <v>24871.850323926177</v>
      </c>
      <c r="K712" s="57">
        <f t="shared" si="353"/>
        <v>6375.2447282806725</v>
      </c>
      <c r="M712" s="41">
        <v>707</v>
      </c>
      <c r="N712" s="57">
        <f t="shared" si="354"/>
        <v>-16589.704773251677</v>
      </c>
      <c r="O712" s="57">
        <f t="shared" si="355"/>
        <v>9212.6713097964712</v>
      </c>
      <c r="Q712" s="41">
        <v>707</v>
      </c>
      <c r="R712" s="57">
        <f t="shared" si="356"/>
        <v>-128.14967607382459</v>
      </c>
      <c r="S712" s="41">
        <f t="shared" si="357"/>
        <v>-16124.755271719328</v>
      </c>
      <c r="U712" s="41">
        <v>706</v>
      </c>
      <c r="V712" s="41">
        <f t="shared" ref="V712:V775" si="379">V711+0.5</f>
        <v>353</v>
      </c>
      <c r="W712" s="57">
        <f t="shared" ref="W712:W775" si="380">W711+Y711*$F$3+((1/2)*AA711)*$F$3^2</f>
        <v>249485.6843274303</v>
      </c>
      <c r="X712" s="57">
        <f t="shared" ref="X712:X775" si="381">X711+Z711*$F$3+((1/2)*AB711)*$F$3^2</f>
        <v>443401.15962304053</v>
      </c>
      <c r="Y712" s="57">
        <f t="shared" ref="Y712:Y775" si="382">Y711+AA711*$F$3</f>
        <v>891.1183733582078</v>
      </c>
      <c r="Z712" s="57">
        <f t="shared" ref="Z712:Z775" si="383">Z711+AB711*$F$3</f>
        <v>1159.7921775680695</v>
      </c>
      <c r="AA712" s="57">
        <f t="shared" si="358"/>
        <v>-6.2125288553747309</v>
      </c>
      <c r="AB712" s="57">
        <f t="shared" si="359"/>
        <v>-11.07869622460167</v>
      </c>
      <c r="AC712" s="57">
        <f t="shared" si="360"/>
        <v>-1.0045054586734743</v>
      </c>
      <c r="AD712" s="57">
        <f t="shared" si="361"/>
        <v>-1.908027925867025</v>
      </c>
      <c r="AE712" s="57">
        <f t="shared" si="362"/>
        <v>-0.3639959878511424</v>
      </c>
      <c r="AF712" s="57">
        <f t="shared" si="363"/>
        <v>-0.58539763856673865</v>
      </c>
      <c r="AG712" s="57">
        <f t="shared" si="364"/>
        <v>-0.92400806536544311</v>
      </c>
      <c r="AH712" s="57">
        <f t="shared" si="365"/>
        <v>-1.6644015547828848</v>
      </c>
      <c r="AJ712" s="57">
        <f t="shared" si="366"/>
        <v>492619.02142724901</v>
      </c>
      <c r="AK712" s="57">
        <f t="shared" si="367"/>
        <v>510351.93662806816</v>
      </c>
      <c r="AL712" s="57">
        <f t="shared" si="368"/>
        <v>524303.906786273</v>
      </c>
      <c r="AN712" s="41">
        <v>707</v>
      </c>
      <c r="AO712" s="57">
        <f t="shared" si="369"/>
        <v>12307.775485889262</v>
      </c>
      <c r="AP712" s="57">
        <f t="shared" si="370"/>
        <v>13312.867092421009</v>
      </c>
      <c r="AR712" s="41">
        <v>707</v>
      </c>
      <c r="AS712" s="57">
        <f t="shared" si="371"/>
        <v>18410.295226748323</v>
      </c>
      <c r="AT712" s="57">
        <f t="shared" si="372"/>
        <v>-5787.3286902035297</v>
      </c>
      <c r="AV712" s="57">
        <f t="shared" si="373"/>
        <v>-3.5950783253541916</v>
      </c>
      <c r="AW712" s="57">
        <f t="shared" si="374"/>
        <v>-6.2994924539415971</v>
      </c>
      <c r="AX712" s="57">
        <f t="shared" si="375"/>
        <v>-0.32494101813047999</v>
      </c>
      <c r="AY712" s="57">
        <f t="shared" si="376"/>
        <v>-0.62137665144342513</v>
      </c>
      <c r="BA712" s="57">
        <f t="shared" si="377"/>
        <v>493255.31259928434</v>
      </c>
      <c r="BB712" s="57">
        <f t="shared" si="378"/>
        <v>506011.00393745466</v>
      </c>
    </row>
    <row r="713" spans="9:54" x14ac:dyDescent="0.25">
      <c r="I713" s="41">
        <v>708</v>
      </c>
      <c r="J713" s="57">
        <f t="shared" si="352"/>
        <v>24890.73800366903</v>
      </c>
      <c r="K713" s="57">
        <f t="shared" si="353"/>
        <v>6460.4415459112042</v>
      </c>
      <c r="M713" s="41">
        <v>708</v>
      </c>
      <c r="N713" s="57">
        <f t="shared" si="354"/>
        <v>-16576.483397431679</v>
      </c>
      <c r="O713" s="57">
        <f t="shared" si="355"/>
        <v>9272.3090821378428</v>
      </c>
      <c r="Q713" s="41">
        <v>708</v>
      </c>
      <c r="R713" s="57">
        <f t="shared" si="356"/>
        <v>-109.26199633097167</v>
      </c>
      <c r="S713" s="41">
        <f t="shared" si="357"/>
        <v>-16039.558454088796</v>
      </c>
      <c r="U713" s="41">
        <v>707</v>
      </c>
      <c r="V713" s="41">
        <f t="shared" si="379"/>
        <v>353.5</v>
      </c>
      <c r="W713" s="57">
        <f t="shared" si="380"/>
        <v>249930.46694800249</v>
      </c>
      <c r="X713" s="57">
        <f t="shared" si="381"/>
        <v>443979.67087479652</v>
      </c>
      <c r="Y713" s="57">
        <f t="shared" si="382"/>
        <v>888.01210893052041</v>
      </c>
      <c r="Z713" s="57">
        <f t="shared" si="383"/>
        <v>1154.2528294557687</v>
      </c>
      <c r="AA713" s="57">
        <f t="shared" si="358"/>
        <v>-6.1969352735927838</v>
      </c>
      <c r="AB713" s="57">
        <f t="shared" si="359"/>
        <v>-11.045452841640769</v>
      </c>
      <c r="AC713" s="57">
        <f t="shared" si="360"/>
        <v>-1.0020593723201876</v>
      </c>
      <c r="AD713" s="57">
        <f t="shared" si="361"/>
        <v>-1.9022209228419975</v>
      </c>
      <c r="AE713" s="57">
        <f t="shared" si="362"/>
        <v>-0.36304517494536293</v>
      </c>
      <c r="AF713" s="57">
        <f t="shared" si="363"/>
        <v>-0.58368448481149648</v>
      </c>
      <c r="AG713" s="57">
        <f t="shared" si="364"/>
        <v>-0.92181259510275249</v>
      </c>
      <c r="AH713" s="57">
        <f t="shared" si="365"/>
        <v>-1.6596417312286202</v>
      </c>
      <c r="AJ713" s="57">
        <f t="shared" si="366"/>
        <v>493338.14237082575</v>
      </c>
      <c r="AK713" s="57">
        <f t="shared" si="367"/>
        <v>511078.08769244188</v>
      </c>
      <c r="AL713" s="57">
        <f t="shared" si="368"/>
        <v>525025.60057073704</v>
      </c>
      <c r="AN713" s="41">
        <v>708</v>
      </c>
      <c r="AO713" s="57">
        <f t="shared" si="369"/>
        <v>12336.107005503542</v>
      </c>
      <c r="AP713" s="57">
        <f t="shared" si="370"/>
        <v>13440.662318866805</v>
      </c>
      <c r="AR713" s="41">
        <v>708</v>
      </c>
      <c r="AS713" s="57">
        <f t="shared" si="371"/>
        <v>18423.516602568321</v>
      </c>
      <c r="AT713" s="57">
        <f t="shared" si="372"/>
        <v>-5727.6909178621572</v>
      </c>
      <c r="AV713" s="57">
        <f t="shared" si="373"/>
        <v>-3.5858438921082674</v>
      </c>
      <c r="AW713" s="57">
        <f t="shared" si="374"/>
        <v>-6.2803707183213247</v>
      </c>
      <c r="AX713" s="57">
        <f t="shared" si="375"/>
        <v>-0.32417423911621418</v>
      </c>
      <c r="AY713" s="57">
        <f t="shared" si="376"/>
        <v>-0.61953498443733013</v>
      </c>
      <c r="BA713" s="57">
        <f t="shared" si="377"/>
        <v>493978.22994866414</v>
      </c>
      <c r="BB713" s="57">
        <f t="shared" si="378"/>
        <v>506729.77923075244</v>
      </c>
    </row>
    <row r="714" spans="9:54" x14ac:dyDescent="0.25">
      <c r="I714" s="41">
        <v>709</v>
      </c>
      <c r="J714" s="57">
        <f t="shared" si="352"/>
        <v>24908.13591723832</v>
      </c>
      <c r="K714" s="57">
        <f t="shared" si="353"/>
        <v>6545.9550231172707</v>
      </c>
      <c r="M714" s="41">
        <v>709</v>
      </c>
      <c r="N714" s="57">
        <f t="shared" si="354"/>
        <v>-16564.304857933177</v>
      </c>
      <c r="O714" s="57">
        <f t="shared" si="355"/>
        <v>9332.1685161820897</v>
      </c>
      <c r="Q714" s="41">
        <v>709</v>
      </c>
      <c r="R714" s="57">
        <f t="shared" si="356"/>
        <v>-91.864082761680947</v>
      </c>
      <c r="S714" s="41">
        <f t="shared" si="357"/>
        <v>-15954.044976882729</v>
      </c>
      <c r="U714" s="41">
        <v>708</v>
      </c>
      <c r="V714" s="41">
        <f t="shared" si="379"/>
        <v>354</v>
      </c>
      <c r="W714" s="57">
        <f t="shared" si="380"/>
        <v>250373.69838555853</v>
      </c>
      <c r="X714" s="57">
        <f t="shared" si="381"/>
        <v>444555.41660791921</v>
      </c>
      <c r="Y714" s="57">
        <f t="shared" si="382"/>
        <v>884.91364129372403</v>
      </c>
      <c r="Z714" s="57">
        <f t="shared" si="383"/>
        <v>1148.7301030349483</v>
      </c>
      <c r="AA714" s="57">
        <f t="shared" si="358"/>
        <v>-6.1814764319701228</v>
      </c>
      <c r="AB714" s="57">
        <f t="shared" si="359"/>
        <v>-11.01249649444512</v>
      </c>
      <c r="AC714" s="57">
        <f t="shared" si="360"/>
        <v>-0.99963417878280614</v>
      </c>
      <c r="AD714" s="57">
        <f t="shared" si="361"/>
        <v>-1.8964644641517907</v>
      </c>
      <c r="AE714" s="57">
        <f t="shared" si="362"/>
        <v>-0.36210267715734457</v>
      </c>
      <c r="AF714" s="57">
        <f t="shared" si="363"/>
        <v>-0.58198589828276526</v>
      </c>
      <c r="AG714" s="57">
        <f t="shared" si="364"/>
        <v>-0.91963567989820827</v>
      </c>
      <c r="AH714" s="57">
        <f t="shared" si="365"/>
        <v>-1.6549220247617624</v>
      </c>
      <c r="AJ714" s="57">
        <f t="shared" si="366"/>
        <v>494054.12466061057</v>
      </c>
      <c r="AK714" s="57">
        <f t="shared" si="367"/>
        <v>511801.0813606857</v>
      </c>
      <c r="AL714" s="57">
        <f t="shared" si="368"/>
        <v>525744.14572184859</v>
      </c>
      <c r="AN714" s="41">
        <v>709</v>
      </c>
      <c r="AO714" s="57">
        <f t="shared" si="369"/>
        <v>12362.203875857478</v>
      </c>
      <c r="AP714" s="57">
        <f t="shared" si="370"/>
        <v>13568.932534675907</v>
      </c>
      <c r="AR714" s="41">
        <v>709</v>
      </c>
      <c r="AS714" s="57">
        <f t="shared" si="371"/>
        <v>18435.695142066823</v>
      </c>
      <c r="AT714" s="57">
        <f t="shared" si="372"/>
        <v>-5667.8314838179103</v>
      </c>
      <c r="AV714" s="57">
        <f t="shared" si="373"/>
        <v>-3.5766899670377814</v>
      </c>
      <c r="AW714" s="57">
        <f t="shared" si="374"/>
        <v>-6.2614149722523935</v>
      </c>
      <c r="AX714" s="57">
        <f t="shared" si="375"/>
        <v>-0.3234139290939817</v>
      </c>
      <c r="AY714" s="57">
        <f t="shared" si="376"/>
        <v>-0.61770913499640878</v>
      </c>
      <c r="BA714" s="57">
        <f t="shared" si="377"/>
        <v>494697.99655609083</v>
      </c>
      <c r="BB714" s="57">
        <f t="shared" si="378"/>
        <v>507445.41626978532</v>
      </c>
    </row>
    <row r="715" spans="9:54" x14ac:dyDescent="0.25">
      <c r="I715" s="41">
        <v>710</v>
      </c>
      <c r="J715" s="57">
        <f t="shared" si="352"/>
        <v>24924.038765061039</v>
      </c>
      <c r="K715" s="57">
        <f t="shared" si="353"/>
        <v>6631.7591116653466</v>
      </c>
      <c r="M715" s="41">
        <v>710</v>
      </c>
      <c r="N715" s="57">
        <f t="shared" si="354"/>
        <v>-16553.172864457272</v>
      </c>
      <c r="O715" s="57">
        <f t="shared" si="355"/>
        <v>9392.2313781657431</v>
      </c>
      <c r="Q715" s="41">
        <v>710</v>
      </c>
      <c r="R715" s="57">
        <f t="shared" si="356"/>
        <v>-75.961234938959933</v>
      </c>
      <c r="S715" s="41">
        <f t="shared" si="357"/>
        <v>-15868.240888334652</v>
      </c>
      <c r="U715" s="41">
        <v>709</v>
      </c>
      <c r="V715" s="41">
        <f t="shared" si="379"/>
        <v>354.5</v>
      </c>
      <c r="W715" s="57">
        <f t="shared" si="380"/>
        <v>250815.38252165139</v>
      </c>
      <c r="X715" s="57">
        <f t="shared" si="381"/>
        <v>445128.40509737493</v>
      </c>
      <c r="Y715" s="57">
        <f t="shared" si="382"/>
        <v>881.82290307773894</v>
      </c>
      <c r="Z715" s="57">
        <f t="shared" si="383"/>
        <v>1143.2238547877257</v>
      </c>
      <c r="AA715" s="57">
        <f t="shared" si="358"/>
        <v>-6.1661509564424284</v>
      </c>
      <c r="AB715" s="57">
        <f t="shared" si="359"/>
        <v>-10.979824061542685</v>
      </c>
      <c r="AC715" s="57">
        <f t="shared" si="360"/>
        <v>-0.99722967011139341</v>
      </c>
      <c r="AD715" s="57">
        <f t="shared" si="361"/>
        <v>-1.8907579957574658</v>
      </c>
      <c r="AE715" s="57">
        <f t="shared" si="362"/>
        <v>-0.36116840746744133</v>
      </c>
      <c r="AF715" s="57">
        <f t="shared" si="363"/>
        <v>-0.58030172307624461</v>
      </c>
      <c r="AG715" s="57">
        <f t="shared" si="364"/>
        <v>-0.91747713666745501</v>
      </c>
      <c r="AH715" s="57">
        <f t="shared" si="365"/>
        <v>-1.6502420122150876</v>
      </c>
      <c r="AJ715" s="57">
        <f t="shared" si="366"/>
        <v>494766.97722937044</v>
      </c>
      <c r="AK715" s="57">
        <f t="shared" si="367"/>
        <v>512520.92672683485</v>
      </c>
      <c r="AL715" s="57">
        <f t="shared" si="368"/>
        <v>526459.55125930882</v>
      </c>
      <c r="AN715" s="41">
        <v>710</v>
      </c>
      <c r="AO715" s="57">
        <f t="shared" si="369"/>
        <v>12386.058147591561</v>
      </c>
      <c r="AP715" s="57">
        <f t="shared" si="370"/>
        <v>13697.63866749802</v>
      </c>
      <c r="AR715" s="41">
        <v>710</v>
      </c>
      <c r="AS715" s="57">
        <f t="shared" si="371"/>
        <v>18446.827135542728</v>
      </c>
      <c r="AT715" s="57">
        <f t="shared" si="372"/>
        <v>-5607.7686218342569</v>
      </c>
      <c r="AV715" s="57">
        <f t="shared" si="373"/>
        <v>-3.5676157173130849</v>
      </c>
      <c r="AW715" s="57">
        <f t="shared" si="374"/>
        <v>-6.2426233978788659</v>
      </c>
      <c r="AX715" s="57">
        <f t="shared" si="375"/>
        <v>-0.3226600248830534</v>
      </c>
      <c r="AY715" s="57">
        <f t="shared" si="376"/>
        <v>-0.61589893261502171</v>
      </c>
      <c r="BA715" s="57">
        <f t="shared" si="377"/>
        <v>495414.6214595178</v>
      </c>
      <c r="BB715" s="57">
        <f t="shared" si="378"/>
        <v>508157.92398558464</v>
      </c>
    </row>
    <row r="716" spans="9:54" x14ac:dyDescent="0.25">
      <c r="I716" s="41">
        <v>711</v>
      </c>
      <c r="J716" s="57">
        <f t="shared" si="352"/>
        <v>24938.441702975688</v>
      </c>
      <c r="K716" s="57">
        <f t="shared" si="353"/>
        <v>6717.8276747988384</v>
      </c>
      <c r="M716" s="41">
        <v>711</v>
      </c>
      <c r="N716" s="57">
        <f t="shared" si="354"/>
        <v>-16543.090807917019</v>
      </c>
      <c r="O716" s="57">
        <f t="shared" si="355"/>
        <v>9452.4793723591865</v>
      </c>
      <c r="Q716" s="41">
        <v>711</v>
      </c>
      <c r="R716" s="57">
        <f t="shared" si="356"/>
        <v>-61.558297024312196</v>
      </c>
      <c r="S716" s="41">
        <f t="shared" si="357"/>
        <v>-15782.172325201162</v>
      </c>
      <c r="U716" s="41">
        <v>710</v>
      </c>
      <c r="V716" s="41">
        <f t="shared" si="379"/>
        <v>355</v>
      </c>
      <c r="W716" s="57">
        <f t="shared" si="380"/>
        <v>251255.52320432072</v>
      </c>
      <c r="X716" s="57">
        <f t="shared" si="381"/>
        <v>445698.64454676112</v>
      </c>
      <c r="Y716" s="57">
        <f t="shared" si="382"/>
        <v>878.73982759951775</v>
      </c>
      <c r="Z716" s="57">
        <f t="shared" si="383"/>
        <v>1137.7339427569543</v>
      </c>
      <c r="AA716" s="57">
        <f t="shared" si="358"/>
        <v>-6.1509574927511776</v>
      </c>
      <c r="AB716" s="57">
        <f t="shared" si="359"/>
        <v>-10.947432467793533</v>
      </c>
      <c r="AC716" s="57">
        <f t="shared" si="360"/>
        <v>-0.99484564129517905</v>
      </c>
      <c r="AD716" s="57">
        <f t="shared" si="361"/>
        <v>-1.8851009718960774</v>
      </c>
      <c r="AE716" s="57">
        <f t="shared" si="362"/>
        <v>-0.36024228013369675</v>
      </c>
      <c r="AF716" s="57">
        <f t="shared" si="363"/>
        <v>-0.57863180557049831</v>
      </c>
      <c r="AG716" s="57">
        <f t="shared" si="364"/>
        <v>-0.91533678490181603</v>
      </c>
      <c r="AH716" s="57">
        <f t="shared" si="365"/>
        <v>-1.6456012765501504</v>
      </c>
      <c r="AJ716" s="57">
        <f t="shared" si="366"/>
        <v>495476.70893304644</v>
      </c>
      <c r="AK716" s="57">
        <f t="shared" si="367"/>
        <v>513237.63280641712</v>
      </c>
      <c r="AL716" s="57">
        <f t="shared" si="368"/>
        <v>527171.82612497709</v>
      </c>
      <c r="AN716" s="41">
        <v>711</v>
      </c>
      <c r="AO716" s="57">
        <f t="shared" si="369"/>
        <v>12407.662554463532</v>
      </c>
      <c r="AP716" s="57">
        <f t="shared" si="370"/>
        <v>13826.741512198258</v>
      </c>
      <c r="AR716" s="41">
        <v>711</v>
      </c>
      <c r="AS716" s="57">
        <f t="shared" si="371"/>
        <v>18456.909192082981</v>
      </c>
      <c r="AT716" s="57">
        <f t="shared" si="372"/>
        <v>-5547.5206276408126</v>
      </c>
      <c r="AV716" s="57">
        <f t="shared" si="373"/>
        <v>-3.5586203222369623</v>
      </c>
      <c r="AW716" s="57">
        <f t="shared" si="374"/>
        <v>-6.2239942044764902</v>
      </c>
      <c r="AX716" s="57">
        <f t="shared" si="375"/>
        <v>-0.32191246418352393</v>
      </c>
      <c r="AY716" s="57">
        <f t="shared" si="376"/>
        <v>-0.61410420930031684</v>
      </c>
      <c r="BA716" s="57">
        <f t="shared" si="377"/>
        <v>496128.11361890292</v>
      </c>
      <c r="BB716" s="57">
        <f t="shared" si="378"/>
        <v>508867.31123234378</v>
      </c>
    </row>
    <row r="717" spans="9:54" x14ac:dyDescent="0.25">
      <c r="I717" s="41">
        <v>712</v>
      </c>
      <c r="J717" s="57">
        <f t="shared" si="352"/>
        <v>24951.340343707852</v>
      </c>
      <c r="K717" s="57">
        <f t="shared" si="353"/>
        <v>6804.134495199678</v>
      </c>
      <c r="M717" s="41">
        <v>712</v>
      </c>
      <c r="N717" s="57">
        <f t="shared" si="354"/>
        <v>-16534.061759404503</v>
      </c>
      <c r="O717" s="57">
        <f t="shared" si="355"/>
        <v>9512.8941466397755</v>
      </c>
      <c r="Q717" s="41">
        <v>712</v>
      </c>
      <c r="R717" s="57">
        <f t="shared" si="356"/>
        <v>-48.659656292147702</v>
      </c>
      <c r="S717" s="41">
        <f t="shared" si="357"/>
        <v>-15695.865504800322</v>
      </c>
      <c r="U717" s="41">
        <v>711</v>
      </c>
      <c r="V717" s="41">
        <f t="shared" si="379"/>
        <v>355.5</v>
      </c>
      <c r="W717" s="57">
        <f t="shared" si="380"/>
        <v>251694.12424843389</v>
      </c>
      <c r="X717" s="57">
        <f t="shared" si="381"/>
        <v>446266.14308908116</v>
      </c>
      <c r="Y717" s="57">
        <f t="shared" si="382"/>
        <v>875.6643488531422</v>
      </c>
      <c r="Z717" s="57">
        <f t="shared" si="383"/>
        <v>1132.2602265230576</v>
      </c>
      <c r="AA717" s="57">
        <f t="shared" si="358"/>
        <v>-6.1358947060994264</v>
      </c>
      <c r="AB717" s="57">
        <f t="shared" si="359"/>
        <v>-10.915318683555128</v>
      </c>
      <c r="AC717" s="57">
        <f t="shared" si="360"/>
        <v>-0.99248189021260724</v>
      </c>
      <c r="AD717" s="57">
        <f t="shared" si="361"/>
        <v>-1.8794928549306533</v>
      </c>
      <c r="AE717" s="57">
        <f t="shared" si="362"/>
        <v>-0.35932421066915932</v>
      </c>
      <c r="AF717" s="57">
        <f t="shared" si="363"/>
        <v>-0.57697599438632774</v>
      </c>
      <c r="AG717" s="57">
        <f t="shared" si="364"/>
        <v>-0.91321444662456608</v>
      </c>
      <c r="AH717" s="57">
        <f t="shared" si="365"/>
        <v>-1.6409994067494247</v>
      </c>
      <c r="AJ717" s="57">
        <f t="shared" si="366"/>
        <v>496183.32855157153</v>
      </c>
      <c r="AK717" s="57">
        <f t="shared" si="367"/>
        <v>513951.20853729494</v>
      </c>
      <c r="AL717" s="57">
        <f t="shared" si="368"/>
        <v>527880.97918370494</v>
      </c>
      <c r="AN717" s="41">
        <v>712</v>
      </c>
      <c r="AO717" s="57">
        <f t="shared" si="369"/>
        <v>12427.010515561778</v>
      </c>
      <c r="AP717" s="57">
        <f t="shared" si="370"/>
        <v>13956.201742799518</v>
      </c>
      <c r="AR717" s="41">
        <v>712</v>
      </c>
      <c r="AS717" s="57">
        <f t="shared" si="371"/>
        <v>18465.938240595497</v>
      </c>
      <c r="AT717" s="57">
        <f t="shared" si="372"/>
        <v>-5487.1058533602254</v>
      </c>
      <c r="AV717" s="57">
        <f t="shared" si="373"/>
        <v>-3.5497029730315268</v>
      </c>
      <c r="AW717" s="57">
        <f t="shared" si="374"/>
        <v>-6.2055256279614044</v>
      </c>
      <c r="AX717" s="57">
        <f t="shared" si="375"/>
        <v>-0.32117118556156787</v>
      </c>
      <c r="AY717" s="57">
        <f t="shared" si="376"/>
        <v>-0.61232479952731778</v>
      </c>
      <c r="BA717" s="57">
        <f t="shared" si="377"/>
        <v>496838.48191704467</v>
      </c>
      <c r="BB717" s="57">
        <f t="shared" si="378"/>
        <v>509573.58678823628</v>
      </c>
    </row>
    <row r="718" spans="9:54" x14ac:dyDescent="0.25">
      <c r="I718" s="41">
        <v>713</v>
      </c>
      <c r="J718" s="57">
        <f t="shared" si="352"/>
        <v>24962.73075820661</v>
      </c>
      <c r="K718" s="57">
        <f t="shared" si="353"/>
        <v>6890.6532829742628</v>
      </c>
      <c r="M718" s="41">
        <v>713</v>
      </c>
      <c r="N718" s="57">
        <f t="shared" si="354"/>
        <v>-16526.088469255374</v>
      </c>
      <c r="O718" s="57">
        <f t="shared" si="355"/>
        <v>9573.457298081983</v>
      </c>
      <c r="Q718" s="41">
        <v>713</v>
      </c>
      <c r="R718" s="57">
        <f t="shared" si="356"/>
        <v>-37.269241793390393</v>
      </c>
      <c r="S718" s="41">
        <f t="shared" si="357"/>
        <v>-15609.346717025737</v>
      </c>
      <c r="U718" s="41">
        <v>712</v>
      </c>
      <c r="V718" s="41">
        <f t="shared" si="379"/>
        <v>356</v>
      </c>
      <c r="W718" s="57">
        <f t="shared" si="380"/>
        <v>252131.18943602222</v>
      </c>
      <c r="X718" s="57">
        <f t="shared" si="381"/>
        <v>446830.90878750721</v>
      </c>
      <c r="Y718" s="57">
        <f t="shared" si="382"/>
        <v>872.5964015000925</v>
      </c>
      <c r="Z718" s="57">
        <f t="shared" si="383"/>
        <v>1126.80256718128</v>
      </c>
      <c r="AA718" s="57">
        <f t="shared" si="358"/>
        <v>-6.1209612808148801</v>
      </c>
      <c r="AB718" s="57">
        <f t="shared" si="359"/>
        <v>-10.88347972386571</v>
      </c>
      <c r="AC718" s="57">
        <f t="shared" si="360"/>
        <v>-0.99013821758247855</v>
      </c>
      <c r="AD718" s="57">
        <f t="shared" si="361"/>
        <v>-1.8739331152035601</v>
      </c>
      <c r="AE718" s="57">
        <f t="shared" si="362"/>
        <v>-0.35841411581972238</v>
      </c>
      <c r="AF718" s="57">
        <f t="shared" si="363"/>
        <v>-0.57533414034707264</v>
      </c>
      <c r="AG718" s="57">
        <f t="shared" si="364"/>
        <v>-0.91110994634818776</v>
      </c>
      <c r="AH718" s="57">
        <f t="shared" si="365"/>
        <v>-1.6364359977108727</v>
      </c>
      <c r="AJ718" s="57">
        <f t="shared" si="366"/>
        <v>496886.84478967584</v>
      </c>
      <c r="AK718" s="57">
        <f t="shared" si="367"/>
        <v>514661.66278049472</v>
      </c>
      <c r="AL718" s="57">
        <f t="shared" si="368"/>
        <v>528587.01922415616</v>
      </c>
      <c r="AN718" s="41">
        <v>713</v>
      </c>
      <c r="AO718" s="57">
        <f t="shared" si="369"/>
        <v>12444.096137309916</v>
      </c>
      <c r="AP718" s="57">
        <f t="shared" si="370"/>
        <v>14085.979924461393</v>
      </c>
      <c r="AR718" s="41">
        <v>713</v>
      </c>
      <c r="AS718" s="57">
        <f t="shared" si="371"/>
        <v>18473.911530744626</v>
      </c>
      <c r="AT718" s="57">
        <f t="shared" si="372"/>
        <v>-5426.5427019180161</v>
      </c>
      <c r="AV718" s="57">
        <f t="shared" si="373"/>
        <v>-3.5408628726294995</v>
      </c>
      <c r="AW718" s="57">
        <f t="shared" si="374"/>
        <v>-6.1872159304092396</v>
      </c>
      <c r="AX718" s="57">
        <f t="shared" si="375"/>
        <v>-0.32043612843499114</v>
      </c>
      <c r="AY718" s="57">
        <f t="shared" si="376"/>
        <v>-0.61056054019496553</v>
      </c>
      <c r="BA718" s="57">
        <f t="shared" si="377"/>
        <v>497545.73516040464</v>
      </c>
      <c r="BB718" s="57">
        <f t="shared" si="378"/>
        <v>510276.75935622165</v>
      </c>
    </row>
    <row r="719" spans="9:54" x14ac:dyDescent="0.25">
      <c r="I719" s="41">
        <v>714</v>
      </c>
      <c r="J719" s="57">
        <f t="shared" si="352"/>
        <v>24972.609476841368</v>
      </c>
      <c r="K719" s="57">
        <f t="shared" si="353"/>
        <v>6977.3576836617276</v>
      </c>
      <c r="M719" s="41">
        <v>714</v>
      </c>
      <c r="N719" s="57">
        <f t="shared" si="354"/>
        <v>-16519.173366211042</v>
      </c>
      <c r="O719" s="57">
        <f t="shared" si="355"/>
        <v>9634.1503785632085</v>
      </c>
      <c r="Q719" s="41">
        <v>714</v>
      </c>
      <c r="R719" s="57">
        <f t="shared" si="356"/>
        <v>-27.390523158634096</v>
      </c>
      <c r="S719" s="41">
        <f t="shared" si="357"/>
        <v>-15522.642316338273</v>
      </c>
      <c r="U719" s="41">
        <v>713</v>
      </c>
      <c r="V719" s="41">
        <f t="shared" si="379"/>
        <v>356.5</v>
      </c>
      <c r="W719" s="57">
        <f t="shared" si="380"/>
        <v>252566.72251661218</v>
      </c>
      <c r="X719" s="57">
        <f t="shared" si="381"/>
        <v>447392.9496361324</v>
      </c>
      <c r="Y719" s="57">
        <f t="shared" si="382"/>
        <v>869.53592085968501</v>
      </c>
      <c r="Z719" s="57">
        <f t="shared" si="383"/>
        <v>1121.3608273193472</v>
      </c>
      <c r="AA719" s="57">
        <f t="shared" si="358"/>
        <v>-6.1061559200198507</v>
      </c>
      <c r="AB719" s="57">
        <f t="shared" si="359"/>
        <v>-10.851912647644978</v>
      </c>
      <c r="AC719" s="57">
        <f t="shared" si="360"/>
        <v>-0.98781442691604493</v>
      </c>
      <c r="AD719" s="57">
        <f t="shared" si="361"/>
        <v>-1.8684212308929373</v>
      </c>
      <c r="AE719" s="57">
        <f t="shared" si="362"/>
        <v>-0.35751191354239348</v>
      </c>
      <c r="AF719" s="57">
        <f t="shared" si="363"/>
        <v>-0.57370609643968895</v>
      </c>
      <c r="AG719" s="57">
        <f t="shared" si="364"/>
        <v>-0.90902311103246691</v>
      </c>
      <c r="AH719" s="57">
        <f t="shared" si="365"/>
        <v>-1.6319106501446681</v>
      </c>
      <c r="AJ719" s="57">
        <f t="shared" si="366"/>
        <v>497587.26627768099</v>
      </c>
      <c r="AK719" s="57">
        <f t="shared" si="367"/>
        <v>515369.0043210244</v>
      </c>
      <c r="AL719" s="57">
        <f t="shared" si="368"/>
        <v>529289.95495961607</v>
      </c>
      <c r="AN719" s="41">
        <v>714</v>
      </c>
      <c r="AO719" s="57">
        <f t="shared" si="369"/>
        <v>12458.914215262048</v>
      </c>
      <c r="AP719" s="57">
        <f t="shared" si="370"/>
        <v>14216.036525492591</v>
      </c>
      <c r="AR719" s="41">
        <v>714</v>
      </c>
      <c r="AS719" s="57">
        <f t="shared" si="371"/>
        <v>18480.826633788958</v>
      </c>
      <c r="AT719" s="57">
        <f t="shared" si="372"/>
        <v>-5365.8496214367906</v>
      </c>
      <c r="AV719" s="57">
        <f t="shared" si="373"/>
        <v>-3.5320992354698806</v>
      </c>
      <c r="AW719" s="57">
        <f t="shared" si="374"/>
        <v>-6.1690633995846031</v>
      </c>
      <c r="AX719" s="57">
        <f t="shared" si="375"/>
        <v>-0.31970723305906468</v>
      </c>
      <c r="AY719" s="57">
        <f t="shared" si="376"/>
        <v>-0.60881127058308016</v>
      </c>
      <c r="BA719" s="57">
        <f t="shared" si="377"/>
        <v>498249.882079918</v>
      </c>
      <c r="BB719" s="57">
        <f t="shared" si="378"/>
        <v>510976.83756484033</v>
      </c>
    </row>
    <row r="720" spans="9:54" x14ac:dyDescent="0.25">
      <c r="I720" s="41">
        <v>715</v>
      </c>
      <c r="J720" s="57">
        <f t="shared" si="352"/>
        <v>24980.973490458728</v>
      </c>
      <c r="K720" s="57">
        <f t="shared" si="353"/>
        <v>7064.2212862617162</v>
      </c>
      <c r="M720" s="41">
        <v>715</v>
      </c>
      <c r="N720" s="57">
        <f t="shared" si="354"/>
        <v>-16513.318556678889</v>
      </c>
      <c r="O720" s="57">
        <f t="shared" si="355"/>
        <v>9694.9549003832017</v>
      </c>
      <c r="Q720" s="41">
        <v>715</v>
      </c>
      <c r="R720" s="57">
        <f t="shared" si="356"/>
        <v>-19.02650954127148</v>
      </c>
      <c r="S720" s="41">
        <f t="shared" si="357"/>
        <v>-15435.778713738284</v>
      </c>
      <c r="U720" s="41">
        <v>714</v>
      </c>
      <c r="V720" s="41">
        <f t="shared" si="379"/>
        <v>357</v>
      </c>
      <c r="W720" s="57">
        <f t="shared" si="380"/>
        <v>253000.727207552</v>
      </c>
      <c r="X720" s="57">
        <f t="shared" si="381"/>
        <v>447952.27356071112</v>
      </c>
      <c r="Y720" s="57">
        <f t="shared" si="382"/>
        <v>866.48284289967512</v>
      </c>
      <c r="Z720" s="57">
        <f t="shared" si="383"/>
        <v>1115.9348709955248</v>
      </c>
      <c r="AA720" s="57">
        <f t="shared" si="358"/>
        <v>-6.0914773453079389</v>
      </c>
      <c r="AB720" s="57">
        <f t="shared" si="359"/>
        <v>-10.820614556911547</v>
      </c>
      <c r="AC720" s="57">
        <f t="shared" si="360"/>
        <v>-0.9855103244700556</v>
      </c>
      <c r="AD720" s="57">
        <f t="shared" si="361"/>
        <v>-1.8629566878721786</v>
      </c>
      <c r="AE720" s="57">
        <f t="shared" si="362"/>
        <v>-0.35661752298403321</v>
      </c>
      <c r="AF720" s="57">
        <f t="shared" si="363"/>
        <v>-0.57209171777666268</v>
      </c>
      <c r="AG720" s="57">
        <f t="shared" si="364"/>
        <v>-0.90695377004340549</v>
      </c>
      <c r="AH720" s="57">
        <f t="shared" si="365"/>
        <v>-1.6274229704720098</v>
      </c>
      <c r="AJ720" s="57">
        <f t="shared" si="366"/>
        <v>498284.60157228174</v>
      </c>
      <c r="AK720" s="57">
        <f t="shared" si="367"/>
        <v>516073.24186867906</v>
      </c>
      <c r="AL720" s="57">
        <f t="shared" si="368"/>
        <v>529989.79502878839</v>
      </c>
      <c r="AN720" s="41">
        <v>715</v>
      </c>
      <c r="AO720" s="57">
        <f t="shared" si="369"/>
        <v>12471.460235688093</v>
      </c>
      <c r="AP720" s="57">
        <f t="shared" si="370"/>
        <v>14346.331929392574</v>
      </c>
      <c r="AR720" s="41">
        <v>715</v>
      </c>
      <c r="AS720" s="57">
        <f t="shared" si="371"/>
        <v>18486.681443321111</v>
      </c>
      <c r="AT720" s="57">
        <f t="shared" si="372"/>
        <v>-5305.0450996167983</v>
      </c>
      <c r="AV720" s="57">
        <f t="shared" si="373"/>
        <v>-3.5234112872978005</v>
      </c>
      <c r="AW720" s="57">
        <f t="shared" si="374"/>
        <v>-6.1510663484804571</v>
      </c>
      <c r="AX720" s="57">
        <f t="shared" si="375"/>
        <v>-0.31898444051264413</v>
      </c>
      <c r="AY720" s="57">
        <f t="shared" si="376"/>
        <v>-0.60707683231023724</v>
      </c>
      <c r="BA720" s="57">
        <f t="shared" si="377"/>
        <v>498950.93133179285</v>
      </c>
      <c r="BB720" s="57">
        <f t="shared" si="378"/>
        <v>511673.82996899582</v>
      </c>
    </row>
    <row r="721" spans="9:54" x14ac:dyDescent="0.25">
      <c r="I721" s="41">
        <v>716</v>
      </c>
      <c r="J721" s="57">
        <f t="shared" si="352"/>
        <v>24987.820251299123</v>
      </c>
      <c r="K721" s="57">
        <f t="shared" si="353"/>
        <v>7151.2176312793754</v>
      </c>
      <c r="M721" s="41">
        <v>716</v>
      </c>
      <c r="N721" s="57">
        <f t="shared" si="354"/>
        <v>-16508.525824090615</v>
      </c>
      <c r="O721" s="57">
        <f t="shared" si="355"/>
        <v>9755.8523418955629</v>
      </c>
      <c r="Q721" s="41">
        <v>716</v>
      </c>
      <c r="R721" s="57">
        <f t="shared" si="356"/>
        <v>-12.179748700878008</v>
      </c>
      <c r="S721" s="41">
        <f t="shared" si="357"/>
        <v>-15348.782368720626</v>
      </c>
      <c r="U721" s="41">
        <v>715</v>
      </c>
      <c r="V721" s="41">
        <f t="shared" si="379"/>
        <v>357.5</v>
      </c>
      <c r="W721" s="57">
        <f t="shared" si="380"/>
        <v>253433.20719433369</v>
      </c>
      <c r="X721" s="57">
        <f t="shared" si="381"/>
        <v>448508.88841938932</v>
      </c>
      <c r="Y721" s="57">
        <f t="shared" si="382"/>
        <v>863.43710422702111</v>
      </c>
      <c r="Z721" s="57">
        <f t="shared" si="383"/>
        <v>1110.524563717069</v>
      </c>
      <c r="AA721" s="57">
        <f t="shared" si="358"/>
        <v>-6.0769242964277739</v>
      </c>
      <c r="AB721" s="57">
        <f t="shared" si="359"/>
        <v>-10.789582596017768</v>
      </c>
      <c r="AC721" s="57">
        <f t="shared" si="360"/>
        <v>-0.98322571920082114</v>
      </c>
      <c r="AD721" s="57">
        <f t="shared" si="361"/>
        <v>-1.8575389795725437</v>
      </c>
      <c r="AE721" s="57">
        <f t="shared" si="362"/>
        <v>-0.3557308644605584</v>
      </c>
      <c r="AF721" s="57">
        <f t="shared" si="363"/>
        <v>-0.57049086155875095</v>
      </c>
      <c r="AG721" s="57">
        <f t="shared" si="364"/>
        <v>-0.90490175511303628</v>
      </c>
      <c r="AH721" s="57">
        <f t="shared" si="365"/>
        <v>-1.6229725707261746</v>
      </c>
      <c r="AJ721" s="57">
        <f t="shared" si="366"/>
        <v>498978.85915731749</v>
      </c>
      <c r="AK721" s="57">
        <f t="shared" si="367"/>
        <v>516774.38405883458</v>
      </c>
      <c r="AL721" s="57">
        <f t="shared" si="368"/>
        <v>530686.54799658083</v>
      </c>
      <c r="AN721" s="41">
        <v>716</v>
      </c>
      <c r="AO721" s="57">
        <f t="shared" si="369"/>
        <v>12481.730376948683</v>
      </c>
      <c r="AP721" s="57">
        <f t="shared" si="370"/>
        <v>14476.826446919062</v>
      </c>
      <c r="AR721" s="41">
        <v>716</v>
      </c>
      <c r="AS721" s="57">
        <f t="shared" si="371"/>
        <v>18491.474175909385</v>
      </c>
      <c r="AT721" s="57">
        <f t="shared" si="372"/>
        <v>-5244.1476581044371</v>
      </c>
      <c r="AV721" s="57">
        <f t="shared" si="373"/>
        <v>-3.514798264968777</v>
      </c>
      <c r="AW721" s="57">
        <f t="shared" si="374"/>
        <v>-6.1332231148677359</v>
      </c>
      <c r="AX721" s="57">
        <f t="shared" si="375"/>
        <v>-0.31826769268458149</v>
      </c>
      <c r="AY721" s="57">
        <f t="shared" si="376"/>
        <v>-0.60535706929256328</v>
      </c>
      <c r="BA721" s="57">
        <f t="shared" si="377"/>
        <v>499648.89149829728</v>
      </c>
      <c r="BB721" s="57">
        <f t="shared" si="378"/>
        <v>512367.7450507264</v>
      </c>
    </row>
    <row r="722" spans="9:54" x14ac:dyDescent="0.25">
      <c r="I722" s="41">
        <v>717</v>
      </c>
      <c r="J722" s="57">
        <f t="shared" si="352"/>
        <v>24993.14767377287</v>
      </c>
      <c r="K722" s="57">
        <f t="shared" si="353"/>
        <v>7238.3202187852767</v>
      </c>
      <c r="M722" s="41">
        <v>717</v>
      </c>
      <c r="N722" s="57">
        <f t="shared" si="354"/>
        <v>-16504.796628358992</v>
      </c>
      <c r="O722" s="57">
        <f t="shared" si="355"/>
        <v>9816.8241531496933</v>
      </c>
      <c r="Q722" s="41">
        <v>717</v>
      </c>
      <c r="R722" s="57">
        <f t="shared" si="356"/>
        <v>-6.8523262271310159</v>
      </c>
      <c r="S722" s="41">
        <f t="shared" si="357"/>
        <v>-15261.679781214723</v>
      </c>
      <c r="U722" s="41">
        <v>716</v>
      </c>
      <c r="V722" s="41">
        <f t="shared" si="379"/>
        <v>358</v>
      </c>
      <c r="W722" s="57">
        <f t="shared" si="380"/>
        <v>253864.16613091016</v>
      </c>
      <c r="X722" s="57">
        <f t="shared" si="381"/>
        <v>449062.80200342333</v>
      </c>
      <c r="Y722" s="57">
        <f t="shared" si="382"/>
        <v>860.39864207880726</v>
      </c>
      <c r="Z722" s="57">
        <f t="shared" si="383"/>
        <v>1105.1297724190601</v>
      </c>
      <c r="AA722" s="57">
        <f t="shared" si="358"/>
        <v>-6.0624955309728339</v>
      </c>
      <c r="AB722" s="57">
        <f t="shared" si="359"/>
        <v>-10.758813950899984</v>
      </c>
      <c r="AC722" s="57">
        <f t="shared" si="360"/>
        <v>-0.98096042271911588</v>
      </c>
      <c r="AD722" s="57">
        <f t="shared" si="361"/>
        <v>-1.8521676068485322</v>
      </c>
      <c r="AE722" s="57">
        <f t="shared" si="362"/>
        <v>-0.35485185943655356</v>
      </c>
      <c r="AF722" s="57">
        <f t="shared" si="363"/>
        <v>-0.56890338703845933</v>
      </c>
      <c r="AG722" s="57">
        <f t="shared" si="364"/>
        <v>-0.90286690029996253</v>
      </c>
      <c r="AH722" s="57">
        <f t="shared" si="365"/>
        <v>-1.6185590684554627</v>
      </c>
      <c r="AJ722" s="57">
        <f t="shared" si="366"/>
        <v>499670.04744453152</v>
      </c>
      <c r="AK722" s="57">
        <f t="shared" si="367"/>
        <v>517472.43945322931</v>
      </c>
      <c r="AL722" s="57">
        <f t="shared" si="368"/>
        <v>531380.22235487832</v>
      </c>
      <c r="AN722" s="41">
        <v>717</v>
      </c>
      <c r="AO722" s="57">
        <f t="shared" si="369"/>
        <v>12489.721510659303</v>
      </c>
      <c r="AP722" s="57">
        <f t="shared" si="370"/>
        <v>14607.480328177915</v>
      </c>
      <c r="AR722" s="41">
        <v>717</v>
      </c>
      <c r="AS722" s="57">
        <f t="shared" si="371"/>
        <v>18495.203371641008</v>
      </c>
      <c r="AT722" s="57">
        <f t="shared" si="372"/>
        <v>-5183.1758468503058</v>
      </c>
      <c r="AV722" s="57">
        <f t="shared" si="373"/>
        <v>-3.5062594162568286</v>
      </c>
      <c r="AW722" s="57">
        <f t="shared" si="374"/>
        <v>-6.1155320608541972</v>
      </c>
      <c r="AX722" s="57">
        <f t="shared" si="375"/>
        <v>-0.31755693226037346</v>
      </c>
      <c r="AY722" s="57">
        <f t="shared" si="376"/>
        <v>-0.60365182770333292</v>
      </c>
      <c r="BA722" s="57">
        <f t="shared" si="377"/>
        <v>500343.77108853502</v>
      </c>
      <c r="BB722" s="57">
        <f t="shared" si="378"/>
        <v>513058.5912199649</v>
      </c>
    </row>
    <row r="723" spans="9:54" x14ac:dyDescent="0.25">
      <c r="I723" s="41">
        <v>718</v>
      </c>
      <c r="J723" s="57">
        <f t="shared" si="352"/>
        <v>24996.954135095479</v>
      </c>
      <c r="K723" s="57">
        <f t="shared" si="353"/>
        <v>7325.502516487486</v>
      </c>
      <c r="M723" s="41">
        <v>718</v>
      </c>
      <c r="N723" s="57">
        <f t="shared" si="354"/>
        <v>-16502.132105433164</v>
      </c>
      <c r="O723" s="57">
        <f t="shared" si="355"/>
        <v>9877.8517615412402</v>
      </c>
      <c r="Q723" s="41">
        <v>718</v>
      </c>
      <c r="R723" s="57">
        <f t="shared" si="356"/>
        <v>-3.0458649045212951</v>
      </c>
      <c r="S723" s="41">
        <f t="shared" si="357"/>
        <v>-15174.497483512514</v>
      </c>
      <c r="U723" s="41">
        <v>717</v>
      </c>
      <c r="V723" s="41">
        <f t="shared" si="379"/>
        <v>358.5</v>
      </c>
      <c r="W723" s="57">
        <f t="shared" si="380"/>
        <v>254293.60764000818</v>
      </c>
      <c r="X723" s="57">
        <f t="shared" si="381"/>
        <v>449614.02203788905</v>
      </c>
      <c r="Y723" s="57">
        <f t="shared" si="382"/>
        <v>857.3673943133208</v>
      </c>
      <c r="Z723" s="57">
        <f t="shared" si="383"/>
        <v>1099.7503654436102</v>
      </c>
      <c r="AA723" s="57">
        <f t="shared" si="358"/>
        <v>-6.0481898240779</v>
      </c>
      <c r="AB723" s="57">
        <f t="shared" si="359"/>
        <v>-10.728305848345077</v>
      </c>
      <c r="AC723" s="57">
        <f t="shared" si="360"/>
        <v>-0.97871424924605499</v>
      </c>
      <c r="AD723" s="57">
        <f t="shared" si="361"/>
        <v>-1.8468420778462489</v>
      </c>
      <c r="AE723" s="57">
        <f t="shared" si="362"/>
        <v>-0.353980430505341</v>
      </c>
      <c r="AF723" s="57">
        <f t="shared" si="363"/>
        <v>-0.56732915548433149</v>
      </c>
      <c r="AG723" s="57">
        <f t="shared" si="364"/>
        <v>-0.9008490419507611</v>
      </c>
      <c r="AH723" s="57">
        <f t="shared" si="365"/>
        <v>-1.614182086628277</v>
      </c>
      <c r="AJ723" s="57">
        <f t="shared" si="366"/>
        <v>500358.17477432016</v>
      </c>
      <c r="AK723" s="57">
        <f t="shared" si="367"/>
        <v>518167.41654073575</v>
      </c>
      <c r="AL723" s="57">
        <f t="shared" si="368"/>
        <v>532070.82652330655</v>
      </c>
      <c r="AN723" s="41">
        <v>718</v>
      </c>
      <c r="AO723" s="57">
        <f t="shared" si="369"/>
        <v>12495.431202643216</v>
      </c>
      <c r="AP723" s="57">
        <f t="shared" si="370"/>
        <v>14738.253774731229</v>
      </c>
      <c r="AR723" s="41">
        <v>718</v>
      </c>
      <c r="AS723" s="57">
        <f t="shared" si="371"/>
        <v>18497.867894566836</v>
      </c>
      <c r="AT723" s="57">
        <f t="shared" si="372"/>
        <v>-5122.1482384587598</v>
      </c>
      <c r="AV723" s="57">
        <f t="shared" si="373"/>
        <v>-3.4977939996666327</v>
      </c>
      <c r="AW723" s="57">
        <f t="shared" si="374"/>
        <v>-6.0979915724527398</v>
      </c>
      <c r="AX723" s="57">
        <f t="shared" si="375"/>
        <v>-0.31685210270910935</v>
      </c>
      <c r="AY723" s="57">
        <f t="shared" si="376"/>
        <v>-0.60196095593348031</v>
      </c>
      <c r="BA723" s="57">
        <f t="shared" si="377"/>
        <v>501035.5785392102</v>
      </c>
      <c r="BB723" s="57">
        <f t="shared" si="378"/>
        <v>513746.37681528856</v>
      </c>
    </row>
    <row r="724" spans="9:54" x14ac:dyDescent="0.25">
      <c r="I724" s="41">
        <v>719</v>
      </c>
      <c r="J724" s="57">
        <f t="shared" si="352"/>
        <v>24999.238475781956</v>
      </c>
      <c r="K724" s="57">
        <f t="shared" si="353"/>
        <v>7412.7379678135858</v>
      </c>
      <c r="M724" s="41">
        <v>719</v>
      </c>
      <c r="N724" s="57">
        <f t="shared" si="354"/>
        <v>-16500.53306695263</v>
      </c>
      <c r="O724" s="57">
        <f t="shared" si="355"/>
        <v>9938.9165774695102</v>
      </c>
      <c r="Q724" s="41">
        <v>719</v>
      </c>
      <c r="R724" s="57">
        <f t="shared" si="356"/>
        <v>-0.76152421804363257</v>
      </c>
      <c r="S724" s="41">
        <f t="shared" si="357"/>
        <v>-15087.262032186414</v>
      </c>
      <c r="U724" s="41">
        <v>718</v>
      </c>
      <c r="V724" s="41">
        <f t="shared" si="379"/>
        <v>359</v>
      </c>
      <c r="W724" s="57">
        <f t="shared" si="380"/>
        <v>254721.53531343685</v>
      </c>
      <c r="X724" s="57">
        <f t="shared" si="381"/>
        <v>450162.55618237983</v>
      </c>
      <c r="Y724" s="57">
        <f t="shared" si="382"/>
        <v>854.3432994012818</v>
      </c>
      <c r="Z724" s="57">
        <f t="shared" si="383"/>
        <v>1094.3862125194378</v>
      </c>
      <c r="AA724" s="57">
        <f t="shared" si="358"/>
        <v>-6.0340059681216482</v>
      </c>
      <c r="AB724" s="57">
        <f t="shared" si="359"/>
        <v>-10.698055555272321</v>
      </c>
      <c r="AC724" s="57">
        <f t="shared" si="360"/>
        <v>-0.97648701556979889</v>
      </c>
      <c r="AD724" s="57">
        <f t="shared" si="361"/>
        <v>-1.8415619078744401</v>
      </c>
      <c r="AE724" s="57">
        <f t="shared" si="362"/>
        <v>-0.35311650136943007</v>
      </c>
      <c r="AF724" s="57">
        <f t="shared" si="363"/>
        <v>-0.56576803014592425</v>
      </c>
      <c r="AG724" s="57">
        <f t="shared" si="364"/>
        <v>-0.89884801866212227</v>
      </c>
      <c r="AH724" s="57">
        <f t="shared" si="365"/>
        <v>-1.6098412535400912</v>
      </c>
      <c r="AJ724" s="57">
        <f t="shared" si="366"/>
        <v>501043.24941647059</v>
      </c>
      <c r="AK724" s="57">
        <f t="shared" si="367"/>
        <v>518859.32373811945</v>
      </c>
      <c r="AL724" s="57">
        <f t="shared" si="368"/>
        <v>532758.36884998297</v>
      </c>
      <c r="AN724" s="41">
        <v>719</v>
      </c>
      <c r="AO724" s="57">
        <f t="shared" si="369"/>
        <v>12498.857713672935</v>
      </c>
      <c r="AP724" s="57">
        <f t="shared" si="370"/>
        <v>14869.106951720378</v>
      </c>
      <c r="AR724" s="41">
        <v>719</v>
      </c>
      <c r="AS724" s="57">
        <f t="shared" si="371"/>
        <v>18499.46693304737</v>
      </c>
      <c r="AT724" s="57">
        <f t="shared" si="372"/>
        <v>-5061.0834225304898</v>
      </c>
      <c r="AV724" s="57">
        <f t="shared" si="373"/>
        <v>-3.4894012842496358</v>
      </c>
      <c r="AW724" s="57">
        <f t="shared" si="374"/>
        <v>-6.08060005915896</v>
      </c>
      <c r="AX724" s="57">
        <f t="shared" si="375"/>
        <v>-0.3161531482706616</v>
      </c>
      <c r="AY724" s="57">
        <f t="shared" si="376"/>
        <v>-0.60028430455290571</v>
      </c>
      <c r="BA724" s="57">
        <f t="shared" si="377"/>
        <v>501724.3222153805</v>
      </c>
      <c r="BB724" s="57">
        <f t="shared" si="378"/>
        <v>514431.11010465672</v>
      </c>
    </row>
    <row r="725" spans="9:54" x14ac:dyDescent="0.25">
      <c r="I725" s="41">
        <v>720</v>
      </c>
      <c r="J725" s="57">
        <f t="shared" si="352"/>
        <v>25000</v>
      </c>
      <c r="K725" s="57">
        <f t="shared" si="353"/>
        <v>7499.9999999999973</v>
      </c>
      <c r="M725" s="41">
        <v>720</v>
      </c>
      <c r="N725" s="57">
        <f t="shared" si="354"/>
        <v>-16500</v>
      </c>
      <c r="O725" s="57">
        <f t="shared" si="355"/>
        <v>9999.9999999999982</v>
      </c>
      <c r="Q725" s="41">
        <v>720</v>
      </c>
      <c r="R725" s="57">
        <f t="shared" si="356"/>
        <v>0</v>
      </c>
      <c r="S725" s="41">
        <f t="shared" si="357"/>
        <v>-15000.000000000002</v>
      </c>
      <c r="U725" s="41">
        <v>719</v>
      </c>
      <c r="V725" s="41">
        <f t="shared" si="379"/>
        <v>359.5</v>
      </c>
      <c r="W725" s="57">
        <f t="shared" si="380"/>
        <v>255147.95271239147</v>
      </c>
      <c r="X725" s="57">
        <f t="shared" si="381"/>
        <v>450708.41203169519</v>
      </c>
      <c r="Y725" s="57">
        <f t="shared" si="382"/>
        <v>851.32629641722099</v>
      </c>
      <c r="Z725" s="57">
        <f t="shared" si="383"/>
        <v>1089.0371847418016</v>
      </c>
      <c r="AA725" s="57">
        <f t="shared" si="358"/>
        <v>-6.0199427724353312</v>
      </c>
      <c r="AB725" s="57">
        <f t="shared" si="359"/>
        <v>-10.668060378030349</v>
      </c>
      <c r="AC725" s="57">
        <f t="shared" si="360"/>
        <v>-0.97427854100316436</v>
      </c>
      <c r="AD725" s="57">
        <f t="shared" si="361"/>
        <v>-1.8363266192783423</v>
      </c>
      <c r="AE725" s="57">
        <f t="shared" si="362"/>
        <v>-0.35225999682140952</v>
      </c>
      <c r="AF725" s="57">
        <f t="shared" si="363"/>
        <v>-0.56421987621956893</v>
      </c>
      <c r="AG725" s="57">
        <f t="shared" si="364"/>
        <v>-0.89686367124373567</v>
      </c>
      <c r="AH725" s="57">
        <f t="shared" si="365"/>
        <v>-1.6055362027223115</v>
      </c>
      <c r="AJ725" s="57">
        <f t="shared" si="366"/>
        <v>501725.27957088826</v>
      </c>
      <c r="AK725" s="57">
        <f t="shared" si="367"/>
        <v>519548.16939078789</v>
      </c>
      <c r="AL725" s="57">
        <f t="shared" si="368"/>
        <v>533442.85761225806</v>
      </c>
      <c r="AN725" s="41">
        <v>720</v>
      </c>
      <c r="AO725" s="57">
        <f t="shared" si="369"/>
        <v>12500</v>
      </c>
      <c r="AP725" s="57">
        <f t="shared" si="370"/>
        <v>14999.999999999996</v>
      </c>
      <c r="AR725" s="41">
        <v>720</v>
      </c>
      <c r="AS725" s="57">
        <f t="shared" si="371"/>
        <v>18500</v>
      </c>
      <c r="AT725" s="57">
        <f t="shared" si="372"/>
        <v>-5000.0000000000018</v>
      </c>
      <c r="AV725" s="57">
        <f t="shared" si="373"/>
        <v>-3.4810805494239014</v>
      </c>
      <c r="AW725" s="57">
        <f t="shared" si="374"/>
        <v>-6.0633559535375534</v>
      </c>
      <c r="AX725" s="57">
        <f t="shared" si="375"/>
        <v>-0.31546001394312023</v>
      </c>
      <c r="AY725" s="57">
        <f t="shared" si="376"/>
        <v>-0.59862172627257182</v>
      </c>
      <c r="BA725" s="57">
        <f t="shared" si="377"/>
        <v>502410.01041120017</v>
      </c>
      <c r="BB725" s="57">
        <f t="shared" si="378"/>
        <v>515112.79928613914</v>
      </c>
    </row>
    <row r="726" spans="9:54" x14ac:dyDescent="0.25">
      <c r="I726" s="41">
        <v>721</v>
      </c>
      <c r="J726" s="57">
        <f t="shared" si="352"/>
        <v>24999.238475781956</v>
      </c>
      <c r="K726" s="57">
        <f t="shared" si="353"/>
        <v>7587.2620321864097</v>
      </c>
      <c r="M726" s="41">
        <v>721</v>
      </c>
      <c r="N726" s="57">
        <f t="shared" si="354"/>
        <v>-16500.53306695263</v>
      </c>
      <c r="O726" s="57">
        <f t="shared" si="355"/>
        <v>10061.083422530486</v>
      </c>
      <c r="Q726" s="41">
        <v>721</v>
      </c>
      <c r="R726" s="57">
        <f t="shared" si="356"/>
        <v>-0.76152421804363257</v>
      </c>
      <c r="S726" s="41">
        <f t="shared" si="357"/>
        <v>-14912.737967813589</v>
      </c>
      <c r="U726" s="41">
        <v>720</v>
      </c>
      <c r="V726" s="41">
        <f t="shared" si="379"/>
        <v>360</v>
      </c>
      <c r="W726" s="57">
        <f t="shared" si="380"/>
        <v>255572.86336775354</v>
      </c>
      <c r="X726" s="57">
        <f t="shared" si="381"/>
        <v>451251.59711651882</v>
      </c>
      <c r="Y726" s="57">
        <f t="shared" si="382"/>
        <v>848.31632503100332</v>
      </c>
      <c r="Z726" s="57">
        <f t="shared" si="383"/>
        <v>1083.7031545527864</v>
      </c>
      <c r="AA726" s="57">
        <f t="shared" si="358"/>
        <v>-6.0059990630171844</v>
      </c>
      <c r="AB726" s="57">
        <f t="shared" si="359"/>
        <v>-10.638317661708481</v>
      </c>
      <c r="AC726" s="57">
        <f t="shared" si="360"/>
        <v>-0.97208864734208211</v>
      </c>
      <c r="AD726" s="57">
        <f t="shared" si="361"/>
        <v>-1.8311357413161751</v>
      </c>
      <c r="AE726" s="57">
        <f t="shared" si="362"/>
        <v>-0.35141084272520207</v>
      </c>
      <c r="AF726" s="57">
        <f t="shared" si="363"/>
        <v>-0.56268456081478513</v>
      </c>
      <c r="AG726" s="57">
        <f t="shared" si="364"/>
        <v>-0.89489584268194244</v>
      </c>
      <c r="AH726" s="57">
        <f t="shared" si="365"/>
        <v>-1.6012665728530493</v>
      </c>
      <c r="AJ726" s="57">
        <f t="shared" si="366"/>
        <v>502404.27336831397</v>
      </c>
      <c r="AK726" s="57">
        <f t="shared" si="367"/>
        <v>520233.9617735286</v>
      </c>
      <c r="AL726" s="57">
        <f t="shared" si="368"/>
        <v>534124.30101744528</v>
      </c>
      <c r="AN726" s="41">
        <v>721</v>
      </c>
      <c r="AO726" s="57">
        <f t="shared" si="369"/>
        <v>12498.857713672935</v>
      </c>
      <c r="AP726" s="57">
        <f t="shared" si="370"/>
        <v>15130.893048279615</v>
      </c>
      <c r="AR726" s="41">
        <v>721</v>
      </c>
      <c r="AS726" s="57">
        <f t="shared" si="371"/>
        <v>18499.46693304737</v>
      </c>
      <c r="AT726" s="57">
        <f t="shared" si="372"/>
        <v>-4938.916577469513</v>
      </c>
      <c r="AV726" s="57">
        <f t="shared" si="373"/>
        <v>-3.4728310847974684</v>
      </c>
      <c r="AW726" s="57">
        <f t="shared" si="374"/>
        <v>-6.0462577108170548</v>
      </c>
      <c r="AX726" s="57">
        <f t="shared" si="375"/>
        <v>-0.31477264547048961</v>
      </c>
      <c r="AY726" s="57">
        <f t="shared" si="376"/>
        <v>-0.59697307590741722</v>
      </c>
      <c r="BA726" s="57">
        <f t="shared" si="377"/>
        <v>503092.65135065163</v>
      </c>
      <c r="BB726" s="57">
        <f t="shared" si="378"/>
        <v>515791.45248863328</v>
      </c>
    </row>
    <row r="727" spans="9:54" x14ac:dyDescent="0.25">
      <c r="I727" s="41">
        <v>722</v>
      </c>
      <c r="J727" s="57">
        <f t="shared" si="352"/>
        <v>24996.954135095479</v>
      </c>
      <c r="K727" s="57">
        <f t="shared" si="353"/>
        <v>7674.4974835125004</v>
      </c>
      <c r="M727" s="41">
        <v>722</v>
      </c>
      <c r="N727" s="57">
        <f t="shared" si="354"/>
        <v>-16502.132105433164</v>
      </c>
      <c r="O727" s="57">
        <f t="shared" si="355"/>
        <v>10122.148238458751</v>
      </c>
      <c r="Q727" s="41">
        <v>722</v>
      </c>
      <c r="R727" s="57">
        <f t="shared" si="356"/>
        <v>-3.0458649045212951</v>
      </c>
      <c r="S727" s="41">
        <f t="shared" si="357"/>
        <v>-14825.502516487499</v>
      </c>
      <c r="U727" s="41">
        <v>721</v>
      </c>
      <c r="V727" s="41">
        <f t="shared" si="379"/>
        <v>360.5</v>
      </c>
      <c r="W727" s="57">
        <f t="shared" si="380"/>
        <v>255996.27078038617</v>
      </c>
      <c r="X727" s="57">
        <f t="shared" si="381"/>
        <v>451792.11890408752</v>
      </c>
      <c r="Y727" s="57">
        <f t="shared" si="382"/>
        <v>845.31332549949468</v>
      </c>
      <c r="Z727" s="57">
        <f t="shared" si="383"/>
        <v>1078.383995721932</v>
      </c>
      <c r="AA727" s="57">
        <f t="shared" si="358"/>
        <v>-5.9921736822530471</v>
      </c>
      <c r="AB727" s="57">
        <f t="shared" si="359"/>
        <v>-10.608824789463153</v>
      </c>
      <c r="AC727" s="57">
        <f t="shared" si="360"/>
        <v>-0.96991715882481722</v>
      </c>
      <c r="AD727" s="57">
        <f t="shared" si="361"/>
        <v>-1.8259888100381167</v>
      </c>
      <c r="AE727" s="57">
        <f t="shared" si="362"/>
        <v>-0.35056896599772625</v>
      </c>
      <c r="AF727" s="57">
        <f t="shared" si="363"/>
        <v>-0.56116195292141968</v>
      </c>
      <c r="AG727" s="57">
        <f t="shared" si="364"/>
        <v>-0.89294437810412153</v>
      </c>
      <c r="AH727" s="57">
        <f t="shared" si="365"/>
        <v>-1.5970320076697415</v>
      </c>
      <c r="AJ727" s="57">
        <f t="shared" si="366"/>
        <v>503080.23887103057</v>
      </c>
      <c r="AK727" s="57">
        <f t="shared" si="367"/>
        <v>520916.70909123623</v>
      </c>
      <c r="AL727" s="57">
        <f t="shared" si="368"/>
        <v>534802.70720354107</v>
      </c>
      <c r="AN727" s="41">
        <v>722</v>
      </c>
      <c r="AO727" s="57">
        <f t="shared" si="369"/>
        <v>12495.431202643218</v>
      </c>
      <c r="AP727" s="57">
        <f t="shared" si="370"/>
        <v>15261.746225268751</v>
      </c>
      <c r="AR727" s="41">
        <v>722</v>
      </c>
      <c r="AS727" s="57">
        <f t="shared" si="371"/>
        <v>18497.867894566836</v>
      </c>
      <c r="AT727" s="57">
        <f t="shared" si="372"/>
        <v>-4877.8517615412493</v>
      </c>
      <c r="AV727" s="57">
        <f t="shared" si="373"/>
        <v>-3.4646521899957579</v>
      </c>
      <c r="AW727" s="57">
        <f t="shared" si="374"/>
        <v>-6.0293038084938431</v>
      </c>
      <c r="AX727" s="57">
        <f t="shared" si="375"/>
        <v>-0.31409098933062385</v>
      </c>
      <c r="AY727" s="57">
        <f t="shared" si="376"/>
        <v>-0.59533821034003187</v>
      </c>
      <c r="BA727" s="57">
        <f t="shared" si="377"/>
        <v>503772.25318826712</v>
      </c>
      <c r="BB727" s="57">
        <f t="shared" si="378"/>
        <v>516467.0777725713</v>
      </c>
    </row>
    <row r="728" spans="9:54" x14ac:dyDescent="0.25">
      <c r="I728" s="41">
        <v>723</v>
      </c>
      <c r="J728" s="57">
        <f t="shared" si="352"/>
        <v>24993.14767377287</v>
      </c>
      <c r="K728" s="57">
        <f t="shared" si="353"/>
        <v>7761.6797812147179</v>
      </c>
      <c r="M728" s="41">
        <v>723</v>
      </c>
      <c r="N728" s="57">
        <f t="shared" si="354"/>
        <v>-16504.796628358992</v>
      </c>
      <c r="O728" s="57">
        <f t="shared" si="355"/>
        <v>10183.175846850303</v>
      </c>
      <c r="Q728" s="41">
        <v>723</v>
      </c>
      <c r="R728" s="57">
        <f t="shared" si="356"/>
        <v>-6.8523262271310159</v>
      </c>
      <c r="S728" s="41">
        <f t="shared" si="357"/>
        <v>-14738.320218785282</v>
      </c>
      <c r="U728" s="41">
        <v>722</v>
      </c>
      <c r="V728" s="41">
        <f t="shared" si="379"/>
        <v>361</v>
      </c>
      <c r="W728" s="57">
        <f t="shared" si="380"/>
        <v>256418.17842142563</v>
      </c>
      <c r="X728" s="57">
        <f t="shared" si="381"/>
        <v>452329.98479884979</v>
      </c>
      <c r="Y728" s="57">
        <f t="shared" si="382"/>
        <v>842.31723865836818</v>
      </c>
      <c r="Z728" s="57">
        <f t="shared" si="383"/>
        <v>1073.0795833272005</v>
      </c>
      <c r="AA728" s="57">
        <f t="shared" si="358"/>
        <v>-5.9784654886421595</v>
      </c>
      <c r="AB728" s="57">
        <f t="shared" si="359"/>
        <v>-10.579579181857484</v>
      </c>
      <c r="AC728" s="57">
        <f t="shared" si="360"/>
        <v>-0.96776390209204954</v>
      </c>
      <c r="AD728" s="57">
        <f t="shared" si="361"/>
        <v>-1.8208853681679</v>
      </c>
      <c r="AE728" s="57">
        <f t="shared" si="362"/>
        <v>-0.34973429459093913</v>
      </c>
      <c r="AF728" s="57">
        <f t="shared" si="363"/>
        <v>-0.5596519233774665</v>
      </c>
      <c r="AG728" s="57">
        <f t="shared" si="364"/>
        <v>-0.89100912474370364</v>
      </c>
      <c r="AH728" s="57">
        <f t="shared" si="365"/>
        <v>-1.5928321558834029</v>
      </c>
      <c r="AJ728" s="57">
        <f t="shared" si="366"/>
        <v>503753.18407355994</v>
      </c>
      <c r="AK728" s="57">
        <f t="shared" si="367"/>
        <v>521596.41947962967</v>
      </c>
      <c r="AL728" s="57">
        <f t="shared" si="368"/>
        <v>535478.08423993364</v>
      </c>
      <c r="AN728" s="41">
        <v>723</v>
      </c>
      <c r="AO728" s="57">
        <f t="shared" si="369"/>
        <v>12489.721510659303</v>
      </c>
      <c r="AP728" s="57">
        <f t="shared" si="370"/>
        <v>15392.519671822078</v>
      </c>
      <c r="AR728" s="41">
        <v>723</v>
      </c>
      <c r="AS728" s="57">
        <f t="shared" si="371"/>
        <v>18495.203371641008</v>
      </c>
      <c r="AT728" s="57">
        <f t="shared" si="372"/>
        <v>-4816.8241531496969</v>
      </c>
      <c r="AV728" s="57">
        <f t="shared" si="373"/>
        <v>-3.4565431744920896</v>
      </c>
      <c r="AW728" s="57">
        <f t="shared" si="374"/>
        <v>-6.0124927459436721</v>
      </c>
      <c r="AX728" s="57">
        <f t="shared" si="375"/>
        <v>-0.31341499272337725</v>
      </c>
      <c r="AY728" s="57">
        <f t="shared" si="376"/>
        <v>-0.5937169884850434</v>
      </c>
      <c r="BA728" s="57">
        <f t="shared" si="377"/>
        <v>504448.8240098395</v>
      </c>
      <c r="BB728" s="57">
        <f t="shared" si="378"/>
        <v>517139.68313061749</v>
      </c>
    </row>
    <row r="729" spans="9:54" x14ac:dyDescent="0.25">
      <c r="I729" s="41">
        <v>724</v>
      </c>
      <c r="J729" s="57">
        <f t="shared" si="352"/>
        <v>24987.820251299123</v>
      </c>
      <c r="K729" s="57">
        <f t="shared" si="353"/>
        <v>7848.7823687206201</v>
      </c>
      <c r="M729" s="41">
        <v>724</v>
      </c>
      <c r="N729" s="57">
        <f t="shared" si="354"/>
        <v>-16508.525824090615</v>
      </c>
      <c r="O729" s="57">
        <f t="shared" si="355"/>
        <v>10244.147658104434</v>
      </c>
      <c r="Q729" s="41">
        <v>724</v>
      </c>
      <c r="R729" s="57">
        <f t="shared" si="356"/>
        <v>-12.179748700878008</v>
      </c>
      <c r="S729" s="41">
        <f t="shared" si="357"/>
        <v>-14651.21763127938</v>
      </c>
      <c r="U729" s="41">
        <v>723</v>
      </c>
      <c r="V729" s="41">
        <f t="shared" si="379"/>
        <v>361.5</v>
      </c>
      <c r="W729" s="57">
        <f t="shared" si="380"/>
        <v>256838.58973256874</v>
      </c>
      <c r="X729" s="57">
        <f t="shared" si="381"/>
        <v>452865.20214311563</v>
      </c>
      <c r="Y729" s="57">
        <f t="shared" si="382"/>
        <v>839.32800591404714</v>
      </c>
      <c r="Z729" s="57">
        <f t="shared" si="383"/>
        <v>1067.7897937362718</v>
      </c>
      <c r="AA729" s="57">
        <f t="shared" si="358"/>
        <v>-5.9648733565287015</v>
      </c>
      <c r="AB729" s="57">
        <f t="shared" si="359"/>
        <v>-10.550578296214962</v>
      </c>
      <c r="AC729" s="57">
        <f t="shared" si="360"/>
        <v>-0.96562870614773599</v>
      </c>
      <c r="AD729" s="57">
        <f t="shared" si="361"/>
        <v>-1.8158249649868716</v>
      </c>
      <c r="AE729" s="57">
        <f t="shared" si="362"/>
        <v>-0.34890675747422034</v>
      </c>
      <c r="AF729" s="57">
        <f t="shared" si="363"/>
        <v>-0.55815434483750093</v>
      </c>
      <c r="AG729" s="57">
        <f t="shared" si="364"/>
        <v>-0.88908993190595809</v>
      </c>
      <c r="AH729" s="57">
        <f t="shared" si="365"/>
        <v>-1.588666671094773</v>
      </c>
      <c r="AJ729" s="57">
        <f t="shared" si="366"/>
        <v>504423.11690334958</v>
      </c>
      <c r="AK729" s="57">
        <f t="shared" si="367"/>
        <v>522273.10100595851</v>
      </c>
      <c r="AL729" s="57">
        <f t="shared" si="368"/>
        <v>536150.44012810336</v>
      </c>
      <c r="AN729" s="41">
        <v>724</v>
      </c>
      <c r="AO729" s="57">
        <f t="shared" si="369"/>
        <v>12481.730376948683</v>
      </c>
      <c r="AP729" s="57">
        <f t="shared" si="370"/>
        <v>15523.173553080931</v>
      </c>
      <c r="AR729" s="41">
        <v>724</v>
      </c>
      <c r="AS729" s="57">
        <f t="shared" si="371"/>
        <v>18491.474175909385</v>
      </c>
      <c r="AT729" s="57">
        <f t="shared" si="372"/>
        <v>-4755.8523418955656</v>
      </c>
      <c r="AV729" s="57">
        <f t="shared" si="373"/>
        <v>-3.448503357441763</v>
      </c>
      <c r="AW729" s="57">
        <f t="shared" si="374"/>
        <v>-5.9958230440415061</v>
      </c>
      <c r="AX729" s="57">
        <f t="shared" si="375"/>
        <v>-0.31274460355902428</v>
      </c>
      <c r="AY729" s="57">
        <f t="shared" si="376"/>
        <v>-0.59210927125430957</v>
      </c>
      <c r="BA729" s="57">
        <f t="shared" si="377"/>
        <v>505122.37183312379</v>
      </c>
      <c r="BB729" s="57">
        <f t="shared" si="378"/>
        <v>517809.27648835519</v>
      </c>
    </row>
    <row r="730" spans="9:54" x14ac:dyDescent="0.25">
      <c r="I730" s="41">
        <v>725</v>
      </c>
      <c r="J730" s="57">
        <f t="shared" si="352"/>
        <v>24980.973490458728</v>
      </c>
      <c r="K730" s="57">
        <f t="shared" si="353"/>
        <v>7935.7787137382875</v>
      </c>
      <c r="M730" s="41">
        <v>725</v>
      </c>
      <c r="N730" s="57">
        <f t="shared" si="354"/>
        <v>-16513.318556678889</v>
      </c>
      <c r="O730" s="57">
        <f t="shared" si="355"/>
        <v>10305.045099616802</v>
      </c>
      <c r="Q730" s="41">
        <v>725</v>
      </c>
      <c r="R730" s="57">
        <f t="shared" si="356"/>
        <v>-19.026509541272389</v>
      </c>
      <c r="S730" s="41">
        <f t="shared" si="357"/>
        <v>-14564.221286261713</v>
      </c>
      <c r="U730" s="41">
        <v>724</v>
      </c>
      <c r="V730" s="41">
        <f t="shared" si="379"/>
        <v>362</v>
      </c>
      <c r="W730" s="57">
        <f t="shared" si="380"/>
        <v>257257.5081263562</v>
      </c>
      <c r="X730" s="57">
        <f t="shared" si="381"/>
        <v>453397.77821769676</v>
      </c>
      <c r="Y730" s="57">
        <f t="shared" si="382"/>
        <v>836.34556923578282</v>
      </c>
      <c r="Z730" s="57">
        <f t="shared" si="383"/>
        <v>1062.5145045881643</v>
      </c>
      <c r="AA730" s="57">
        <f t="shared" si="358"/>
        <v>-5.9513961758388367</v>
      </c>
      <c r="AB730" s="57">
        <f t="shared" si="359"/>
        <v>-10.521819625986613</v>
      </c>
      <c r="AC730" s="57">
        <f t="shared" si="360"/>
        <v>-0.96351140232074017</v>
      </c>
      <c r="AD730" s="57">
        <f t="shared" si="361"/>
        <v>-1.8108071562204417</v>
      </c>
      <c r="AE730" s="57">
        <f t="shared" si="362"/>
        <v>-0.34808628461714775</v>
      </c>
      <c r="AF730" s="57">
        <f t="shared" si="363"/>
        <v>-0.55666909174180967</v>
      </c>
      <c r="AG730" s="57">
        <f t="shared" si="364"/>
        <v>-0.88718665093442717</v>
      </c>
      <c r="AH730" s="57">
        <f t="shared" si="365"/>
        <v>-1.5845352117121054</v>
      </c>
      <c r="AJ730" s="57">
        <f t="shared" si="366"/>
        <v>505090.04522144987</v>
      </c>
      <c r="AK730" s="57">
        <f t="shared" si="367"/>
        <v>522946.76166970027</v>
      </c>
      <c r="AL730" s="57">
        <f t="shared" si="368"/>
        <v>536819.78280231101</v>
      </c>
      <c r="AN730" s="41">
        <v>725</v>
      </c>
      <c r="AO730" s="57">
        <f t="shared" si="369"/>
        <v>12471.460235688091</v>
      </c>
      <c r="AP730" s="57">
        <f t="shared" si="370"/>
        <v>15653.668070607431</v>
      </c>
      <c r="AR730" s="41">
        <v>725</v>
      </c>
      <c r="AS730" s="57">
        <f t="shared" si="371"/>
        <v>18486.681443321111</v>
      </c>
      <c r="AT730" s="57">
        <f t="shared" si="372"/>
        <v>-4694.954900383198</v>
      </c>
      <c r="AV730" s="57">
        <f t="shared" si="373"/>
        <v>-3.4405320675196611</v>
      </c>
      <c r="AW730" s="57">
        <f t="shared" si="374"/>
        <v>-5.9792932447895168</v>
      </c>
      <c r="AX730" s="57">
        <f t="shared" si="375"/>
        <v>-0.31207977044686092</v>
      </c>
      <c r="AY730" s="57">
        <f t="shared" si="376"/>
        <v>-0.59051492152274032</v>
      </c>
      <c r="BA730" s="57">
        <f t="shared" si="377"/>
        <v>505792.90460852796</v>
      </c>
      <c r="BB730" s="57">
        <f t="shared" si="378"/>
        <v>518475.86570496438</v>
      </c>
    </row>
    <row r="731" spans="9:54" x14ac:dyDescent="0.25">
      <c r="I731" s="41">
        <v>726</v>
      </c>
      <c r="J731" s="57">
        <f t="shared" si="352"/>
        <v>24972.609476841368</v>
      </c>
      <c r="K731" s="57">
        <f t="shared" si="353"/>
        <v>8022.6423163382678</v>
      </c>
      <c r="M731" s="41">
        <v>726</v>
      </c>
      <c r="N731" s="57">
        <f t="shared" si="354"/>
        <v>-16519.173366211042</v>
      </c>
      <c r="O731" s="57">
        <f t="shared" si="355"/>
        <v>10365.849621436788</v>
      </c>
      <c r="Q731" s="41">
        <v>726</v>
      </c>
      <c r="R731" s="57">
        <f t="shared" si="356"/>
        <v>-27.390523158633187</v>
      </c>
      <c r="S731" s="41">
        <f t="shared" si="357"/>
        <v>-14477.357683661732</v>
      </c>
      <c r="U731" s="41">
        <v>725</v>
      </c>
      <c r="V731" s="41">
        <f t="shared" si="379"/>
        <v>362.5</v>
      </c>
      <c r="W731" s="57">
        <f t="shared" si="380"/>
        <v>257674.93698645211</v>
      </c>
      <c r="X731" s="57">
        <f t="shared" si="381"/>
        <v>453927.72024253762</v>
      </c>
      <c r="Y731" s="57">
        <f t="shared" si="382"/>
        <v>833.36987114786336</v>
      </c>
      <c r="Z731" s="57">
        <f t="shared" si="383"/>
        <v>1057.253594775171</v>
      </c>
      <c r="AA731" s="57">
        <f t="shared" si="358"/>
        <v>-5.9380328518227223</v>
      </c>
      <c r="AB731" s="57">
        <f t="shared" si="359"/>
        <v>-10.493300700130712</v>
      </c>
      <c r="AC731" s="57">
        <f t="shared" si="360"/>
        <v>-0.96141182422717097</v>
      </c>
      <c r="AD731" s="57">
        <f t="shared" si="361"/>
        <v>-1.8058315039268125</v>
      </c>
      <c r="AE731" s="57">
        <f t="shared" si="362"/>
        <v>-0.34727280697260371</v>
      </c>
      <c r="AF731" s="57">
        <f t="shared" si="363"/>
        <v>-0.55519604028611536</v>
      </c>
      <c r="AG731" s="57">
        <f t="shared" si="364"/>
        <v>-0.88529913517797698</v>
      </c>
      <c r="AH731" s="57">
        <f t="shared" si="365"/>
        <v>-1.5804374408705408</v>
      </c>
      <c r="AJ731" s="57">
        <f t="shared" si="366"/>
        <v>505753.97682318167</v>
      </c>
      <c r="AK731" s="57">
        <f t="shared" si="367"/>
        <v>523617.4094032463</v>
      </c>
      <c r="AL731" s="57">
        <f t="shared" si="368"/>
        <v>537486.12013027852</v>
      </c>
      <c r="AN731" s="41">
        <v>726</v>
      </c>
      <c r="AO731" s="57">
        <f t="shared" si="369"/>
        <v>12458.91421526205</v>
      </c>
      <c r="AP731" s="57">
        <f t="shared" si="370"/>
        <v>15783.963474507402</v>
      </c>
      <c r="AR731" s="41">
        <v>726</v>
      </c>
      <c r="AS731" s="57">
        <f t="shared" si="371"/>
        <v>18480.826633788958</v>
      </c>
      <c r="AT731" s="57">
        <f t="shared" si="372"/>
        <v>-4634.1503785632121</v>
      </c>
      <c r="AV731" s="57">
        <f t="shared" si="373"/>
        <v>-3.4326286427609149</v>
      </c>
      <c r="AW731" s="57">
        <f t="shared" si="374"/>
        <v>-5.9629019109523682</v>
      </c>
      <c r="AX731" s="57">
        <f t="shared" si="375"/>
        <v>-0.31142044268405533</v>
      </c>
      <c r="AY731" s="57">
        <f t="shared" si="376"/>
        <v>-0.58893380409487517</v>
      </c>
      <c r="BA731" s="57">
        <f t="shared" si="377"/>
        <v>506460.4302197941</v>
      </c>
      <c r="BB731" s="57">
        <f t="shared" si="378"/>
        <v>519139.45857388974</v>
      </c>
    </row>
    <row r="732" spans="9:54" x14ac:dyDescent="0.25">
      <c r="I732" s="41">
        <v>727</v>
      </c>
      <c r="J732" s="57">
        <f t="shared" si="352"/>
        <v>24962.73075820661</v>
      </c>
      <c r="K732" s="57">
        <f t="shared" si="353"/>
        <v>8109.3467170257409</v>
      </c>
      <c r="M732" s="41">
        <v>727</v>
      </c>
      <c r="N732" s="57">
        <f t="shared" si="354"/>
        <v>-16526.088469255374</v>
      </c>
      <c r="O732" s="57">
        <f t="shared" si="355"/>
        <v>10426.542701918019</v>
      </c>
      <c r="Q732" s="41">
        <v>727</v>
      </c>
      <c r="R732" s="57">
        <f t="shared" si="356"/>
        <v>-37.269241793390393</v>
      </c>
      <c r="S732" s="41">
        <f t="shared" si="357"/>
        <v>-14390.653282974259</v>
      </c>
      <c r="U732" s="41">
        <v>726</v>
      </c>
      <c r="V732" s="41">
        <f t="shared" si="379"/>
        <v>363</v>
      </c>
      <c r="W732" s="57">
        <f t="shared" si="380"/>
        <v>258090.87966791957</v>
      </c>
      <c r="X732" s="57">
        <f t="shared" si="381"/>
        <v>454455.03537733771</v>
      </c>
      <c r="Y732" s="57">
        <f t="shared" si="382"/>
        <v>830.40085472195199</v>
      </c>
      <c r="Z732" s="57">
        <f t="shared" si="383"/>
        <v>1052.0069444251055</v>
      </c>
      <c r="AA732" s="57">
        <f t="shared" si="358"/>
        <v>-5.9247823048019255</v>
      </c>
      <c r="AB732" s="57">
        <f t="shared" si="359"/>
        <v>-10.465019082505654</v>
      </c>
      <c r="AC732" s="57">
        <f t="shared" si="360"/>
        <v>-0.95932980773351317</v>
      </c>
      <c r="AD732" s="57">
        <f t="shared" si="361"/>
        <v>-1.8008975763880992</v>
      </c>
      <c r="AE732" s="57">
        <f t="shared" si="362"/>
        <v>-0.34646625646023638</v>
      </c>
      <c r="AF732" s="57">
        <f t="shared" si="363"/>
        <v>-0.55373506839193254</v>
      </c>
      <c r="AG732" s="57">
        <f t="shared" si="364"/>
        <v>-0.88342723995853634</v>
      </c>
      <c r="AH732" s="57">
        <f t="shared" si="365"/>
        <v>-1.5763730263531792</v>
      </c>
      <c r="AJ732" s="57">
        <f t="shared" si="366"/>
        <v>506414.91943879472</v>
      </c>
      <c r="AK732" s="57">
        <f t="shared" si="367"/>
        <v>524285.05207257997</v>
      </c>
      <c r="AL732" s="57">
        <f t="shared" si="368"/>
        <v>538149.4599138581</v>
      </c>
      <c r="AN732" s="41">
        <v>727</v>
      </c>
      <c r="AO732" s="57">
        <f t="shared" si="369"/>
        <v>12444.096137309916</v>
      </c>
      <c r="AP732" s="57">
        <f t="shared" si="370"/>
        <v>15914.020075538612</v>
      </c>
      <c r="AR732" s="41">
        <v>727</v>
      </c>
      <c r="AS732" s="57">
        <f t="shared" si="371"/>
        <v>18473.911530744626</v>
      </c>
      <c r="AT732" s="57">
        <f t="shared" si="372"/>
        <v>-4573.4572980819812</v>
      </c>
      <c r="AV732" s="57">
        <f t="shared" si="373"/>
        <v>-3.424792430404926</v>
      </c>
      <c r="AW732" s="57">
        <f t="shared" si="374"/>
        <v>-5.9466476257003036</v>
      </c>
      <c r="AX732" s="57">
        <f t="shared" si="375"/>
        <v>-0.3107665702447141</v>
      </c>
      <c r="AY732" s="57">
        <f t="shared" si="376"/>
        <v>-0.58736578567213926</v>
      </c>
      <c r="BA732" s="57">
        <f t="shared" si="377"/>
        <v>507124.95648467005</v>
      </c>
      <c r="BB732" s="57">
        <f t="shared" si="378"/>
        <v>519800.06282349909</v>
      </c>
    </row>
    <row r="733" spans="9:54" x14ac:dyDescent="0.25">
      <c r="I733" s="41">
        <v>728</v>
      </c>
      <c r="J733" s="57">
        <f t="shared" si="352"/>
        <v>24951.340343707852</v>
      </c>
      <c r="K733" s="57">
        <f t="shared" si="353"/>
        <v>8195.8655048003257</v>
      </c>
      <c r="M733" s="41">
        <v>728</v>
      </c>
      <c r="N733" s="57">
        <f t="shared" si="354"/>
        <v>-16534.061759404503</v>
      </c>
      <c r="O733" s="57">
        <f t="shared" si="355"/>
        <v>10487.105853360228</v>
      </c>
      <c r="Q733" s="41">
        <v>728</v>
      </c>
      <c r="R733" s="57">
        <f t="shared" si="356"/>
        <v>-48.659656292148611</v>
      </c>
      <c r="S733" s="41">
        <f t="shared" si="357"/>
        <v>-14304.134495199674</v>
      </c>
      <c r="U733" s="41">
        <v>727</v>
      </c>
      <c r="V733" s="41">
        <f t="shared" si="379"/>
        <v>363.5</v>
      </c>
      <c r="W733" s="57">
        <f t="shared" si="380"/>
        <v>258505.33949749244</v>
      </c>
      <c r="X733" s="57">
        <f t="shared" si="381"/>
        <v>454979.73072216491</v>
      </c>
      <c r="Y733" s="57">
        <f t="shared" si="382"/>
        <v>827.438463569551</v>
      </c>
      <c r="Z733" s="57">
        <f t="shared" si="383"/>
        <v>1046.7744348838528</v>
      </c>
      <c r="AA733" s="57">
        <f t="shared" si="358"/>
        <v>-5.9116434699217058</v>
      </c>
      <c r="AB733" s="57">
        <f t="shared" si="359"/>
        <v>-10.436972371274949</v>
      </c>
      <c r="AC733" s="57">
        <f t="shared" si="360"/>
        <v>-0.95726519092046158</v>
      </c>
      <c r="AD733" s="57">
        <f t="shared" si="361"/>
        <v>-1.7960049480036633</v>
      </c>
      <c r="AE733" s="57">
        <f t="shared" si="362"/>
        <v>-0.3456665659502477</v>
      </c>
      <c r="AF733" s="57">
        <f t="shared" si="363"/>
        <v>-0.55228605567751277</v>
      </c>
      <c r="AG733" s="57">
        <f t="shared" si="364"/>
        <v>-0.88157082253948382</v>
      </c>
      <c r="AH733" s="57">
        <f t="shared" si="365"/>
        <v>-1.5723416405137658</v>
      </c>
      <c r="AJ733" s="57">
        <f t="shared" si="366"/>
        <v>507072.8807341163</v>
      </c>
      <c r="AK733" s="57">
        <f t="shared" si="367"/>
        <v>524949.69747794303</v>
      </c>
      <c r="AL733" s="57">
        <f t="shared" si="368"/>
        <v>538809.80988969328</v>
      </c>
      <c r="AN733" s="41">
        <v>728</v>
      </c>
      <c r="AO733" s="57">
        <f t="shared" si="369"/>
        <v>12427.010515561778</v>
      </c>
      <c r="AP733" s="57">
        <f t="shared" si="370"/>
        <v>16043.798257200489</v>
      </c>
      <c r="AR733" s="41">
        <v>728</v>
      </c>
      <c r="AS733" s="57">
        <f t="shared" si="371"/>
        <v>18465.938240595497</v>
      </c>
      <c r="AT733" s="57">
        <f t="shared" si="372"/>
        <v>-4512.8941466397719</v>
      </c>
      <c r="AV733" s="57">
        <f t="shared" si="373"/>
        <v>-3.4170227867423884</v>
      </c>
      <c r="AW733" s="57">
        <f t="shared" si="374"/>
        <v>-5.9305289922593074</v>
      </c>
      <c r="AX733" s="57">
        <f t="shared" si="375"/>
        <v>-0.31011810376912469</v>
      </c>
      <c r="AY733" s="57">
        <f t="shared" si="376"/>
        <v>-0.58581073482070112</v>
      </c>
      <c r="BA733" s="57">
        <f t="shared" si="377"/>
        <v>507786.49115557183</v>
      </c>
      <c r="BB733" s="57">
        <f t="shared" si="378"/>
        <v>520457.68611773272</v>
      </c>
    </row>
    <row r="734" spans="9:54" x14ac:dyDescent="0.25">
      <c r="I734" s="41">
        <v>729</v>
      </c>
      <c r="J734" s="57">
        <f t="shared" si="352"/>
        <v>24938.441702975688</v>
      </c>
      <c r="K734" s="57">
        <f t="shared" si="353"/>
        <v>8282.172325201147</v>
      </c>
      <c r="M734" s="41">
        <v>729</v>
      </c>
      <c r="N734" s="57">
        <f t="shared" si="354"/>
        <v>-16543.090807917019</v>
      </c>
      <c r="O734" s="57">
        <f t="shared" si="355"/>
        <v>10547.520627640803</v>
      </c>
      <c r="Q734" s="41">
        <v>729</v>
      </c>
      <c r="R734" s="57">
        <f t="shared" si="356"/>
        <v>-61.558297024310377</v>
      </c>
      <c r="S734" s="41">
        <f t="shared" si="357"/>
        <v>-14217.827674798853</v>
      </c>
      <c r="U734" s="41">
        <v>728</v>
      </c>
      <c r="V734" s="41">
        <f t="shared" si="379"/>
        <v>364</v>
      </c>
      <c r="W734" s="57">
        <f t="shared" si="380"/>
        <v>258918.31977384348</v>
      </c>
      <c r="X734" s="57">
        <f t="shared" si="381"/>
        <v>455501.81331806042</v>
      </c>
      <c r="Y734" s="57">
        <f t="shared" si="382"/>
        <v>824.48264183459014</v>
      </c>
      <c r="Z734" s="57">
        <f t="shared" si="383"/>
        <v>1041.5559486982154</v>
      </c>
      <c r="AA734" s="57">
        <f t="shared" si="358"/>
        <v>-5.8986152969083037</v>
      </c>
      <c r="AB734" s="57">
        <f t="shared" si="359"/>
        <v>-10.40915819832454</v>
      </c>
      <c r="AC734" s="57">
        <f t="shared" si="360"/>
        <v>-0.95521781404742112</v>
      </c>
      <c r="AD734" s="57">
        <f t="shared" si="361"/>
        <v>-1.7911531991855605</v>
      </c>
      <c r="AE734" s="57">
        <f t="shared" si="362"/>
        <v>-0.34487366924750051</v>
      </c>
      <c r="AF734" s="57">
        <f t="shared" si="363"/>
        <v>-0.55084888342935856</v>
      </c>
      <c r="AG734" s="57">
        <f t="shared" si="364"/>
        <v>-0.87972974209455357</v>
      </c>
      <c r="AH734" s="57">
        <f t="shared" si="365"/>
        <v>-1.568342960200747</v>
      </c>
      <c r="AJ734" s="57">
        <f t="shared" si="366"/>
        <v>507727.86831119168</v>
      </c>
      <c r="AK734" s="57">
        <f t="shared" si="367"/>
        <v>525611.35335449514</v>
      </c>
      <c r="AL734" s="57">
        <f t="shared" si="368"/>
        <v>539467.17772987043</v>
      </c>
      <c r="AN734" s="41">
        <v>729</v>
      </c>
      <c r="AO734" s="57">
        <f t="shared" si="369"/>
        <v>12407.662554463535</v>
      </c>
      <c r="AP734" s="57">
        <f t="shared" si="370"/>
        <v>16173.258487801721</v>
      </c>
      <c r="AR734" s="41">
        <v>729</v>
      </c>
      <c r="AS734" s="57">
        <f t="shared" si="371"/>
        <v>18456.909192082981</v>
      </c>
      <c r="AT734" s="57">
        <f t="shared" si="372"/>
        <v>-4452.4793723591965</v>
      </c>
      <c r="AV734" s="57">
        <f t="shared" si="373"/>
        <v>-3.4093190769655668</v>
      </c>
      <c r="AW734" s="57">
        <f t="shared" si="374"/>
        <v>-5.9145446335687835</v>
      </c>
      <c r="AX734" s="57">
        <f t="shared" si="375"/>
        <v>-0.30947499455326183</v>
      </c>
      <c r="AY734" s="57">
        <f t="shared" si="376"/>
        <v>-0.58426852194009071</v>
      </c>
      <c r="BA734" s="57">
        <f t="shared" si="377"/>
        <v>508445.0419202366</v>
      </c>
      <c r="BB734" s="57">
        <f t="shared" si="378"/>
        <v>521112.33605674386</v>
      </c>
    </row>
    <row r="735" spans="9:54" x14ac:dyDescent="0.25">
      <c r="I735" s="41">
        <v>730</v>
      </c>
      <c r="J735" s="57">
        <f t="shared" si="352"/>
        <v>24924.038765061039</v>
      </c>
      <c r="K735" s="57">
        <f t="shared" si="353"/>
        <v>8368.2408883346579</v>
      </c>
      <c r="M735" s="41">
        <v>730</v>
      </c>
      <c r="N735" s="57">
        <f t="shared" si="354"/>
        <v>-16553.172864457272</v>
      </c>
      <c r="O735" s="57">
        <f t="shared" si="355"/>
        <v>10607.768621834261</v>
      </c>
      <c r="Q735" s="41">
        <v>730</v>
      </c>
      <c r="R735" s="57">
        <f t="shared" si="356"/>
        <v>-75.961234938960843</v>
      </c>
      <c r="S735" s="41">
        <f t="shared" si="357"/>
        <v>-14131.759111665342</v>
      </c>
      <c r="U735" s="41">
        <v>729</v>
      </c>
      <c r="V735" s="41">
        <f t="shared" si="379"/>
        <v>364.5</v>
      </c>
      <c r="W735" s="57">
        <f t="shared" si="380"/>
        <v>259329.82376784866</v>
      </c>
      <c r="X735" s="57">
        <f t="shared" si="381"/>
        <v>456021.29014763475</v>
      </c>
      <c r="Y735" s="57">
        <f t="shared" si="382"/>
        <v>821.53333418613602</v>
      </c>
      <c r="Z735" s="57">
        <f t="shared" si="383"/>
        <v>1036.3513695990532</v>
      </c>
      <c r="AA735" s="57">
        <f t="shared" si="358"/>
        <v>-5.8856967498308768</v>
      </c>
      <c r="AB735" s="57">
        <f t="shared" si="359"/>
        <v>-10.381574228691647</v>
      </c>
      <c r="AC735" s="57">
        <f t="shared" si="360"/>
        <v>-0.95318751951773628</v>
      </c>
      <c r="AD735" s="57">
        <f t="shared" si="361"/>
        <v>-1.7863419162562058</v>
      </c>
      <c r="AE735" s="57">
        <f t="shared" si="362"/>
        <v>-0.34408750107597247</v>
      </c>
      <c r="AF735" s="57">
        <f t="shared" si="363"/>
        <v>-0.54942343457435561</v>
      </c>
      <c r="AG735" s="57">
        <f t="shared" si="364"/>
        <v>-0.87790385967746021</v>
      </c>
      <c r="AH735" s="57">
        <f t="shared" si="365"/>
        <v>-1.564376666683051</v>
      </c>
      <c r="AJ735" s="57">
        <f t="shared" si="366"/>
        <v>508379.88970891468</v>
      </c>
      <c r="AK735" s="57">
        <f t="shared" si="367"/>
        <v>526270.02737296175</v>
      </c>
      <c r="AL735" s="57">
        <f t="shared" si="368"/>
        <v>540121.57104256097</v>
      </c>
      <c r="AN735" s="41">
        <v>730</v>
      </c>
      <c r="AO735" s="57">
        <f t="shared" si="369"/>
        <v>12386.058147591561</v>
      </c>
      <c r="AP735" s="57">
        <f t="shared" si="370"/>
        <v>16302.361332501985</v>
      </c>
      <c r="AR735" s="41">
        <v>730</v>
      </c>
      <c r="AS735" s="57">
        <f t="shared" si="371"/>
        <v>18446.827135542728</v>
      </c>
      <c r="AT735" s="57">
        <f t="shared" si="372"/>
        <v>-4392.2313781657404</v>
      </c>
      <c r="AV735" s="57">
        <f t="shared" si="373"/>
        <v>-3.4016806750212711</v>
      </c>
      <c r="AW735" s="57">
        <f t="shared" si="374"/>
        <v>-5.8986931919456973</v>
      </c>
      <c r="AX735" s="57">
        <f t="shared" si="375"/>
        <v>-0.30883719453843672</v>
      </c>
      <c r="AY735" s="57">
        <f t="shared" si="376"/>
        <v>-0.58273901923233817</v>
      </c>
      <c r="BA735" s="57">
        <f t="shared" si="377"/>
        <v>509100.61640236614</v>
      </c>
      <c r="BB735" s="57">
        <f t="shared" si="378"/>
        <v>521764.02017752966</v>
      </c>
    </row>
    <row r="736" spans="9:54" x14ac:dyDescent="0.25">
      <c r="I736" s="41">
        <v>731</v>
      </c>
      <c r="J736" s="57">
        <f t="shared" si="352"/>
        <v>24908.13591723832</v>
      </c>
      <c r="K736" s="57">
        <f t="shared" si="353"/>
        <v>8454.0449768827239</v>
      </c>
      <c r="M736" s="41">
        <v>731</v>
      </c>
      <c r="N736" s="57">
        <f t="shared" si="354"/>
        <v>-16564.304857933177</v>
      </c>
      <c r="O736" s="57">
        <f t="shared" si="355"/>
        <v>10667.831483817907</v>
      </c>
      <c r="Q736" s="41">
        <v>731</v>
      </c>
      <c r="R736" s="57">
        <f t="shared" si="356"/>
        <v>-91.864082761680038</v>
      </c>
      <c r="S736" s="41">
        <f t="shared" si="357"/>
        <v>-14045.955023117276</v>
      </c>
      <c r="U736" s="41">
        <v>730</v>
      </c>
      <c r="V736" s="41">
        <f t="shared" si="379"/>
        <v>365</v>
      </c>
      <c r="W736" s="57">
        <f t="shared" si="380"/>
        <v>259739.85472284799</v>
      </c>
      <c r="X736" s="57">
        <f t="shared" si="381"/>
        <v>456538.16813565564</v>
      </c>
      <c r="Y736" s="57">
        <f t="shared" si="382"/>
        <v>818.59048581122056</v>
      </c>
      <c r="Z736" s="57">
        <f t="shared" si="383"/>
        <v>1031.1605824847074</v>
      </c>
      <c r="AA736" s="57">
        <f t="shared" si="358"/>
        <v>-5.8728868068683751</v>
      </c>
      <c r="AB736" s="57">
        <f t="shared" si="359"/>
        <v>-10.354218160005656</v>
      </c>
      <c r="AC736" s="57">
        <f t="shared" si="360"/>
        <v>-0.95117415184458098</v>
      </c>
      <c r="AD736" s="57">
        <f t="shared" si="361"/>
        <v>-1.7815706913480971</v>
      </c>
      <c r="AE736" s="57">
        <f t="shared" si="362"/>
        <v>-0.34330799706349741</v>
      </c>
      <c r="AF736" s="57">
        <f t="shared" si="363"/>
        <v>-0.54800959365242086</v>
      </c>
      <c r="AG736" s="57">
        <f t="shared" si="364"/>
        <v>-0.876093038192019</v>
      </c>
      <c r="AH736" s="57">
        <f t="shared" si="365"/>
        <v>-1.5604424455771699</v>
      </c>
      <c r="AJ736" s="57">
        <f t="shared" si="366"/>
        <v>509028.95240365021</v>
      </c>
      <c r="AK736" s="57">
        <f t="shared" si="367"/>
        <v>526925.7271402746</v>
      </c>
      <c r="AL736" s="57">
        <f t="shared" si="368"/>
        <v>540772.99737265403</v>
      </c>
      <c r="AN736" s="41">
        <v>731</v>
      </c>
      <c r="AO736" s="57">
        <f t="shared" si="369"/>
        <v>12362.20387585748</v>
      </c>
      <c r="AP736" s="57">
        <f t="shared" si="370"/>
        <v>16431.067465324086</v>
      </c>
      <c r="AR736" s="41">
        <v>731</v>
      </c>
      <c r="AS736" s="57">
        <f t="shared" si="371"/>
        <v>18435.695142066823</v>
      </c>
      <c r="AT736" s="57">
        <f t="shared" si="372"/>
        <v>-4332.1685161820933</v>
      </c>
      <c r="AV736" s="57">
        <f t="shared" si="373"/>
        <v>-3.3941069634671042</v>
      </c>
      <c r="AW736" s="57">
        <f t="shared" si="374"/>
        <v>-5.8829733287561767</v>
      </c>
      <c r="AX736" s="57">
        <f t="shared" si="375"/>
        <v>-0.30820465630117294</v>
      </c>
      <c r="AY736" s="57">
        <f t="shared" si="376"/>
        <v>-0.58122210067179125</v>
      </c>
      <c r="BA736" s="57">
        <f t="shared" si="377"/>
        <v>509753.22216226178</v>
      </c>
      <c r="BB736" s="57">
        <f t="shared" si="378"/>
        <v>522412.74595455406</v>
      </c>
    </row>
    <row r="737" spans="9:54" x14ac:dyDescent="0.25">
      <c r="I737" s="41">
        <v>732</v>
      </c>
      <c r="J737" s="57">
        <f t="shared" si="352"/>
        <v>24890.73800366903</v>
      </c>
      <c r="K737" s="57">
        <f t="shared" si="353"/>
        <v>8539.5584540887903</v>
      </c>
      <c r="M737" s="41">
        <v>732</v>
      </c>
      <c r="N737" s="57">
        <f t="shared" si="354"/>
        <v>-16576.483397431679</v>
      </c>
      <c r="O737" s="57">
        <f t="shared" si="355"/>
        <v>10727.690917862154</v>
      </c>
      <c r="Q737" s="41">
        <v>732</v>
      </c>
      <c r="R737" s="57">
        <f t="shared" si="356"/>
        <v>-109.26199633097076</v>
      </c>
      <c r="S737" s="41">
        <f t="shared" si="357"/>
        <v>-13960.44154591121</v>
      </c>
      <c r="U737" s="41">
        <v>731</v>
      </c>
      <c r="V737" s="41">
        <f t="shared" si="379"/>
        <v>365.5</v>
      </c>
      <c r="W737" s="57">
        <f t="shared" si="380"/>
        <v>260148.41585490273</v>
      </c>
      <c r="X737" s="57">
        <f t="shared" si="381"/>
        <v>457052.454149628</v>
      </c>
      <c r="Y737" s="57">
        <f t="shared" si="382"/>
        <v>815.65404240778639</v>
      </c>
      <c r="Z737" s="57">
        <f t="shared" si="383"/>
        <v>1025.9834734047047</v>
      </c>
      <c r="AA737" s="57">
        <f t="shared" si="358"/>
        <v>-5.860184460080724</v>
      </c>
      <c r="AB737" s="57">
        <f t="shared" si="359"/>
        <v>-10.327087721939781</v>
      </c>
      <c r="AC737" s="57">
        <f t="shared" si="360"/>
        <v>-0.94917755761746403</v>
      </c>
      <c r="AD737" s="57">
        <f t="shared" si="361"/>
        <v>-1.7768391223054971</v>
      </c>
      <c r="AE737" s="57">
        <f t="shared" si="362"/>
        <v>-0.34253509372681873</v>
      </c>
      <c r="AF737" s="57">
        <f t="shared" si="363"/>
        <v>-0.54660724678971007</v>
      </c>
      <c r="AG737" s="57">
        <f t="shared" si="364"/>
        <v>-0.87429714236289391</v>
      </c>
      <c r="AH737" s="57">
        <f t="shared" si="365"/>
        <v>-1.5565399867757856</v>
      </c>
      <c r="AJ737" s="57">
        <f t="shared" si="366"/>
        <v>509675.06380984804</v>
      </c>
      <c r="AK737" s="57">
        <f t="shared" si="367"/>
        <v>527578.46020020253</v>
      </c>
      <c r="AL737" s="57">
        <f t="shared" si="368"/>
        <v>541421.4642023819</v>
      </c>
      <c r="AN737" s="41">
        <v>732</v>
      </c>
      <c r="AO737" s="57">
        <f t="shared" si="369"/>
        <v>12336.107005503545</v>
      </c>
      <c r="AP737" s="57">
        <f t="shared" si="370"/>
        <v>16559.337681133187</v>
      </c>
      <c r="AR737" s="41">
        <v>732</v>
      </c>
      <c r="AS737" s="57">
        <f t="shared" si="371"/>
        <v>18423.516602568321</v>
      </c>
      <c r="AT737" s="57">
        <f t="shared" si="372"/>
        <v>-4272.3090821378464</v>
      </c>
      <c r="AV737" s="57">
        <f t="shared" si="373"/>
        <v>-3.3865973333302692</v>
      </c>
      <c r="AW737" s="57">
        <f t="shared" si="374"/>
        <v>-5.8673837240932452</v>
      </c>
      <c r="AX737" s="57">
        <f t="shared" si="375"/>
        <v>-0.3075773330432785</v>
      </c>
      <c r="AY737" s="57">
        <f t="shared" si="376"/>
        <v>-0.57971764197554421</v>
      </c>
      <c r="BA737" s="57">
        <f t="shared" si="377"/>
        <v>510402.8666974504</v>
      </c>
      <c r="BB737" s="57">
        <f t="shared" si="378"/>
        <v>523058.5208003617</v>
      </c>
    </row>
    <row r="738" spans="9:54" x14ac:dyDescent="0.25">
      <c r="I738" s="41">
        <v>733</v>
      </c>
      <c r="J738" s="57">
        <f t="shared" si="352"/>
        <v>24871.850323926177</v>
      </c>
      <c r="K738" s="57">
        <f t="shared" si="353"/>
        <v>8624.7552717193139</v>
      </c>
      <c r="M738" s="41">
        <v>733</v>
      </c>
      <c r="N738" s="57">
        <f t="shared" si="354"/>
        <v>-16589.704773251677</v>
      </c>
      <c r="O738" s="57">
        <f t="shared" si="355"/>
        <v>10787.32869020352</v>
      </c>
      <c r="Q738" s="41">
        <v>733</v>
      </c>
      <c r="R738" s="57">
        <f t="shared" si="356"/>
        <v>-128.14967607382187</v>
      </c>
      <c r="S738" s="41">
        <f t="shared" si="357"/>
        <v>-13875.244728280686</v>
      </c>
      <c r="U738" s="41">
        <v>732</v>
      </c>
      <c r="V738" s="41">
        <f t="shared" si="379"/>
        <v>366</v>
      </c>
      <c r="W738" s="57">
        <f t="shared" si="380"/>
        <v>260555.51035304912</v>
      </c>
      <c r="X738" s="57">
        <f t="shared" si="381"/>
        <v>457564.15500036511</v>
      </c>
      <c r="Y738" s="57">
        <f t="shared" si="382"/>
        <v>812.72395017774602</v>
      </c>
      <c r="Z738" s="57">
        <f t="shared" si="383"/>
        <v>1020.8199295437348</v>
      </c>
      <c r="AA738" s="57">
        <f t="shared" si="358"/>
        <v>-5.8475887151847044</v>
      </c>
      <c r="AB738" s="57">
        <f t="shared" si="359"/>
        <v>-10.300180675674165</v>
      </c>
      <c r="AC738" s="57">
        <f t="shared" si="360"/>
        <v>-0.94719758546946764</v>
      </c>
      <c r="AD738" s="57">
        <f t="shared" si="361"/>
        <v>-1.7721468125882762</v>
      </c>
      <c r="AE738" s="57">
        <f t="shared" si="362"/>
        <v>-0.34176872845693818</v>
      </c>
      <c r="AF738" s="57">
        <f t="shared" si="363"/>
        <v>-0.54521628167235292</v>
      </c>
      <c r="AG738" s="57">
        <f t="shared" si="364"/>
        <v>-0.87251603870687566</v>
      </c>
      <c r="AH738" s="57">
        <f t="shared" si="365"/>
        <v>-1.5526689843777373</v>
      </c>
      <c r="AJ738" s="57">
        <f t="shared" si="366"/>
        <v>510318.23128064763</v>
      </c>
      <c r="AK738" s="57">
        <f t="shared" si="367"/>
        <v>528228.234033974</v>
      </c>
      <c r="AL738" s="57">
        <f t="shared" si="368"/>
        <v>542066.97895193496</v>
      </c>
      <c r="AN738" s="41">
        <v>733</v>
      </c>
      <c r="AO738" s="57">
        <f t="shared" si="369"/>
        <v>12307.775485889268</v>
      </c>
      <c r="AP738" s="57">
        <f t="shared" si="370"/>
        <v>16687.132907578973</v>
      </c>
      <c r="AR738" s="41">
        <v>733</v>
      </c>
      <c r="AS738" s="57">
        <f t="shared" si="371"/>
        <v>18410.295226748323</v>
      </c>
      <c r="AT738" s="57">
        <f t="shared" si="372"/>
        <v>-4212.6713097964803</v>
      </c>
      <c r="AV738" s="57">
        <f t="shared" si="373"/>
        <v>-3.3791511839693249</v>
      </c>
      <c r="AW738" s="57">
        <f t="shared" si="374"/>
        <v>-5.8519230764613575</v>
      </c>
      <c r="AX738" s="57">
        <f t="shared" si="375"/>
        <v>-0.30695517858209792</v>
      </c>
      <c r="AY738" s="57">
        <f t="shared" si="376"/>
        <v>-0.57822552057444065</v>
      </c>
      <c r="BA738" s="57">
        <f t="shared" si="377"/>
        <v>511049.55744330178</v>
      </c>
      <c r="BB738" s="57">
        <f t="shared" si="378"/>
        <v>523701.352066183</v>
      </c>
    </row>
    <row r="739" spans="9:54" x14ac:dyDescent="0.25">
      <c r="I739" s="41">
        <v>734</v>
      </c>
      <c r="J739" s="57">
        <f t="shared" si="352"/>
        <v>24851.478631379981</v>
      </c>
      <c r="K739" s="57">
        <f t="shared" si="353"/>
        <v>8709.6094779983396</v>
      </c>
      <c r="M739" s="41">
        <v>734</v>
      </c>
      <c r="N739" s="57">
        <f t="shared" si="354"/>
        <v>-16603.964958034012</v>
      </c>
      <c r="O739" s="57">
        <f t="shared" si="355"/>
        <v>10846.726634598837</v>
      </c>
      <c r="Q739" s="41">
        <v>734</v>
      </c>
      <c r="R739" s="57">
        <f t="shared" si="356"/>
        <v>-148.52136862001862</v>
      </c>
      <c r="S739" s="41">
        <f t="shared" si="357"/>
        <v>-13790.39052200166</v>
      </c>
      <c r="U739" s="41">
        <v>733</v>
      </c>
      <c r="V739" s="41">
        <f t="shared" si="379"/>
        <v>366.5</v>
      </c>
      <c r="W739" s="57">
        <f t="shared" si="380"/>
        <v>260961.14137954859</v>
      </c>
      <c r="X739" s="57">
        <f t="shared" si="381"/>
        <v>458073.27744255256</v>
      </c>
      <c r="Y739" s="57">
        <f t="shared" si="382"/>
        <v>809.80015582015369</v>
      </c>
      <c r="Z739" s="57">
        <f t="shared" si="383"/>
        <v>1015.6698392058977</v>
      </c>
      <c r="AA739" s="57">
        <f t="shared" si="358"/>
        <v>-5.8350985913340265</v>
      </c>
      <c r="AB739" s="57">
        <f t="shared" si="359"/>
        <v>-10.273494813369409</v>
      </c>
      <c r="AC739" s="57">
        <f t="shared" si="360"/>
        <v>-0.94523408604499548</v>
      </c>
      <c r="AD739" s="57">
        <f t="shared" si="361"/>
        <v>-1.7674933711774703</v>
      </c>
      <c r="AE739" s="57">
        <f t="shared" si="362"/>
        <v>-0.34100883950476618</v>
      </c>
      <c r="AF739" s="57">
        <f t="shared" si="363"/>
        <v>-0.54383658752072606</v>
      </c>
      <c r="AG739" s="57">
        <f t="shared" si="364"/>
        <v>-0.87074959550472142</v>
      </c>
      <c r="AH739" s="57">
        <f t="shared" si="365"/>
        <v>-1.5488291366193965</v>
      </c>
      <c r="AJ739" s="57">
        <f t="shared" si="366"/>
        <v>510958.46210847533</v>
      </c>
      <c r="AK739" s="57">
        <f t="shared" si="367"/>
        <v>528875.05606088985</v>
      </c>
      <c r="AL739" s="57">
        <f t="shared" si="368"/>
        <v>542709.54898006958</v>
      </c>
      <c r="AN739" s="41">
        <v>734</v>
      </c>
      <c r="AO739" s="57">
        <f t="shared" si="369"/>
        <v>12277.217947069974</v>
      </c>
      <c r="AP739" s="57">
        <f t="shared" si="370"/>
        <v>16814.414216997509</v>
      </c>
      <c r="AR739" s="41">
        <v>734</v>
      </c>
      <c r="AS739" s="57">
        <f t="shared" si="371"/>
        <v>18396.035041965988</v>
      </c>
      <c r="AT739" s="57">
        <f t="shared" si="372"/>
        <v>-4153.2733654011618</v>
      </c>
      <c r="AV739" s="57">
        <f t="shared" si="373"/>
        <v>-3.3717679229386062</v>
      </c>
      <c r="AW739" s="57">
        <f t="shared" si="374"/>
        <v>-5.8365901024671816</v>
      </c>
      <c r="AX739" s="57">
        <f t="shared" si="375"/>
        <v>-0.30633814734093695</v>
      </c>
      <c r="AY739" s="57">
        <f t="shared" si="376"/>
        <v>-0.57674561558463522</v>
      </c>
      <c r="BA739" s="57">
        <f t="shared" si="377"/>
        <v>511693.30177363707</v>
      </c>
      <c r="BB739" s="57">
        <f t="shared" si="378"/>
        <v>524341.24704253196</v>
      </c>
    </row>
    <row r="740" spans="9:54" x14ac:dyDescent="0.25">
      <c r="I740" s="41">
        <v>735</v>
      </c>
      <c r="J740" s="57">
        <f t="shared" si="352"/>
        <v>24829.629131445341</v>
      </c>
      <c r="K740" s="57">
        <f t="shared" si="353"/>
        <v>8794.0952255125994</v>
      </c>
      <c r="M740" s="41">
        <v>735</v>
      </c>
      <c r="N740" s="57">
        <f t="shared" si="354"/>
        <v>-16619.259607988261</v>
      </c>
      <c r="O740" s="57">
        <f t="shared" si="355"/>
        <v>10905.86665785882</v>
      </c>
      <c r="Q740" s="41">
        <v>735</v>
      </c>
      <c r="R740" s="57">
        <f t="shared" si="356"/>
        <v>-170.37086855465714</v>
      </c>
      <c r="S740" s="41">
        <f t="shared" si="357"/>
        <v>-13705.904774487401</v>
      </c>
      <c r="U740" s="41">
        <v>734</v>
      </c>
      <c r="V740" s="41">
        <f t="shared" si="379"/>
        <v>367</v>
      </c>
      <c r="W740" s="57">
        <f t="shared" si="380"/>
        <v>261365.31207013474</v>
      </c>
      <c r="X740" s="57">
        <f t="shared" si="381"/>
        <v>458579.82817530382</v>
      </c>
      <c r="Y740" s="57">
        <f t="shared" si="382"/>
        <v>806.88260652448673</v>
      </c>
      <c r="Z740" s="57">
        <f t="shared" si="383"/>
        <v>1010.533091799213</v>
      </c>
      <c r="AA740" s="57">
        <f t="shared" si="358"/>
        <v>-5.8227131209038259</v>
      </c>
      <c r="AB740" s="57">
        <f t="shared" si="359"/>
        <v>-10.247027957650889</v>
      </c>
      <c r="AC740" s="57">
        <f t="shared" si="360"/>
        <v>-0.94328691196824399</v>
      </c>
      <c r="AD740" s="57">
        <f t="shared" si="361"/>
        <v>-1.7628784124829395</v>
      </c>
      <c r="AE740" s="57">
        <f t="shared" si="362"/>
        <v>-0.34025536596703854</v>
      </c>
      <c r="AF740" s="57">
        <f t="shared" si="363"/>
        <v>-0.54246805506420559</v>
      </c>
      <c r="AG740" s="57">
        <f t="shared" si="364"/>
        <v>-0.86899768277354628</v>
      </c>
      <c r="AH740" s="57">
        <f t="shared" si="365"/>
        <v>-1.5450201458074</v>
      </c>
      <c r="AJ740" s="57">
        <f t="shared" si="366"/>
        <v>511595.76352563273</v>
      </c>
      <c r="AK740" s="57">
        <f t="shared" si="367"/>
        <v>529518.93363892986</v>
      </c>
      <c r="AL740" s="57">
        <f t="shared" si="368"/>
        <v>543349.18158470665</v>
      </c>
      <c r="AN740" s="41">
        <v>735</v>
      </c>
      <c r="AO740" s="57">
        <f t="shared" si="369"/>
        <v>12244.443697168015</v>
      </c>
      <c r="AP740" s="57">
        <f t="shared" si="370"/>
        <v>16941.142838268901</v>
      </c>
      <c r="AR740" s="41">
        <v>735</v>
      </c>
      <c r="AS740" s="57">
        <f t="shared" si="371"/>
        <v>18380.740392011739</v>
      </c>
      <c r="AT740" s="57">
        <f t="shared" si="372"/>
        <v>-4094.13334214118</v>
      </c>
      <c r="AV740" s="57">
        <f t="shared" si="373"/>
        <v>-3.3644469658553122</v>
      </c>
      <c r="AW740" s="57">
        <f t="shared" si="374"/>
        <v>-5.8213835365165956</v>
      </c>
      <c r="AX740" s="57">
        <f t="shared" si="375"/>
        <v>-0.30572619433968506</v>
      </c>
      <c r="AY740" s="57">
        <f t="shared" si="376"/>
        <v>-0.57527780777974857</v>
      </c>
      <c r="BA740" s="57">
        <f t="shared" si="377"/>
        <v>512334.10700132936</v>
      </c>
      <c r="BB740" s="57">
        <f t="shared" si="378"/>
        <v>524978.21295979433</v>
      </c>
    </row>
    <row r="741" spans="9:54" x14ac:dyDescent="0.25">
      <c r="I741" s="41">
        <v>736</v>
      </c>
      <c r="J741" s="57">
        <f t="shared" si="352"/>
        <v>24806.308479691597</v>
      </c>
      <c r="K741" s="57">
        <f t="shared" si="353"/>
        <v>8878.1867790849865</v>
      </c>
      <c r="M741" s="41">
        <v>736</v>
      </c>
      <c r="N741" s="57">
        <f t="shared" si="354"/>
        <v>-16635.584064215884</v>
      </c>
      <c r="O741" s="57">
        <f t="shared" si="355"/>
        <v>10964.730745359491</v>
      </c>
      <c r="Q741" s="41">
        <v>736</v>
      </c>
      <c r="R741" s="57">
        <f t="shared" si="356"/>
        <v>-193.6915203084036</v>
      </c>
      <c r="S741" s="41">
        <f t="shared" si="357"/>
        <v>-13621.813220915014</v>
      </c>
      <c r="U741" s="41">
        <v>735</v>
      </c>
      <c r="V741" s="41">
        <f t="shared" si="379"/>
        <v>367.5</v>
      </c>
      <c r="W741" s="57">
        <f t="shared" si="380"/>
        <v>261768.02553425689</v>
      </c>
      <c r="X741" s="57">
        <f t="shared" si="381"/>
        <v>459083.81384270871</v>
      </c>
      <c r="Y741" s="57">
        <f t="shared" si="382"/>
        <v>803.97124996403477</v>
      </c>
      <c r="Z741" s="57">
        <f t="shared" si="383"/>
        <v>1005.4095778203875</v>
      </c>
      <c r="AA741" s="57">
        <f t="shared" si="358"/>
        <v>-5.810431349279245</v>
      </c>
      <c r="AB741" s="57">
        <f t="shared" si="359"/>
        <v>-10.22077796110317</v>
      </c>
      <c r="AC741" s="57">
        <f t="shared" si="360"/>
        <v>-0.94135591781218408</v>
      </c>
      <c r="AD741" s="57">
        <f t="shared" si="361"/>
        <v>-1.7583015562527127</v>
      </c>
      <c r="AE741" s="57">
        <f t="shared" si="362"/>
        <v>-0.33950824777253613</v>
      </c>
      <c r="AF741" s="57">
        <f t="shared" si="363"/>
        <v>-0.54111057651645811</v>
      </c>
      <c r="AG741" s="57">
        <f t="shared" si="364"/>
        <v>-0.86726017223969676</v>
      </c>
      <c r="AH741" s="57">
        <f t="shared" si="365"/>
        <v>-1.5412417182526312</v>
      </c>
      <c r="AJ741" s="57">
        <f t="shared" si="366"/>
        <v>512230.14270487759</v>
      </c>
      <c r="AK741" s="57">
        <f t="shared" si="367"/>
        <v>530159.87406534865</v>
      </c>
      <c r="AL741" s="57">
        <f t="shared" si="368"/>
        <v>543985.88400352269</v>
      </c>
      <c r="AN741" s="41">
        <v>736</v>
      </c>
      <c r="AO741" s="57">
        <f t="shared" si="369"/>
        <v>12209.462719537394</v>
      </c>
      <c r="AP741" s="57">
        <f t="shared" si="370"/>
        <v>17067.28016862748</v>
      </c>
      <c r="AR741" s="41">
        <v>736</v>
      </c>
      <c r="AS741" s="57">
        <f t="shared" si="371"/>
        <v>18364.415935784116</v>
      </c>
      <c r="AT741" s="57">
        <f t="shared" si="372"/>
        <v>-4035.2692546405092</v>
      </c>
      <c r="AV741" s="57">
        <f t="shared" si="373"/>
        <v>-3.3571877362692129</v>
      </c>
      <c r="AW741" s="57">
        <f t="shared" si="374"/>
        <v>-5.8063021305177882</v>
      </c>
      <c r="AX741" s="57">
        <f t="shared" si="375"/>
        <v>-0.30511927518561477</v>
      </c>
      <c r="AY741" s="57">
        <f t="shared" si="376"/>
        <v>-0.57382197956357883</v>
      </c>
      <c r="BA741" s="57">
        <f t="shared" si="377"/>
        <v>512971.98037889594</v>
      </c>
      <c r="BB741" s="57">
        <f t="shared" si="378"/>
        <v>525612.25698880875</v>
      </c>
    </row>
    <row r="742" spans="9:54" x14ac:dyDescent="0.25">
      <c r="I742" s="41">
        <v>737</v>
      </c>
      <c r="J742" s="57">
        <f t="shared" si="352"/>
        <v>24781.523779815176</v>
      </c>
      <c r="K742" s="57">
        <f t="shared" si="353"/>
        <v>8961.858523613686</v>
      </c>
      <c r="M742" s="41">
        <v>737</v>
      </c>
      <c r="N742" s="57">
        <f t="shared" si="354"/>
        <v>-16652.933354129374</v>
      </c>
      <c r="O742" s="57">
        <f t="shared" si="355"/>
        <v>11023.300966529581</v>
      </c>
      <c r="Q742" s="41">
        <v>737</v>
      </c>
      <c r="R742" s="57">
        <f t="shared" si="356"/>
        <v>-218.47622018482343</v>
      </c>
      <c r="S742" s="41">
        <f t="shared" si="357"/>
        <v>-13538.141476386314</v>
      </c>
      <c r="U742" s="41">
        <v>736</v>
      </c>
      <c r="V742" s="41">
        <f t="shared" si="379"/>
        <v>368</v>
      </c>
      <c r="W742" s="57">
        <f t="shared" si="380"/>
        <v>262169.28485532029</v>
      </c>
      <c r="X742" s="57">
        <f t="shared" si="381"/>
        <v>459585.24103437376</v>
      </c>
      <c r="Y742" s="57">
        <f t="shared" si="382"/>
        <v>801.06603428939513</v>
      </c>
      <c r="Z742" s="57">
        <f t="shared" si="383"/>
        <v>1000.299188839836</v>
      </c>
      <c r="AA742" s="57">
        <f t="shared" si="358"/>
        <v>-5.798252334648148</v>
      </c>
      <c r="AB742" s="57">
        <f t="shared" si="359"/>
        <v>-10.19474270577456</v>
      </c>
      <c r="AC742" s="57">
        <f t="shared" si="360"/>
        <v>-0.93944096006820677</v>
      </c>
      <c r="AD742" s="57">
        <f t="shared" si="361"/>
        <v>-1.7537624274842807</v>
      </c>
      <c r="AE742" s="57">
        <f t="shared" si="362"/>
        <v>-0.33876742566854134</v>
      </c>
      <c r="AF742" s="57">
        <f t="shared" si="363"/>
        <v>-0.53976404555116042</v>
      </c>
      <c r="AG742" s="57">
        <f t="shared" si="364"/>
        <v>-0.86553693731217163</v>
      </c>
      <c r="AH742" s="57">
        <f t="shared" si="365"/>
        <v>-1.5374935642055363</v>
      </c>
      <c r="AJ742" s="57">
        <f t="shared" si="366"/>
        <v>512861.60675999627</v>
      </c>
      <c r="AK742" s="57">
        <f t="shared" si="367"/>
        <v>530797.88457726431</v>
      </c>
      <c r="AL742" s="57">
        <f t="shared" si="368"/>
        <v>544619.66341453185</v>
      </c>
      <c r="AN742" s="41">
        <v>737</v>
      </c>
      <c r="AO742" s="57">
        <f t="shared" si="369"/>
        <v>12172.285669722765</v>
      </c>
      <c r="AP742" s="57">
        <f t="shared" si="370"/>
        <v>17192.787785420529</v>
      </c>
      <c r="AR742" s="41">
        <v>737</v>
      </c>
      <c r="AS742" s="57">
        <f t="shared" si="371"/>
        <v>18347.066645870626</v>
      </c>
      <c r="AT742" s="57">
        <f t="shared" si="372"/>
        <v>-3976.6990334704196</v>
      </c>
      <c r="AV742" s="57">
        <f t="shared" si="373"/>
        <v>-3.3499896655348906</v>
      </c>
      <c r="AW742" s="57">
        <f t="shared" si="374"/>
        <v>-5.7913446535902633</v>
      </c>
      <c r="AX742" s="57">
        <f t="shared" si="375"/>
        <v>-0.30451734606433783</v>
      </c>
      <c r="AY742" s="57">
        <f t="shared" si="376"/>
        <v>-0.57237801494331986</v>
      </c>
      <c r="BA742" s="57">
        <f t="shared" si="377"/>
        <v>513606.92909908167</v>
      </c>
      <c r="BB742" s="57">
        <f t="shared" si="378"/>
        <v>526243.3862414402</v>
      </c>
    </row>
    <row r="743" spans="9:54" x14ac:dyDescent="0.25">
      <c r="I743" s="41">
        <v>738</v>
      </c>
      <c r="J743" s="57">
        <f t="shared" si="352"/>
        <v>24755.282581475767</v>
      </c>
      <c r="K743" s="57">
        <f t="shared" si="353"/>
        <v>9045.084971874734</v>
      </c>
      <c r="M743" s="41">
        <v>738</v>
      </c>
      <c r="N743" s="57">
        <f t="shared" si="354"/>
        <v>-16671.302192966963</v>
      </c>
      <c r="O743" s="57">
        <f t="shared" si="355"/>
        <v>11081.559480312315</v>
      </c>
      <c r="Q743" s="41">
        <v>738</v>
      </c>
      <c r="R743" s="57">
        <f t="shared" si="356"/>
        <v>-244.71741852423111</v>
      </c>
      <c r="S743" s="41">
        <f t="shared" si="357"/>
        <v>-13454.915028125266</v>
      </c>
      <c r="U743" s="41">
        <v>737</v>
      </c>
      <c r="V743" s="41">
        <f t="shared" si="379"/>
        <v>368.5</v>
      </c>
      <c r="W743" s="57">
        <f t="shared" si="380"/>
        <v>262569.09309092315</v>
      </c>
      <c r="X743" s="57">
        <f t="shared" si="381"/>
        <v>460084.11628595548</v>
      </c>
      <c r="Y743" s="57">
        <f t="shared" si="382"/>
        <v>798.16690812207105</v>
      </c>
      <c r="Z743" s="57">
        <f t="shared" si="383"/>
        <v>995.2018174869487</v>
      </c>
      <c r="AA743" s="57">
        <f t="shared" si="358"/>
        <v>-5.78617514779791</v>
      </c>
      <c r="AB743" s="57">
        <f t="shared" si="359"/>
        <v>-10.168920102691587</v>
      </c>
      <c r="AC743" s="57">
        <f t="shared" si="360"/>
        <v>-0.93754189711628499</v>
      </c>
      <c r="AD743" s="57">
        <f t="shared" si="361"/>
        <v>-1.7492606563375481</v>
      </c>
      <c r="AE743" s="57">
        <f t="shared" si="362"/>
        <v>-0.33803284120759891</v>
      </c>
      <c r="AF743" s="57">
        <f t="shared" si="363"/>
        <v>-0.53842835727825789</v>
      </c>
      <c r="AG743" s="57">
        <f t="shared" si="364"/>
        <v>-0.8638278530565705</v>
      </c>
      <c r="AH743" s="57">
        <f t="shared" si="365"/>
        <v>-1.5337753977927462</v>
      </c>
      <c r="AJ743" s="57">
        <f t="shared" si="366"/>
        <v>513490.16274636867</v>
      </c>
      <c r="AK743" s="57">
        <f t="shared" si="367"/>
        <v>531432.97235223965</v>
      </c>
      <c r="AL743" s="57">
        <f t="shared" si="368"/>
        <v>545250.52693666087</v>
      </c>
      <c r="AN743" s="41">
        <v>738</v>
      </c>
      <c r="AO743" s="57">
        <f t="shared" si="369"/>
        <v>12132.923872213654</v>
      </c>
      <c r="AP743" s="57">
        <f t="shared" si="370"/>
        <v>17317.627457812101</v>
      </c>
      <c r="AR743" s="41">
        <v>738</v>
      </c>
      <c r="AS743" s="57">
        <f t="shared" si="371"/>
        <v>18328.697807033037</v>
      </c>
      <c r="AT743" s="57">
        <f t="shared" si="372"/>
        <v>-3918.440519687686</v>
      </c>
      <c r="AV743" s="57">
        <f t="shared" si="373"/>
        <v>-3.3428521926865176</v>
      </c>
      <c r="AW743" s="57">
        <f t="shared" si="374"/>
        <v>-5.7765098917797131</v>
      </c>
      <c r="AX743" s="57">
        <f t="shared" si="375"/>
        <v>-0.30392036373093761</v>
      </c>
      <c r="AY743" s="57">
        <f t="shared" si="376"/>
        <v>-0.57094579950332125</v>
      </c>
      <c r="BA743" s="57">
        <f t="shared" si="377"/>
        <v>514238.96029543557</v>
      </c>
      <c r="BB743" s="57">
        <f t="shared" si="378"/>
        <v>526871.60777114413</v>
      </c>
    </row>
    <row r="744" spans="9:54" x14ac:dyDescent="0.25">
      <c r="I744" s="41">
        <v>739</v>
      </c>
      <c r="J744" s="57">
        <f t="shared" si="352"/>
        <v>24727.592877996583</v>
      </c>
      <c r="K744" s="57">
        <f t="shared" si="353"/>
        <v>9127.8407722857846</v>
      </c>
      <c r="M744" s="41">
        <v>739</v>
      </c>
      <c r="N744" s="57">
        <f t="shared" si="354"/>
        <v>-16690.684985402389</v>
      </c>
      <c r="O744" s="57">
        <f t="shared" si="355"/>
        <v>11139.488540600049</v>
      </c>
      <c r="Q744" s="41">
        <v>739</v>
      </c>
      <c r="R744" s="57">
        <f t="shared" si="356"/>
        <v>-272.40712200341659</v>
      </c>
      <c r="S744" s="41">
        <f t="shared" si="357"/>
        <v>-13372.159227714215</v>
      </c>
      <c r="U744" s="41">
        <v>738</v>
      </c>
      <c r="V744" s="41">
        <f t="shared" si="379"/>
        <v>369</v>
      </c>
      <c r="W744" s="57">
        <f t="shared" si="380"/>
        <v>262967.45327309071</v>
      </c>
      <c r="X744" s="57">
        <f t="shared" si="381"/>
        <v>460580.44607968611</v>
      </c>
      <c r="Y744" s="57">
        <f t="shared" si="382"/>
        <v>795.27382054817213</v>
      </c>
      <c r="Z744" s="57">
        <f t="shared" si="383"/>
        <v>990.11735743560291</v>
      </c>
      <c r="AA744" s="57">
        <f t="shared" si="358"/>
        <v>-5.7741988719158339</v>
      </c>
      <c r="AB744" s="57">
        <f t="shared" si="359"/>
        <v>-10.143308091382588</v>
      </c>
      <c r="AC744" s="57">
        <f t="shared" si="360"/>
        <v>-0.93565858919570821</v>
      </c>
      <c r="AD744" s="57">
        <f t="shared" si="361"/>
        <v>-1.7447958780495332</v>
      </c>
      <c r="AE744" s="57">
        <f t="shared" si="362"/>
        <v>-0.33730443673450156</v>
      </c>
      <c r="AF744" s="57">
        <f t="shared" si="363"/>
        <v>-0.5371034082206303</v>
      </c>
      <c r="AG744" s="57">
        <f t="shared" si="364"/>
        <v>-0.86213279616944682</v>
      </c>
      <c r="AH744" s="57">
        <f t="shared" si="365"/>
        <v>-1.5300869369547656</v>
      </c>
      <c r="AJ744" s="57">
        <f t="shared" si="366"/>
        <v>514115.81766152545</v>
      </c>
      <c r="AK744" s="57">
        <f t="shared" si="367"/>
        <v>532065.14450885402</v>
      </c>
      <c r="AL744" s="57">
        <f t="shared" si="368"/>
        <v>545878.481630316</v>
      </c>
      <c r="AN744" s="41">
        <v>739</v>
      </c>
      <c r="AO744" s="57">
        <f t="shared" si="369"/>
        <v>12091.389316994875</v>
      </c>
      <c r="AP744" s="57">
        <f t="shared" si="370"/>
        <v>17441.761158428675</v>
      </c>
      <c r="AR744" s="41">
        <v>739</v>
      </c>
      <c r="AS744" s="57">
        <f t="shared" si="371"/>
        <v>18309.315014597611</v>
      </c>
      <c r="AT744" s="57">
        <f t="shared" si="372"/>
        <v>-3860.511459399951</v>
      </c>
      <c r="AV744" s="57">
        <f t="shared" si="373"/>
        <v>-3.3357747643149014</v>
      </c>
      <c r="AW744" s="57">
        <f t="shared" si="374"/>
        <v>-5.7617966477782776</v>
      </c>
      <c r="AX744" s="57">
        <f t="shared" si="375"/>
        <v>-0.30332828550127688</v>
      </c>
      <c r="AY744" s="57">
        <f t="shared" si="376"/>
        <v>-0.56952522037938114</v>
      </c>
      <c r="BA744" s="57">
        <f t="shared" si="377"/>
        <v>514868.08104287868</v>
      </c>
      <c r="BB744" s="57">
        <f t="shared" si="378"/>
        <v>527496.92857352435</v>
      </c>
    </row>
    <row r="745" spans="9:54" x14ac:dyDescent="0.25">
      <c r="I745" s="41">
        <v>740</v>
      </c>
      <c r="J745" s="57">
        <f t="shared" si="352"/>
        <v>24698.463103929542</v>
      </c>
      <c r="K745" s="57">
        <f t="shared" si="353"/>
        <v>9210.1007166283398</v>
      </c>
      <c r="M745" s="41">
        <v>740</v>
      </c>
      <c r="N745" s="57">
        <f t="shared" si="354"/>
        <v>-16711.075827249319</v>
      </c>
      <c r="O745" s="57">
        <f t="shared" si="355"/>
        <v>11197.070501639837</v>
      </c>
      <c r="Q745" s="41">
        <v>740</v>
      </c>
      <c r="R745" s="57">
        <f t="shared" si="356"/>
        <v>-301.53689607045635</v>
      </c>
      <c r="S745" s="41">
        <f t="shared" si="357"/>
        <v>-13289.89928337166</v>
      </c>
      <c r="U745" s="41">
        <v>739</v>
      </c>
      <c r="V745" s="41">
        <f t="shared" si="379"/>
        <v>369.5</v>
      </c>
      <c r="W745" s="57">
        <f t="shared" si="380"/>
        <v>263364.3684085058</v>
      </c>
      <c r="X745" s="57">
        <f t="shared" si="381"/>
        <v>461074.2368448925</v>
      </c>
      <c r="Y745" s="57">
        <f t="shared" si="382"/>
        <v>792.38672111221422</v>
      </c>
      <c r="Z745" s="57">
        <f t="shared" si="383"/>
        <v>985.04570338991164</v>
      </c>
      <c r="AA745" s="57">
        <f t="shared" si="358"/>
        <v>-5.7623226023938239</v>
      </c>
      <c r="AB745" s="57">
        <f t="shared" si="359"/>
        <v>-10.117904639411423</v>
      </c>
      <c r="AC745" s="57">
        <f t="shared" si="360"/>
        <v>-0.93379089837640905</v>
      </c>
      <c r="AD745" s="57">
        <f t="shared" si="361"/>
        <v>-1.7403677328508338</v>
      </c>
      <c r="AE745" s="57">
        <f t="shared" si="362"/>
        <v>-0.33658215537355302</v>
      </c>
      <c r="AF745" s="57">
        <f t="shared" si="363"/>
        <v>-0.53578909629125104</v>
      </c>
      <c r="AG745" s="57">
        <f t="shared" si="364"/>
        <v>-0.86045164495322324</v>
      </c>
      <c r="AH745" s="57">
        <f t="shared" si="365"/>
        <v>-1.5264279033850108</v>
      </c>
      <c r="AJ745" s="57">
        <f t="shared" si="366"/>
        <v>514738.57844569761</v>
      </c>
      <c r="AK745" s="57">
        <f t="shared" si="367"/>
        <v>532694.40810726897</v>
      </c>
      <c r="AL745" s="57">
        <f t="shared" si="368"/>
        <v>546503.53449794173</v>
      </c>
      <c r="AN745" s="41">
        <v>740</v>
      </c>
      <c r="AO745" s="57">
        <f t="shared" si="369"/>
        <v>12047.694655894315</v>
      </c>
      <c r="AP745" s="57">
        <f t="shared" si="370"/>
        <v>17565.151074942511</v>
      </c>
      <c r="AR745" s="41">
        <v>740</v>
      </c>
      <c r="AS745" s="57">
        <f t="shared" si="371"/>
        <v>18288.924172750681</v>
      </c>
      <c r="AT745" s="57">
        <f t="shared" si="372"/>
        <v>-3802.9294983601621</v>
      </c>
      <c r="AV745" s="57">
        <f t="shared" si="373"/>
        <v>-3.3287568344471867</v>
      </c>
      <c r="AW745" s="57">
        <f t="shared" si="374"/>
        <v>-5.7472037406508116</v>
      </c>
      <c r="AX745" s="57">
        <f t="shared" si="375"/>
        <v>-0.30274106924345207</v>
      </c>
      <c r="AY745" s="57">
        <f t="shared" si="376"/>
        <v>-0.56811616623351524</v>
      </c>
      <c r="BA745" s="57">
        <f t="shared" si="377"/>
        <v>515494.29835826444</v>
      </c>
      <c r="BB745" s="57">
        <f t="shared" si="378"/>
        <v>528119.35558688338</v>
      </c>
    </row>
    <row r="746" spans="9:54" x14ac:dyDescent="0.25">
      <c r="I746" s="41">
        <v>741</v>
      </c>
      <c r="J746" s="57">
        <f t="shared" si="352"/>
        <v>24667.902132486008</v>
      </c>
      <c r="K746" s="57">
        <f t="shared" si="353"/>
        <v>9291.8397477265007</v>
      </c>
      <c r="M746" s="41">
        <v>741</v>
      </c>
      <c r="N746" s="57">
        <f t="shared" si="354"/>
        <v>-16732.468507259793</v>
      </c>
      <c r="O746" s="57">
        <f t="shared" si="355"/>
        <v>11254.287823408551</v>
      </c>
      <c r="Q746" s="41">
        <v>741</v>
      </c>
      <c r="R746" s="57">
        <f t="shared" si="356"/>
        <v>-332.09786751399042</v>
      </c>
      <c r="S746" s="41">
        <f t="shared" si="357"/>
        <v>-13208.160252273499</v>
      </c>
      <c r="U746" s="41">
        <v>740</v>
      </c>
      <c r="V746" s="41">
        <f t="shared" si="379"/>
        <v>370</v>
      </c>
      <c r="W746" s="57">
        <f t="shared" si="380"/>
        <v>263759.84147873661</v>
      </c>
      <c r="X746" s="57">
        <f t="shared" si="381"/>
        <v>461565.49495850754</v>
      </c>
      <c r="Y746" s="57">
        <f t="shared" si="382"/>
        <v>789.50555981101729</v>
      </c>
      <c r="Z746" s="57">
        <f t="shared" si="383"/>
        <v>979.98675107020597</v>
      </c>
      <c r="AA746" s="57">
        <f t="shared" si="358"/>
        <v>-5.7505454466363464</v>
      </c>
      <c r="AB746" s="57">
        <f t="shared" si="359"/>
        <v>-10.09270774191957</v>
      </c>
      <c r="AC746" s="57">
        <f t="shared" si="360"/>
        <v>-0.93193868853076867</v>
      </c>
      <c r="AD746" s="57">
        <f t="shared" si="361"/>
        <v>-1.7359758658836288</v>
      </c>
      <c r="AE746" s="57">
        <f t="shared" si="362"/>
        <v>-0.33586594101607026</v>
      </c>
      <c r="AF746" s="57">
        <f t="shared" si="363"/>
        <v>-0.53448532077077449</v>
      </c>
      <c r="AG746" s="57">
        <f t="shared" si="364"/>
        <v>-0.8587842792915541</v>
      </c>
      <c r="AH746" s="57">
        <f t="shared" si="365"/>
        <v>-1.5227980224699773</v>
      </c>
      <c r="AJ746" s="57">
        <f t="shared" si="366"/>
        <v>515358.45198235882</v>
      </c>
      <c r="AK746" s="57">
        <f t="shared" si="367"/>
        <v>533320.77014978486</v>
      </c>
      <c r="AL746" s="57">
        <f t="shared" si="368"/>
        <v>547125.69248457241</v>
      </c>
      <c r="AN746" s="41">
        <v>741</v>
      </c>
      <c r="AO746" s="57">
        <f t="shared" si="369"/>
        <v>12001.853198729013</v>
      </c>
      <c r="AP746" s="57">
        <f t="shared" si="370"/>
        <v>17687.75962158975</v>
      </c>
      <c r="AR746" s="41">
        <v>741</v>
      </c>
      <c r="AS746" s="57">
        <f t="shared" si="371"/>
        <v>18267.531492740207</v>
      </c>
      <c r="AT746" s="57">
        <f t="shared" si="372"/>
        <v>-3745.7121765914499</v>
      </c>
      <c r="AV746" s="57">
        <f t="shared" si="373"/>
        <v>-3.3217978644285466</v>
      </c>
      <c r="AW746" s="57">
        <f t="shared" si="374"/>
        <v>-5.7327300055659709</v>
      </c>
      <c r="AX746" s="57">
        <f t="shared" si="375"/>
        <v>-0.30215867336940666</v>
      </c>
      <c r="AY746" s="57">
        <f t="shared" si="376"/>
        <v>-0.56671852722921756</v>
      </c>
      <c r="BA746" s="57">
        <f t="shared" si="377"/>
        <v>516117.61920093151</v>
      </c>
      <c r="BB746" s="57">
        <f t="shared" si="378"/>
        <v>528738.89569276373</v>
      </c>
    </row>
    <row r="747" spans="9:54" x14ac:dyDescent="0.25">
      <c r="I747" s="41">
        <v>742</v>
      </c>
      <c r="J747" s="57">
        <f t="shared" si="352"/>
        <v>24635.919272833937</v>
      </c>
      <c r="K747" s="57">
        <f t="shared" si="353"/>
        <v>9373.0329670795618</v>
      </c>
      <c r="M747" s="41">
        <v>742</v>
      </c>
      <c r="N747" s="57">
        <f t="shared" si="354"/>
        <v>-16754.856509016245</v>
      </c>
      <c r="O747" s="57">
        <f t="shared" si="355"/>
        <v>11311.123076955693</v>
      </c>
      <c r="Q747" s="41">
        <v>742</v>
      </c>
      <c r="R747" s="57">
        <f t="shared" si="356"/>
        <v>-364.08072716606421</v>
      </c>
      <c r="S747" s="41">
        <f t="shared" si="357"/>
        <v>-13126.967032920438</v>
      </c>
      <c r="U747" s="41">
        <v>741</v>
      </c>
      <c r="V747" s="41">
        <f t="shared" si="379"/>
        <v>370.5</v>
      </c>
      <c r="W747" s="57">
        <f t="shared" si="380"/>
        <v>264153.87544046127</v>
      </c>
      <c r="X747" s="57">
        <f t="shared" si="381"/>
        <v>462054.22674557491</v>
      </c>
      <c r="Y747" s="57">
        <f t="shared" si="382"/>
        <v>786.63028708769912</v>
      </c>
      <c r="Z747" s="57">
        <f t="shared" si="383"/>
        <v>974.94039719924615</v>
      </c>
      <c r="AA747" s="57">
        <f t="shared" si="358"/>
        <v>-5.7388665238724075</v>
      </c>
      <c r="AB747" s="57">
        <f t="shared" si="359"/>
        <v>-10.067715421177779</v>
      </c>
      <c r="AC747" s="57">
        <f t="shared" si="360"/>
        <v>-0.93010182530599061</v>
      </c>
      <c r="AD747" s="57">
        <f t="shared" si="361"/>
        <v>-1.7316199271213732</v>
      </c>
      <c r="AE747" s="57">
        <f t="shared" si="362"/>
        <v>-0.33515573830812495</v>
      </c>
      <c r="AF747" s="57">
        <f t="shared" si="363"/>
        <v>-0.53319198228555309</v>
      </c>
      <c r="AG747" s="57">
        <f t="shared" si="364"/>
        <v>-0.85713058062512348</v>
      </c>
      <c r="AH747" s="57">
        <f t="shared" si="365"/>
        <v>-1.5191970232305088</v>
      </c>
      <c r="AJ747" s="57">
        <f t="shared" si="366"/>
        <v>515975.4450987603</v>
      </c>
      <c r="AK747" s="57">
        <f t="shared" si="367"/>
        <v>533944.23758139089</v>
      </c>
      <c r="AL747" s="57">
        <f t="shared" si="368"/>
        <v>547744.96247837623</v>
      </c>
      <c r="AN747" s="41">
        <v>742</v>
      </c>
      <c r="AO747" s="57">
        <f t="shared" si="369"/>
        <v>11953.878909250903</v>
      </c>
      <c r="AP747" s="57">
        <f t="shared" si="370"/>
        <v>17809.549450619343</v>
      </c>
      <c r="AR747" s="41">
        <v>742</v>
      </c>
      <c r="AS747" s="57">
        <f t="shared" si="371"/>
        <v>18245.143490983755</v>
      </c>
      <c r="AT747" s="57">
        <f t="shared" si="372"/>
        <v>-3688.8769230443063</v>
      </c>
      <c r="AV747" s="57">
        <f t="shared" si="373"/>
        <v>-3.3148973228064511</v>
      </c>
      <c r="AW747" s="57">
        <f t="shared" si="374"/>
        <v>-5.7183742935331061</v>
      </c>
      <c r="AX747" s="57">
        <f t="shared" si="375"/>
        <v>-0.30158105682671749</v>
      </c>
      <c r="AY747" s="57">
        <f t="shared" si="376"/>
        <v>-0.56533219500723753</v>
      </c>
      <c r="BA747" s="57">
        <f t="shared" si="377"/>
        <v>516738.05047324899</v>
      </c>
      <c r="BB747" s="57">
        <f t="shared" si="378"/>
        <v>529355.5557164842</v>
      </c>
    </row>
    <row r="748" spans="9:54" x14ac:dyDescent="0.25">
      <c r="I748" s="41">
        <v>743</v>
      </c>
      <c r="J748" s="57">
        <f t="shared" si="352"/>
        <v>24602.524267262204</v>
      </c>
      <c r="K748" s="57">
        <f t="shared" si="353"/>
        <v>9453.655642446367</v>
      </c>
      <c r="M748" s="41">
        <v>743</v>
      </c>
      <c r="N748" s="57">
        <f t="shared" si="354"/>
        <v>-16778.233012916458</v>
      </c>
      <c r="O748" s="57">
        <f t="shared" si="355"/>
        <v>11367.558949712457</v>
      </c>
      <c r="Q748" s="41">
        <v>743</v>
      </c>
      <c r="R748" s="57">
        <f t="shared" si="356"/>
        <v>-397.47573273779744</v>
      </c>
      <c r="S748" s="41">
        <f t="shared" si="357"/>
        <v>-13046.344357553633</v>
      </c>
      <c r="U748" s="41">
        <v>742</v>
      </c>
      <c r="V748" s="41">
        <f t="shared" si="379"/>
        <v>371</v>
      </c>
      <c r="W748" s="57">
        <f t="shared" si="380"/>
        <v>264546.47322568967</v>
      </c>
      <c r="X748" s="57">
        <f t="shared" si="381"/>
        <v>462540.43847974687</v>
      </c>
      <c r="Y748" s="57">
        <f t="shared" si="382"/>
        <v>783.76085382576287</v>
      </c>
      <c r="Z748" s="57">
        <f t="shared" si="383"/>
        <v>969.90653948865724</v>
      </c>
      <c r="AA748" s="57">
        <f t="shared" si="358"/>
        <v>-5.7272849649708792</v>
      </c>
      <c r="AB748" s="57">
        <f t="shared" si="359"/>
        <v>-10.042925726146105</v>
      </c>
      <c r="AC748" s="57">
        <f t="shared" si="360"/>
        <v>-0.928280176096967</v>
      </c>
      <c r="AD748" s="57">
        <f t="shared" si="361"/>
        <v>-1.7272995712900214</v>
      </c>
      <c r="AE748" s="57">
        <f t="shared" si="362"/>
        <v>-0.33445149263852064</v>
      </c>
      <c r="AF748" s="57">
        <f t="shared" si="363"/>
        <v>-0.53190898278607579</v>
      </c>
      <c r="AG748" s="57">
        <f t="shared" si="364"/>
        <v>-0.85549043192793661</v>
      </c>
      <c r="AH748" s="57">
        <f t="shared" si="365"/>
        <v>-1.5156246382642673</v>
      </c>
      <c r="AJ748" s="57">
        <f t="shared" si="366"/>
        <v>516589.56456645858</v>
      </c>
      <c r="AK748" s="57">
        <f t="shared" si="367"/>
        <v>534564.81729030737</v>
      </c>
      <c r="AL748" s="57">
        <f t="shared" si="368"/>
        <v>548361.3513111918</v>
      </c>
      <c r="AN748" s="41">
        <v>743</v>
      </c>
      <c r="AO748" s="57">
        <f t="shared" si="369"/>
        <v>11903.786400893305</v>
      </c>
      <c r="AP748" s="57">
        <f t="shared" si="370"/>
        <v>17930.483463669549</v>
      </c>
      <c r="AR748" s="41">
        <v>743</v>
      </c>
      <c r="AS748" s="57">
        <f t="shared" si="371"/>
        <v>18221.766987083542</v>
      </c>
      <c r="AT748" s="57">
        <f t="shared" si="372"/>
        <v>-3632.4410502875435</v>
      </c>
      <c r="AV748" s="57">
        <f t="shared" si="373"/>
        <v>-3.3080546852169448</v>
      </c>
      <c r="AW748" s="57">
        <f t="shared" si="374"/>
        <v>-5.7041354711439585</v>
      </c>
      <c r="AX748" s="57">
        <f t="shared" si="375"/>
        <v>-0.30100817909050975</v>
      </c>
      <c r="AY748" s="57">
        <f t="shared" si="376"/>
        <v>-0.56395706266178247</v>
      </c>
      <c r="BA748" s="57">
        <f t="shared" si="377"/>
        <v>517355.59902115463</v>
      </c>
      <c r="BB748" s="57">
        <f t="shared" si="378"/>
        <v>529969.342427667</v>
      </c>
    </row>
    <row r="749" spans="9:54" x14ac:dyDescent="0.25">
      <c r="I749" s="41">
        <v>744</v>
      </c>
      <c r="J749" s="57">
        <f t="shared" si="352"/>
        <v>24567.727288213006</v>
      </c>
      <c r="K749" s="57">
        <f t="shared" si="353"/>
        <v>9533.6832153789928</v>
      </c>
      <c r="M749" s="41">
        <v>744</v>
      </c>
      <c r="N749" s="57">
        <f t="shared" si="354"/>
        <v>-16802.590898250895</v>
      </c>
      <c r="O749" s="57">
        <f t="shared" si="355"/>
        <v>11423.578250765295</v>
      </c>
      <c r="Q749" s="41">
        <v>744</v>
      </c>
      <c r="R749" s="57">
        <f t="shared" si="356"/>
        <v>-432.27271178699266</v>
      </c>
      <c r="S749" s="41">
        <f t="shared" si="357"/>
        <v>-12966.316784621007</v>
      </c>
      <c r="U749" s="41">
        <v>743</v>
      </c>
      <c r="V749" s="41">
        <f t="shared" si="379"/>
        <v>371.5</v>
      </c>
      <c r="W749" s="57">
        <f t="shared" si="380"/>
        <v>264937.63774198189</v>
      </c>
      <c r="X749" s="57">
        <f t="shared" si="381"/>
        <v>463024.13638377545</v>
      </c>
      <c r="Y749" s="57">
        <f t="shared" si="382"/>
        <v>780.89721134327738</v>
      </c>
      <c r="Z749" s="57">
        <f t="shared" si="383"/>
        <v>964.88507662558425</v>
      </c>
      <c r="AA749" s="57">
        <f t="shared" si="358"/>
        <v>-5.715799912259441</v>
      </c>
      <c r="AB749" s="57">
        <f t="shared" si="359"/>
        <v>-10.018336732042691</v>
      </c>
      <c r="AC749" s="57">
        <f t="shared" si="360"/>
        <v>-0.92647361001964934</v>
      </c>
      <c r="AD749" s="57">
        <f t="shared" si="361"/>
        <v>-1.7230144577907969</v>
      </c>
      <c r="AE749" s="57">
        <f t="shared" si="362"/>
        <v>-0.33375315012701795</v>
      </c>
      <c r="AF749" s="57">
        <f t="shared" si="363"/>
        <v>-0.53063622552584866</v>
      </c>
      <c r="AG749" s="57">
        <f t="shared" si="364"/>
        <v>-0.85386371768400904</v>
      </c>
      <c r="AH749" s="57">
        <f t="shared" si="365"/>
        <v>-1.5120806036892211</v>
      </c>
      <c r="AJ749" s="57">
        <f t="shared" si="366"/>
        <v>517200.81710183597</v>
      </c>
      <c r="AK749" s="57">
        <f t="shared" si="367"/>
        <v>535182.51610852021</v>
      </c>
      <c r="AL749" s="57">
        <f t="shared" si="368"/>
        <v>548974.86575905804</v>
      </c>
      <c r="AN749" s="41">
        <v>744</v>
      </c>
      <c r="AO749" s="57">
        <f t="shared" si="369"/>
        <v>11851.590932319512</v>
      </c>
      <c r="AP749" s="57">
        <f t="shared" si="370"/>
        <v>18050.524823068488</v>
      </c>
      <c r="AR749" s="41">
        <v>744</v>
      </c>
      <c r="AS749" s="57">
        <f t="shared" si="371"/>
        <v>18197.409101749105</v>
      </c>
      <c r="AT749" s="57">
        <f t="shared" si="372"/>
        <v>-3576.4217492347047</v>
      </c>
      <c r="AV749" s="57">
        <f t="shared" si="373"/>
        <v>-3.301269434273236</v>
      </c>
      <c r="AW749" s="57">
        <f t="shared" si="374"/>
        <v>-5.6900124203196301</v>
      </c>
      <c r="AX749" s="57">
        <f t="shared" si="375"/>
        <v>-0.30044000015552796</v>
      </c>
      <c r="AY749" s="57">
        <f t="shared" si="376"/>
        <v>-0.56259302471719574</v>
      </c>
      <c r="BA749" s="57">
        <f t="shared" si="377"/>
        <v>517970.27163468528</v>
      </c>
      <c r="BB749" s="57">
        <f t="shared" si="378"/>
        <v>530580.26254075917</v>
      </c>
    </row>
    <row r="750" spans="9:54" x14ac:dyDescent="0.25">
      <c r="I750" s="41">
        <v>745</v>
      </c>
      <c r="J750" s="57">
        <f t="shared" si="352"/>
        <v>24531.538935183249</v>
      </c>
      <c r="K750" s="57">
        <f t="shared" si="353"/>
        <v>9613.0913087035005</v>
      </c>
      <c r="M750" s="41">
        <v>745</v>
      </c>
      <c r="N750" s="57">
        <f t="shared" si="354"/>
        <v>-16827.922745371725</v>
      </c>
      <c r="O750" s="57">
        <f t="shared" si="355"/>
        <v>11479.16391609245</v>
      </c>
      <c r="Q750" s="41">
        <v>745</v>
      </c>
      <c r="R750" s="57">
        <f t="shared" si="356"/>
        <v>-468.46106481675179</v>
      </c>
      <c r="S750" s="41">
        <f t="shared" si="357"/>
        <v>-12886.908691296499</v>
      </c>
      <c r="U750" s="41">
        <v>744</v>
      </c>
      <c r="V750" s="41">
        <f t="shared" si="379"/>
        <v>372</v>
      </c>
      <c r="W750" s="57">
        <f t="shared" si="380"/>
        <v>265327.37187266449</v>
      </c>
      <c r="X750" s="57">
        <f t="shared" si="381"/>
        <v>463505.32662999677</v>
      </c>
      <c r="Y750" s="57">
        <f t="shared" si="382"/>
        <v>778.03931138714768</v>
      </c>
      <c r="Z750" s="57">
        <f t="shared" si="383"/>
        <v>959.87590825956295</v>
      </c>
      <c r="AA750" s="57">
        <f t="shared" si="358"/>
        <v>-5.7044105193468635</v>
      </c>
      <c r="AB750" s="57">
        <f t="shared" si="359"/>
        <v>-9.9939465399207528</v>
      </c>
      <c r="AC750" s="57">
        <f t="shared" si="360"/>
        <v>-0.92468199788493965</v>
      </c>
      <c r="AD750" s="57">
        <f t="shared" si="361"/>
        <v>-1.7187642506245069</v>
      </c>
      <c r="AE750" s="57">
        <f t="shared" si="362"/>
        <v>-0.33306065761275944</v>
      </c>
      <c r="AF750" s="57">
        <f t="shared" si="363"/>
        <v>-0.52937361504063496</v>
      </c>
      <c r="AG750" s="57">
        <f t="shared" si="364"/>
        <v>-0.85225032386450528</v>
      </c>
      <c r="AH750" s="57">
        <f t="shared" si="365"/>
        <v>-1.5085646590882387</v>
      </c>
      <c r="AJ750" s="57">
        <f t="shared" si="366"/>
        <v>517809.2093666147</v>
      </c>
      <c r="AK750" s="57">
        <f t="shared" si="367"/>
        <v>535797.34081230918</v>
      </c>
      <c r="AL750" s="57">
        <f t="shared" si="368"/>
        <v>549585.5125427359</v>
      </c>
      <c r="AN750" s="41">
        <v>745</v>
      </c>
      <c r="AO750" s="57">
        <f t="shared" si="369"/>
        <v>11797.308402774872</v>
      </c>
      <c r="AP750" s="57">
        <f t="shared" si="370"/>
        <v>18169.636963055251</v>
      </c>
      <c r="AR750" s="41">
        <v>745</v>
      </c>
      <c r="AS750" s="57">
        <f t="shared" si="371"/>
        <v>18172.077254628275</v>
      </c>
      <c r="AT750" s="57">
        <f t="shared" si="372"/>
        <v>-3520.8360839075494</v>
      </c>
      <c r="AV750" s="57">
        <f t="shared" si="373"/>
        <v>-3.2945410594562903</v>
      </c>
      <c r="AW750" s="57">
        <f t="shared" si="374"/>
        <v>-5.6760040380622598</v>
      </c>
      <c r="AX750" s="57">
        <f t="shared" si="375"/>
        <v>-0.29987648052836818</v>
      </c>
      <c r="AY750" s="57">
        <f t="shared" si="376"/>
        <v>-0.56123997710511175</v>
      </c>
      <c r="BA750" s="57">
        <f t="shared" si="377"/>
        <v>518582.0750485005</v>
      </c>
      <c r="BB750" s="57">
        <f t="shared" si="378"/>
        <v>531188.32271554612</v>
      </c>
    </row>
    <row r="751" spans="9:54" x14ac:dyDescent="0.25">
      <c r="I751" s="41">
        <v>746</v>
      </c>
      <c r="J751" s="57">
        <f t="shared" si="352"/>
        <v>24493.970231495834</v>
      </c>
      <c r="K751" s="57">
        <f t="shared" si="353"/>
        <v>9691.8557339453855</v>
      </c>
      <c r="M751" s="41">
        <v>746</v>
      </c>
      <c r="N751" s="57">
        <f t="shared" si="354"/>
        <v>-16854.220837952915</v>
      </c>
      <c r="O751" s="57">
        <f t="shared" si="355"/>
        <v>11534.299013761771</v>
      </c>
      <c r="Q751" s="41">
        <v>746</v>
      </c>
      <c r="R751" s="57">
        <f t="shared" si="356"/>
        <v>-506.02976850416417</v>
      </c>
      <c r="S751" s="41">
        <f t="shared" si="357"/>
        <v>-12808.144266054614</v>
      </c>
      <c r="U751" s="41">
        <v>745</v>
      </c>
      <c r="V751" s="41">
        <f t="shared" si="379"/>
        <v>372.5</v>
      </c>
      <c r="W751" s="57">
        <f t="shared" si="380"/>
        <v>265715.67847704311</v>
      </c>
      <c r="X751" s="57">
        <f t="shared" si="381"/>
        <v>463984.01534080907</v>
      </c>
      <c r="Y751" s="57">
        <f t="shared" si="382"/>
        <v>775.18710612747429</v>
      </c>
      <c r="Z751" s="57">
        <f t="shared" si="383"/>
        <v>954.87893498960261</v>
      </c>
      <c r="AA751" s="57">
        <f t="shared" si="358"/>
        <v>-5.6931159509487061</v>
      </c>
      <c r="AB751" s="57">
        <f t="shared" si="359"/>
        <v>-9.9697532762538827</v>
      </c>
      <c r="AC751" s="57">
        <f t="shared" si="360"/>
        <v>-0.92290521217302546</v>
      </c>
      <c r="AD751" s="57">
        <f t="shared" si="361"/>
        <v>-1.7145486183172667</v>
      </c>
      <c r="AE751" s="57">
        <f t="shared" si="362"/>
        <v>-0.33237396264294117</v>
      </c>
      <c r="AF751" s="57">
        <f t="shared" si="363"/>
        <v>-0.52812105712813562</v>
      </c>
      <c r="AG751" s="57">
        <f t="shared" si="364"/>
        <v>-0.85065013790529798</v>
      </c>
      <c r="AH751" s="57">
        <f t="shared" si="365"/>
        <v>-1.5050765474547294</v>
      </c>
      <c r="AJ751" s="57">
        <f t="shared" si="366"/>
        <v>518414.74796836328</v>
      </c>
      <c r="AK751" s="57">
        <f t="shared" si="367"/>
        <v>536409.29812276841</v>
      </c>
      <c r="AL751" s="57">
        <f t="shared" si="368"/>
        <v>550193.2983282241</v>
      </c>
      <c r="AN751" s="41">
        <v>746</v>
      </c>
      <c r="AO751" s="57">
        <f t="shared" si="369"/>
        <v>11740.955347243755</v>
      </c>
      <c r="AP751" s="57">
        <f t="shared" si="370"/>
        <v>18287.783600918079</v>
      </c>
      <c r="AR751" s="41">
        <v>746</v>
      </c>
      <c r="AS751" s="57">
        <f t="shared" si="371"/>
        <v>18145.779162047085</v>
      </c>
      <c r="AT751" s="57">
        <f t="shared" si="372"/>
        <v>-3465.7009862382301</v>
      </c>
      <c r="AV751" s="57">
        <f t="shared" si="373"/>
        <v>-3.287869057007625</v>
      </c>
      <c r="AW751" s="57">
        <f t="shared" si="374"/>
        <v>-5.6621092362117658</v>
      </c>
      <c r="AX751" s="57">
        <f t="shared" si="375"/>
        <v>-0.29931758121981678</v>
      </c>
      <c r="AY751" s="57">
        <f t="shared" si="376"/>
        <v>-0.55989781714198583</v>
      </c>
      <c r="BA751" s="57">
        <f t="shared" si="377"/>
        <v>519191.01594239933</v>
      </c>
      <c r="BB751" s="57">
        <f t="shared" si="378"/>
        <v>531793.52955765859</v>
      </c>
    </row>
    <row r="752" spans="9:54" x14ac:dyDescent="0.25">
      <c r="I752" s="41">
        <v>747</v>
      </c>
      <c r="J752" s="57">
        <f t="shared" si="352"/>
        <v>24455.032620941842</v>
      </c>
      <c r="K752" s="57">
        <f t="shared" si="353"/>
        <v>9769.9524986977267</v>
      </c>
      <c r="M752" s="41">
        <v>747</v>
      </c>
      <c r="N752" s="57">
        <f t="shared" si="354"/>
        <v>-16881.477165340712</v>
      </c>
      <c r="O752" s="57">
        <f t="shared" si="355"/>
        <v>11588.966749088409</v>
      </c>
      <c r="Q752" s="41">
        <v>747</v>
      </c>
      <c r="R752" s="57">
        <f t="shared" si="356"/>
        <v>-544.96737905815735</v>
      </c>
      <c r="S752" s="41">
        <f t="shared" si="357"/>
        <v>-12730.047501302273</v>
      </c>
      <c r="U752" s="41">
        <v>746</v>
      </c>
      <c r="V752" s="41">
        <f t="shared" si="379"/>
        <v>373</v>
      </c>
      <c r="W752" s="57">
        <f t="shared" si="380"/>
        <v>266102.56039061298</v>
      </c>
      <c r="X752" s="57">
        <f t="shared" si="381"/>
        <v>464460.20858914434</v>
      </c>
      <c r="Y752" s="57">
        <f t="shared" si="382"/>
        <v>772.340548152</v>
      </c>
      <c r="Z752" s="57">
        <f t="shared" si="383"/>
        <v>949.89405835147568</v>
      </c>
      <c r="AA752" s="57">
        <f t="shared" si="358"/>
        <v>-5.6819153827162232</v>
      </c>
      <c r="AB752" s="57">
        <f t="shared" si="359"/>
        <v>-9.9457550925292288</v>
      </c>
      <c r="AC752" s="57">
        <f t="shared" si="360"/>
        <v>-0.92114312700820566</v>
      </c>
      <c r="AD752" s="57">
        <f t="shared" si="361"/>
        <v>-1.7103672338476881</v>
      </c>
      <c r="AE752" s="57">
        <f t="shared" si="362"/>
        <v>-0.33169301346168811</v>
      </c>
      <c r="AF752" s="57">
        <f t="shared" si="363"/>
        <v>-0.52687845882803375</v>
      </c>
      <c r="AG752" s="57">
        <f t="shared" si="364"/>
        <v>-0.84906304868496618</v>
      </c>
      <c r="AH752" s="57">
        <f t="shared" si="365"/>
        <v>-1.5016160151393554</v>
      </c>
      <c r="AJ752" s="57">
        <f t="shared" si="366"/>
        <v>519017.43946099695</v>
      </c>
      <c r="AK752" s="57">
        <f t="shared" si="367"/>
        <v>537018.39470632002</v>
      </c>
      <c r="AL752" s="57">
        <f t="shared" si="368"/>
        <v>550798.22972726752</v>
      </c>
      <c r="AN752" s="41">
        <v>747</v>
      </c>
      <c r="AO752" s="57">
        <f t="shared" si="369"/>
        <v>11682.548931412763</v>
      </c>
      <c r="AP752" s="57">
        <f t="shared" si="370"/>
        <v>18404.92874804659</v>
      </c>
      <c r="AR752" s="41">
        <v>747</v>
      </c>
      <c r="AS752" s="57">
        <f t="shared" si="371"/>
        <v>18118.522834659288</v>
      </c>
      <c r="AT752" s="57">
        <f t="shared" si="372"/>
        <v>-3411.0332509115906</v>
      </c>
      <c r="AV752" s="57">
        <f t="shared" si="373"/>
        <v>-3.2812529298239967</v>
      </c>
      <c r="AW752" s="57">
        <f t="shared" si="374"/>
        <v>-5.6483269412070278</v>
      </c>
      <c r="AX752" s="57">
        <f t="shared" si="375"/>
        <v>-0.29876326373736595</v>
      </c>
      <c r="AY752" s="57">
        <f t="shared" si="376"/>
        <v>-0.55856644350712337</v>
      </c>
      <c r="BA752" s="57">
        <f t="shared" si="377"/>
        <v>519797.10094182985</v>
      </c>
      <c r="BB752" s="57">
        <f t="shared" si="378"/>
        <v>532395.88961907313</v>
      </c>
    </row>
    <row r="753" spans="9:54" x14ac:dyDescent="0.25">
      <c r="I753" s="41">
        <v>748</v>
      </c>
      <c r="J753" s="57">
        <f t="shared" si="352"/>
        <v>24414.737964294633</v>
      </c>
      <c r="K753" s="57">
        <f t="shared" si="353"/>
        <v>9847.3578139294586</v>
      </c>
      <c r="M753" s="41">
        <v>748</v>
      </c>
      <c r="N753" s="57">
        <f t="shared" si="354"/>
        <v>-16909.683424993756</v>
      </c>
      <c r="O753" s="57">
        <f t="shared" si="355"/>
        <v>11643.150469750621</v>
      </c>
      <c r="Q753" s="41">
        <v>748</v>
      </c>
      <c r="R753" s="57">
        <f t="shared" si="356"/>
        <v>-585.26203570536745</v>
      </c>
      <c r="S753" s="41">
        <f t="shared" si="357"/>
        <v>-12652.642186070541</v>
      </c>
      <c r="U753" s="41">
        <v>747</v>
      </c>
      <c r="V753" s="41">
        <f t="shared" si="379"/>
        <v>373.5</v>
      </c>
      <c r="W753" s="57">
        <f t="shared" si="380"/>
        <v>266488.02042526612</v>
      </c>
      <c r="X753" s="57">
        <f t="shared" si="381"/>
        <v>464933.91239893355</v>
      </c>
      <c r="Y753" s="57">
        <f t="shared" si="382"/>
        <v>769.49959046064191</v>
      </c>
      <c r="Z753" s="57">
        <f t="shared" si="383"/>
        <v>944.92118080521107</v>
      </c>
      <c r="AA753" s="57">
        <f t="shared" si="358"/>
        <v>-5.6708080010686022</v>
      </c>
      <c r="AB753" s="57">
        <f t="shared" si="359"/>
        <v>-9.9219501648487114</v>
      </c>
      <c r="AC753" s="57">
        <f t="shared" si="360"/>
        <v>-0.9193956181341908</v>
      </c>
      <c r="AD753" s="57">
        <f t="shared" si="361"/>
        <v>-1.7062197745754999</v>
      </c>
      <c r="AE753" s="57">
        <f t="shared" si="362"/>
        <v>-0.33101775899913266</v>
      </c>
      <c r="AF753" s="57">
        <f t="shared" si="363"/>
        <v>-0.5256457284024072</v>
      </c>
      <c r="AG753" s="57">
        <f t="shared" si="364"/>
        <v>-0.84748894650314588</v>
      </c>
      <c r="AH753" s="57">
        <f t="shared" si="365"/>
        <v>-1.4981828117976583</v>
      </c>
      <c r="AJ753" s="57">
        <f t="shared" si="366"/>
        <v>519617.29034527094</v>
      </c>
      <c r="AK753" s="57">
        <f t="shared" si="367"/>
        <v>537624.63717522123</v>
      </c>
      <c r="AL753" s="57">
        <f t="shared" si="368"/>
        <v>551400.31329785893</v>
      </c>
      <c r="AN753" s="41">
        <v>748</v>
      </c>
      <c r="AO753" s="57">
        <f t="shared" si="369"/>
        <v>11622.106946441949</v>
      </c>
      <c r="AP753" s="57">
        <f t="shared" si="370"/>
        <v>18521.036720894186</v>
      </c>
      <c r="AR753" s="41">
        <v>748</v>
      </c>
      <c r="AS753" s="57">
        <f t="shared" si="371"/>
        <v>18090.316575006244</v>
      </c>
      <c r="AT753" s="57">
        <f t="shared" si="372"/>
        <v>-3356.8495302493793</v>
      </c>
      <c r="AV753" s="57">
        <f t="shared" si="373"/>
        <v>-3.2746921873542858</v>
      </c>
      <c r="AW753" s="57">
        <f t="shared" si="374"/>
        <v>-5.6346560938520511</v>
      </c>
      <c r="AX753" s="57">
        <f t="shared" si="375"/>
        <v>-0.29821349007784748</v>
      </c>
      <c r="AY753" s="57">
        <f t="shared" si="376"/>
        <v>-0.55724575622109429</v>
      </c>
      <c r="BA753" s="57">
        <f t="shared" si="377"/>
        <v>520400.33661839186</v>
      </c>
      <c r="BB753" s="57">
        <f t="shared" si="378"/>
        <v>532995.40939860605</v>
      </c>
    </row>
    <row r="754" spans="9:54" x14ac:dyDescent="0.25">
      <c r="I754" s="41">
        <v>749</v>
      </c>
      <c r="J754" s="57">
        <f t="shared" si="352"/>
        <v>24373.09853569698</v>
      </c>
      <c r="K754" s="57">
        <f t="shared" si="353"/>
        <v>9924.048101231685</v>
      </c>
      <c r="M754" s="41">
        <v>749</v>
      </c>
      <c r="N754" s="57">
        <f t="shared" si="354"/>
        <v>-16938.831025012114</v>
      </c>
      <c r="O754" s="57">
        <f t="shared" si="355"/>
        <v>11696.833670862179</v>
      </c>
      <c r="Q754" s="41">
        <v>749</v>
      </c>
      <c r="R754" s="57">
        <f t="shared" si="356"/>
        <v>-626.90146430302048</v>
      </c>
      <c r="S754" s="41">
        <f t="shared" si="357"/>
        <v>-12575.951898768315</v>
      </c>
      <c r="U754" s="41">
        <v>748</v>
      </c>
      <c r="V754" s="41">
        <f t="shared" si="379"/>
        <v>374</v>
      </c>
      <c r="W754" s="57">
        <f t="shared" si="380"/>
        <v>266872.06136949634</v>
      </c>
      <c r="X754" s="57">
        <f t="shared" si="381"/>
        <v>465405.13274556556</v>
      </c>
      <c r="Y754" s="57">
        <f t="shared" si="382"/>
        <v>766.66418646010766</v>
      </c>
      <c r="Z754" s="57">
        <f t="shared" si="383"/>
        <v>939.96020572278667</v>
      </c>
      <c r="AA754" s="57">
        <f t="shared" si="358"/>
        <v>-5.6597930030281276</v>
      </c>
      <c r="AB754" s="57">
        <f t="shared" si="359"/>
        <v>-9.8983366935374786</v>
      </c>
      <c r="AC754" s="57">
        <f t="shared" si="360"/>
        <v>-0.91766256288983239</v>
      </c>
      <c r="AD754" s="57">
        <f t="shared" si="361"/>
        <v>-1.7021059221714954</v>
      </c>
      <c r="AE754" s="57">
        <f t="shared" si="362"/>
        <v>-0.33034814886073327</v>
      </c>
      <c r="AF754" s="57">
        <f t="shared" si="363"/>
        <v>-0.52442277531656101</v>
      </c>
      <c r="AG754" s="57">
        <f t="shared" si="364"/>
        <v>-0.84592772305930741</v>
      </c>
      <c r="AH754" s="57">
        <f t="shared" si="365"/>
        <v>-1.4947766903387181</v>
      </c>
      <c r="AJ754" s="57">
        <f t="shared" si="366"/>
        <v>520214.30706926773</v>
      </c>
      <c r="AK754" s="57">
        <f t="shared" si="367"/>
        <v>538228.03208806424</v>
      </c>
      <c r="AL754" s="57">
        <f t="shared" si="368"/>
        <v>551999.55554473377</v>
      </c>
      <c r="AN754" s="41">
        <v>749</v>
      </c>
      <c r="AO754" s="57">
        <f t="shared" si="369"/>
        <v>11559.647803545469</v>
      </c>
      <c r="AP754" s="57">
        <f t="shared" si="370"/>
        <v>18636.072151847526</v>
      </c>
      <c r="AR754" s="41">
        <v>749</v>
      </c>
      <c r="AS754" s="57">
        <f t="shared" si="371"/>
        <v>18061.168974987886</v>
      </c>
      <c r="AT754" s="57">
        <f t="shared" si="372"/>
        <v>-3303.1663291378204</v>
      </c>
      <c r="AV754" s="57">
        <f t="shared" si="373"/>
        <v>-3.26818634549806</v>
      </c>
      <c r="AW754" s="57">
        <f t="shared" si="374"/>
        <v>-5.6210956490861559</v>
      </c>
      <c r="AX754" s="57">
        <f t="shared" si="375"/>
        <v>-0.297668222720194</v>
      </c>
      <c r="AY754" s="57">
        <f t="shared" si="376"/>
        <v>-0.55593565662454814</v>
      </c>
      <c r="BA754" s="57">
        <f t="shared" si="377"/>
        <v>521000.72949033359</v>
      </c>
      <c r="BB754" s="57">
        <f t="shared" si="378"/>
        <v>533592.09534239955</v>
      </c>
    </row>
    <row r="755" spans="9:54" x14ac:dyDescent="0.25">
      <c r="I755" s="41">
        <v>750</v>
      </c>
      <c r="J755" s="57">
        <f t="shared" si="352"/>
        <v>24330.127018922198</v>
      </c>
      <c r="K755" s="57">
        <f t="shared" si="353"/>
        <v>9999.9999999999964</v>
      </c>
      <c r="M755" s="41">
        <v>750</v>
      </c>
      <c r="N755" s="57">
        <f t="shared" si="354"/>
        <v>-16968.911086754462</v>
      </c>
      <c r="O755" s="57">
        <f t="shared" si="355"/>
        <v>11749.999999999996</v>
      </c>
      <c r="Q755" s="41">
        <v>750</v>
      </c>
      <c r="R755" s="57">
        <f t="shared" si="356"/>
        <v>-669.87298107780407</v>
      </c>
      <c r="S755" s="41">
        <f t="shared" si="357"/>
        <v>-12500.000000000004</v>
      </c>
      <c r="U755" s="41">
        <v>749</v>
      </c>
      <c r="V755" s="41">
        <f t="shared" si="379"/>
        <v>374.5</v>
      </c>
      <c r="W755" s="57">
        <f t="shared" si="380"/>
        <v>267254.68598860101</v>
      </c>
      <c r="X755" s="57">
        <f t="shared" si="381"/>
        <v>465873.87555634027</v>
      </c>
      <c r="Y755" s="57">
        <f t="shared" si="382"/>
        <v>763.83428995859356</v>
      </c>
      <c r="Z755" s="57">
        <f t="shared" si="383"/>
        <v>935.01103737601795</v>
      </c>
      <c r="AA755" s="57">
        <f t="shared" si="358"/>
        <v>-5.6488695960585806</v>
      </c>
      <c r="AB755" s="57">
        <f t="shared" si="359"/>
        <v>-9.8749129027602152</v>
      </c>
      <c r="AC755" s="57">
        <f t="shared" si="360"/>
        <v>-0.91594384018530761</v>
      </c>
      <c r="AD755" s="57">
        <f t="shared" si="361"/>
        <v>-1.6980253625488511</v>
      </c>
      <c r="AE755" s="57">
        <f t="shared" si="362"/>
        <v>-0.32968413331674939</v>
      </c>
      <c r="AF755" s="57">
        <f t="shared" si="363"/>
        <v>-0.52320951022015272</v>
      </c>
      <c r="AG755" s="57">
        <f t="shared" si="364"/>
        <v>-0.84437927143192815</v>
      </c>
      <c r="AH755" s="57">
        <f t="shared" si="365"/>
        <v>-1.4913974068747919</v>
      </c>
      <c r="AJ755" s="57">
        <f t="shared" si="366"/>
        <v>520808.49602887721</v>
      </c>
      <c r="AK755" s="57">
        <f t="shared" si="367"/>
        <v>538828.58595026983</v>
      </c>
      <c r="AL755" s="57">
        <f t="shared" si="368"/>
        <v>552595.9629198591</v>
      </c>
      <c r="AN755" s="41">
        <v>750</v>
      </c>
      <c r="AO755" s="57">
        <f t="shared" si="369"/>
        <v>11495.190528383293</v>
      </c>
      <c r="AP755" s="57">
        <f t="shared" si="370"/>
        <v>18749.999999999993</v>
      </c>
      <c r="AR755" s="41">
        <v>750</v>
      </c>
      <c r="AS755" s="57">
        <f t="shared" si="371"/>
        <v>18031.088913245538</v>
      </c>
      <c r="AT755" s="57">
        <f t="shared" si="372"/>
        <v>-3250.0000000000036</v>
      </c>
      <c r="AV755" s="57">
        <f t="shared" si="373"/>
        <v>-3.261734926506251</v>
      </c>
      <c r="AW755" s="57">
        <f t="shared" si="374"/>
        <v>-5.6076445757589619</v>
      </c>
      <c r="AX755" s="57">
        <f t="shared" si="375"/>
        <v>-0.29712742461834502</v>
      </c>
      <c r="AY755" s="57">
        <f t="shared" si="376"/>
        <v>-0.5546360473574582</v>
      </c>
      <c r="BA755" s="57">
        <f t="shared" si="377"/>
        <v>521598.28602304088</v>
      </c>
      <c r="BB755" s="57">
        <f t="shared" si="378"/>
        <v>534185.95384440385</v>
      </c>
    </row>
    <row r="756" spans="9:54" x14ac:dyDescent="0.25">
      <c r="I756" s="41">
        <v>751</v>
      </c>
      <c r="J756" s="57">
        <f t="shared" si="352"/>
        <v>24285.836503510567</v>
      </c>
      <c r="K756" s="57">
        <f t="shared" si="353"/>
        <v>10075.190374550262</v>
      </c>
      <c r="M756" s="41">
        <v>751</v>
      </c>
      <c r="N756" s="57">
        <f t="shared" si="354"/>
        <v>-16999.914447542604</v>
      </c>
      <c r="O756" s="57">
        <f t="shared" si="355"/>
        <v>11802.633262185183</v>
      </c>
      <c r="Q756" s="41">
        <v>751</v>
      </c>
      <c r="R756" s="57">
        <f t="shared" si="356"/>
        <v>-714.16349648943287</v>
      </c>
      <c r="S756" s="41">
        <f t="shared" si="357"/>
        <v>-12424.809625449738</v>
      </c>
      <c r="U756" s="41">
        <v>750</v>
      </c>
      <c r="V756" s="41">
        <f t="shared" si="379"/>
        <v>375</v>
      </c>
      <c r="W756" s="57">
        <f t="shared" si="380"/>
        <v>267635.8970248808</v>
      </c>
      <c r="X756" s="57">
        <f t="shared" si="381"/>
        <v>466340.14671091543</v>
      </c>
      <c r="Y756" s="57">
        <f t="shared" si="382"/>
        <v>761.00985516056426</v>
      </c>
      <c r="Z756" s="57">
        <f t="shared" si="383"/>
        <v>930.07358092463789</v>
      </c>
      <c r="AA756" s="57">
        <f t="shared" si="358"/>
        <v>-5.6380369979066245</v>
      </c>
      <c r="AB756" s="57">
        <f t="shared" si="359"/>
        <v>-9.8516770401446347</v>
      </c>
      <c r="AC756" s="57">
        <f t="shared" si="360"/>
        <v>-0.91423933047875539</v>
      </c>
      <c r="AD756" s="57">
        <f t="shared" si="361"/>
        <v>-1.6939777857957876</v>
      </c>
      <c r="AE756" s="57">
        <f t="shared" si="362"/>
        <v>-0.32902566329194799</v>
      </c>
      <c r="AF756" s="57">
        <f t="shared" si="363"/>
        <v>-0.52200584492872215</v>
      </c>
      <c r="AG756" s="57">
        <f t="shared" si="364"/>
        <v>-0.8428434860580164</v>
      </c>
      <c r="AH756" s="57">
        <f t="shared" si="365"/>
        <v>-1.488044720671839</v>
      </c>
      <c r="AJ756" s="57">
        <f t="shared" si="366"/>
        <v>521399.86356827116</v>
      </c>
      <c r="AK756" s="57">
        <f t="shared" si="367"/>
        <v>539426.30521457479</v>
      </c>
      <c r="AL756" s="57">
        <f t="shared" si="368"/>
        <v>553189.54182291531</v>
      </c>
      <c r="AN756" s="41">
        <v>751</v>
      </c>
      <c r="AO756" s="57">
        <f t="shared" si="369"/>
        <v>11428.754755265851</v>
      </c>
      <c r="AP756" s="57">
        <f t="shared" si="370"/>
        <v>18862.785561825393</v>
      </c>
      <c r="AR756" s="41">
        <v>751</v>
      </c>
      <c r="AS756" s="57">
        <f t="shared" si="371"/>
        <v>18000.085552457396</v>
      </c>
      <c r="AT756" s="57">
        <f t="shared" si="372"/>
        <v>-3197.3667378148166</v>
      </c>
      <c r="AV756" s="57">
        <f t="shared" si="373"/>
        <v>-3.2553374588836381</v>
      </c>
      <c r="AW756" s="57">
        <f t="shared" si="374"/>
        <v>-5.5943018564095564</v>
      </c>
      <c r="AX756" s="57">
        <f t="shared" si="375"/>
        <v>-0.29659105919426659</v>
      </c>
      <c r="AY756" s="57">
        <f t="shared" si="376"/>
        <v>-0.55334683233873017</v>
      </c>
      <c r="BA756" s="57">
        <f t="shared" si="377"/>
        <v>522193.01262952044</v>
      </c>
      <c r="BB756" s="57">
        <f t="shared" si="378"/>
        <v>534776.99124685</v>
      </c>
    </row>
    <row r="757" spans="9:54" x14ac:dyDescent="0.25">
      <c r="I757" s="41">
        <v>752</v>
      </c>
      <c r="J757" s="57">
        <f t="shared" si="352"/>
        <v>24240.240480782129</v>
      </c>
      <c r="K757" s="57">
        <f t="shared" si="353"/>
        <v>10149.596321166026</v>
      </c>
      <c r="M757" s="41">
        <v>752</v>
      </c>
      <c r="N757" s="57">
        <f t="shared" si="354"/>
        <v>-17031.831663452511</v>
      </c>
      <c r="O757" s="57">
        <f t="shared" si="355"/>
        <v>11854.717424816219</v>
      </c>
      <c r="Q757" s="41">
        <v>752</v>
      </c>
      <c r="R757" s="57">
        <f t="shared" si="356"/>
        <v>-759.75951921787055</v>
      </c>
      <c r="S757" s="41">
        <f t="shared" si="357"/>
        <v>-12350.403678833974</v>
      </c>
      <c r="U757" s="41">
        <v>751</v>
      </c>
      <c r="V757" s="41">
        <f t="shared" si="379"/>
        <v>375.5</v>
      </c>
      <c r="W757" s="57">
        <f t="shared" si="380"/>
        <v>268015.69719783636</v>
      </c>
      <c r="X757" s="57">
        <f t="shared" si="381"/>
        <v>466803.95204174775</v>
      </c>
      <c r="Y757" s="57">
        <f t="shared" si="382"/>
        <v>758.190836661611</v>
      </c>
      <c r="Z757" s="57">
        <f t="shared" si="383"/>
        <v>925.14774240456563</v>
      </c>
      <c r="AA757" s="57">
        <f t="shared" si="358"/>
        <v>-5.6272944364460233</v>
      </c>
      <c r="AB757" s="57">
        <f t="shared" si="359"/>
        <v>-9.8286273764120153</v>
      </c>
      <c r="AC757" s="57">
        <f t="shared" si="360"/>
        <v>-0.91254891575326891</v>
      </c>
      <c r="AD757" s="57">
        <f t="shared" si="361"/>
        <v>-1.6899628861093912</v>
      </c>
      <c r="AE757" s="57">
        <f t="shared" si="362"/>
        <v>-0.32837269035550681</v>
      </c>
      <c r="AF757" s="57">
        <f t="shared" si="363"/>
        <v>-0.52081169240557446</v>
      </c>
      <c r="AG757" s="57">
        <f t="shared" si="364"/>
        <v>-0.84132026271304705</v>
      </c>
      <c r="AH757" s="57">
        <f t="shared" si="365"/>
        <v>-1.4847183941010402</v>
      </c>
      <c r="AJ757" s="57">
        <f t="shared" si="366"/>
        <v>521988.41598037112</v>
      </c>
      <c r="AK757" s="57">
        <f t="shared" si="367"/>
        <v>540021.1962815118</v>
      </c>
      <c r="AL757" s="57">
        <f t="shared" si="368"/>
        <v>553780.2986017717</v>
      </c>
      <c r="AN757" s="41">
        <v>752</v>
      </c>
      <c r="AO757" s="57">
        <f t="shared" si="369"/>
        <v>11360.360721173194</v>
      </c>
      <c r="AP757" s="57">
        <f t="shared" si="370"/>
        <v>18974.394481749041</v>
      </c>
      <c r="AR757" s="41">
        <v>752</v>
      </c>
      <c r="AS757" s="57">
        <f t="shared" si="371"/>
        <v>17968.168336547489</v>
      </c>
      <c r="AT757" s="57">
        <f t="shared" si="372"/>
        <v>-3145.2825751837818</v>
      </c>
      <c r="AV757" s="57">
        <f t="shared" si="373"/>
        <v>-3.2489934772930846</v>
      </c>
      <c r="AW757" s="57">
        <f t="shared" si="374"/>
        <v>-5.5810664870497755</v>
      </c>
      <c r="AX757" s="57">
        <f t="shared" si="375"/>
        <v>-0.29605909033111627</v>
      </c>
      <c r="AY757" s="57">
        <f t="shared" si="376"/>
        <v>-0.55206791674623379</v>
      </c>
      <c r="BA757" s="57">
        <f t="shared" si="377"/>
        <v>522784.91567087692</v>
      </c>
      <c r="BB757" s="57">
        <f t="shared" si="378"/>
        <v>535365.21384071931</v>
      </c>
    </row>
    <row r="758" spans="9:54" x14ac:dyDescent="0.25">
      <c r="I758" s="41">
        <v>753</v>
      </c>
      <c r="J758" s="57">
        <f t="shared" si="352"/>
        <v>24193.352839727122</v>
      </c>
      <c r="K758" s="57">
        <f t="shared" si="353"/>
        <v>10223.195175075132</v>
      </c>
      <c r="M758" s="41">
        <v>753</v>
      </c>
      <c r="N758" s="57">
        <f t="shared" si="354"/>
        <v>-17064.653012191015</v>
      </c>
      <c r="O758" s="57">
        <f t="shared" si="355"/>
        <v>11906.236622552593</v>
      </c>
      <c r="Q758" s="41">
        <v>753</v>
      </c>
      <c r="R758" s="57">
        <f t="shared" si="356"/>
        <v>-806.64716027287795</v>
      </c>
      <c r="S758" s="41">
        <f t="shared" si="357"/>
        <v>-12276.804824924868</v>
      </c>
      <c r="U758" s="41">
        <v>752</v>
      </c>
      <c r="V758" s="41">
        <f t="shared" si="379"/>
        <v>376</v>
      </c>
      <c r="W758" s="57">
        <f t="shared" si="380"/>
        <v>268394.08920436259</v>
      </c>
      <c r="X758" s="57">
        <f t="shared" si="381"/>
        <v>467265.297334528</v>
      </c>
      <c r="Y758" s="57">
        <f t="shared" si="382"/>
        <v>755.37718944338803</v>
      </c>
      <c r="Z758" s="57">
        <f t="shared" si="383"/>
        <v>920.23342871635964</v>
      </c>
      <c r="AA758" s="57">
        <f t="shared" si="358"/>
        <v>-5.616641149524872</v>
      </c>
      <c r="AB758" s="57">
        <f t="shared" si="359"/>
        <v>-9.8057622050149202</v>
      </c>
      <c r="AC758" s="57">
        <f t="shared" si="360"/>
        <v>-0.9108724794944324</v>
      </c>
      <c r="AD758" s="57">
        <f t="shared" si="361"/>
        <v>-1.6859803617309312</v>
      </c>
      <c r="AE758" s="57">
        <f t="shared" si="362"/>
        <v>-0.32772516671107627</v>
      </c>
      <c r="AF758" s="57">
        <f t="shared" si="363"/>
        <v>-0.51962696674395337</v>
      </c>
      <c r="AG758" s="57">
        <f t="shared" si="364"/>
        <v>-0.83980949849121322</v>
      </c>
      <c r="AH758" s="57">
        <f t="shared" si="365"/>
        <v>-1.4814181925911329</v>
      </c>
      <c r="AJ758" s="57">
        <f t="shared" si="366"/>
        <v>522574.15950731031</v>
      </c>
      <c r="AK758" s="57">
        <f t="shared" si="367"/>
        <v>540613.26549988403</v>
      </c>
      <c r="AL758" s="57">
        <f t="shared" si="368"/>
        <v>554368.23955295607</v>
      </c>
      <c r="AN758" s="41">
        <v>753</v>
      </c>
      <c r="AO758" s="57">
        <f t="shared" si="369"/>
        <v>11290.029259590683</v>
      </c>
      <c r="AP758" s="57">
        <f t="shared" si="370"/>
        <v>19084.792762612698</v>
      </c>
      <c r="AR758" s="41">
        <v>753</v>
      </c>
      <c r="AS758" s="57">
        <f t="shared" si="371"/>
        <v>17935.346987808985</v>
      </c>
      <c r="AT758" s="57">
        <f t="shared" si="372"/>
        <v>-3093.7633774474075</v>
      </c>
      <c r="AV758" s="57">
        <f t="shared" si="373"/>
        <v>-3.2427025224616401</v>
      </c>
      <c r="AW758" s="57">
        <f t="shared" si="374"/>
        <v>-5.5679374769517311</v>
      </c>
      <c r="AX758" s="57">
        <f t="shared" si="375"/>
        <v>-0.29553148236650939</v>
      </c>
      <c r="AY758" s="57">
        <f t="shared" si="376"/>
        <v>-0.55079920699717122</v>
      </c>
      <c r="BA758" s="57">
        <f t="shared" si="377"/>
        <v>523374.00145678304</v>
      </c>
      <c r="BB758" s="57">
        <f t="shared" si="378"/>
        <v>535950.62786620425</v>
      </c>
    </row>
    <row r="759" spans="9:54" x14ac:dyDescent="0.25">
      <c r="I759" s="41">
        <v>754</v>
      </c>
      <c r="J759" s="57">
        <f t="shared" si="352"/>
        <v>24145.187862775208</v>
      </c>
      <c r="K759" s="57">
        <f t="shared" si="353"/>
        <v>10295.964517353734</v>
      </c>
      <c r="M759" s="41">
        <v>754</v>
      </c>
      <c r="N759" s="57">
        <f t="shared" si="354"/>
        <v>-17098.368496057356</v>
      </c>
      <c r="O759" s="57">
        <f t="shared" si="355"/>
        <v>11957.175162147614</v>
      </c>
      <c r="Q759" s="41">
        <v>754</v>
      </c>
      <c r="R759" s="57">
        <f t="shared" si="356"/>
        <v>-854.81213722479151</v>
      </c>
      <c r="S759" s="41">
        <f t="shared" si="357"/>
        <v>-12204.035482646266</v>
      </c>
      <c r="U759" s="41">
        <v>753</v>
      </c>
      <c r="V759" s="41">
        <f t="shared" si="379"/>
        <v>376.5</v>
      </c>
      <c r="W759" s="57">
        <f t="shared" si="380"/>
        <v>268771.07571894058</v>
      </c>
      <c r="X759" s="57">
        <f t="shared" si="381"/>
        <v>467724.18832861056</v>
      </c>
      <c r="Y759" s="57">
        <f t="shared" si="382"/>
        <v>752.5688688686256</v>
      </c>
      <c r="Z759" s="57">
        <f t="shared" si="383"/>
        <v>915.33054761385222</v>
      </c>
      <c r="AA759" s="57">
        <f t="shared" si="358"/>
        <v>-5.6060763848155126</v>
      </c>
      <c r="AB759" s="57">
        <f t="shared" si="359"/>
        <v>-9.7830798417815554</v>
      </c>
      <c r="AC759" s="57">
        <f t="shared" si="360"/>
        <v>-0.90920990666811285</v>
      </c>
      <c r="AD759" s="57">
        <f t="shared" si="361"/>
        <v>-1.6820299148821236</v>
      </c>
      <c r="AE759" s="57">
        <f t="shared" si="362"/>
        <v>-0.327083045187056</v>
      </c>
      <c r="AF759" s="57">
        <f t="shared" si="363"/>
        <v>-0.51845158314959194</v>
      </c>
      <c r="AG759" s="57">
        <f t="shared" si="364"/>
        <v>-0.838311091786065</v>
      </c>
      <c r="AH759" s="57">
        <f t="shared" si="365"/>
        <v>-1.4781438845816781</v>
      </c>
      <c r="AJ759" s="57">
        <f t="shared" si="366"/>
        <v>523157.10034088924</v>
      </c>
      <c r="AK759" s="57">
        <f t="shared" si="367"/>
        <v>541202.51916723326</v>
      </c>
      <c r="AL759" s="57">
        <f t="shared" si="368"/>
        <v>554953.37092211796</v>
      </c>
      <c r="AN759" s="41">
        <v>754</v>
      </c>
      <c r="AO759" s="57">
        <f t="shared" si="369"/>
        <v>11217.781794162813</v>
      </c>
      <c r="AP759" s="57">
        <f t="shared" si="370"/>
        <v>19193.9467760306</v>
      </c>
      <c r="AR759" s="41">
        <v>754</v>
      </c>
      <c r="AS759" s="57">
        <f t="shared" si="371"/>
        <v>17901.631503942644</v>
      </c>
      <c r="AT759" s="57">
        <f t="shared" si="372"/>
        <v>-3042.8248378523867</v>
      </c>
      <c r="AV759" s="57">
        <f t="shared" si="373"/>
        <v>-3.236464141088367</v>
      </c>
      <c r="AW759" s="57">
        <f t="shared" si="374"/>
        <v>-5.5549138484393392</v>
      </c>
      <c r="AX759" s="57">
        <f t="shared" si="375"/>
        <v>-0.2950082000859115</v>
      </c>
      <c r="AY759" s="57">
        <f t="shared" si="376"/>
        <v>-0.54954061072882243</v>
      </c>
      <c r="BA759" s="57">
        <f t="shared" si="377"/>
        <v>523960.27624594438</v>
      </c>
      <c r="BB759" s="57">
        <f t="shared" si="378"/>
        <v>536533.23951316567</v>
      </c>
    </row>
    <row r="760" spans="9:54" x14ac:dyDescent="0.25">
      <c r="I760" s="41">
        <v>755</v>
      </c>
      <c r="J760" s="57">
        <f t="shared" si="352"/>
        <v>24095.760221444962</v>
      </c>
      <c r="K760" s="57">
        <f t="shared" si="353"/>
        <v>10367.882181755225</v>
      </c>
      <c r="M760" s="41">
        <v>755</v>
      </c>
      <c r="N760" s="57">
        <f t="shared" si="354"/>
        <v>-17132.967844988525</v>
      </c>
      <c r="O760" s="57">
        <f t="shared" si="355"/>
        <v>12007.517527228658</v>
      </c>
      <c r="Q760" s="41">
        <v>755</v>
      </c>
      <c r="R760" s="57">
        <f t="shared" si="356"/>
        <v>-904.2397785550379</v>
      </c>
      <c r="S760" s="41">
        <f t="shared" si="357"/>
        <v>-12132.117818244775</v>
      </c>
      <c r="U760" s="41">
        <v>754</v>
      </c>
      <c r="V760" s="41">
        <f t="shared" si="379"/>
        <v>377</v>
      </c>
      <c r="W760" s="57">
        <f t="shared" si="380"/>
        <v>269146.65939382679</v>
      </c>
      <c r="X760" s="57">
        <f t="shared" si="381"/>
        <v>468180.63071743731</v>
      </c>
      <c r="Y760" s="57">
        <f t="shared" si="382"/>
        <v>749.76583067621789</v>
      </c>
      <c r="Z760" s="57">
        <f t="shared" si="383"/>
        <v>910.43900769296147</v>
      </c>
      <c r="AA760" s="57">
        <f t="shared" si="358"/>
        <v>-5.5955993996673499</v>
      </c>
      <c r="AB760" s="57">
        <f t="shared" si="359"/>
        <v>-9.7605786245670725</v>
      </c>
      <c r="AC760" s="57">
        <f t="shared" si="360"/>
        <v>-0.90756108369876476</v>
      </c>
      <c r="AD760" s="57">
        <f t="shared" si="361"/>
        <v>-1.6781112517028081</v>
      </c>
      <c r="AE760" s="57">
        <f t="shared" si="362"/>
        <v>-0.32644627922704039</v>
      </c>
      <c r="AF760" s="57">
        <f t="shared" si="363"/>
        <v>-0.51728545792356928</v>
      </c>
      <c r="AG760" s="57">
        <f t="shared" si="364"/>
        <v>-0.83682494227147908</v>
      </c>
      <c r="AH760" s="57">
        <f t="shared" si="365"/>
        <v>-1.4748952414771654</v>
      </c>
      <c r="AJ760" s="57">
        <f t="shared" si="366"/>
        <v>523737.244623026</v>
      </c>
      <c r="AK760" s="57">
        <f t="shared" si="367"/>
        <v>541788.96353030147</v>
      </c>
      <c r="AL760" s="57">
        <f t="shared" si="368"/>
        <v>555535.69890448567</v>
      </c>
      <c r="AN760" s="41">
        <v>755</v>
      </c>
      <c r="AO760" s="57">
        <f t="shared" si="369"/>
        <v>11143.640332167444</v>
      </c>
      <c r="AP760" s="57">
        <f t="shared" si="370"/>
        <v>19301.823272632839</v>
      </c>
      <c r="AR760" s="41">
        <v>755</v>
      </c>
      <c r="AS760" s="57">
        <f t="shared" si="371"/>
        <v>17867.032155011475</v>
      </c>
      <c r="AT760" s="57">
        <f t="shared" si="372"/>
        <v>-2992.4824727713421</v>
      </c>
      <c r="AV760" s="57">
        <f t="shared" si="373"/>
        <v>-3.2302778857538987</v>
      </c>
      <c r="AW760" s="57">
        <f t="shared" si="374"/>
        <v>-5.5419946366838433</v>
      </c>
      <c r="AX760" s="57">
        <f t="shared" si="375"/>
        <v>-0.29448920871616652</v>
      </c>
      <c r="AY760" s="57">
        <f t="shared" si="376"/>
        <v>-0.54829203677968719</v>
      </c>
      <c r="BA760" s="57">
        <f t="shared" si="377"/>
        <v>524543.74624655722</v>
      </c>
      <c r="BB760" s="57">
        <f t="shared" si="378"/>
        <v>537113.05492158129</v>
      </c>
    </row>
    <row r="761" spans="9:54" x14ac:dyDescent="0.25">
      <c r="I761" s="41">
        <v>756</v>
      </c>
      <c r="J761" s="57">
        <f t="shared" si="352"/>
        <v>24045.084971874738</v>
      </c>
      <c r="K761" s="57">
        <f t="shared" si="353"/>
        <v>10438.926261462364</v>
      </c>
      <c r="M761" s="41">
        <v>756</v>
      </c>
      <c r="N761" s="57">
        <f t="shared" si="354"/>
        <v>-17168.440519687683</v>
      </c>
      <c r="O761" s="57">
        <f t="shared" si="355"/>
        <v>12057.248383023654</v>
      </c>
      <c r="Q761" s="41">
        <v>756</v>
      </c>
      <c r="R761" s="57">
        <f t="shared" si="356"/>
        <v>-954.91502812526141</v>
      </c>
      <c r="S761" s="41">
        <f t="shared" si="357"/>
        <v>-12061.073738537636</v>
      </c>
      <c r="U761" s="41">
        <v>755</v>
      </c>
      <c r="V761" s="41">
        <f t="shared" si="379"/>
        <v>377.5</v>
      </c>
      <c r="W761" s="57">
        <f t="shared" si="380"/>
        <v>269520.8428592399</v>
      </c>
      <c r="X761" s="57">
        <f t="shared" si="381"/>
        <v>468634.63014895574</v>
      </c>
      <c r="Y761" s="57">
        <f t="shared" si="382"/>
        <v>746.96803097638417</v>
      </c>
      <c r="Z761" s="57">
        <f t="shared" si="383"/>
        <v>905.55871838067799</v>
      </c>
      <c r="AA761" s="57">
        <f t="shared" si="358"/>
        <v>-5.5852094609622176</v>
      </c>
      <c r="AB761" s="57">
        <f t="shared" si="359"/>
        <v>-9.7382569129111491</v>
      </c>
      <c r="AC761" s="57">
        <f t="shared" si="360"/>
        <v>-0.90592589844807569</v>
      </c>
      <c r="AD761" s="57">
        <f t="shared" si="361"/>
        <v>-1.6742240821897103</v>
      </c>
      <c r="AE761" s="57">
        <f t="shared" si="362"/>
        <v>-0.32581482288044911</v>
      </c>
      <c r="AF761" s="57">
        <f t="shared" si="363"/>
        <v>-0.51612850844549596</v>
      </c>
      <c r="AG761" s="57">
        <f t="shared" si="364"/>
        <v>-0.8353509508830208</v>
      </c>
      <c r="AH761" s="57">
        <f t="shared" si="365"/>
        <v>-1.4716720376020447</v>
      </c>
      <c r="AJ761" s="57">
        <f t="shared" si="366"/>
        <v>524314.59844619979</v>
      </c>
      <c r="AK761" s="57">
        <f t="shared" si="367"/>
        <v>542372.60478548694</v>
      </c>
      <c r="AL761" s="57">
        <f t="shared" si="368"/>
        <v>556115.229645318</v>
      </c>
      <c r="AN761" s="41">
        <v>756</v>
      </c>
      <c r="AO761" s="57">
        <f t="shared" si="369"/>
        <v>11067.627457812108</v>
      </c>
      <c r="AP761" s="57">
        <f t="shared" si="370"/>
        <v>19408.389392193545</v>
      </c>
      <c r="AR761" s="41">
        <v>756</v>
      </c>
      <c r="AS761" s="57">
        <f t="shared" si="371"/>
        <v>17831.559480312317</v>
      </c>
      <c r="AT761" s="57">
        <f t="shared" si="372"/>
        <v>-2942.7516169763458</v>
      </c>
      <c r="AV761" s="57">
        <f t="shared" si="373"/>
        <v>-3.224143314831569</v>
      </c>
      <c r="AW761" s="57">
        <f t="shared" si="374"/>
        <v>-5.5291788895029903</v>
      </c>
      <c r="AX761" s="57">
        <f t="shared" si="375"/>
        <v>-0.2939744739191027</v>
      </c>
      <c r="AY761" s="57">
        <f t="shared" si="376"/>
        <v>-0.54705339517090679</v>
      </c>
      <c r="BA761" s="57">
        <f t="shared" si="377"/>
        <v>525124.41761676106</v>
      </c>
      <c r="BB761" s="57">
        <f t="shared" si="378"/>
        <v>537690.0801819911</v>
      </c>
    </row>
    <row r="762" spans="9:54" x14ac:dyDescent="0.25">
      <c r="I762" s="41">
        <v>757</v>
      </c>
      <c r="J762" s="57">
        <f t="shared" si="352"/>
        <v>23993.177550236462</v>
      </c>
      <c r="K762" s="57">
        <f t="shared" si="353"/>
        <v>10509.075115760243</v>
      </c>
      <c r="M762" s="41">
        <v>757</v>
      </c>
      <c r="N762" s="57">
        <f t="shared" si="354"/>
        <v>-17204.775714834475</v>
      </c>
      <c r="O762" s="57">
        <f t="shared" si="355"/>
        <v>12106.35258103217</v>
      </c>
      <c r="Q762" s="41">
        <v>757</v>
      </c>
      <c r="R762" s="57">
        <f t="shared" si="356"/>
        <v>-1006.8224497635365</v>
      </c>
      <c r="S762" s="41">
        <f t="shared" si="357"/>
        <v>-11990.924884239757</v>
      </c>
      <c r="U762" s="41">
        <v>756</v>
      </c>
      <c r="V762" s="41">
        <f t="shared" si="379"/>
        <v>378</v>
      </c>
      <c r="W762" s="57">
        <f t="shared" si="380"/>
        <v>269893.62872354547</v>
      </c>
      <c r="X762" s="57">
        <f t="shared" si="381"/>
        <v>469086.19222603197</v>
      </c>
      <c r="Y762" s="57">
        <f t="shared" si="382"/>
        <v>744.17542624590305</v>
      </c>
      <c r="Z762" s="57">
        <f t="shared" si="383"/>
        <v>900.68958992422245</v>
      </c>
      <c r="AA762" s="57">
        <f t="shared" si="358"/>
        <v>-5.5749058449724096</v>
      </c>
      <c r="AB762" s="57">
        <f t="shared" si="359"/>
        <v>-9.7161130877020323</v>
      </c>
      <c r="AC762" s="57">
        <f t="shared" si="360"/>
        <v>-0.90430424019400535</v>
      </c>
      <c r="AD762" s="57">
        <f t="shared" si="361"/>
        <v>-1.6703681201363751</v>
      </c>
      <c r="AE762" s="57">
        <f t="shared" si="362"/>
        <v>-0.32518863079331634</v>
      </c>
      <c r="AF762" s="57">
        <f t="shared" si="363"/>
        <v>-0.51498065315698716</v>
      </c>
      <c r="AG762" s="57">
        <f t="shared" si="364"/>
        <v>-0.83388901979953711</v>
      </c>
      <c r="AH762" s="57">
        <f t="shared" si="365"/>
        <v>-1.4684740501564058</v>
      </c>
      <c r="AJ762" s="57">
        <f t="shared" si="366"/>
        <v>524889.1678538894</v>
      </c>
      <c r="AK762" s="57">
        <f t="shared" si="367"/>
        <v>542953.44907929446</v>
      </c>
      <c r="AL762" s="57">
        <f t="shared" si="368"/>
        <v>556691.96924034867</v>
      </c>
      <c r="AN762" s="41">
        <v>757</v>
      </c>
      <c r="AO762" s="57">
        <f t="shared" si="369"/>
        <v>10989.766325354696</v>
      </c>
      <c r="AP762" s="57">
        <f t="shared" si="370"/>
        <v>19513.612673640364</v>
      </c>
      <c r="AR762" s="41">
        <v>757</v>
      </c>
      <c r="AS762" s="57">
        <f t="shared" si="371"/>
        <v>17795.224285165525</v>
      </c>
      <c r="AT762" s="57">
        <f t="shared" si="372"/>
        <v>-2893.6474189678306</v>
      </c>
      <c r="AV762" s="57">
        <f t="shared" si="373"/>
        <v>-3.2180599924002555</v>
      </c>
      <c r="AW762" s="57">
        <f t="shared" si="374"/>
        <v>-5.516465667164149</v>
      </c>
      <c r="AX762" s="57">
        <f t="shared" si="375"/>
        <v>-0.29346396178529605</v>
      </c>
      <c r="AY762" s="57">
        <f t="shared" si="376"/>
        <v>-0.54582459708811493</v>
      </c>
      <c r="BA762" s="57">
        <f t="shared" si="377"/>
        <v>525702.29646508524</v>
      </c>
      <c r="BB762" s="57">
        <f t="shared" si="378"/>
        <v>538264.32133593515</v>
      </c>
    </row>
    <row r="763" spans="9:54" x14ac:dyDescent="0.25">
      <c r="I763" s="41">
        <v>758</v>
      </c>
      <c r="J763" s="57">
        <f t="shared" si="352"/>
        <v>23940.053768033613</v>
      </c>
      <c r="K763" s="57">
        <f t="shared" si="353"/>
        <v>10578.307376628287</v>
      </c>
      <c r="M763" s="41">
        <v>758</v>
      </c>
      <c r="N763" s="57">
        <f t="shared" si="354"/>
        <v>-17241.962362376471</v>
      </c>
      <c r="O763" s="57">
        <f t="shared" si="355"/>
        <v>12154.815163639802</v>
      </c>
      <c r="Q763" s="41">
        <v>758</v>
      </c>
      <c r="R763" s="57">
        <f t="shared" si="356"/>
        <v>-1059.9462319663871</v>
      </c>
      <c r="S763" s="41">
        <f t="shared" si="357"/>
        <v>-11921.692623371713</v>
      </c>
      <c r="U763" s="41">
        <v>757</v>
      </c>
      <c r="V763" s="41">
        <f t="shared" si="379"/>
        <v>378.5</v>
      </c>
      <c r="W763" s="57">
        <f t="shared" si="380"/>
        <v>270265.01957343781</v>
      </c>
      <c r="X763" s="57">
        <f t="shared" si="381"/>
        <v>469535.32250685809</v>
      </c>
      <c r="Y763" s="57">
        <f t="shared" si="382"/>
        <v>741.38797332341687</v>
      </c>
      <c r="Z763" s="57">
        <f t="shared" si="383"/>
        <v>895.83153338037141</v>
      </c>
      <c r="AA763" s="57">
        <f t="shared" si="358"/>
        <v>-5.564687837221495</v>
      </c>
      <c r="AB763" s="57">
        <f t="shared" si="359"/>
        <v>-9.6941455508471925</v>
      </c>
      <c r="AC763" s="57">
        <f t="shared" si="360"/>
        <v>-0.90269599961020597</v>
      </c>
      <c r="AD763" s="57">
        <f t="shared" si="361"/>
        <v>-1.6665430830742403</v>
      </c>
      <c r="AE763" s="57">
        <f t="shared" si="362"/>
        <v>-0.3245676581992778</v>
      </c>
      <c r="AF763" s="57">
        <f t="shared" si="363"/>
        <v>-0.51384181154548458</v>
      </c>
      <c r="AG763" s="57">
        <f t="shared" si="364"/>
        <v>-0.83243905242519556</v>
      </c>
      <c r="AH763" s="57">
        <f t="shared" si="365"/>
        <v>-1.4653010591726749</v>
      </c>
      <c r="AJ763" s="57">
        <f t="shared" si="366"/>
        <v>525460.95884100616</v>
      </c>
      <c r="AK763" s="57">
        <f t="shared" si="367"/>
        <v>543531.50250877847</v>
      </c>
      <c r="AL763" s="57">
        <f t="shared" si="368"/>
        <v>557265.92373622674</v>
      </c>
      <c r="AN763" s="41">
        <v>758</v>
      </c>
      <c r="AO763" s="57">
        <f t="shared" si="369"/>
        <v>10910.080652050419</v>
      </c>
      <c r="AP763" s="57">
        <f t="shared" si="370"/>
        <v>19617.461064942432</v>
      </c>
      <c r="AR763" s="41">
        <v>758</v>
      </c>
      <c r="AS763" s="57">
        <f t="shared" si="371"/>
        <v>17758.037637623529</v>
      </c>
      <c r="AT763" s="57">
        <f t="shared" si="372"/>
        <v>-2845.1848363601989</v>
      </c>
      <c r="AV763" s="57">
        <f t="shared" si="373"/>
        <v>-3.2120274881589106</v>
      </c>
      <c r="AW763" s="57">
        <f t="shared" si="374"/>
        <v>-5.5038540421912394</v>
      </c>
      <c r="AX763" s="57">
        <f t="shared" si="375"/>
        <v>-0.29295763882790549</v>
      </c>
      <c r="AY763" s="57">
        <f t="shared" si="376"/>
        <v>-0.54460555486355289</v>
      </c>
      <c r="BA763" s="57">
        <f t="shared" si="377"/>
        <v>526277.38885088905</v>
      </c>
      <c r="BB763" s="57">
        <f t="shared" si="378"/>
        <v>538835.78437638632</v>
      </c>
    </row>
    <row r="764" spans="9:54" x14ac:dyDescent="0.25">
      <c r="I764" s="41">
        <v>759</v>
      </c>
      <c r="J764" s="57">
        <f t="shared" si="352"/>
        <v>23885.729807284857</v>
      </c>
      <c r="K764" s="57">
        <f t="shared" si="353"/>
        <v>10646.601955249185</v>
      </c>
      <c r="M764" s="41">
        <v>759</v>
      </c>
      <c r="N764" s="57">
        <f t="shared" si="354"/>
        <v>-17279.989134900603</v>
      </c>
      <c r="O764" s="57">
        <f t="shared" si="355"/>
        <v>12202.62136867443</v>
      </c>
      <c r="Q764" s="41">
        <v>759</v>
      </c>
      <c r="R764" s="57">
        <f t="shared" si="356"/>
        <v>-1114.2701927151447</v>
      </c>
      <c r="S764" s="41">
        <f t="shared" si="357"/>
        <v>-11853.398044750815</v>
      </c>
      <c r="U764" s="41">
        <v>758</v>
      </c>
      <c r="V764" s="41">
        <f t="shared" si="379"/>
        <v>379</v>
      </c>
      <c r="W764" s="57">
        <f t="shared" si="380"/>
        <v>270635.01797411987</v>
      </c>
      <c r="X764" s="57">
        <f t="shared" si="381"/>
        <v>469982.02650535438</v>
      </c>
      <c r="Y764" s="57">
        <f t="shared" si="382"/>
        <v>738.60562940480611</v>
      </c>
      <c r="Z764" s="57">
        <f t="shared" si="383"/>
        <v>890.9844606049478</v>
      </c>
      <c r="AA764" s="57">
        <f t="shared" si="358"/>
        <v>-5.5545547323473095</v>
      </c>
      <c r="AB764" s="57">
        <f t="shared" si="359"/>
        <v>-9.6723527249494978</v>
      </c>
      <c r="AC764" s="57">
        <f t="shared" si="360"/>
        <v>-0.90110106874578622</v>
      </c>
      <c r="AD764" s="57">
        <f t="shared" si="361"/>
        <v>-1.6627486922147647</v>
      </c>
      <c r="AE764" s="57">
        <f t="shared" si="362"/>
        <v>-0.32395186091069517</v>
      </c>
      <c r="AF764" s="57">
        <f t="shared" si="363"/>
        <v>-0.51271190412832957</v>
      </c>
      <c r="AG764" s="57">
        <f t="shared" si="364"/>
        <v>-0.83100095337174273</v>
      </c>
      <c r="AH764" s="57">
        <f t="shared" si="365"/>
        <v>-1.4621528474729215</v>
      </c>
      <c r="AJ764" s="57">
        <f t="shared" si="366"/>
        <v>526029.97735432035</v>
      </c>
      <c r="AK764" s="57">
        <f t="shared" si="367"/>
        <v>544106.77112198249</v>
      </c>
      <c r="AL764" s="57">
        <f t="shared" si="368"/>
        <v>557837.09913095029</v>
      </c>
      <c r="AN764" s="41">
        <v>759</v>
      </c>
      <c r="AO764" s="57">
        <f t="shared" si="369"/>
        <v>10828.594710927282</v>
      </c>
      <c r="AP764" s="57">
        <f t="shared" si="370"/>
        <v>19719.902932873782</v>
      </c>
      <c r="AR764" s="41">
        <v>759</v>
      </c>
      <c r="AS764" s="57">
        <f t="shared" si="371"/>
        <v>17720.010865099397</v>
      </c>
      <c r="AT764" s="57">
        <f t="shared" si="372"/>
        <v>-2797.3786313255696</v>
      </c>
      <c r="AV764" s="57">
        <f t="shared" si="373"/>
        <v>-3.2060453773424378</v>
      </c>
      <c r="AW764" s="57">
        <f t="shared" si="374"/>
        <v>-5.4913430991749079</v>
      </c>
      <c r="AX764" s="57">
        <f t="shared" si="375"/>
        <v>-0.29245547197664762</v>
      </c>
      <c r="AY764" s="57">
        <f t="shared" si="376"/>
        <v>-0.54339618195857309</v>
      </c>
      <c r="BA764" s="57">
        <f t="shared" si="377"/>
        <v>526849.70078479685</v>
      </c>
      <c r="BB764" s="57">
        <f t="shared" si="378"/>
        <v>539404.47524817754</v>
      </c>
    </row>
    <row r="765" spans="9:54" x14ac:dyDescent="0.25">
      <c r="I765" s="41">
        <v>760</v>
      </c>
      <c r="J765" s="57">
        <f t="shared" si="352"/>
        <v>23830.222215594888</v>
      </c>
      <c r="K765" s="57">
        <f t="shared" si="353"/>
        <v>10713.938048432698</v>
      </c>
      <c r="M765" s="41">
        <v>760</v>
      </c>
      <c r="N765" s="57">
        <f t="shared" si="354"/>
        <v>-17318.844449083579</v>
      </c>
      <c r="O765" s="57">
        <f t="shared" si="355"/>
        <v>12249.756633902889</v>
      </c>
      <c r="Q765" s="41">
        <v>760</v>
      </c>
      <c r="R765" s="57">
        <f t="shared" si="356"/>
        <v>-1169.7777844051116</v>
      </c>
      <c r="S765" s="41">
        <f t="shared" si="357"/>
        <v>-11786.061951567302</v>
      </c>
      <c r="U765" s="41">
        <v>759</v>
      </c>
      <c r="V765" s="41">
        <f t="shared" si="379"/>
        <v>379.5</v>
      </c>
      <c r="W765" s="57">
        <f t="shared" si="380"/>
        <v>271003.62646948069</v>
      </c>
      <c r="X765" s="57">
        <f t="shared" si="381"/>
        <v>470426.30969156622</v>
      </c>
      <c r="Y765" s="57">
        <f t="shared" si="382"/>
        <v>735.82835203863249</v>
      </c>
      <c r="Z765" s="57">
        <f t="shared" si="383"/>
        <v>886.1482842424731</v>
      </c>
      <c r="AA765" s="57">
        <f t="shared" si="358"/>
        <v>-5.544505833967742</v>
      </c>
      <c r="AB765" s="57">
        <f t="shared" si="359"/>
        <v>-9.6507330529899367</v>
      </c>
      <c r="AC765" s="57">
        <f t="shared" si="360"/>
        <v>-0.89951934100545616</v>
      </c>
      <c r="AD765" s="57">
        <f t="shared" si="361"/>
        <v>-1.6589846723926773</v>
      </c>
      <c r="AE765" s="57">
        <f t="shared" si="362"/>
        <v>-0.32334119530995153</v>
      </c>
      <c r="AF765" s="57">
        <f t="shared" si="363"/>
        <v>-0.51159085243714086</v>
      </c>
      <c r="AG765" s="57">
        <f t="shared" si="364"/>
        <v>-0.82957462844116736</v>
      </c>
      <c r="AH765" s="57">
        <f t="shared" si="365"/>
        <v>-1.4590292006271035</v>
      </c>
      <c r="AJ765" s="57">
        <f t="shared" si="366"/>
        <v>526596.22929288284</v>
      </c>
      <c r="AK765" s="57">
        <f t="shared" si="367"/>
        <v>544679.26091837115</v>
      </c>
      <c r="AL765" s="57">
        <f t="shared" si="368"/>
        <v>558405.50137429428</v>
      </c>
      <c r="AN765" s="41">
        <v>760</v>
      </c>
      <c r="AO765" s="57">
        <f t="shared" si="369"/>
        <v>10745.333323392333</v>
      </c>
      <c r="AP765" s="57">
        <f t="shared" si="370"/>
        <v>19820.907072649046</v>
      </c>
      <c r="AR765" s="41">
        <v>760</v>
      </c>
      <c r="AS765" s="57">
        <f t="shared" si="371"/>
        <v>17681.155550916421</v>
      </c>
      <c r="AT765" s="57">
        <f t="shared" si="372"/>
        <v>-2750.243366097111</v>
      </c>
      <c r="AV765" s="57">
        <f t="shared" si="373"/>
        <v>-3.2001132406393151</v>
      </c>
      <c r="AW765" s="57">
        <f t="shared" si="374"/>
        <v>-5.4789319345865968</v>
      </c>
      <c r="AX765" s="57">
        <f t="shared" si="375"/>
        <v>-0.29195742857185192</v>
      </c>
      <c r="AY765" s="57">
        <f t="shared" si="376"/>
        <v>-0.54219639294641808</v>
      </c>
      <c r="BA765" s="57">
        <f t="shared" si="377"/>
        <v>527419.23822912772</v>
      </c>
      <c r="BB765" s="57">
        <f t="shared" si="378"/>
        <v>539970.39984842355</v>
      </c>
    </row>
    <row r="766" spans="9:54" x14ac:dyDescent="0.25">
      <c r="I766" s="41">
        <v>761</v>
      </c>
      <c r="J766" s="57">
        <f t="shared" si="352"/>
        <v>23773.547901113863</v>
      </c>
      <c r="K766" s="57">
        <f t="shared" si="353"/>
        <v>10780.295144952534</v>
      </c>
      <c r="M766" s="41">
        <v>761</v>
      </c>
      <c r="N766" s="57">
        <f t="shared" si="354"/>
        <v>-17358.516469220296</v>
      </c>
      <c r="O766" s="57">
        <f t="shared" si="355"/>
        <v>12296.206601466774</v>
      </c>
      <c r="Q766" s="41">
        <v>761</v>
      </c>
      <c r="R766" s="57">
        <f t="shared" si="356"/>
        <v>-1226.4520988861382</v>
      </c>
      <c r="S766" s="41">
        <f t="shared" si="357"/>
        <v>-11719.704855047466</v>
      </c>
      <c r="U766" s="41">
        <v>760</v>
      </c>
      <c r="V766" s="41">
        <f t="shared" si="379"/>
        <v>380</v>
      </c>
      <c r="W766" s="57">
        <f t="shared" si="380"/>
        <v>271370.84758227074</v>
      </c>
      <c r="X766" s="57">
        <f t="shared" si="381"/>
        <v>470868.17749205581</v>
      </c>
      <c r="Y766" s="57">
        <f t="shared" si="382"/>
        <v>733.05609912164857</v>
      </c>
      <c r="Z766" s="57">
        <f t="shared" si="383"/>
        <v>881.32291771597818</v>
      </c>
      <c r="AA766" s="57">
        <f t="shared" si="358"/>
        <v>-5.5345404545488366</v>
      </c>
      <c r="AB766" s="57">
        <f t="shared" si="359"/>
        <v>-9.6292849980160096</v>
      </c>
      <c r="AC766" s="57">
        <f t="shared" si="360"/>
        <v>-0.89795071113004221</v>
      </c>
      <c r="AD766" s="57">
        <f t="shared" si="361"/>
        <v>-1.6552507520103119</v>
      </c>
      <c r="AE766" s="57">
        <f t="shared" si="362"/>
        <v>-0.3227356183409304</v>
      </c>
      <c r="AF766" s="57">
        <f t="shared" si="363"/>
        <v>-0.51047857900251625</v>
      </c>
      <c r="AG766" s="57">
        <f t="shared" si="364"/>
        <v>-0.82815998460858165</v>
      </c>
      <c r="AH766" s="57">
        <f t="shared" si="365"/>
        <v>-1.4559299069119083</v>
      </c>
      <c r="AJ766" s="57">
        <f t="shared" si="366"/>
        <v>527159.72050844179</v>
      </c>
      <c r="AK766" s="57">
        <f t="shared" si="367"/>
        <v>545248.9778492573</v>
      </c>
      <c r="AL766" s="57">
        <f t="shared" si="368"/>
        <v>558971.13636823371</v>
      </c>
      <c r="AN766" s="41">
        <v>761</v>
      </c>
      <c r="AO766" s="57">
        <f t="shared" si="369"/>
        <v>10660.321851670793</v>
      </c>
      <c r="AP766" s="57">
        <f t="shared" si="370"/>
        <v>19920.442717428799</v>
      </c>
      <c r="AR766" s="41">
        <v>761</v>
      </c>
      <c r="AS766" s="57">
        <f t="shared" si="371"/>
        <v>17641.483530779704</v>
      </c>
      <c r="AT766" s="57">
        <f t="shared" si="372"/>
        <v>-2703.7933985332261</v>
      </c>
      <c r="AV766" s="57">
        <f t="shared" si="373"/>
        <v>-3.1942306641106453</v>
      </c>
      <c r="AW766" s="57">
        <f t="shared" si="374"/>
        <v>-5.4666196565959266</v>
      </c>
      <c r="AX766" s="57">
        <f t="shared" si="375"/>
        <v>-0.29146347635863751</v>
      </c>
      <c r="AY766" s="57">
        <f t="shared" si="376"/>
        <v>-0.54100610349534672</v>
      </c>
      <c r="BA766" s="57">
        <f t="shared" si="377"/>
        <v>527986.00709831866</v>
      </c>
      <c r="BB766" s="57">
        <f t="shared" si="378"/>
        <v>540533.56402693677</v>
      </c>
    </row>
    <row r="767" spans="9:54" x14ac:dyDescent="0.25">
      <c r="I767" s="41">
        <v>762</v>
      </c>
      <c r="J767" s="57">
        <f t="shared" si="352"/>
        <v>23715.724127386977</v>
      </c>
      <c r="K767" s="57">
        <f t="shared" si="353"/>
        <v>10845.653031794285</v>
      </c>
      <c r="M767" s="41">
        <v>762</v>
      </c>
      <c r="N767" s="57">
        <f t="shared" si="354"/>
        <v>-17398.993110829117</v>
      </c>
      <c r="O767" s="57">
        <f t="shared" si="355"/>
        <v>12341.957122255999</v>
      </c>
      <c r="Q767" s="41">
        <v>762</v>
      </c>
      <c r="R767" s="57">
        <f t="shared" si="356"/>
        <v>-1284.2758726130232</v>
      </c>
      <c r="S767" s="41">
        <f t="shared" si="357"/>
        <v>-11654.346968205715</v>
      </c>
      <c r="U767" s="41">
        <v>761</v>
      </c>
      <c r="V767" s="41">
        <f t="shared" si="379"/>
        <v>380.5</v>
      </c>
      <c r="W767" s="57">
        <f t="shared" si="380"/>
        <v>271736.68381427479</v>
      </c>
      <c r="X767" s="57">
        <f t="shared" si="381"/>
        <v>471307.63529028906</v>
      </c>
      <c r="Y767" s="57">
        <f t="shared" si="382"/>
        <v>730.28882889437421</v>
      </c>
      <c r="Z767" s="57">
        <f t="shared" si="383"/>
        <v>876.50827521697022</v>
      </c>
      <c r="AA767" s="57">
        <f t="shared" si="358"/>
        <v>-5.5246579152751947</v>
      </c>
      <c r="AB767" s="57">
        <f t="shared" si="359"/>
        <v>-9.6080070428357622</v>
      </c>
      <c r="AC767" s="57">
        <f t="shared" si="360"/>
        <v>-0.89639507517728445</v>
      </c>
      <c r="AD767" s="57">
        <f t="shared" si="361"/>
        <v>-1.6515466629828615</v>
      </c>
      <c r="AE767" s="57">
        <f t="shared" si="362"/>
        <v>-0.3221350875006096</v>
      </c>
      <c r="AF767" s="57">
        <f t="shared" si="363"/>
        <v>-0.50937500733894803</v>
      </c>
      <c r="AG767" s="57">
        <f t="shared" si="364"/>
        <v>-0.82675693000549666</v>
      </c>
      <c r="AH767" s="57">
        <f t="shared" si="365"/>
        <v>-1.4528547572705028</v>
      </c>
      <c r="AJ767" s="57">
        <f t="shared" si="366"/>
        <v>527720.45680585282</v>
      </c>
      <c r="AK767" s="57">
        <f t="shared" si="367"/>
        <v>545815.92781822383</v>
      </c>
      <c r="AL767" s="57">
        <f t="shared" si="368"/>
        <v>559534.00996736088</v>
      </c>
      <c r="AN767" s="41">
        <v>762</v>
      </c>
      <c r="AO767" s="57">
        <f t="shared" si="369"/>
        <v>10573.586191080465</v>
      </c>
      <c r="AP767" s="57">
        <f t="shared" si="370"/>
        <v>20018.479547691426</v>
      </c>
      <c r="AR767" s="41">
        <v>762</v>
      </c>
      <c r="AS767" s="57">
        <f t="shared" si="371"/>
        <v>17601.006889170883</v>
      </c>
      <c r="AT767" s="57">
        <f t="shared" si="372"/>
        <v>-2658.0428777440006</v>
      </c>
      <c r="AV767" s="57">
        <f t="shared" si="373"/>
        <v>-3.1883972391106195</v>
      </c>
      <c r="AW767" s="57">
        <f t="shared" si="374"/>
        <v>-5.4544053848913929</v>
      </c>
      <c r="AX767" s="57">
        <f t="shared" si="375"/>
        <v>-0.29097358348118418</v>
      </c>
      <c r="AY767" s="57">
        <f t="shared" si="376"/>
        <v>-0.53982523035205798</v>
      </c>
      <c r="BA767" s="57">
        <f t="shared" si="377"/>
        <v>528550.01325934322</v>
      </c>
      <c r="BB767" s="57">
        <f t="shared" si="378"/>
        <v>541093.97358663857</v>
      </c>
    </row>
    <row r="768" spans="9:54" x14ac:dyDescent="0.25">
      <c r="I768" s="41">
        <v>763</v>
      </c>
      <c r="J768" s="57">
        <f t="shared" si="352"/>
        <v>23656.768508095851</v>
      </c>
      <c r="K768" s="57">
        <f t="shared" si="353"/>
        <v>10909.991800312495</v>
      </c>
      <c r="M768" s="41">
        <v>763</v>
      </c>
      <c r="N768" s="57">
        <f t="shared" si="354"/>
        <v>-17440.262044332907</v>
      </c>
      <c r="O768" s="57">
        <f t="shared" si="355"/>
        <v>12386.994260218748</v>
      </c>
      <c r="Q768" s="41">
        <v>763</v>
      </c>
      <c r="R768" s="57">
        <f t="shared" si="356"/>
        <v>-1343.2314919041501</v>
      </c>
      <c r="S768" s="41">
        <f t="shared" si="357"/>
        <v>-11590.008199687505</v>
      </c>
      <c r="U768" s="41">
        <v>762</v>
      </c>
      <c r="V768" s="41">
        <f t="shared" si="379"/>
        <v>381</v>
      </c>
      <c r="W768" s="57">
        <f t="shared" si="380"/>
        <v>272101.13764648256</v>
      </c>
      <c r="X768" s="57">
        <f t="shared" si="381"/>
        <v>471744.68842701724</v>
      </c>
      <c r="Y768" s="57">
        <f t="shared" si="382"/>
        <v>727.52649993673663</v>
      </c>
      <c r="Z768" s="57">
        <f t="shared" si="383"/>
        <v>871.70427169555239</v>
      </c>
      <c r="AA768" s="57">
        <f t="shared" si="358"/>
        <v>-5.5148575459228022</v>
      </c>
      <c r="AB768" s="57">
        <f t="shared" si="359"/>
        <v>-9.5868976897176097</v>
      </c>
      <c r="AC768" s="57">
        <f t="shared" si="360"/>
        <v>-0.89485233050305801</v>
      </c>
      <c r="AD768" s="57">
        <f t="shared" si="361"/>
        <v>-1.6478721406847991</v>
      </c>
      <c r="AE768" s="57">
        <f t="shared" si="362"/>
        <v>-0.32153956083085422</v>
      </c>
      <c r="AF768" s="57">
        <f t="shared" si="363"/>
        <v>-0.50828006193008601</v>
      </c>
      <c r="AG768" s="57">
        <f t="shared" si="364"/>
        <v>-0.82536537390330111</v>
      </c>
      <c r="AH768" s="57">
        <f t="shared" si="365"/>
        <v>-1.4498035452728519</v>
      </c>
      <c r="AJ768" s="57">
        <f t="shared" si="366"/>
        <v>528278.44394348422</v>
      </c>
      <c r="AK768" s="57">
        <f t="shared" si="367"/>
        <v>546380.11668153945</v>
      </c>
      <c r="AL768" s="57">
        <f t="shared" si="368"/>
        <v>560094.12797929684</v>
      </c>
      <c r="AN768" s="41">
        <v>763</v>
      </c>
      <c r="AO768" s="57">
        <f t="shared" si="369"/>
        <v>10485.152762143774</v>
      </c>
      <c r="AP768" s="57">
        <f t="shared" si="370"/>
        <v>20114.987700468744</v>
      </c>
      <c r="AR768" s="41">
        <v>763</v>
      </c>
      <c r="AS768" s="57">
        <f t="shared" si="371"/>
        <v>17559.737955667093</v>
      </c>
      <c r="AT768" s="57">
        <f t="shared" si="372"/>
        <v>-2613.0057397812534</v>
      </c>
      <c r="AV768" s="57">
        <f t="shared" si="373"/>
        <v>-3.1826125622084831</v>
      </c>
      <c r="AW768" s="57">
        <f t="shared" si="374"/>
        <v>-5.4422882505044523</v>
      </c>
      <c r="AX768" s="57">
        <f t="shared" si="375"/>
        <v>-0.29048771847710564</v>
      </c>
      <c r="AY768" s="57">
        <f t="shared" si="376"/>
        <v>-0.5386536913254204</v>
      </c>
      <c r="BA768" s="57">
        <f t="shared" si="377"/>
        <v>529111.26253212406</v>
      </c>
      <c r="BB768" s="57">
        <f t="shared" si="378"/>
        <v>541651.63428396417</v>
      </c>
    </row>
    <row r="769" spans="9:54" x14ac:dyDescent="0.25">
      <c r="I769" s="41">
        <v>764</v>
      </c>
      <c r="J769" s="57">
        <f t="shared" si="352"/>
        <v>23596.699001693258</v>
      </c>
      <c r="K769" s="57">
        <f t="shared" si="353"/>
        <v>10973.291852294986</v>
      </c>
      <c r="M769" s="41">
        <v>764</v>
      </c>
      <c r="N769" s="57">
        <f t="shared" si="354"/>
        <v>-17482.310698814719</v>
      </c>
      <c r="O769" s="57">
        <f t="shared" si="355"/>
        <v>12431.30429660649</v>
      </c>
      <c r="Q769" s="41">
        <v>764</v>
      </c>
      <c r="R769" s="57">
        <f t="shared" si="356"/>
        <v>-1403.3009983067427</v>
      </c>
      <c r="S769" s="41">
        <f t="shared" si="357"/>
        <v>-11526.708147705014</v>
      </c>
      <c r="U769" s="41">
        <v>763</v>
      </c>
      <c r="V769" s="41">
        <f t="shared" si="379"/>
        <v>381.5</v>
      </c>
      <c r="W769" s="57">
        <f t="shared" si="380"/>
        <v>272464.21153925767</v>
      </c>
      <c r="X769" s="57">
        <f t="shared" si="381"/>
        <v>472179.3422006538</v>
      </c>
      <c r="Y769" s="57">
        <f t="shared" si="382"/>
        <v>724.76907116377527</v>
      </c>
      <c r="Z769" s="57">
        <f t="shared" si="383"/>
        <v>866.91082285069353</v>
      </c>
      <c r="AA769" s="57">
        <f t="shared" si="358"/>
        <v>-5.5051386847341028</v>
      </c>
      <c r="AB769" s="57">
        <f t="shared" si="359"/>
        <v>-9.5659554600955854</v>
      </c>
      <c r="AC769" s="57">
        <f t="shared" si="360"/>
        <v>-0.89332237574283768</v>
      </c>
      <c r="AD769" s="57">
        <f t="shared" si="361"/>
        <v>-1.6442269238971265</v>
      </c>
      <c r="AE769" s="57">
        <f t="shared" si="362"/>
        <v>-0.32094899691030865</v>
      </c>
      <c r="AF769" s="57">
        <f t="shared" si="363"/>
        <v>-0.50719366821418721</v>
      </c>
      <c r="AG769" s="57">
        <f t="shared" si="364"/>
        <v>-0.82398522669709573</v>
      </c>
      <c r="AH769" s="57">
        <f t="shared" si="365"/>
        <v>-1.446776067076855</v>
      </c>
      <c r="AJ769" s="57">
        <f t="shared" si="366"/>
        <v>528833.68763361836</v>
      </c>
      <c r="AK769" s="57">
        <f t="shared" si="367"/>
        <v>546941.55024856969</v>
      </c>
      <c r="AL769" s="57">
        <f t="shared" si="368"/>
        <v>560651.49616509874</v>
      </c>
      <c r="AN769" s="41">
        <v>764</v>
      </c>
      <c r="AO769" s="57">
        <f t="shared" si="369"/>
        <v>10395.048502539885</v>
      </c>
      <c r="AP769" s="57">
        <f t="shared" si="370"/>
        <v>20209.93777844248</v>
      </c>
      <c r="AR769" s="41">
        <v>764</v>
      </c>
      <c r="AS769" s="57">
        <f t="shared" si="371"/>
        <v>17517.689301185281</v>
      </c>
      <c r="AT769" s="57">
        <f t="shared" si="372"/>
        <v>-2568.6957033935105</v>
      </c>
      <c r="AV769" s="57">
        <f t="shared" si="373"/>
        <v>-3.1768762351119419</v>
      </c>
      <c r="AW769" s="57">
        <f t="shared" si="374"/>
        <v>-5.4302673956369212</v>
      </c>
      <c r="AX769" s="57">
        <f t="shared" si="375"/>
        <v>-0.29000585027191944</v>
      </c>
      <c r="AY769" s="57">
        <f t="shared" si="376"/>
        <v>-0.53749140527049577</v>
      </c>
      <c r="BA769" s="57">
        <f t="shared" si="377"/>
        <v>529669.76068994089</v>
      </c>
      <c r="BB769" s="57">
        <f t="shared" si="378"/>
        <v>542206.55182926403</v>
      </c>
    </row>
    <row r="770" spans="9:54" x14ac:dyDescent="0.25">
      <c r="I770" s="41">
        <v>765</v>
      </c>
      <c r="J770" s="57">
        <f t="shared" si="352"/>
        <v>23535.533905932742</v>
      </c>
      <c r="K770" s="57">
        <f t="shared" si="353"/>
        <v>11035.533905932733</v>
      </c>
      <c r="M770" s="41">
        <v>765</v>
      </c>
      <c r="N770" s="57">
        <f t="shared" si="354"/>
        <v>-17525.126265847081</v>
      </c>
      <c r="O770" s="57">
        <f t="shared" si="355"/>
        <v>12474.873734152912</v>
      </c>
      <c r="Q770" s="41">
        <v>765</v>
      </c>
      <c r="R770" s="57">
        <f t="shared" si="356"/>
        <v>-1464.466094067257</v>
      </c>
      <c r="S770" s="41">
        <f t="shared" si="357"/>
        <v>-11464.466094067267</v>
      </c>
      <c r="U770" s="41">
        <v>764</v>
      </c>
      <c r="V770" s="41">
        <f t="shared" si="379"/>
        <v>382</v>
      </c>
      <c r="W770" s="57">
        <f t="shared" si="380"/>
        <v>272825.90793250396</v>
      </c>
      <c r="X770" s="57">
        <f t="shared" si="381"/>
        <v>472611.60186764662</v>
      </c>
      <c r="Y770" s="57">
        <f t="shared" si="382"/>
        <v>722.01650182140827</v>
      </c>
      <c r="Z770" s="57">
        <f t="shared" si="383"/>
        <v>862.1278451206457</v>
      </c>
      <c r="AA770" s="57">
        <f t="shared" si="358"/>
        <v>-5.4955006782953726</v>
      </c>
      <c r="AB770" s="57">
        <f t="shared" si="359"/>
        <v>-9.545178894280129</v>
      </c>
      <c r="AC770" s="57">
        <f t="shared" si="360"/>
        <v>-0.8918051107935645</v>
      </c>
      <c r="AD770" s="57">
        <f t="shared" si="361"/>
        <v>-1.6406107547557334</v>
      </c>
      <c r="AE770" s="57">
        <f t="shared" si="362"/>
        <v>-0.32036335484648731</v>
      </c>
      <c r="AF770" s="57">
        <f t="shared" si="363"/>
        <v>-0.50611575256991126</v>
      </c>
      <c r="AG770" s="57">
        <f t="shared" si="364"/>
        <v>-0.82261639988980584</v>
      </c>
      <c r="AH770" s="57">
        <f t="shared" si="365"/>
        <v>-1.4437721213901826</v>
      </c>
      <c r="AJ770" s="57">
        <f t="shared" si="366"/>
        <v>529386.19354284566</v>
      </c>
      <c r="AK770" s="57">
        <f t="shared" si="367"/>
        <v>547500.234282183</v>
      </c>
      <c r="AL770" s="57">
        <f t="shared" si="368"/>
        <v>561206.12023966073</v>
      </c>
      <c r="AN770" s="41">
        <v>765</v>
      </c>
      <c r="AO770" s="57">
        <f t="shared" si="369"/>
        <v>10303.300858899114</v>
      </c>
      <c r="AP770" s="57">
        <f t="shared" si="370"/>
        <v>20303.3008588991</v>
      </c>
      <c r="AR770" s="41">
        <v>765</v>
      </c>
      <c r="AS770" s="57">
        <f t="shared" si="371"/>
        <v>17474.873734152919</v>
      </c>
      <c r="AT770" s="57">
        <f t="shared" si="372"/>
        <v>-2525.1262658470869</v>
      </c>
      <c r="AV770" s="57">
        <f t="shared" si="373"/>
        <v>-3.1711878645918925</v>
      </c>
      <c r="AW770" s="57">
        <f t="shared" si="374"/>
        <v>-5.4183419734914304</v>
      </c>
      <c r="AX770" s="57">
        <f t="shared" si="375"/>
        <v>-0.28952794817362187</v>
      </c>
      <c r="AY770" s="57">
        <f t="shared" si="376"/>
        <v>-0.5363382920728712</v>
      </c>
      <c r="BA770" s="57">
        <f t="shared" si="377"/>
        <v>530225.51345983299</v>
      </c>
      <c r="BB770" s="57">
        <f t="shared" si="378"/>
        <v>542758.73188719805</v>
      </c>
    </row>
    <row r="771" spans="9:54" x14ac:dyDescent="0.25">
      <c r="I771" s="41">
        <v>766</v>
      </c>
      <c r="J771" s="57">
        <f t="shared" si="352"/>
        <v>23473.291852294995</v>
      </c>
      <c r="K771" s="57">
        <f t="shared" si="353"/>
        <v>11096.699001693247</v>
      </c>
      <c r="M771" s="41">
        <v>766</v>
      </c>
      <c r="N771" s="57">
        <f t="shared" si="354"/>
        <v>-17568.695703393503</v>
      </c>
      <c r="O771" s="57">
        <f t="shared" si="355"/>
        <v>12517.689301185274</v>
      </c>
      <c r="Q771" s="41">
        <v>766</v>
      </c>
      <c r="R771" s="57">
        <f t="shared" si="356"/>
        <v>-1526.7081477050046</v>
      </c>
      <c r="S771" s="41">
        <f t="shared" si="357"/>
        <v>-11403.300998306753</v>
      </c>
      <c r="U771" s="41">
        <v>765</v>
      </c>
      <c r="V771" s="41">
        <f t="shared" si="379"/>
        <v>382.5</v>
      </c>
      <c r="W771" s="57">
        <f t="shared" si="380"/>
        <v>273186.22924582992</v>
      </c>
      <c r="X771" s="57">
        <f t="shared" si="381"/>
        <v>473041.47264284512</v>
      </c>
      <c r="Y771" s="57">
        <f t="shared" si="382"/>
        <v>719.26875148226054</v>
      </c>
      <c r="Z771" s="57">
        <f t="shared" si="383"/>
        <v>857.35525567350567</v>
      </c>
      <c r="AA771" s="57">
        <f t="shared" si="358"/>
        <v>-5.4859428814161211</v>
      </c>
      <c r="AB771" s="57">
        <f t="shared" si="359"/>
        <v>-9.5245665511738746</v>
      </c>
      <c r="AC771" s="57">
        <f t="shared" si="360"/>
        <v>-0.89030043679577675</v>
      </c>
      <c r="AD771" s="57">
        <f t="shared" si="361"/>
        <v>-1.6370233787006041</v>
      </c>
      <c r="AE771" s="57">
        <f t="shared" si="362"/>
        <v>-0.31978259426796668</v>
      </c>
      <c r="AF771" s="57">
        <f t="shared" si="363"/>
        <v>-0.50504624230230555</v>
      </c>
      <c r="AG771" s="57">
        <f t="shared" si="364"/>
        <v>-0.82125880607651858</v>
      </c>
      <c r="AH771" s="57">
        <f t="shared" si="365"/>
        <v>-1.4407915094326946</v>
      </c>
      <c r="AJ771" s="57">
        <f t="shared" si="366"/>
        <v>529935.96729245584</v>
      </c>
      <c r="AK771" s="57">
        <f t="shared" si="367"/>
        <v>548056.17449915025</v>
      </c>
      <c r="AL771" s="57">
        <f t="shared" si="368"/>
        <v>561758.00587211072</v>
      </c>
      <c r="AN771" s="41">
        <v>766</v>
      </c>
      <c r="AO771" s="57">
        <f t="shared" si="369"/>
        <v>10209.937778442492</v>
      </c>
      <c r="AP771" s="57">
        <f t="shared" si="370"/>
        <v>20395.04850253987</v>
      </c>
      <c r="AR771" s="41">
        <v>766</v>
      </c>
      <c r="AS771" s="57">
        <f t="shared" si="371"/>
        <v>17431.304296606497</v>
      </c>
      <c r="AT771" s="57">
        <f t="shared" si="372"/>
        <v>-2482.3106988147269</v>
      </c>
      <c r="AV771" s="57">
        <f t="shared" si="373"/>
        <v>-3.1655470624085291</v>
      </c>
      <c r="AW771" s="57">
        <f t="shared" si="374"/>
        <v>-5.4065111481050456</v>
      </c>
      <c r="AX771" s="57">
        <f t="shared" si="375"/>
        <v>-0.28905398186733089</v>
      </c>
      <c r="AY771" s="57">
        <f t="shared" si="376"/>
        <v>-0.53519427263322539</v>
      </c>
      <c r="BA771" s="57">
        <f t="shared" si="377"/>
        <v>530778.52652299625</v>
      </c>
      <c r="BB771" s="57">
        <f t="shared" si="378"/>
        <v>543308.18007712741</v>
      </c>
    </row>
    <row r="772" spans="9:54" x14ac:dyDescent="0.25">
      <c r="I772" s="41">
        <v>767</v>
      </c>
      <c r="J772" s="57">
        <f t="shared" si="352"/>
        <v>23409.991800312491</v>
      </c>
      <c r="K772" s="57">
        <f t="shared" si="353"/>
        <v>11156.768508095853</v>
      </c>
      <c r="M772" s="41">
        <v>767</v>
      </c>
      <c r="N772" s="57">
        <f t="shared" si="354"/>
        <v>-17613.005739781256</v>
      </c>
      <c r="O772" s="57">
        <f t="shared" si="355"/>
        <v>12559.737955667097</v>
      </c>
      <c r="Q772" s="41">
        <v>767</v>
      </c>
      <c r="R772" s="57">
        <f t="shared" si="356"/>
        <v>-1590.0081996875078</v>
      </c>
      <c r="S772" s="41">
        <f t="shared" si="357"/>
        <v>-11343.231491904147</v>
      </c>
      <c r="U772" s="41">
        <v>766</v>
      </c>
      <c r="V772" s="41">
        <f t="shared" si="379"/>
        <v>383</v>
      </c>
      <c r="W772" s="57">
        <f t="shared" si="380"/>
        <v>273545.17787871085</v>
      </c>
      <c r="X772" s="57">
        <f t="shared" si="381"/>
        <v>473468.95969986299</v>
      </c>
      <c r="Y772" s="57">
        <f t="shared" si="382"/>
        <v>716.52578004155248</v>
      </c>
      <c r="Z772" s="57">
        <f t="shared" si="383"/>
        <v>852.59297239791874</v>
      </c>
      <c r="AA772" s="57">
        <f t="shared" si="358"/>
        <v>-5.47646465701078</v>
      </c>
      <c r="AB772" s="57">
        <f t="shared" si="359"/>
        <v>-9.5041170079928392</v>
      </c>
      <c r="AC772" s="57">
        <f t="shared" si="360"/>
        <v>-0.88880825611607384</v>
      </c>
      <c r="AD772" s="57">
        <f t="shared" si="361"/>
        <v>-1.633464544425995</v>
      </c>
      <c r="AE772" s="57">
        <f t="shared" si="362"/>
        <v>-0.31920667531674141</v>
      </c>
      <c r="AF772" s="57">
        <f t="shared" si="363"/>
        <v>-0.50398506562908008</v>
      </c>
      <c r="AG772" s="57">
        <f t="shared" si="364"/>
        <v>-0.81991235892915804</v>
      </c>
      <c r="AH772" s="57">
        <f t="shared" si="365"/>
        <v>-1.4378340348996461</v>
      </c>
      <c r="AJ772" s="57">
        <f t="shared" si="366"/>
        <v>530483.01445882278</v>
      </c>
      <c r="AK772" s="57">
        <f t="shared" si="367"/>
        <v>548609.3765705406</v>
      </c>
      <c r="AL772" s="57">
        <f t="shared" si="368"/>
        <v>562307.15868620155</v>
      </c>
      <c r="AN772" s="41">
        <v>767</v>
      </c>
      <c r="AO772" s="57">
        <f t="shared" si="369"/>
        <v>10114.987700468739</v>
      </c>
      <c r="AP772" s="57">
        <f t="shared" si="370"/>
        <v>20485.152762143778</v>
      </c>
      <c r="AR772" s="41">
        <v>767</v>
      </c>
      <c r="AS772" s="57">
        <f t="shared" si="371"/>
        <v>17386.994260218744</v>
      </c>
      <c r="AT772" s="57">
        <f t="shared" si="372"/>
        <v>-2440.2620443329033</v>
      </c>
      <c r="AV772" s="57">
        <f t="shared" si="373"/>
        <v>-3.159953445238747</v>
      </c>
      <c r="AW772" s="57">
        <f t="shared" si="374"/>
        <v>-5.3947740941858724</v>
      </c>
      <c r="AX772" s="57">
        <f t="shared" si="375"/>
        <v>-0.28858392141005995</v>
      </c>
      <c r="AY772" s="57">
        <f t="shared" si="376"/>
        <v>-0.53405926885224675</v>
      </c>
      <c r="BA772" s="57">
        <f t="shared" si="377"/>
        <v>531328.80551517534</v>
      </c>
      <c r="BB772" s="57">
        <f t="shared" si="378"/>
        <v>543854.90197349817</v>
      </c>
    </row>
    <row r="773" spans="9:54" x14ac:dyDescent="0.25">
      <c r="I773" s="41">
        <v>768</v>
      </c>
      <c r="J773" s="57">
        <f t="shared" si="352"/>
        <v>23345.653031794296</v>
      </c>
      <c r="K773" s="57">
        <f t="shared" si="353"/>
        <v>11215.724127386968</v>
      </c>
      <c r="M773" s="41">
        <v>768</v>
      </c>
      <c r="N773" s="57">
        <f t="shared" si="354"/>
        <v>-17658.042877743992</v>
      </c>
      <c r="O773" s="57">
        <f t="shared" si="355"/>
        <v>12601.006889170876</v>
      </c>
      <c r="Q773" s="41">
        <v>768</v>
      </c>
      <c r="R773" s="57">
        <f t="shared" si="356"/>
        <v>-1654.3469682057048</v>
      </c>
      <c r="S773" s="41">
        <f t="shared" si="357"/>
        <v>-11284.275872613032</v>
      </c>
      <c r="U773" s="41">
        <v>767</v>
      </c>
      <c r="V773" s="41">
        <f t="shared" si="379"/>
        <v>383.5</v>
      </c>
      <c r="W773" s="57">
        <f t="shared" si="380"/>
        <v>273902.7562106495</v>
      </c>
      <c r="X773" s="57">
        <f t="shared" si="381"/>
        <v>473894.06817143597</v>
      </c>
      <c r="Y773" s="57">
        <f t="shared" si="382"/>
        <v>713.78754771304705</v>
      </c>
      <c r="Z773" s="57">
        <f t="shared" si="383"/>
        <v>847.84091389392233</v>
      </c>
      <c r="AA773" s="57">
        <f t="shared" si="358"/>
        <v>-5.4670653759824361</v>
      </c>
      <c r="AB773" s="57">
        <f t="shared" si="359"/>
        <v>-9.4838288599925917</v>
      </c>
      <c r="AC773" s="57">
        <f t="shared" si="360"/>
        <v>-0.88732847232989231</v>
      </c>
      <c r="AD773" s="57">
        <f t="shared" si="361"/>
        <v>-1.6299340038315264</v>
      </c>
      <c r="AE773" s="57">
        <f t="shared" si="362"/>
        <v>-0.31863555864071708</v>
      </c>
      <c r="AF773" s="57">
        <f t="shared" si="363"/>
        <v>-0.50293215166712479</v>
      </c>
      <c r="AG773" s="57">
        <f t="shared" si="364"/>
        <v>-0.81857697318140044</v>
      </c>
      <c r="AH773" s="57">
        <f t="shared" si="365"/>
        <v>-1.4348995039254988</v>
      </c>
      <c r="AJ773" s="57">
        <f t="shared" si="366"/>
        <v>531027.3405737849</v>
      </c>
      <c r="AK773" s="57">
        <f t="shared" si="367"/>
        <v>549159.84612211166</v>
      </c>
      <c r="AL773" s="57">
        <f t="shared" si="368"/>
        <v>562853.58426069713</v>
      </c>
      <c r="AN773" s="41">
        <v>768</v>
      </c>
      <c r="AO773" s="57">
        <f t="shared" si="369"/>
        <v>10018.479547691442</v>
      </c>
      <c r="AP773" s="57">
        <f t="shared" si="370"/>
        <v>20573.586191080452</v>
      </c>
      <c r="AR773" s="41">
        <v>768</v>
      </c>
      <c r="AS773" s="57">
        <f t="shared" si="371"/>
        <v>17341.957122256008</v>
      </c>
      <c r="AT773" s="57">
        <f t="shared" si="372"/>
        <v>-2398.993110829123</v>
      </c>
      <c r="AV773" s="57">
        <f t="shared" si="373"/>
        <v>-3.1544066346048774</v>
      </c>
      <c r="AW773" s="57">
        <f t="shared" si="374"/>
        <v>-5.3831299969526789</v>
      </c>
      <c r="AX773" s="57">
        <f t="shared" si="375"/>
        <v>-0.28811773722554918</v>
      </c>
      <c r="AY773" s="57">
        <f t="shared" si="376"/>
        <v>-0.5329332036157618</v>
      </c>
      <c r="BA773" s="57">
        <f t="shared" si="377"/>
        <v>531876.35602705122</v>
      </c>
      <c r="BB773" s="57">
        <f t="shared" si="378"/>
        <v>544398.90310622321</v>
      </c>
    </row>
    <row r="774" spans="9:54" x14ac:dyDescent="0.25">
      <c r="I774" s="41">
        <v>769</v>
      </c>
      <c r="J774" s="57">
        <f t="shared" si="352"/>
        <v>23280.295144952539</v>
      </c>
      <c r="K774" s="57">
        <f t="shared" si="353"/>
        <v>11273.547901113858</v>
      </c>
      <c r="M774" s="41">
        <v>769</v>
      </c>
      <c r="N774" s="57">
        <f t="shared" si="354"/>
        <v>-17703.793398533224</v>
      </c>
      <c r="O774" s="57">
        <f t="shared" si="355"/>
        <v>12641.4835307797</v>
      </c>
      <c r="Q774" s="41">
        <v>769</v>
      </c>
      <c r="R774" s="57">
        <f t="shared" si="356"/>
        <v>-1719.7048550474619</v>
      </c>
      <c r="S774" s="41">
        <f t="shared" si="357"/>
        <v>-11226.452098886142</v>
      </c>
      <c r="U774" s="41">
        <v>768</v>
      </c>
      <c r="V774" s="41">
        <f t="shared" si="379"/>
        <v>384</v>
      </c>
      <c r="W774" s="57">
        <f t="shared" si="380"/>
        <v>274258.96660133405</v>
      </c>
      <c r="X774" s="57">
        <f t="shared" si="381"/>
        <v>474316.80314977543</v>
      </c>
      <c r="Y774" s="57">
        <f t="shared" si="382"/>
        <v>711.05401502505583</v>
      </c>
      <c r="Z774" s="57">
        <f t="shared" si="383"/>
        <v>843.09899946392602</v>
      </c>
      <c r="AA774" s="57">
        <f t="shared" si="358"/>
        <v>-5.4577444171086862</v>
      </c>
      <c r="AB774" s="57">
        <f t="shared" si="359"/>
        <v>-9.463700720199471</v>
      </c>
      <c r="AC774" s="57">
        <f t="shared" si="360"/>
        <v>-0.88586099020457554</v>
      </c>
      <c r="AD774" s="57">
        <f t="shared" si="361"/>
        <v>-1.6264315119741573</v>
      </c>
      <c r="AE774" s="57">
        <f t="shared" si="362"/>
        <v>-0.31806920538632544</v>
      </c>
      <c r="AF774" s="57">
        <f t="shared" si="363"/>
        <v>-0.50188743041925166</v>
      </c>
      <c r="AG774" s="57">
        <f t="shared" si="364"/>
        <v>-0.8172525646138421</v>
      </c>
      <c r="AH774" s="57">
        <f t="shared" si="365"/>
        <v>-1.4319877250483608</v>
      </c>
      <c r="AJ774" s="57">
        <f t="shared" si="366"/>
        <v>531568.95112502051</v>
      </c>
      <c r="AK774" s="57">
        <f t="shared" si="367"/>
        <v>549707.58873469476</v>
      </c>
      <c r="AL774" s="57">
        <f t="shared" si="368"/>
        <v>563397.28812975402</v>
      </c>
      <c r="AN774" s="41">
        <v>769</v>
      </c>
      <c r="AO774" s="57">
        <f t="shared" si="369"/>
        <v>9920.4427174288066</v>
      </c>
      <c r="AP774" s="57">
        <f t="shared" si="370"/>
        <v>20660.321851670786</v>
      </c>
      <c r="AR774" s="41">
        <v>769</v>
      </c>
      <c r="AS774" s="57">
        <f t="shared" si="371"/>
        <v>17296.206601466776</v>
      </c>
      <c r="AT774" s="57">
        <f t="shared" si="372"/>
        <v>-2358.5164692202993</v>
      </c>
      <c r="AV774" s="57">
        <f t="shared" si="373"/>
        <v>-3.1489062568047417</v>
      </c>
      <c r="AW774" s="57">
        <f t="shared" si="374"/>
        <v>-5.3715780519775409</v>
      </c>
      <c r="AX774" s="57">
        <f t="shared" si="375"/>
        <v>-0.28765540009920165</v>
      </c>
      <c r="AY774" s="57">
        <f t="shared" si="376"/>
        <v>-0.53181600078016156</v>
      </c>
      <c r="BA774" s="57">
        <f t="shared" si="377"/>
        <v>532421.18360462319</v>
      </c>
      <c r="BB774" s="57">
        <f t="shared" si="378"/>
        <v>544940.18896105676</v>
      </c>
    </row>
    <row r="775" spans="9:54" x14ac:dyDescent="0.25">
      <c r="I775" s="41">
        <v>770</v>
      </c>
      <c r="J775" s="57">
        <f t="shared" ref="J775:J838" si="384">$F$8*COS(I775*PI()/180)+$E$7</f>
        <v>23213.938048432698</v>
      </c>
      <c r="K775" s="57">
        <f t="shared" ref="K775:K838" si="385">$F$8*SIN(I775*PI()/180)+$G$7</f>
        <v>11330.222215594891</v>
      </c>
      <c r="M775" s="41">
        <v>770</v>
      </c>
      <c r="N775" s="57">
        <f t="shared" ref="N775:N838" si="386">$F$19*COS(M775*PI()/180)+$E$18</f>
        <v>-17750.243366097115</v>
      </c>
      <c r="O775" s="57">
        <f t="shared" ref="O775:O838" si="387">$F$19*SIN(M775*PI()/180)+$G$18</f>
        <v>12681.155550916425</v>
      </c>
      <c r="Q775" s="41">
        <v>770</v>
      </c>
      <c r="R775" s="57">
        <f t="shared" ref="R775:R838" si="388">$F$30*COS(Q775*PI()/180)+$E$29</f>
        <v>-1786.0619515673043</v>
      </c>
      <c r="S775" s="41">
        <f t="shared" ref="S775:S838" si="389">$F$30*SIN(Q775*PI()/180)+$G$29</f>
        <v>-11169.777784405109</v>
      </c>
      <c r="U775" s="41">
        <v>769</v>
      </c>
      <c r="V775" s="41">
        <f t="shared" si="379"/>
        <v>384.5</v>
      </c>
      <c r="W775" s="57">
        <f t="shared" si="380"/>
        <v>274613.81139079441</v>
      </c>
      <c r="X775" s="57">
        <f t="shared" si="381"/>
        <v>474737.16968691739</v>
      </c>
      <c r="Y775" s="57">
        <f t="shared" si="382"/>
        <v>708.32514281650151</v>
      </c>
      <c r="Z775" s="57">
        <f t="shared" si="383"/>
        <v>838.36714910382625</v>
      </c>
      <c r="AA775" s="57">
        <f t="shared" ref="AA775:AA838" si="390">AC775+AE775+AG775+AV775+AX775</f>
        <v>-5.4485011669293621</v>
      </c>
      <c r="AB775" s="57">
        <f t="shared" ref="AB775:AB838" si="391">AD775+AF775+AH775+AW775+AY775</f>
        <v>-9.4437312191464517</v>
      </c>
      <c r="AC775" s="57">
        <f t="shared" ref="AC775:AC838" si="392">(($E$7-W775)/(AJ775^2+$F$12^2)^(3/2))*$E$11</f>
        <v>-0.88440571568272086</v>
      </c>
      <c r="AD775" s="57">
        <f t="shared" ref="AD775:AD838" si="393">(($G$7-X775)/(AJ775^2+$F$12^2)^(3/2))*$E$11</f>
        <v>-1.6229568270210002</v>
      </c>
      <c r="AE775" s="57">
        <f t="shared" ref="AE775:AE838" si="394">(($E$18-W775)/(AK775^2+$F$23^2)^(3/2))*$E$22</f>
        <v>-0.31750757719128597</v>
      </c>
      <c r="AF775" s="57">
        <f t="shared" ref="AF775:AF838" si="395">(($G$18-X775)/(AK775^2+$F$23^2)^(3/2))*$E$22</f>
        <v>-0.5008508327611938</v>
      </c>
      <c r="AG775" s="57">
        <f t="shared" ref="AG775:AG838" si="396">(($E$29-W775)/(AL775^2+$F$34^2)^(3/2))*$E$33</f>
        <v>-0.81593905003941736</v>
      </c>
      <c r="AH775" s="57">
        <f t="shared" ref="AH775:AH838" si="397">(($G$29-X775)/(AL775^2+$F$34^2)^(3/2))*$E$33</f>
        <v>-1.4290985091750443</v>
      </c>
      <c r="AJ775" s="57">
        <f t="shared" ref="AJ775:AJ838" si="398">SQRT(($E$7-W775)^2+($G$7-X775)^2)</f>
        <v>532107.85155641928</v>
      </c>
      <c r="AK775" s="57">
        <f t="shared" ref="AK775:AK838" si="399">SQRT(($E$18-W775)^2+($G$18-X775)^2)</f>
        <v>550252.60994457558</v>
      </c>
      <c r="AL775" s="57">
        <f t="shared" ref="AL775:AL838" si="400">SQRT(($E$29-W775)^2+($G$29-X775)^2)</f>
        <v>563938.27578329819</v>
      </c>
      <c r="AN775" s="41">
        <v>770</v>
      </c>
      <c r="AO775" s="57">
        <f t="shared" ref="AO775:AO838" si="401">$F$41*COS(AN775*PI()/180)+$E$40</f>
        <v>9820.9070726490427</v>
      </c>
      <c r="AP775" s="57">
        <f t="shared" ref="AP775:AP838" si="402">$F$41*SIN(AN775*PI()/180)+$G$40</f>
        <v>20745.333323392337</v>
      </c>
      <c r="AR775" s="41">
        <v>770</v>
      </c>
      <c r="AS775" s="57">
        <f t="shared" ref="AS775:AS838" si="403">$F$52*COS(AR775*PI()/180)+$E$51</f>
        <v>17249.756633902885</v>
      </c>
      <c r="AT775" s="57">
        <f t="shared" ref="AT775:AT838" si="404">$F$52*SIN(AR775*PI()/180)+$G$51</f>
        <v>-2318.8444490835764</v>
      </c>
      <c r="AV775" s="57">
        <f t="shared" ref="AV775:AV838" si="405">(($E$40-W775)/(BA775^2+$F$45^2)^(3/2))*$E$44</f>
        <v>-3.1434519428428338</v>
      </c>
      <c r="AW775" s="57">
        <f t="shared" ref="AW775:AW838" si="406">(($G$40-X775)/(BA775^2+$F$45^2)^(3/2))*$E$44</f>
        <v>-5.360117465031129</v>
      </c>
      <c r="AX775" s="57">
        <f t="shared" ref="AX775:AX838" si="407">(($E$51-W775)/(BB775^2+$F$56^2)^(3/2))*$E$55</f>
        <v>-0.28719688117310427</v>
      </c>
      <c r="AY775" s="57">
        <f t="shared" ref="AY775:AY838" si="408">(($G$51-X775)/(BB775^2+$F$56^2)^(3/2))*$E$55</f>
        <v>-0.53070758515808469</v>
      </c>
      <c r="BA775" s="57">
        <f t="shared" ref="BA775:BA838" si="409">SQRT(($E$40-W775)^2+($G$40-X775)^2)</f>
        <v>532963.2937495868</v>
      </c>
      <c r="BB775" s="57">
        <f t="shared" ref="BB775:BB838" si="410">SQRT(($E$51-W775)^2+($G$51-X775)^2)</f>
        <v>545478.7649799661</v>
      </c>
    </row>
    <row r="776" spans="9:54" x14ac:dyDescent="0.25">
      <c r="I776" s="41">
        <v>771</v>
      </c>
      <c r="J776" s="57">
        <f t="shared" si="384"/>
        <v>23146.601955249189</v>
      </c>
      <c r="K776" s="57">
        <f t="shared" si="385"/>
        <v>11385.729807284852</v>
      </c>
      <c r="M776" s="41">
        <v>771</v>
      </c>
      <c r="N776" s="57">
        <f t="shared" si="386"/>
        <v>-17797.378631325566</v>
      </c>
      <c r="O776" s="57">
        <f t="shared" si="387"/>
        <v>12720.010865099397</v>
      </c>
      <c r="Q776" s="41">
        <v>771</v>
      </c>
      <c r="R776" s="57">
        <f t="shared" si="388"/>
        <v>-1853.3980447508097</v>
      </c>
      <c r="S776" s="41">
        <f t="shared" si="389"/>
        <v>-11114.270192715148</v>
      </c>
      <c r="U776" s="41">
        <v>770</v>
      </c>
      <c r="V776" s="41">
        <f t="shared" ref="V776:V839" si="411">V775+0.5</f>
        <v>385</v>
      </c>
      <c r="W776" s="57">
        <f t="shared" ref="W776:W839" si="412">W775+Y775*$F$3+((1/2)*AA775)*$F$3^2</f>
        <v>274967.29289955681</v>
      </c>
      <c r="X776" s="57">
        <f t="shared" ref="X776:X839" si="413">X775+Z775*$F$3+((1/2)*AB775)*$F$3^2</f>
        <v>475155.1727950669</v>
      </c>
      <c r="Y776" s="57">
        <f t="shared" ref="Y776:Y839" si="414">Y775+AA775*$F$3</f>
        <v>705.6008922330368</v>
      </c>
      <c r="Z776" s="57">
        <f t="shared" ref="Z776:Z839" si="415">Z775+AB775*$F$3</f>
        <v>833.64528349425302</v>
      </c>
      <c r="AA776" s="57">
        <f t="shared" si="390"/>
        <v>-5.4393350196363537</v>
      </c>
      <c r="AB776" s="57">
        <f t="shared" si="391"/>
        <v>-9.4239190046139072</v>
      </c>
      <c r="AC776" s="57">
        <f t="shared" si="392"/>
        <v>-0.88296255586584038</v>
      </c>
      <c r="AD776" s="57">
        <f t="shared" si="393"/>
        <v>-1.6195097102030345</v>
      </c>
      <c r="AE776" s="57">
        <f t="shared" si="394"/>
        <v>-0.31695063617748404</v>
      </c>
      <c r="AF776" s="57">
        <f t="shared" si="395"/>
        <v>-0.4998222904288161</v>
      </c>
      <c r="AG776" s="57">
        <f t="shared" si="396"/>
        <v>-0.81463634728912493</v>
      </c>
      <c r="AH776" s="57">
        <f t="shared" si="397"/>
        <v>-1.4262316695468367</v>
      </c>
      <c r="AJ776" s="57">
        <f t="shared" si="398"/>
        <v>532644.04726844758</v>
      </c>
      <c r="AK776" s="57">
        <f t="shared" si="399"/>
        <v>550794.91524386953</v>
      </c>
      <c r="AL776" s="57">
        <f t="shared" si="400"/>
        <v>564476.55266739661</v>
      </c>
      <c r="AN776" s="41">
        <v>771</v>
      </c>
      <c r="AO776" s="57">
        <f t="shared" si="401"/>
        <v>9719.9029328737852</v>
      </c>
      <c r="AP776" s="57">
        <f t="shared" si="402"/>
        <v>20828.594710927278</v>
      </c>
      <c r="AR776" s="41">
        <v>771</v>
      </c>
      <c r="AS776" s="57">
        <f t="shared" si="403"/>
        <v>17202.621368674434</v>
      </c>
      <c r="AT776" s="57">
        <f t="shared" si="404"/>
        <v>-2279.9891349006039</v>
      </c>
      <c r="AV776" s="57">
        <f t="shared" si="405"/>
        <v>-3.1380433283627727</v>
      </c>
      <c r="AW776" s="57">
        <f t="shared" si="406"/>
        <v>-5.3487474519308673</v>
      </c>
      <c r="AX776" s="57">
        <f t="shared" si="407"/>
        <v>-0.28674215194113123</v>
      </c>
      <c r="AY776" s="57">
        <f t="shared" si="408"/>
        <v>-0.52960788250435298</v>
      </c>
      <c r="BA776" s="57">
        <f t="shared" si="409"/>
        <v>533502.6919197063</v>
      </c>
      <c r="BB776" s="57">
        <f t="shared" si="410"/>
        <v>546014.63656149781</v>
      </c>
    </row>
    <row r="777" spans="9:54" x14ac:dyDescent="0.25">
      <c r="I777" s="41">
        <v>772</v>
      </c>
      <c r="J777" s="57">
        <f t="shared" si="384"/>
        <v>23078.307376628291</v>
      </c>
      <c r="K777" s="57">
        <f t="shared" si="385"/>
        <v>11440.053768033609</v>
      </c>
      <c r="M777" s="41">
        <v>772</v>
      </c>
      <c r="N777" s="57">
        <f t="shared" si="386"/>
        <v>-17845.184836360197</v>
      </c>
      <c r="O777" s="57">
        <f t="shared" si="387"/>
        <v>12758.037637623527</v>
      </c>
      <c r="Q777" s="41">
        <v>772</v>
      </c>
      <c r="R777" s="57">
        <f t="shared" si="388"/>
        <v>-1921.6926233717081</v>
      </c>
      <c r="S777" s="41">
        <f t="shared" si="389"/>
        <v>-11059.946231966391</v>
      </c>
      <c r="U777" s="41">
        <v>771</v>
      </c>
      <c r="V777" s="41">
        <f t="shared" si="411"/>
        <v>385.5</v>
      </c>
      <c r="W777" s="57">
        <f t="shared" si="412"/>
        <v>275319.41342879587</v>
      </c>
      <c r="X777" s="57">
        <f t="shared" si="413"/>
        <v>475570.81744693848</v>
      </c>
      <c r="Y777" s="57">
        <f t="shared" si="414"/>
        <v>702.88122472321868</v>
      </c>
      <c r="Z777" s="57">
        <f t="shared" si="415"/>
        <v>828.93332399194605</v>
      </c>
      <c r="AA777" s="57">
        <f t="shared" si="390"/>
        <v>-5.4302453769653836</v>
      </c>
      <c r="AB777" s="57">
        <f t="shared" si="391"/>
        <v>-9.4042627413751205</v>
      </c>
      <c r="AC777" s="57">
        <f t="shared" si="392"/>
        <v>-0.88153141899829646</v>
      </c>
      <c r="AD777" s="57">
        <f t="shared" si="393"/>
        <v>-1.6160899257696459</v>
      </c>
      <c r="AE777" s="57">
        <f t="shared" si="394"/>
        <v>-0.31639834494398372</v>
      </c>
      <c r="AF777" s="57">
        <f t="shared" si="395"/>
        <v>-0.49880173600556627</v>
      </c>
      <c r="AG777" s="57">
        <f t="shared" si="396"/>
        <v>-0.81334437519792269</v>
      </c>
      <c r="AH777" s="57">
        <f t="shared" si="397"/>
        <v>-1.4233870217057421</v>
      </c>
      <c r="AJ777" s="57">
        <f t="shared" si="398"/>
        <v>533177.54361851141</v>
      </c>
      <c r="AK777" s="57">
        <f t="shared" si="399"/>
        <v>551334.51008089317</v>
      </c>
      <c r="AL777" s="57">
        <f t="shared" si="400"/>
        <v>565012.12418462452</v>
      </c>
      <c r="AN777" s="41">
        <v>772</v>
      </c>
      <c r="AO777" s="57">
        <f t="shared" si="401"/>
        <v>9617.4610649424376</v>
      </c>
      <c r="AP777" s="57">
        <f t="shared" si="402"/>
        <v>20910.080652050412</v>
      </c>
      <c r="AR777" s="41">
        <v>772</v>
      </c>
      <c r="AS777" s="57">
        <f t="shared" si="403"/>
        <v>17154.815163639803</v>
      </c>
      <c r="AT777" s="57">
        <f t="shared" si="404"/>
        <v>-2241.9623623764733</v>
      </c>
      <c r="AV777" s="57">
        <f t="shared" si="405"/>
        <v>-3.1326800535810539</v>
      </c>
      <c r="AW777" s="57">
        <f t="shared" si="406"/>
        <v>-5.3374672383920165</v>
      </c>
      <c r="AX777" s="57">
        <f t="shared" si="407"/>
        <v>-0.28629118424412681</v>
      </c>
      <c r="AY777" s="57">
        <f t="shared" si="408"/>
        <v>-0.52851681950214857</v>
      </c>
      <c r="BA777" s="57">
        <f t="shared" si="409"/>
        <v>534039.38352918264</v>
      </c>
      <c r="BB777" s="57">
        <f t="shared" si="410"/>
        <v>546547.80906113877</v>
      </c>
    </row>
    <row r="778" spans="9:54" x14ac:dyDescent="0.25">
      <c r="I778" s="41">
        <v>773</v>
      </c>
      <c r="J778" s="57">
        <f t="shared" si="384"/>
        <v>23009.075115760246</v>
      </c>
      <c r="K778" s="57">
        <f t="shared" si="385"/>
        <v>11493.177550236462</v>
      </c>
      <c r="M778" s="41">
        <v>773</v>
      </c>
      <c r="N778" s="57">
        <f t="shared" si="386"/>
        <v>-17893.647418967827</v>
      </c>
      <c r="O778" s="57">
        <f t="shared" si="387"/>
        <v>12795.224285165523</v>
      </c>
      <c r="Q778" s="41">
        <v>773</v>
      </c>
      <c r="R778" s="57">
        <f t="shared" si="388"/>
        <v>-1990.9248842397537</v>
      </c>
      <c r="S778" s="41">
        <f t="shared" si="389"/>
        <v>-11006.822449763538</v>
      </c>
      <c r="U778" s="41">
        <v>772</v>
      </c>
      <c r="V778" s="41">
        <f t="shared" si="411"/>
        <v>386</v>
      </c>
      <c r="W778" s="57">
        <f t="shared" si="412"/>
        <v>275670.17526048532</v>
      </c>
      <c r="X778" s="57">
        <f t="shared" si="413"/>
        <v>475984.10857609176</v>
      </c>
      <c r="Y778" s="57">
        <f t="shared" si="414"/>
        <v>700.16610203473601</v>
      </c>
      <c r="Z778" s="57">
        <f t="shared" si="415"/>
        <v>824.23119262125851</v>
      </c>
      <c r="AA778" s="57">
        <f t="shared" si="390"/>
        <v>-5.4212316480895817</v>
      </c>
      <c r="AB778" s="57">
        <f t="shared" si="391"/>
        <v>-9.3847611109461369</v>
      </c>
      <c r="AC778" s="57">
        <f t="shared" si="392"/>
        <v>-0.88011221445150589</v>
      </c>
      <c r="AD778" s="57">
        <f t="shared" si="393"/>
        <v>-1.6126972409439619</v>
      </c>
      <c r="AE778" s="57">
        <f t="shared" si="394"/>
        <v>-0.31585066656017236</v>
      </c>
      <c r="AF778" s="57">
        <f t="shared" si="395"/>
        <v>-0.49778910291015838</v>
      </c>
      <c r="AG778" s="57">
        <f t="shared" si="396"/>
        <v>-0.81206305359091435</v>
      </c>
      <c r="AH778" s="57">
        <f t="shared" si="397"/>
        <v>-1.420564383461399</v>
      </c>
      <c r="AJ778" s="57">
        <f t="shared" si="398"/>
        <v>533708.34592131176</v>
      </c>
      <c r="AK778" s="57">
        <f t="shared" si="399"/>
        <v>551871.39986053004</v>
      </c>
      <c r="AL778" s="57">
        <f t="shared" si="400"/>
        <v>565544.99569442833</v>
      </c>
      <c r="AN778" s="41">
        <v>773</v>
      </c>
      <c r="AO778" s="57">
        <f t="shared" si="401"/>
        <v>9513.6126736403694</v>
      </c>
      <c r="AP778" s="57">
        <f t="shared" si="402"/>
        <v>20989.766325354693</v>
      </c>
      <c r="AR778" s="41">
        <v>773</v>
      </c>
      <c r="AS778" s="57">
        <f t="shared" si="403"/>
        <v>17106.352581032173</v>
      </c>
      <c r="AT778" s="57">
        <f t="shared" si="404"/>
        <v>-2204.7757148344776</v>
      </c>
      <c r="AV778" s="57">
        <f t="shared" si="405"/>
        <v>-3.1273617632217974</v>
      </c>
      <c r="AW778" s="57">
        <f t="shared" si="406"/>
        <v>-5.3262760598811383</v>
      </c>
      <c r="AX778" s="57">
        <f t="shared" si="407"/>
        <v>-0.28584395026519194</v>
      </c>
      <c r="AY778" s="57">
        <f t="shared" si="408"/>
        <v>-0.5274343237494783</v>
      </c>
      <c r="BA778" s="57">
        <f t="shared" si="409"/>
        <v>534573.37394901726</v>
      </c>
      <c r="BB778" s="57">
        <f t="shared" si="410"/>
        <v>547078.28779167403</v>
      </c>
    </row>
    <row r="779" spans="9:54" x14ac:dyDescent="0.25">
      <c r="I779" s="41">
        <v>774</v>
      </c>
      <c r="J779" s="57">
        <f t="shared" si="384"/>
        <v>22938.926261462362</v>
      </c>
      <c r="K779" s="57">
        <f t="shared" si="385"/>
        <v>11545.084971874741</v>
      </c>
      <c r="M779" s="41">
        <v>774</v>
      </c>
      <c r="N779" s="57">
        <f t="shared" si="386"/>
        <v>-17942.751616976348</v>
      </c>
      <c r="O779" s="57">
        <f t="shared" si="387"/>
        <v>12831.559480312319</v>
      </c>
      <c r="Q779" s="41">
        <v>774</v>
      </c>
      <c r="R779" s="57">
        <f t="shared" si="388"/>
        <v>-2061.0737385376392</v>
      </c>
      <c r="S779" s="41">
        <f t="shared" si="389"/>
        <v>-10954.915028125259</v>
      </c>
      <c r="U779" s="41">
        <v>773</v>
      </c>
      <c r="V779" s="41">
        <f t="shared" si="411"/>
        <v>386.5</v>
      </c>
      <c r="W779" s="57">
        <f t="shared" si="412"/>
        <v>276019.5806575467</v>
      </c>
      <c r="X779" s="57">
        <f t="shared" si="413"/>
        <v>476395.05107726355</v>
      </c>
      <c r="Y779" s="57">
        <f t="shared" si="414"/>
        <v>697.45548621069122</v>
      </c>
      <c r="Z779" s="57">
        <f t="shared" si="415"/>
        <v>819.53881206578546</v>
      </c>
      <c r="AA779" s="57">
        <f t="shared" si="390"/>
        <v>-5.4122932495149501</v>
      </c>
      <c r="AB779" s="57">
        <f t="shared" si="391"/>
        <v>-9.3654128113401605</v>
      </c>
      <c r="AC779" s="57">
        <f t="shared" si="392"/>
        <v>-0.8787048527084016</v>
      </c>
      <c r="AD779" s="57">
        <f t="shared" si="393"/>
        <v>-1.6093314258789688</v>
      </c>
      <c r="AE779" s="57">
        <f t="shared" si="394"/>
        <v>-0.31530756455900155</v>
      </c>
      <c r="AF779" s="57">
        <f t="shared" si="395"/>
        <v>-0.49678432538443645</v>
      </c>
      <c r="AG779" s="57">
        <f t="shared" si="396"/>
        <v>-0.81079230326976359</v>
      </c>
      <c r="AH779" s="57">
        <f t="shared" si="397"/>
        <v>-1.4177635748585626</v>
      </c>
      <c r="AJ779" s="57">
        <f t="shared" si="398"/>
        <v>534236.45944919903</v>
      </c>
      <c r="AK779" s="57">
        <f t="shared" si="399"/>
        <v>552405.58994459233</v>
      </c>
      <c r="AL779" s="57">
        <f t="shared" si="400"/>
        <v>566075.17251348321</v>
      </c>
      <c r="AN779" s="41">
        <v>774</v>
      </c>
      <c r="AO779" s="57">
        <f t="shared" si="401"/>
        <v>9408.3893921935414</v>
      </c>
      <c r="AP779" s="57">
        <f t="shared" si="402"/>
        <v>21067.627457812112</v>
      </c>
      <c r="AR779" s="41">
        <v>774</v>
      </c>
      <c r="AS779" s="57">
        <f t="shared" si="403"/>
        <v>17057.248383023652</v>
      </c>
      <c r="AT779" s="57">
        <f t="shared" si="404"/>
        <v>-2168.4405196876814</v>
      </c>
      <c r="AV779" s="57">
        <f t="shared" si="405"/>
        <v>-3.1220881064527704</v>
      </c>
      <c r="AW779" s="57">
        <f t="shared" si="406"/>
        <v>-5.3151731614723872</v>
      </c>
      <c r="AX779" s="57">
        <f t="shared" si="407"/>
        <v>-0.2854004225250123</v>
      </c>
      <c r="AY779" s="57">
        <f t="shared" si="408"/>
        <v>-0.52636032374580632</v>
      </c>
      <c r="BA779" s="57">
        <f t="shared" si="409"/>
        <v>535104.66850737075</v>
      </c>
      <c r="BB779" s="57">
        <f t="shared" si="410"/>
        <v>547606.07802353939</v>
      </c>
    </row>
    <row r="780" spans="9:54" x14ac:dyDescent="0.25">
      <c r="I780" s="41">
        <v>775</v>
      </c>
      <c r="J780" s="57">
        <f t="shared" si="384"/>
        <v>22867.882181755231</v>
      </c>
      <c r="K780" s="57">
        <f t="shared" si="385"/>
        <v>11595.76022144496</v>
      </c>
      <c r="M780" s="41">
        <v>775</v>
      </c>
      <c r="N780" s="57">
        <f t="shared" si="386"/>
        <v>-17992.482472771339</v>
      </c>
      <c r="O780" s="57">
        <f t="shared" si="387"/>
        <v>12867.032155011471</v>
      </c>
      <c r="Q780" s="41">
        <v>775</v>
      </c>
      <c r="R780" s="57">
        <f t="shared" si="388"/>
        <v>-2132.1178182447702</v>
      </c>
      <c r="S780" s="41">
        <f t="shared" si="389"/>
        <v>-10904.23977855504</v>
      </c>
      <c r="U780" s="41">
        <v>774</v>
      </c>
      <c r="V780" s="41">
        <f t="shared" si="411"/>
        <v>387</v>
      </c>
      <c r="W780" s="57">
        <f t="shared" si="412"/>
        <v>276367.6318639958</v>
      </c>
      <c r="X780" s="57">
        <f t="shared" si="413"/>
        <v>476803.649806695</v>
      </c>
      <c r="Y780" s="57">
        <f t="shared" si="414"/>
        <v>694.74933958593374</v>
      </c>
      <c r="Z780" s="57">
        <f t="shared" si="415"/>
        <v>814.85610566011542</v>
      </c>
      <c r="AA780" s="57">
        <f t="shared" si="390"/>
        <v>-5.4034296049777311</v>
      </c>
      <c r="AB780" s="57">
        <f t="shared" si="391"/>
        <v>-9.346216556826489</v>
      </c>
      <c r="AC780" s="57">
        <f t="shared" si="392"/>
        <v>-0.87730924534823262</v>
      </c>
      <c r="AD780" s="57">
        <f t="shared" si="393"/>
        <v>-1.6059922536145455</v>
      </c>
      <c r="AE780" s="57">
        <f t="shared" si="394"/>
        <v>-0.31476900293038074</v>
      </c>
      <c r="AF780" s="57">
        <f t="shared" si="395"/>
        <v>-0.4957873384815018</v>
      </c>
      <c r="AG780" s="57">
        <f t="shared" si="396"/>
        <v>-0.80953204599931561</v>
      </c>
      <c r="AH780" s="57">
        <f t="shared" si="397"/>
        <v>-1.4149844181451139</v>
      </c>
      <c r="AJ780" s="57">
        <f t="shared" si="398"/>
        <v>534761.88943251956</v>
      </c>
      <c r="AK780" s="57">
        <f t="shared" si="399"/>
        <v>552937.08565217839</v>
      </c>
      <c r="AL780" s="57">
        <f t="shared" si="400"/>
        <v>566602.65991604677</v>
      </c>
      <c r="AN780" s="41">
        <v>775</v>
      </c>
      <c r="AO780" s="57">
        <f t="shared" si="401"/>
        <v>9301.8232726328442</v>
      </c>
      <c r="AP780" s="57">
        <f t="shared" si="402"/>
        <v>21143.640332167441</v>
      </c>
      <c r="AR780" s="41">
        <v>775</v>
      </c>
      <c r="AS780" s="57">
        <f t="shared" si="403"/>
        <v>17007.517527228661</v>
      </c>
      <c r="AT780" s="57">
        <f t="shared" si="404"/>
        <v>-2132.9678449885282</v>
      </c>
      <c r="AV780" s="57">
        <f t="shared" si="405"/>
        <v>-3.1168587368224898</v>
      </c>
      <c r="AW780" s="57">
        <f t="shared" si="406"/>
        <v>-5.3041577977063179</v>
      </c>
      <c r="AX780" s="57">
        <f t="shared" si="407"/>
        <v>-0.28496057387731216</v>
      </c>
      <c r="AY780" s="57">
        <f t="shared" si="408"/>
        <v>-0.52529474887901051</v>
      </c>
      <c r="BA780" s="57">
        <f t="shared" si="409"/>
        <v>535633.272489917</v>
      </c>
      <c r="BB780" s="57">
        <f t="shared" si="410"/>
        <v>548131.18498516909</v>
      </c>
    </row>
    <row r="781" spans="9:54" x14ac:dyDescent="0.25">
      <c r="I781" s="41">
        <v>776</v>
      </c>
      <c r="J781" s="57">
        <f t="shared" si="384"/>
        <v>22795.964517353739</v>
      </c>
      <c r="K781" s="57">
        <f t="shared" si="385"/>
        <v>11645.187862775205</v>
      </c>
      <c r="M781" s="41">
        <v>776</v>
      </c>
      <c r="N781" s="57">
        <f t="shared" si="386"/>
        <v>-18042.824837852382</v>
      </c>
      <c r="O781" s="57">
        <f t="shared" si="387"/>
        <v>12901.631503942644</v>
      </c>
      <c r="Q781" s="41">
        <v>776</v>
      </c>
      <c r="R781" s="57">
        <f t="shared" si="388"/>
        <v>-2204.0354826462622</v>
      </c>
      <c r="S781" s="41">
        <f t="shared" si="389"/>
        <v>-10854.812137224795</v>
      </c>
      <c r="U781" s="41">
        <v>775</v>
      </c>
      <c r="V781" s="41">
        <f t="shared" si="411"/>
        <v>387.5</v>
      </c>
      <c r="W781" s="57">
        <f t="shared" si="412"/>
        <v>276714.33110508812</v>
      </c>
      <c r="X781" s="57">
        <f t="shared" si="413"/>
        <v>477209.90958245547</v>
      </c>
      <c r="Y781" s="57">
        <f t="shared" si="414"/>
        <v>692.04762478344492</v>
      </c>
      <c r="Z781" s="57">
        <f t="shared" si="415"/>
        <v>810.18299738170219</v>
      </c>
      <c r="AA781" s="57">
        <f t="shared" si="390"/>
        <v>-5.3946401453434225</v>
      </c>
      <c r="AB781" s="57">
        <f t="shared" si="391"/>
        <v>-9.3271710776934231</v>
      </c>
      <c r="AC781" s="57">
        <f t="shared" si="392"/>
        <v>-0.87592530503149435</v>
      </c>
      <c r="AD781" s="57">
        <f t="shared" si="393"/>
        <v>-1.6026795000350227</v>
      </c>
      <c r="AE781" s="57">
        <f t="shared" si="394"/>
        <v>-0.31423494611465996</v>
      </c>
      <c r="AF781" s="57">
        <f t="shared" si="395"/>
        <v>-0.49479807805400761</v>
      </c>
      <c r="AG781" s="57">
        <f t="shared" si="396"/>
        <v>-0.80828220449451083</v>
      </c>
      <c r="AH781" s="57">
        <f t="shared" si="397"/>
        <v>-1.4122267377407318</v>
      </c>
      <c r="AJ781" s="57">
        <f t="shared" si="398"/>
        <v>535284.64105996105</v>
      </c>
      <c r="AK781" s="57">
        <f t="shared" si="399"/>
        <v>553465.89226002537</v>
      </c>
      <c r="AL781" s="57">
        <f t="shared" si="400"/>
        <v>567127.46313430823</v>
      </c>
      <c r="AN781" s="41">
        <v>776</v>
      </c>
      <c r="AO781" s="57">
        <f t="shared" si="401"/>
        <v>9193.946776030607</v>
      </c>
      <c r="AP781" s="57">
        <f t="shared" si="402"/>
        <v>21217.781794162809</v>
      </c>
      <c r="AR781" s="41">
        <v>776</v>
      </c>
      <c r="AS781" s="57">
        <f t="shared" si="403"/>
        <v>16957.175162147618</v>
      </c>
      <c r="AT781" s="57">
        <f t="shared" si="404"/>
        <v>-2098.368496057356</v>
      </c>
      <c r="AV781" s="57">
        <f t="shared" si="405"/>
        <v>-3.1116733121984206</v>
      </c>
      <c r="AW781" s="57">
        <f t="shared" si="406"/>
        <v>-5.2932292324511812</v>
      </c>
      <c r="AX781" s="57">
        <f t="shared" si="407"/>
        <v>-0.28452437750433746</v>
      </c>
      <c r="AY781" s="57">
        <f t="shared" si="408"/>
        <v>-0.52423752941247936</v>
      </c>
      <c r="BA781" s="57">
        <f t="shared" si="409"/>
        <v>536159.19114019407</v>
      </c>
      <c r="BB781" s="57">
        <f t="shared" si="410"/>
        <v>548653.61386334058</v>
      </c>
    </row>
    <row r="782" spans="9:54" x14ac:dyDescent="0.25">
      <c r="I782" s="41">
        <v>777</v>
      </c>
      <c r="J782" s="57">
        <f t="shared" si="384"/>
        <v>22723.195175075143</v>
      </c>
      <c r="K782" s="57">
        <f t="shared" si="385"/>
        <v>11693.352839727115</v>
      </c>
      <c r="M782" s="41">
        <v>777</v>
      </c>
      <c r="N782" s="57">
        <f t="shared" si="386"/>
        <v>-18093.763377447398</v>
      </c>
      <c r="O782" s="57">
        <f t="shared" si="387"/>
        <v>12935.34698780898</v>
      </c>
      <c r="Q782" s="41">
        <v>777</v>
      </c>
      <c r="R782" s="57">
        <f t="shared" si="388"/>
        <v>-2276.8048249248563</v>
      </c>
      <c r="S782" s="41">
        <f t="shared" si="389"/>
        <v>-10806.647160272885</v>
      </c>
      <c r="U782" s="41">
        <v>776</v>
      </c>
      <c r="V782" s="41">
        <f t="shared" si="411"/>
        <v>388</v>
      </c>
      <c r="W782" s="57">
        <f t="shared" si="412"/>
        <v>277059.68058746168</v>
      </c>
      <c r="X782" s="57">
        <f t="shared" si="413"/>
        <v>477613.83518476161</v>
      </c>
      <c r="Y782" s="57">
        <f t="shared" si="414"/>
        <v>689.35030471077323</v>
      </c>
      <c r="Z782" s="57">
        <f t="shared" si="415"/>
        <v>805.51941184285545</v>
      </c>
      <c r="AA782" s="57">
        <f t="shared" si="390"/>
        <v>-5.3859243085076534</v>
      </c>
      <c r="AB782" s="57">
        <f t="shared" si="391"/>
        <v>-9.3082751200156313</v>
      </c>
      <c r="AC782" s="57">
        <f t="shared" si="392"/>
        <v>-0.8745529454852583</v>
      </c>
      <c r="AD782" s="57">
        <f t="shared" si="393"/>
        <v>-1.5993929438277619</v>
      </c>
      <c r="AE782" s="57">
        <f t="shared" si="394"/>
        <v>-0.31370535899624086</v>
      </c>
      <c r="AF782" s="57">
        <f t="shared" si="395"/>
        <v>-0.49381648074267903</v>
      </c>
      <c r="AG782" s="57">
        <f t="shared" si="396"/>
        <v>-0.80704270240743725</v>
      </c>
      <c r="AH782" s="57">
        <f t="shared" si="397"/>
        <v>-1.409490360205969</v>
      </c>
      <c r="AJ782" s="57">
        <f t="shared" si="398"/>
        <v>535804.719478891</v>
      </c>
      <c r="AK782" s="57">
        <f t="shared" si="399"/>
        <v>553992.01500285743</v>
      </c>
      <c r="AL782" s="57">
        <f t="shared" si="400"/>
        <v>567649.58735873352</v>
      </c>
      <c r="AN782" s="41">
        <v>777</v>
      </c>
      <c r="AO782" s="57">
        <f t="shared" si="401"/>
        <v>9084.7927626127166</v>
      </c>
      <c r="AP782" s="57">
        <f t="shared" si="402"/>
        <v>21290.029259590672</v>
      </c>
      <c r="AR782" s="41">
        <v>777</v>
      </c>
      <c r="AS782" s="57">
        <f t="shared" si="403"/>
        <v>16906.236622552602</v>
      </c>
      <c r="AT782" s="57">
        <f t="shared" si="404"/>
        <v>-2064.6530121910196</v>
      </c>
      <c r="AV782" s="57">
        <f t="shared" si="405"/>
        <v>-3.1065314947062559</v>
      </c>
      <c r="AW782" s="57">
        <f t="shared" si="406"/>
        <v>-5.2823867387666965</v>
      </c>
      <c r="AX782" s="57">
        <f t="shared" si="407"/>
        <v>-0.28409180691246155</v>
      </c>
      <c r="AY782" s="57">
        <f t="shared" si="408"/>
        <v>-0.52318859647252325</v>
      </c>
      <c r="BA782" s="57">
        <f t="shared" si="409"/>
        <v>536682.42965994834</v>
      </c>
      <c r="BB782" s="57">
        <f t="shared" si="410"/>
        <v>549173.36980351363</v>
      </c>
    </row>
    <row r="783" spans="9:54" x14ac:dyDescent="0.25">
      <c r="I783" s="41">
        <v>778</v>
      </c>
      <c r="J783" s="57">
        <f t="shared" si="384"/>
        <v>22649.596321166024</v>
      </c>
      <c r="K783" s="57">
        <f t="shared" si="385"/>
        <v>11740.240480782131</v>
      </c>
      <c r="M783" s="41">
        <v>778</v>
      </c>
      <c r="N783" s="57">
        <f t="shared" si="386"/>
        <v>-18145.282575183785</v>
      </c>
      <c r="O783" s="57">
        <f t="shared" si="387"/>
        <v>12968.168336547491</v>
      </c>
      <c r="Q783" s="41">
        <v>778</v>
      </c>
      <c r="R783" s="57">
        <f t="shared" si="388"/>
        <v>-2350.4036788339772</v>
      </c>
      <c r="S783" s="41">
        <f t="shared" si="389"/>
        <v>-10759.759519217869</v>
      </c>
      <c r="U783" s="41">
        <v>777</v>
      </c>
      <c r="V783" s="41">
        <f t="shared" si="411"/>
        <v>388.5</v>
      </c>
      <c r="W783" s="57">
        <f t="shared" si="412"/>
        <v>277403.68249927851</v>
      </c>
      <c r="X783" s="57">
        <f t="shared" si="413"/>
        <v>478015.43135629303</v>
      </c>
      <c r="Y783" s="57">
        <f t="shared" si="414"/>
        <v>686.65734255651944</v>
      </c>
      <c r="Z783" s="57">
        <f t="shared" si="415"/>
        <v>800.86527428284762</v>
      </c>
      <c r="AA783" s="57">
        <f t="shared" si="390"/>
        <v>-5.377281539298723</v>
      </c>
      <c r="AB783" s="57">
        <f t="shared" si="391"/>
        <v>-9.289527445425513</v>
      </c>
      <c r="AC783" s="57">
        <f t="shared" si="392"/>
        <v>-0.87319208148864824</v>
      </c>
      <c r="AD783" s="57">
        <f t="shared" si="393"/>
        <v>-1.59613236644228</v>
      </c>
      <c r="AE783" s="57">
        <f t="shared" si="394"/>
        <v>-0.31318020689729781</v>
      </c>
      <c r="AF783" s="57">
        <f t="shared" si="395"/>
        <v>-0.49284248396503133</v>
      </c>
      <c r="AG783" s="57">
        <f t="shared" si="396"/>
        <v>-0.80581346431465528</v>
      </c>
      <c r="AH783" s="57">
        <f t="shared" si="397"/>
        <v>-1.4067751142119529</v>
      </c>
      <c r="AJ783" s="57">
        <f t="shared" si="398"/>
        <v>536322.12979569274</v>
      </c>
      <c r="AK783" s="57">
        <f t="shared" si="399"/>
        <v>554515.45907372923</v>
      </c>
      <c r="AL783" s="57">
        <f t="shared" si="400"/>
        <v>568169.03773840494</v>
      </c>
      <c r="AN783" s="41">
        <v>778</v>
      </c>
      <c r="AO783" s="57">
        <f t="shared" si="401"/>
        <v>8974.3944817490337</v>
      </c>
      <c r="AP783" s="57">
        <f t="shared" si="402"/>
        <v>21360.360721173194</v>
      </c>
      <c r="AR783" s="41">
        <v>778</v>
      </c>
      <c r="AS783" s="57">
        <f t="shared" si="403"/>
        <v>16854.717424816215</v>
      </c>
      <c r="AT783" s="57">
        <f t="shared" si="404"/>
        <v>-2031.8316634525086</v>
      </c>
      <c r="AV783" s="57">
        <f t="shared" si="405"/>
        <v>-3.1014329506703007</v>
      </c>
      <c r="AW783" s="57">
        <f t="shared" si="406"/>
        <v>-5.271629598770323</v>
      </c>
      <c r="AX783" s="57">
        <f t="shared" si="407"/>
        <v>-0.28366283592782099</v>
      </c>
      <c r="AY783" s="57">
        <f t="shared" si="408"/>
        <v>-0.52214788203592588</v>
      </c>
      <c r="BA783" s="57">
        <f t="shared" si="409"/>
        <v>537202.9932094774</v>
      </c>
      <c r="BB783" s="57">
        <f t="shared" si="410"/>
        <v>549690.45791016601</v>
      </c>
    </row>
    <row r="784" spans="9:54" x14ac:dyDescent="0.25">
      <c r="I784" s="41">
        <v>779</v>
      </c>
      <c r="J784" s="57">
        <f t="shared" si="384"/>
        <v>22575.190374550275</v>
      </c>
      <c r="K784" s="57">
        <f t="shared" si="385"/>
        <v>11785.83650351056</v>
      </c>
      <c r="M784" s="41">
        <v>779</v>
      </c>
      <c r="N784" s="57">
        <f t="shared" si="386"/>
        <v>-18197.366737814809</v>
      </c>
      <c r="O784" s="57">
        <f t="shared" si="387"/>
        <v>13000.085552457393</v>
      </c>
      <c r="Q784" s="41">
        <v>779</v>
      </c>
      <c r="R784" s="57">
        <f t="shared" si="388"/>
        <v>-2424.8096254497264</v>
      </c>
      <c r="S784" s="41">
        <f t="shared" si="389"/>
        <v>-10714.16349648944</v>
      </c>
      <c r="U784" s="41">
        <v>778</v>
      </c>
      <c r="V784" s="41">
        <f t="shared" si="411"/>
        <v>389</v>
      </c>
      <c r="W784" s="57">
        <f t="shared" si="412"/>
        <v>277746.33901036438</v>
      </c>
      <c r="X784" s="57">
        <f t="shared" si="413"/>
        <v>478414.70280250377</v>
      </c>
      <c r="Y784" s="57">
        <f t="shared" si="414"/>
        <v>683.96870178687004</v>
      </c>
      <c r="Z784" s="57">
        <f t="shared" si="415"/>
        <v>796.22051056013481</v>
      </c>
      <c r="AA784" s="57">
        <f t="shared" si="390"/>
        <v>-5.3687112893819453</v>
      </c>
      <c r="AB784" s="57">
        <f t="shared" si="391"/>
        <v>-9.2709268308888024</v>
      </c>
      <c r="AC784" s="57">
        <f t="shared" si="392"/>
        <v>-0.87184262885862329</v>
      </c>
      <c r="AD784" s="57">
        <f t="shared" si="393"/>
        <v>-1.5928975520502069</v>
      </c>
      <c r="AE784" s="57">
        <f t="shared" si="394"/>
        <v>-0.31265945557160663</v>
      </c>
      <c r="AF784" s="57">
        <f t="shared" si="395"/>
        <v>-0.49187602590428076</v>
      </c>
      <c r="AG784" s="57">
        <f t="shared" si="396"/>
        <v>-0.80459441570474333</v>
      </c>
      <c r="AH784" s="57">
        <f t="shared" si="397"/>
        <v>-1.4040808305106214</v>
      </c>
      <c r="AJ784" s="57">
        <f t="shared" si="398"/>
        <v>536836.87707609672</v>
      </c>
      <c r="AK784" s="57">
        <f t="shared" si="399"/>
        <v>555036.22962436674</v>
      </c>
      <c r="AL784" s="57">
        <f t="shared" si="400"/>
        <v>568685.81938135845</v>
      </c>
      <c r="AN784" s="41">
        <v>779</v>
      </c>
      <c r="AO784" s="57">
        <f t="shared" si="401"/>
        <v>8862.7855618254107</v>
      </c>
      <c r="AP784" s="57">
        <f t="shared" si="402"/>
        <v>21428.75475526584</v>
      </c>
      <c r="AR784" s="41">
        <v>779</v>
      </c>
      <c r="AS784" s="57">
        <f t="shared" si="403"/>
        <v>16802.633262185191</v>
      </c>
      <c r="AT784" s="57">
        <f t="shared" si="404"/>
        <v>-1999.9144475426078</v>
      </c>
      <c r="AV784" s="57">
        <f t="shared" si="405"/>
        <v>-3.0963773505549086</v>
      </c>
      <c r="AW784" s="57">
        <f t="shared" si="406"/>
        <v>-5.2609571035059082</v>
      </c>
      <c r="AX784" s="57">
        <f t="shared" si="407"/>
        <v>-0.28323743869206336</v>
      </c>
      <c r="AY784" s="57">
        <f t="shared" si="408"/>
        <v>-0.52111531891778384</v>
      </c>
      <c r="BA784" s="57">
        <f t="shared" si="409"/>
        <v>537720.88690796588</v>
      </c>
      <c r="BB784" s="57">
        <f t="shared" si="410"/>
        <v>550204.88324712496</v>
      </c>
    </row>
    <row r="785" spans="9:54" x14ac:dyDescent="0.25">
      <c r="I785" s="41">
        <v>780</v>
      </c>
      <c r="J785" s="57">
        <f t="shared" si="384"/>
        <v>22500.000000000007</v>
      </c>
      <c r="K785" s="57">
        <f t="shared" si="385"/>
        <v>11830.127018922189</v>
      </c>
      <c r="M785" s="41">
        <v>780</v>
      </c>
      <c r="N785" s="57">
        <f t="shared" si="386"/>
        <v>-18249.999999999996</v>
      </c>
      <c r="O785" s="57">
        <f t="shared" si="387"/>
        <v>13031.088913245532</v>
      </c>
      <c r="Q785" s="41">
        <v>780</v>
      </c>
      <c r="R785" s="57">
        <f t="shared" si="388"/>
        <v>-2499.9999999999927</v>
      </c>
      <c r="S785" s="41">
        <f t="shared" si="389"/>
        <v>-10669.872981077811</v>
      </c>
      <c r="U785" s="41">
        <v>779</v>
      </c>
      <c r="V785" s="41">
        <f t="shared" si="411"/>
        <v>389.5</v>
      </c>
      <c r="W785" s="57">
        <f t="shared" si="412"/>
        <v>278087.6522723466</v>
      </c>
      <c r="X785" s="57">
        <f t="shared" si="413"/>
        <v>478811.65419192996</v>
      </c>
      <c r="Y785" s="57">
        <f t="shared" si="414"/>
        <v>681.28434614217906</v>
      </c>
      <c r="Z785" s="57">
        <f t="shared" si="415"/>
        <v>791.58504714469041</v>
      </c>
      <c r="AA785" s="57">
        <f t="shared" si="390"/>
        <v>-5.3602130171653082</v>
      </c>
      <c r="AB785" s="57">
        <f t="shared" si="391"/>
        <v>-9.2524720684835291</v>
      </c>
      <c r="AC785" s="57">
        <f t="shared" si="392"/>
        <v>-0.87050450443594063</v>
      </c>
      <c r="AD785" s="57">
        <f t="shared" si="393"/>
        <v>-1.5896882875058402</v>
      </c>
      <c r="AE785" s="57">
        <f t="shared" si="394"/>
        <v>-0.31214307119848456</v>
      </c>
      <c r="AF785" s="57">
        <f t="shared" si="395"/>
        <v>-0.490917045498454</v>
      </c>
      <c r="AG785" s="57">
        <f t="shared" si="396"/>
        <v>-0.80338548296601253</v>
      </c>
      <c r="AH785" s="57">
        <f t="shared" si="397"/>
        <v>-1.4014073419053994</v>
      </c>
      <c r="AJ785" s="57">
        <f t="shared" si="398"/>
        <v>537348.9663455073</v>
      </c>
      <c r="AK785" s="57">
        <f t="shared" si="399"/>
        <v>555554.33176550176</v>
      </c>
      <c r="AL785" s="57">
        <f t="shared" si="400"/>
        <v>569199.93735491508</v>
      </c>
      <c r="AN785" s="41">
        <v>780</v>
      </c>
      <c r="AO785" s="57">
        <f t="shared" si="401"/>
        <v>8750.0000000000109</v>
      </c>
      <c r="AP785" s="57">
        <f t="shared" si="402"/>
        <v>21495.190528383282</v>
      </c>
      <c r="AR785" s="41">
        <v>780</v>
      </c>
      <c r="AS785" s="57">
        <f t="shared" si="403"/>
        <v>16750.000000000004</v>
      </c>
      <c r="AT785" s="57">
        <f t="shared" si="404"/>
        <v>-1968.9110867544678</v>
      </c>
      <c r="AV785" s="57">
        <f t="shared" si="405"/>
        <v>-3.0913643689067305</v>
      </c>
      <c r="AW785" s="57">
        <f t="shared" si="406"/>
        <v>-5.2503685528143267</v>
      </c>
      <c r="AX785" s="57">
        <f t="shared" si="407"/>
        <v>-0.28281558965813924</v>
      </c>
      <c r="AY785" s="57">
        <f t="shared" si="408"/>
        <v>-0.52009084075951029</v>
      </c>
      <c r="BA785" s="57">
        <f t="shared" si="409"/>
        <v>538236.11583381926</v>
      </c>
      <c r="BB785" s="57">
        <f t="shared" si="410"/>
        <v>550716.65083789395</v>
      </c>
    </row>
    <row r="786" spans="9:54" x14ac:dyDescent="0.25">
      <c r="I786" s="41">
        <v>781</v>
      </c>
      <c r="J786" s="57">
        <f t="shared" si="384"/>
        <v>22424.048101231681</v>
      </c>
      <c r="K786" s="57">
        <f t="shared" si="385"/>
        <v>11873.098535696981</v>
      </c>
      <c r="M786" s="41">
        <v>781</v>
      </c>
      <c r="N786" s="57">
        <f t="shared" si="386"/>
        <v>-18303.166329137821</v>
      </c>
      <c r="O786" s="57">
        <f t="shared" si="387"/>
        <v>13061.168974987886</v>
      </c>
      <c r="Q786" s="41">
        <v>781</v>
      </c>
      <c r="R786" s="57">
        <f t="shared" si="388"/>
        <v>-2575.9518987683182</v>
      </c>
      <c r="S786" s="41">
        <f t="shared" si="389"/>
        <v>-10626.901464303019</v>
      </c>
      <c r="U786" s="41">
        <v>780</v>
      </c>
      <c r="V786" s="41">
        <f t="shared" si="411"/>
        <v>390</v>
      </c>
      <c r="W786" s="57">
        <f t="shared" si="412"/>
        <v>278427.62441879057</v>
      </c>
      <c r="X786" s="57">
        <f t="shared" si="413"/>
        <v>479206.29015649372</v>
      </c>
      <c r="Y786" s="57">
        <f t="shared" si="414"/>
        <v>678.60423963359642</v>
      </c>
      <c r="Z786" s="57">
        <f t="shared" si="415"/>
        <v>786.95881111044866</v>
      </c>
      <c r="AA786" s="57">
        <f t="shared" si="390"/>
        <v>-5.3517861877072077</v>
      </c>
      <c r="AB786" s="57">
        <f t="shared" si="391"/>
        <v>-9.2341619651836737</v>
      </c>
      <c r="AC786" s="57">
        <f t="shared" si="392"/>
        <v>-0.86917762607145543</v>
      </c>
      <c r="AD786" s="57">
        <f t="shared" si="393"/>
        <v>-1.586504362307573</v>
      </c>
      <c r="AE786" s="57">
        <f t="shared" si="394"/>
        <v>-0.31163102037683182</v>
      </c>
      <c r="AF786" s="57">
        <f t="shared" si="395"/>
        <v>-0.48996548242967963</v>
      </c>
      <c r="AG786" s="57">
        <f t="shared" si="396"/>
        <v>-0.80218659337447074</v>
      </c>
      <c r="AH786" s="57">
        <f t="shared" si="397"/>
        <v>-1.398754483222453</v>
      </c>
      <c r="AJ786" s="57">
        <f t="shared" si="398"/>
        <v>537858.40258932626</v>
      </c>
      <c r="AK786" s="57">
        <f t="shared" si="399"/>
        <v>556069.77056720364</v>
      </c>
      <c r="AL786" s="57">
        <f t="shared" si="400"/>
        <v>569711.39668600936</v>
      </c>
      <c r="AN786" s="41">
        <v>781</v>
      </c>
      <c r="AO786" s="57">
        <f t="shared" si="401"/>
        <v>8636.072151847522</v>
      </c>
      <c r="AP786" s="57">
        <f t="shared" si="402"/>
        <v>21559.647803545471</v>
      </c>
      <c r="AR786" s="41">
        <v>781</v>
      </c>
      <c r="AS786" s="57">
        <f t="shared" si="403"/>
        <v>16696.833670862179</v>
      </c>
      <c r="AT786" s="57">
        <f t="shared" si="404"/>
        <v>-1938.8310250121135</v>
      </c>
      <c r="AV786" s="57">
        <f t="shared" si="405"/>
        <v>-3.086393684298272</v>
      </c>
      <c r="AW786" s="57">
        <f t="shared" si="406"/>
        <v>-5.2398632552068989</v>
      </c>
      <c r="AX786" s="57">
        <f t="shared" si="407"/>
        <v>-0.28239726358617745</v>
      </c>
      <c r="AY786" s="57">
        <f t="shared" si="408"/>
        <v>-0.51907438201706979</v>
      </c>
      <c r="BA786" s="57">
        <f t="shared" si="409"/>
        <v>538748.68502499198</v>
      </c>
      <c r="BB786" s="57">
        <f t="shared" si="410"/>
        <v>551225.76566597645</v>
      </c>
    </row>
    <row r="787" spans="9:54" x14ac:dyDescent="0.25">
      <c r="I787" s="41">
        <v>782</v>
      </c>
      <c r="J787" s="57">
        <f t="shared" si="384"/>
        <v>22347.357813929455</v>
      </c>
      <c r="K787" s="57">
        <f t="shared" si="385"/>
        <v>11914.737964294633</v>
      </c>
      <c r="M787" s="41">
        <v>782</v>
      </c>
      <c r="N787" s="57">
        <f t="shared" si="386"/>
        <v>-18356.849530249383</v>
      </c>
      <c r="O787" s="57">
        <f t="shared" si="387"/>
        <v>13090.316575006244</v>
      </c>
      <c r="Q787" s="41">
        <v>782</v>
      </c>
      <c r="R787" s="57">
        <f t="shared" si="388"/>
        <v>-2652.6421860705445</v>
      </c>
      <c r="S787" s="41">
        <f t="shared" si="389"/>
        <v>-10585.262035705367</v>
      </c>
      <c r="U787" s="41">
        <v>781</v>
      </c>
      <c r="V787" s="41">
        <f t="shared" si="411"/>
        <v>390.5</v>
      </c>
      <c r="W787" s="57">
        <f t="shared" si="412"/>
        <v>278766.25756533386</v>
      </c>
      <c r="X787" s="57">
        <f t="shared" si="413"/>
        <v>479598.61529180332</v>
      </c>
      <c r="Y787" s="57">
        <f t="shared" si="414"/>
        <v>675.92834653974285</v>
      </c>
      <c r="Z787" s="57">
        <f t="shared" si="415"/>
        <v>782.34173012785686</v>
      </c>
      <c r="AA787" s="57">
        <f t="shared" si="390"/>
        <v>-5.3434302726253673</v>
      </c>
      <c r="AB787" s="57">
        <f t="shared" si="391"/>
        <v>-9.2159953426458898</v>
      </c>
      <c r="AC787" s="57">
        <f t="shared" si="392"/>
        <v>-0.86786191261252976</v>
      </c>
      <c r="AD787" s="57">
        <f t="shared" si="393"/>
        <v>-1.583345568559785</v>
      </c>
      <c r="AE787" s="57">
        <f t="shared" si="394"/>
        <v>-0.31112327011928176</v>
      </c>
      <c r="AF787" s="57">
        <f t="shared" si="395"/>
        <v>-0.48902127711367388</v>
      </c>
      <c r="AG787" s="57">
        <f t="shared" si="396"/>
        <v>-0.80099767508196718</v>
      </c>
      <c r="AH787" s="57">
        <f t="shared" si="397"/>
        <v>-1.3961220912824022</v>
      </c>
      <c r="AJ787" s="57">
        <f t="shared" si="398"/>
        <v>538365.19075327192</v>
      </c>
      <c r="AK787" s="57">
        <f t="shared" si="399"/>
        <v>556582.55105920683</v>
      </c>
      <c r="AL787" s="57">
        <f t="shared" si="400"/>
        <v>570220.20236151281</v>
      </c>
      <c r="AN787" s="41">
        <v>782</v>
      </c>
      <c r="AO787" s="57">
        <f t="shared" si="401"/>
        <v>8521.0367208941825</v>
      </c>
      <c r="AP787" s="57">
        <f t="shared" si="402"/>
        <v>21622.106946441949</v>
      </c>
      <c r="AR787" s="41">
        <v>782</v>
      </c>
      <c r="AS787" s="57">
        <f t="shared" si="403"/>
        <v>16643.150469750617</v>
      </c>
      <c r="AT787" s="57">
        <f t="shared" si="404"/>
        <v>-1909.6834249937565</v>
      </c>
      <c r="AV787" s="57">
        <f t="shared" si="405"/>
        <v>-3.0814649792721625</v>
      </c>
      <c r="AW787" s="57">
        <f t="shared" si="406"/>
        <v>-5.2294405277406133</v>
      </c>
      <c r="AX787" s="57">
        <f t="shared" si="407"/>
        <v>-0.28198243553942559</v>
      </c>
      <c r="AY787" s="57">
        <f t="shared" si="408"/>
        <v>-0.51806587794941361</v>
      </c>
      <c r="BA787" s="57">
        <f t="shared" si="409"/>
        <v>539258.59947931266</v>
      </c>
      <c r="BB787" s="57">
        <f t="shared" si="410"/>
        <v>551732.23267519474</v>
      </c>
    </row>
    <row r="788" spans="9:54" x14ac:dyDescent="0.25">
      <c r="I788" s="41">
        <v>783</v>
      </c>
      <c r="J788" s="57">
        <f t="shared" si="384"/>
        <v>22269.952498697741</v>
      </c>
      <c r="K788" s="57">
        <f t="shared" si="385"/>
        <v>11955.032620941836</v>
      </c>
      <c r="M788" s="41">
        <v>783</v>
      </c>
      <c r="N788" s="57">
        <f t="shared" si="386"/>
        <v>-18411.033250911583</v>
      </c>
      <c r="O788" s="57">
        <f t="shared" si="387"/>
        <v>13118.522834659285</v>
      </c>
      <c r="Q788" s="41">
        <v>783</v>
      </c>
      <c r="R788" s="57">
        <f t="shared" si="388"/>
        <v>-2730.0475013022597</v>
      </c>
      <c r="S788" s="41">
        <f t="shared" si="389"/>
        <v>-10544.967379058164</v>
      </c>
      <c r="U788" s="41">
        <v>782</v>
      </c>
      <c r="V788" s="41">
        <f t="shared" si="411"/>
        <v>391</v>
      </c>
      <c r="W788" s="57">
        <f t="shared" si="412"/>
        <v>279103.55380981963</v>
      </c>
      <c r="X788" s="57">
        <f t="shared" si="413"/>
        <v>479988.63415744941</v>
      </c>
      <c r="Y788" s="57">
        <f t="shared" si="414"/>
        <v>673.25663140343022</v>
      </c>
      <c r="Z788" s="57">
        <f t="shared" si="415"/>
        <v>777.73373245653397</v>
      </c>
      <c r="AA788" s="57">
        <f t="shared" si="390"/>
        <v>-5.3351447500076503</v>
      </c>
      <c r="AB788" s="57">
        <f t="shared" si="391"/>
        <v>-9.1979710370005225</v>
      </c>
      <c r="AC788" s="57">
        <f t="shared" si="392"/>
        <v>-0.86655728388976316</v>
      </c>
      <c r="AD788" s="57">
        <f t="shared" si="393"/>
        <v>-1.5802117009355594</v>
      </c>
      <c r="AE788" s="57">
        <f t="shared" si="394"/>
        <v>-0.31061978784644712</v>
      </c>
      <c r="AF788" s="57">
        <f t="shared" si="395"/>
        <v>-0.48808437068939831</v>
      </c>
      <c r="AG788" s="57">
        <f t="shared" si="396"/>
        <v>-0.79981865710452971</v>
      </c>
      <c r="AH788" s="57">
        <f t="shared" si="397"/>
        <v>-1.3935100048725009</v>
      </c>
      <c r="AJ788" s="57">
        <f t="shared" si="398"/>
        <v>538869.3357436941</v>
      </c>
      <c r="AK788" s="57">
        <f t="shared" si="399"/>
        <v>557092.67823123338</v>
      </c>
      <c r="AL788" s="57">
        <f t="shared" si="400"/>
        <v>570726.35932855459</v>
      </c>
      <c r="AN788" s="41">
        <v>783</v>
      </c>
      <c r="AO788" s="57">
        <f t="shared" si="401"/>
        <v>8404.9287480466101</v>
      </c>
      <c r="AP788" s="57">
        <f t="shared" si="402"/>
        <v>21682.548931412755</v>
      </c>
      <c r="AR788" s="41">
        <v>783</v>
      </c>
      <c r="AS788" s="57">
        <f t="shared" si="403"/>
        <v>16588.966749088417</v>
      </c>
      <c r="AT788" s="57">
        <f t="shared" si="404"/>
        <v>-1881.4771653407147</v>
      </c>
      <c r="AV788" s="57">
        <f t="shared" si="405"/>
        <v>-3.0765779402866547</v>
      </c>
      <c r="AW788" s="57">
        <f t="shared" si="406"/>
        <v>-5.2190996958959559</v>
      </c>
      <c r="AX788" s="57">
        <f t="shared" si="407"/>
        <v>-0.28157108088025629</v>
      </c>
      <c r="AY788" s="57">
        <f t="shared" si="408"/>
        <v>-0.51706526460710889</v>
      </c>
      <c r="BA788" s="57">
        <f t="shared" si="409"/>
        <v>539765.86415480461</v>
      </c>
      <c r="BB788" s="57">
        <f t="shared" si="410"/>
        <v>552236.05677000538</v>
      </c>
    </row>
    <row r="789" spans="9:54" x14ac:dyDescent="0.25">
      <c r="I789" s="41">
        <v>784</v>
      </c>
      <c r="J789" s="57">
        <f t="shared" si="384"/>
        <v>22191.855733945391</v>
      </c>
      <c r="K789" s="57">
        <f t="shared" si="385"/>
        <v>11993.970231495834</v>
      </c>
      <c r="M789" s="41">
        <v>784</v>
      </c>
      <c r="N789" s="57">
        <f t="shared" si="386"/>
        <v>-18465.700986238226</v>
      </c>
      <c r="O789" s="57">
        <f t="shared" si="387"/>
        <v>13145.779162047083</v>
      </c>
      <c r="Q789" s="41">
        <v>784</v>
      </c>
      <c r="R789" s="57">
        <f t="shared" si="388"/>
        <v>-2808.1442660546095</v>
      </c>
      <c r="S789" s="41">
        <f t="shared" si="389"/>
        <v>-10506.029768504166</v>
      </c>
      <c r="U789" s="41">
        <v>783</v>
      </c>
      <c r="V789" s="41">
        <f t="shared" si="411"/>
        <v>391.5</v>
      </c>
      <c r="W789" s="57">
        <f t="shared" si="412"/>
        <v>279439.51523242763</v>
      </c>
      <c r="X789" s="57">
        <f t="shared" si="413"/>
        <v>480376.35127729806</v>
      </c>
      <c r="Y789" s="57">
        <f t="shared" si="414"/>
        <v>670.58905902842639</v>
      </c>
      <c r="Z789" s="57">
        <f t="shared" si="415"/>
        <v>773.13474693803369</v>
      </c>
      <c r="AA789" s="57">
        <f t="shared" si="390"/>
        <v>-5.3269291043240328</v>
      </c>
      <c r="AB789" s="57">
        <f t="shared" si="391"/>
        <v>-9.1800878986456862</v>
      </c>
      <c r="AC789" s="57">
        <f t="shared" si="392"/>
        <v>-0.86526366070389638</v>
      </c>
      <c r="AD789" s="57">
        <f t="shared" si="393"/>
        <v>-1.5771025566399719</v>
      </c>
      <c r="AE789" s="57">
        <f t="shared" si="394"/>
        <v>-0.31012054138126566</v>
      </c>
      <c r="AF789" s="57">
        <f t="shared" si="395"/>
        <v>-0.48715470500889591</v>
      </c>
      <c r="AG789" s="57">
        <f t="shared" si="396"/>
        <v>-0.7986494693109133</v>
      </c>
      <c r="AH789" s="57">
        <f t="shared" si="397"/>
        <v>-1.3909180647193231</v>
      </c>
      <c r="AJ789" s="57">
        <f t="shared" si="398"/>
        <v>539370.84242788621</v>
      </c>
      <c r="AK789" s="57">
        <f t="shared" si="399"/>
        <v>557600.15703331295</v>
      </c>
      <c r="AL789" s="57">
        <f t="shared" si="400"/>
        <v>571229.87249483669</v>
      </c>
      <c r="AN789" s="41">
        <v>784</v>
      </c>
      <c r="AO789" s="57">
        <f t="shared" si="401"/>
        <v>8287.7836009180864</v>
      </c>
      <c r="AP789" s="57">
        <f t="shared" si="402"/>
        <v>21740.955347243751</v>
      </c>
      <c r="AR789" s="41">
        <v>784</v>
      </c>
      <c r="AS789" s="57">
        <f t="shared" si="403"/>
        <v>16534.299013761774</v>
      </c>
      <c r="AT789" s="57">
        <f t="shared" si="404"/>
        <v>-1854.2208379529166</v>
      </c>
      <c r="AV789" s="57">
        <f t="shared" si="405"/>
        <v>-3.071732257661711</v>
      </c>
      <c r="AW789" s="57">
        <f t="shared" si="406"/>
        <v>-5.2088400934563159</v>
      </c>
      <c r="AX789" s="57">
        <f t="shared" si="407"/>
        <v>-0.28116317526624646</v>
      </c>
      <c r="AY789" s="57">
        <f t="shared" si="408"/>
        <v>-0.51607247882118024</v>
      </c>
      <c r="BA789" s="57">
        <f t="shared" si="409"/>
        <v>540270.48397000274</v>
      </c>
      <c r="BB789" s="57">
        <f t="shared" si="410"/>
        <v>552737.2428158106</v>
      </c>
    </row>
    <row r="790" spans="9:54" x14ac:dyDescent="0.25">
      <c r="I790" s="41">
        <v>785</v>
      </c>
      <c r="J790" s="57">
        <f t="shared" si="384"/>
        <v>22113.091308703497</v>
      </c>
      <c r="K790" s="57">
        <f t="shared" si="385"/>
        <v>12031.538935183249</v>
      </c>
      <c r="M790" s="41">
        <v>785</v>
      </c>
      <c r="N790" s="57">
        <f t="shared" si="386"/>
        <v>-18520.83608390755</v>
      </c>
      <c r="O790" s="57">
        <f t="shared" si="387"/>
        <v>13172.077254628275</v>
      </c>
      <c r="Q790" s="41">
        <v>785</v>
      </c>
      <c r="R790" s="57">
        <f t="shared" si="388"/>
        <v>-2886.9086912965026</v>
      </c>
      <c r="S790" s="41">
        <f t="shared" si="389"/>
        <v>-10468.461064816751</v>
      </c>
      <c r="U790" s="41">
        <v>784</v>
      </c>
      <c r="V790" s="41">
        <f t="shared" si="411"/>
        <v>392</v>
      </c>
      <c r="W790" s="57">
        <f t="shared" si="412"/>
        <v>279774.14389580378</v>
      </c>
      <c r="X790" s="57">
        <f t="shared" si="413"/>
        <v>480761.77113977971</v>
      </c>
      <c r="Y790" s="57">
        <f t="shared" si="414"/>
        <v>667.92559447626434</v>
      </c>
      <c r="Z790" s="57">
        <f t="shared" si="415"/>
        <v>768.54470298871081</v>
      </c>
      <c r="AA790" s="57">
        <f t="shared" si="390"/>
        <v>-5.31878282634041</v>
      </c>
      <c r="AB790" s="57">
        <f t="shared" si="391"/>
        <v>-9.1623447920454488</v>
      </c>
      <c r="AC790" s="57">
        <f t="shared" si="392"/>
        <v>-0.86398096481297659</v>
      </c>
      <c r="AD790" s="57">
        <f t="shared" si="393"/>
        <v>-1.5740179353740908</v>
      </c>
      <c r="AE790" s="57">
        <f t="shared" si="394"/>
        <v>-0.30962549894345354</v>
      </c>
      <c r="AF790" s="57">
        <f t="shared" si="395"/>
        <v>-0.48623222262731819</v>
      </c>
      <c r="AG790" s="57">
        <f t="shared" si="396"/>
        <v>-0.79749004241135601</v>
      </c>
      <c r="AH790" s="57">
        <f t="shared" si="397"/>
        <v>-1.3883461134619453</v>
      </c>
      <c r="AJ790" s="57">
        <f t="shared" si="398"/>
        <v>539869.71563439176</v>
      </c>
      <c r="AK790" s="57">
        <f t="shared" si="399"/>
        <v>558104.99237609794</v>
      </c>
      <c r="AL790" s="57">
        <f t="shared" si="400"/>
        <v>571730.74672894692</v>
      </c>
      <c r="AN790" s="41">
        <v>785</v>
      </c>
      <c r="AO790" s="57">
        <f t="shared" si="401"/>
        <v>8169.6369630552463</v>
      </c>
      <c r="AP790" s="57">
        <f t="shared" si="402"/>
        <v>21797.308402774874</v>
      </c>
      <c r="AR790" s="41">
        <v>785</v>
      </c>
      <c r="AS790" s="57">
        <f t="shared" si="403"/>
        <v>16479.16391609245</v>
      </c>
      <c r="AT790" s="57">
        <f t="shared" si="404"/>
        <v>-1827.9227453717253</v>
      </c>
      <c r="AV790" s="57">
        <f t="shared" si="405"/>
        <v>-3.0669276255263087</v>
      </c>
      <c r="AW790" s="57">
        <f t="shared" si="406"/>
        <v>-5.1986610623899656</v>
      </c>
      <c r="AX790" s="57">
        <f t="shared" si="407"/>
        <v>-0.28075869464631525</v>
      </c>
      <c r="AY790" s="57">
        <f t="shared" si="408"/>
        <v>-0.51508745819212931</v>
      </c>
      <c r="BA790" s="57">
        <f t="shared" si="409"/>
        <v>540772.46380426618</v>
      </c>
      <c r="BB790" s="57">
        <f t="shared" si="410"/>
        <v>553235.79563926579</v>
      </c>
    </row>
    <row r="791" spans="9:54" x14ac:dyDescent="0.25">
      <c r="I791" s="41">
        <v>786</v>
      </c>
      <c r="J791" s="57">
        <f t="shared" si="384"/>
        <v>22033.683215379006</v>
      </c>
      <c r="K791" s="57">
        <f t="shared" si="385"/>
        <v>12067.727288213002</v>
      </c>
      <c r="M791" s="41">
        <v>786</v>
      </c>
      <c r="N791" s="57">
        <f t="shared" si="386"/>
        <v>-18576.421749234694</v>
      </c>
      <c r="O791" s="57">
        <f t="shared" si="387"/>
        <v>13197.409101749101</v>
      </c>
      <c r="Q791" s="41">
        <v>786</v>
      </c>
      <c r="R791" s="57">
        <f t="shared" si="388"/>
        <v>-2966.3167846209935</v>
      </c>
      <c r="S791" s="41">
        <f t="shared" si="389"/>
        <v>-10432.272711786998</v>
      </c>
      <c r="U791" s="41">
        <v>785</v>
      </c>
      <c r="V791" s="41">
        <f t="shared" si="411"/>
        <v>392.5</v>
      </c>
      <c r="W791" s="57">
        <f t="shared" si="412"/>
        <v>280107.44184518862</v>
      </c>
      <c r="X791" s="57">
        <f t="shared" si="413"/>
        <v>481144.89819817507</v>
      </c>
      <c r="Y791" s="57">
        <f t="shared" si="414"/>
        <v>665.26620306309417</v>
      </c>
      <c r="Z791" s="57">
        <f t="shared" si="415"/>
        <v>763.96353059268813</v>
      </c>
      <c r="AA791" s="57">
        <f t="shared" si="390"/>
        <v>-5.3107054130337037</v>
      </c>
      <c r="AB791" s="57">
        <f t="shared" si="391"/>
        <v>-9.1447405955312373</v>
      </c>
      <c r="AC791" s="57">
        <f t="shared" si="392"/>
        <v>-0.8627091189196886</v>
      </c>
      <c r="AD791" s="57">
        <f t="shared" si="393"/>
        <v>-1.5709576392995144</v>
      </c>
      <c r="AE791" s="57">
        <f t="shared" si="394"/>
        <v>-0.30913462914404061</v>
      </c>
      <c r="AF791" s="57">
        <f t="shared" si="395"/>
        <v>-0.48531686679310065</v>
      </c>
      <c r="AG791" s="57">
        <f t="shared" si="396"/>
        <v>-0.79634030794645849</v>
      </c>
      <c r="AH791" s="57">
        <f t="shared" si="397"/>
        <v>-1.3857939956254657</v>
      </c>
      <c r="AJ791" s="57">
        <f t="shared" si="398"/>
        <v>540365.96015330928</v>
      </c>
      <c r="AK791" s="57">
        <f t="shared" si="399"/>
        <v>558607.1891311747</v>
      </c>
      <c r="AL791" s="57">
        <f t="shared" si="400"/>
        <v>572228.98686066677</v>
      </c>
      <c r="AN791" s="41">
        <v>786</v>
      </c>
      <c r="AO791" s="57">
        <f t="shared" si="401"/>
        <v>8050.5248230685092</v>
      </c>
      <c r="AP791" s="57">
        <f t="shared" si="402"/>
        <v>21851.590932319501</v>
      </c>
      <c r="AR791" s="41">
        <v>786</v>
      </c>
      <c r="AS791" s="57">
        <f t="shared" si="403"/>
        <v>16423.578250765306</v>
      </c>
      <c r="AT791" s="57">
        <f t="shared" si="404"/>
        <v>-1802.5908982508986</v>
      </c>
      <c r="AV791" s="57">
        <f t="shared" si="405"/>
        <v>-3.0621637417665886</v>
      </c>
      <c r="AW791" s="57">
        <f t="shared" si="406"/>
        <v>-5.1885619527340072</v>
      </c>
      <c r="AX791" s="57">
        <f t="shared" si="407"/>
        <v>-0.28035761525692726</v>
      </c>
      <c r="AY791" s="57">
        <f t="shared" si="408"/>
        <v>-0.51411014107914832</v>
      </c>
      <c r="BA791" s="57">
        <f t="shared" si="409"/>
        <v>541271.80849808804</v>
      </c>
      <c r="BB791" s="57">
        <f t="shared" si="410"/>
        <v>553731.72002858401</v>
      </c>
    </row>
    <row r="792" spans="9:54" x14ac:dyDescent="0.25">
      <c r="I792" s="41">
        <v>787</v>
      </c>
      <c r="J792" s="57">
        <f t="shared" si="384"/>
        <v>21953.655642446371</v>
      </c>
      <c r="K792" s="57">
        <f t="shared" si="385"/>
        <v>12102.524267262201</v>
      </c>
      <c r="M792" s="41">
        <v>787</v>
      </c>
      <c r="N792" s="57">
        <f t="shared" si="386"/>
        <v>-18632.44105028754</v>
      </c>
      <c r="O792" s="57">
        <f t="shared" si="387"/>
        <v>13221.766987083542</v>
      </c>
      <c r="Q792" s="41">
        <v>787</v>
      </c>
      <c r="R792" s="57">
        <f t="shared" si="388"/>
        <v>-3046.3443575536294</v>
      </c>
      <c r="S792" s="41">
        <f t="shared" si="389"/>
        <v>-10397.475732737799</v>
      </c>
      <c r="U792" s="41">
        <v>786</v>
      </c>
      <c r="V792" s="41">
        <f t="shared" si="411"/>
        <v>393</v>
      </c>
      <c r="W792" s="57">
        <f t="shared" si="412"/>
        <v>280439.41110854351</v>
      </c>
      <c r="X792" s="57">
        <f t="shared" si="413"/>
        <v>481525.736870897</v>
      </c>
      <c r="Y792" s="57">
        <f t="shared" si="414"/>
        <v>662.61085035657732</v>
      </c>
      <c r="Z792" s="57">
        <f t="shared" si="415"/>
        <v>759.39116029492254</v>
      </c>
      <c r="AA792" s="57">
        <f t="shared" si="390"/>
        <v>-5.3026963675083616</v>
      </c>
      <c r="AB792" s="57">
        <f t="shared" si="391"/>
        <v>-9.1272742011066068</v>
      </c>
      <c r="AC792" s="57">
        <f t="shared" si="392"/>
        <v>-0.8614480466589296</v>
      </c>
      <c r="AD792" s="57">
        <f t="shared" si="393"/>
        <v>-1.5679214730035855</v>
      </c>
      <c r="AE792" s="57">
        <f t="shared" si="394"/>
        <v>-0.30864790098000849</v>
      </c>
      <c r="AF792" s="57">
        <f t="shared" si="395"/>
        <v>-0.48440858143832116</v>
      </c>
      <c r="AG792" s="57">
        <f t="shared" si="396"/>
        <v>-0.79520019827633859</v>
      </c>
      <c r="AH792" s="57">
        <f t="shared" si="397"/>
        <v>-1.3832615575951366</v>
      </c>
      <c r="AJ792" s="57">
        <f t="shared" si="398"/>
        <v>540859.58073659171</v>
      </c>
      <c r="AK792" s="57">
        <f t="shared" si="399"/>
        <v>559106.75213137141</v>
      </c>
      <c r="AL792" s="57">
        <f t="shared" si="400"/>
        <v>572724.59768127592</v>
      </c>
      <c r="AN792" s="41">
        <v>787</v>
      </c>
      <c r="AO792" s="57">
        <f t="shared" si="401"/>
        <v>7930.4834636695559</v>
      </c>
      <c r="AP792" s="57">
        <f t="shared" si="402"/>
        <v>21903.786400893303</v>
      </c>
      <c r="AR792" s="41">
        <v>787</v>
      </c>
      <c r="AS792" s="57">
        <f t="shared" si="403"/>
        <v>16367.55894971246</v>
      </c>
      <c r="AT792" s="57">
        <f t="shared" si="404"/>
        <v>-1778.2330129164593</v>
      </c>
      <c r="AV792" s="57">
        <f t="shared" si="405"/>
        <v>-3.0574403079747259</v>
      </c>
      <c r="AW792" s="57">
        <f t="shared" si="406"/>
        <v>-5.1785421224800476</v>
      </c>
      <c r="AX792" s="57">
        <f t="shared" si="407"/>
        <v>-0.27995991361835865</v>
      </c>
      <c r="AY792" s="57">
        <f t="shared" si="408"/>
        <v>-0.51314046658951695</v>
      </c>
      <c r="BA792" s="57">
        <f t="shared" si="409"/>
        <v>541768.52285339974</v>
      </c>
      <c r="BB792" s="57">
        <f t="shared" si="410"/>
        <v>554225.02073383483</v>
      </c>
    </row>
    <row r="793" spans="9:54" x14ac:dyDescent="0.25">
      <c r="I793" s="41">
        <v>788</v>
      </c>
      <c r="J793" s="57">
        <f t="shared" si="384"/>
        <v>21873.032967079569</v>
      </c>
      <c r="K793" s="57">
        <f t="shared" si="385"/>
        <v>12135.919272833933</v>
      </c>
      <c r="M793" s="41">
        <v>788</v>
      </c>
      <c r="N793" s="57">
        <f t="shared" si="386"/>
        <v>-18688.876923044303</v>
      </c>
      <c r="O793" s="57">
        <f t="shared" si="387"/>
        <v>13245.143490983754</v>
      </c>
      <c r="Q793" s="41">
        <v>788</v>
      </c>
      <c r="R793" s="57">
        <f t="shared" si="388"/>
        <v>-3126.9670329204328</v>
      </c>
      <c r="S793" s="41">
        <f t="shared" si="389"/>
        <v>-10364.080727166067</v>
      </c>
      <c r="U793" s="41">
        <v>787</v>
      </c>
      <c r="V793" s="41">
        <f t="shared" si="411"/>
        <v>393.5</v>
      </c>
      <c r="W793" s="57">
        <f t="shared" si="412"/>
        <v>280770.05369667581</v>
      </c>
      <c r="X793" s="57">
        <f t="shared" si="413"/>
        <v>481904.29154176929</v>
      </c>
      <c r="Y793" s="57">
        <f t="shared" si="414"/>
        <v>659.95950217282314</v>
      </c>
      <c r="Z793" s="57">
        <f t="shared" si="415"/>
        <v>754.82752319436929</v>
      </c>
      <c r="AA793" s="57">
        <f t="shared" si="390"/>
        <v>-5.2947551989144399</v>
      </c>
      <c r="AB793" s="57">
        <f t="shared" si="391"/>
        <v>-9.1099445142556625</v>
      </c>
      <c r="AC793" s="57">
        <f t="shared" si="392"/>
        <v>-0.86019767258557878</v>
      </c>
      <c r="AD793" s="57">
        <f t="shared" si="393"/>
        <v>-1.5649092434651839</v>
      </c>
      <c r="AE793" s="57">
        <f t="shared" si="394"/>
        <v>-0.30816528382901565</v>
      </c>
      <c r="AF793" s="57">
        <f t="shared" si="395"/>
        <v>-0.48350731116921408</v>
      </c>
      <c r="AG793" s="57">
        <f t="shared" si="396"/>
        <v>-0.79406964656987089</v>
      </c>
      <c r="AH793" s="57">
        <f t="shared" si="397"/>
        <v>-1.3807486475907629</v>
      </c>
      <c r="AJ793" s="57">
        <f t="shared" si="398"/>
        <v>541350.58209834341</v>
      </c>
      <c r="AK793" s="57">
        <f t="shared" si="399"/>
        <v>559603.68617106194</v>
      </c>
      <c r="AL793" s="57">
        <f t="shared" si="400"/>
        <v>573217.58394385339</v>
      </c>
      <c r="AN793" s="41">
        <v>788</v>
      </c>
      <c r="AO793" s="57">
        <f t="shared" si="401"/>
        <v>7809.5494506193509</v>
      </c>
      <c r="AP793" s="57">
        <f t="shared" si="402"/>
        <v>21953.878909250903</v>
      </c>
      <c r="AR793" s="41">
        <v>788</v>
      </c>
      <c r="AS793" s="57">
        <f t="shared" si="403"/>
        <v>16311.123076955697</v>
      </c>
      <c r="AT793" s="57">
        <f t="shared" si="404"/>
        <v>-1754.856509016246</v>
      </c>
      <c r="AV793" s="57">
        <f t="shared" si="405"/>
        <v>-3.0527570293989474</v>
      </c>
      <c r="AW793" s="57">
        <f t="shared" si="406"/>
        <v>-5.1686009374623154</v>
      </c>
      <c r="AX793" s="57">
        <f t="shared" si="407"/>
        <v>-0.2795655665310276</v>
      </c>
      <c r="AY793" s="57">
        <f t="shared" si="408"/>
        <v>-0.5121783745681876</v>
      </c>
      <c r="BA793" s="57">
        <f t="shared" si="409"/>
        <v>542262.61163387331</v>
      </c>
      <c r="BB793" s="57">
        <f t="shared" si="410"/>
        <v>554715.70246724237</v>
      </c>
    </row>
    <row r="794" spans="9:54" x14ac:dyDescent="0.25">
      <c r="I794" s="41">
        <v>789</v>
      </c>
      <c r="J794" s="57">
        <f t="shared" si="384"/>
        <v>21791.839747726495</v>
      </c>
      <c r="K794" s="57">
        <f t="shared" si="385"/>
        <v>12167.902132486011</v>
      </c>
      <c r="M794" s="41">
        <v>789</v>
      </c>
      <c r="N794" s="57">
        <f t="shared" si="386"/>
        <v>-18745.712176591453</v>
      </c>
      <c r="O794" s="57">
        <f t="shared" si="387"/>
        <v>13267.531492740207</v>
      </c>
      <c r="Q794" s="41">
        <v>789</v>
      </c>
      <c r="R794" s="57">
        <f t="shared" si="388"/>
        <v>-3208.1602522735029</v>
      </c>
      <c r="S794" s="41">
        <f t="shared" si="389"/>
        <v>-10332.097867513989</v>
      </c>
      <c r="U794" s="41">
        <v>788</v>
      </c>
      <c r="V794" s="41">
        <f t="shared" si="411"/>
        <v>394</v>
      </c>
      <c r="W794" s="57">
        <f t="shared" si="412"/>
        <v>281099.37160336232</v>
      </c>
      <c r="X794" s="57">
        <f t="shared" si="413"/>
        <v>482280.56656030216</v>
      </c>
      <c r="Y794" s="57">
        <f t="shared" si="414"/>
        <v>657.31212457336596</v>
      </c>
      <c r="Z794" s="57">
        <f t="shared" si="415"/>
        <v>750.27255093724148</v>
      </c>
      <c r="AA794" s="57">
        <f t="shared" si="390"/>
        <v>-5.2868814223668243</v>
      </c>
      <c r="AB794" s="57">
        <f t="shared" si="391"/>
        <v>-9.0927504537543484</v>
      </c>
      <c r="AC794" s="57">
        <f t="shared" si="392"/>
        <v>-0.8589579221624839</v>
      </c>
      <c r="AD794" s="57">
        <f t="shared" si="393"/>
        <v>-1.5619207600211336</v>
      </c>
      <c r="AE794" s="57">
        <f t="shared" si="394"/>
        <v>-0.30768674744421504</v>
      </c>
      <c r="AF794" s="57">
        <f t="shared" si="395"/>
        <v>-0.48261300125685069</v>
      </c>
      <c r="AG794" s="57">
        <f t="shared" si="396"/>
        <v>-0.79294858679418756</v>
      </c>
      <c r="AH794" s="57">
        <f t="shared" si="397"/>
        <v>-1.3782551156416813</v>
      </c>
      <c r="AJ794" s="57">
        <f t="shared" si="398"/>
        <v>541838.96891511243</v>
      </c>
      <c r="AK794" s="57">
        <f t="shared" si="399"/>
        <v>560097.99600646645</v>
      </c>
      <c r="AL794" s="57">
        <f t="shared" si="400"/>
        <v>573707.95036357467</v>
      </c>
      <c r="AN794" s="41">
        <v>789</v>
      </c>
      <c r="AO794" s="57">
        <f t="shared" si="401"/>
        <v>7687.7596215897447</v>
      </c>
      <c r="AP794" s="57">
        <f t="shared" si="402"/>
        <v>22001.853198729015</v>
      </c>
      <c r="AR794" s="41">
        <v>789</v>
      </c>
      <c r="AS794" s="57">
        <f t="shared" si="403"/>
        <v>16254.287823408547</v>
      </c>
      <c r="AT794" s="57">
        <f t="shared" si="404"/>
        <v>-1732.4685072597927</v>
      </c>
      <c r="AV794" s="57">
        <f t="shared" si="405"/>
        <v>-3.0481136148940542</v>
      </c>
      <c r="AW794" s="57">
        <f t="shared" si="406"/>
        <v>-5.1587377712471367</v>
      </c>
      <c r="AX794" s="57">
        <f t="shared" si="407"/>
        <v>-0.27917455107188371</v>
      </c>
      <c r="AY794" s="57">
        <f t="shared" si="408"/>
        <v>-0.51122380558754632</v>
      </c>
      <c r="BA794" s="57">
        <f t="shared" si="409"/>
        <v>542754.07956521946</v>
      </c>
      <c r="BB794" s="57">
        <f t="shared" si="410"/>
        <v>555203.76990347728</v>
      </c>
    </row>
    <row r="795" spans="9:54" x14ac:dyDescent="0.25">
      <c r="I795" s="41">
        <v>790</v>
      </c>
      <c r="J795" s="57">
        <f t="shared" si="384"/>
        <v>21710.100716628345</v>
      </c>
      <c r="K795" s="57">
        <f t="shared" si="385"/>
        <v>12198.463103929542</v>
      </c>
      <c r="M795" s="41">
        <v>790</v>
      </c>
      <c r="N795" s="57">
        <f t="shared" si="386"/>
        <v>-18802.929498360158</v>
      </c>
      <c r="O795" s="57">
        <f t="shared" si="387"/>
        <v>13288.92417275068</v>
      </c>
      <c r="Q795" s="41">
        <v>790</v>
      </c>
      <c r="R795" s="57">
        <f t="shared" si="388"/>
        <v>-3289.8992833716557</v>
      </c>
      <c r="S795" s="41">
        <f t="shared" si="389"/>
        <v>-10301.536896070458</v>
      </c>
      <c r="U795" s="41">
        <v>789</v>
      </c>
      <c r="V795" s="41">
        <f t="shared" si="411"/>
        <v>394.5</v>
      </c>
      <c r="W795" s="57">
        <f t="shared" si="412"/>
        <v>281427.36680547125</v>
      </c>
      <c r="X795" s="57">
        <f t="shared" si="413"/>
        <v>482654.56624196406</v>
      </c>
      <c r="Y795" s="57">
        <f t="shared" si="414"/>
        <v>654.66868386218255</v>
      </c>
      <c r="Z795" s="57">
        <f t="shared" si="415"/>
        <v>745.72617571036426</v>
      </c>
      <c r="AA795" s="57">
        <f t="shared" si="390"/>
        <v>-5.2790745588661858</v>
      </c>
      <c r="AB795" s="57">
        <f t="shared" si="391"/>
        <v>-9.075690951485619</v>
      </c>
      <c r="AC795" s="57">
        <f t="shared" si="392"/>
        <v>-0.85772872174863679</v>
      </c>
      <c r="AD795" s="57">
        <f t="shared" si="393"/>
        <v>-1.5589558343331726</v>
      </c>
      <c r="AE795" s="57">
        <f t="shared" si="394"/>
        <v>-0.30721226194916434</v>
      </c>
      <c r="AF795" s="57">
        <f t="shared" si="395"/>
        <v>-0.48172559762798317</v>
      </c>
      <c r="AG795" s="57">
        <f t="shared" si="396"/>
        <v>-0.79183695370431217</v>
      </c>
      <c r="AH795" s="57">
        <f t="shared" si="397"/>
        <v>-1.3757808135620875</v>
      </c>
      <c r="AJ795" s="57">
        <f t="shared" si="398"/>
        <v>542324.74582618056</v>
      </c>
      <c r="AK795" s="57">
        <f t="shared" si="399"/>
        <v>560589.68635594728</v>
      </c>
      <c r="AL795" s="57">
        <f t="shared" si="400"/>
        <v>574195.70161800529</v>
      </c>
      <c r="AN795" s="41">
        <v>790</v>
      </c>
      <c r="AO795" s="57">
        <f t="shared" si="401"/>
        <v>7565.1510749425161</v>
      </c>
      <c r="AP795" s="57">
        <f t="shared" si="402"/>
        <v>22047.694655894313</v>
      </c>
      <c r="AR795" s="41">
        <v>790</v>
      </c>
      <c r="AS795" s="57">
        <f t="shared" si="403"/>
        <v>16197.070501639841</v>
      </c>
      <c r="AT795" s="57">
        <f t="shared" si="404"/>
        <v>-1711.0758272493208</v>
      </c>
      <c r="AV795" s="57">
        <f t="shared" si="405"/>
        <v>-3.0435097768732233</v>
      </c>
      <c r="AW795" s="57">
        <f t="shared" si="406"/>
        <v>-5.1489520050250421</v>
      </c>
      <c r="AX795" s="57">
        <f t="shared" si="407"/>
        <v>-0.27878684459084879</v>
      </c>
      <c r="AY795" s="57">
        <f t="shared" si="408"/>
        <v>-0.51027670093733168</v>
      </c>
      <c r="BA795" s="57">
        <f t="shared" si="409"/>
        <v>543242.931335481</v>
      </c>
      <c r="BB795" s="57">
        <f t="shared" si="410"/>
        <v>555689.22767994634</v>
      </c>
    </row>
    <row r="796" spans="9:54" x14ac:dyDescent="0.25">
      <c r="I796" s="41">
        <v>791</v>
      </c>
      <c r="J796" s="57">
        <f t="shared" si="384"/>
        <v>21627.840772285788</v>
      </c>
      <c r="K796" s="57">
        <f t="shared" si="385"/>
        <v>12227.592877996582</v>
      </c>
      <c r="M796" s="41">
        <v>791</v>
      </c>
      <c r="N796" s="57">
        <f t="shared" si="386"/>
        <v>-18860.511459399946</v>
      </c>
      <c r="O796" s="57">
        <f t="shared" si="387"/>
        <v>13309.315014597607</v>
      </c>
      <c r="Q796" s="41">
        <v>791</v>
      </c>
      <c r="R796" s="57">
        <f t="shared" si="388"/>
        <v>-3372.1592277142108</v>
      </c>
      <c r="S796" s="41">
        <f t="shared" si="389"/>
        <v>-10272.407122003418</v>
      </c>
      <c r="U796" s="41">
        <v>790</v>
      </c>
      <c r="V796" s="41">
        <f t="shared" si="411"/>
        <v>395</v>
      </c>
      <c r="W796" s="57">
        <f t="shared" si="412"/>
        <v>281754.04126308247</v>
      </c>
      <c r="X796" s="57">
        <f t="shared" si="413"/>
        <v>483026.29486845026</v>
      </c>
      <c r="Y796" s="57">
        <f t="shared" si="414"/>
        <v>652.02914658274949</v>
      </c>
      <c r="Z796" s="57">
        <f t="shared" si="415"/>
        <v>741.1883302346215</v>
      </c>
      <c r="AA796" s="57">
        <f t="shared" si="390"/>
        <v>-5.2713341352206786</v>
      </c>
      <c r="AB796" s="57">
        <f t="shared" si="391"/>
        <v>-9.0587649522567748</v>
      </c>
      <c r="AC796" s="57">
        <f t="shared" si="392"/>
        <v>-0.85650999858751076</v>
      </c>
      <c r="AD796" s="57">
        <f t="shared" si="393"/>
        <v>-1.5560142803554291</v>
      </c>
      <c r="AE796" s="57">
        <f t="shared" si="394"/>
        <v>-0.30674179783280819</v>
      </c>
      <c r="AF796" s="57">
        <f t="shared" si="395"/>
        <v>-0.48084504685602059</v>
      </c>
      <c r="AG796" s="57">
        <f t="shared" si="396"/>
        <v>-0.79073468283294512</v>
      </c>
      <c r="AH796" s="57">
        <f t="shared" si="397"/>
        <v>-1.3733255949267438</v>
      </c>
      <c r="AJ796" s="57">
        <f t="shared" si="398"/>
        <v>542807.9174338486</v>
      </c>
      <c r="AK796" s="57">
        <f t="shared" si="399"/>
        <v>561078.76190030237</v>
      </c>
      <c r="AL796" s="57">
        <f t="shared" si="400"/>
        <v>574680.84234739037</v>
      </c>
      <c r="AN796" s="41">
        <v>791</v>
      </c>
      <c r="AO796" s="57">
        <f t="shared" si="401"/>
        <v>7441.7611584286842</v>
      </c>
      <c r="AP796" s="57">
        <f t="shared" si="402"/>
        <v>22091.389316994871</v>
      </c>
      <c r="AR796" s="41">
        <v>791</v>
      </c>
      <c r="AS796" s="57">
        <f t="shared" si="403"/>
        <v>16139.488540600052</v>
      </c>
      <c r="AT796" s="57">
        <f t="shared" si="404"/>
        <v>-1690.6849854023926</v>
      </c>
      <c r="AV796" s="57">
        <f t="shared" si="405"/>
        <v>-3.0389452312600844</v>
      </c>
      <c r="AW796" s="57">
        <f t="shared" si="406"/>
        <v>-5.1392430275038272</v>
      </c>
      <c r="AX796" s="57">
        <f t="shared" si="407"/>
        <v>-0.27840242470733018</v>
      </c>
      <c r="AY796" s="57">
        <f t="shared" si="408"/>
        <v>-0.50933700261475479</v>
      </c>
      <c r="BA796" s="57">
        <f t="shared" si="409"/>
        <v>543729.17159532418</v>
      </c>
      <c r="BB796" s="57">
        <f t="shared" si="410"/>
        <v>556172.08039707807</v>
      </c>
    </row>
    <row r="797" spans="9:54" x14ac:dyDescent="0.25">
      <c r="I797" s="41">
        <v>792</v>
      </c>
      <c r="J797" s="57">
        <f t="shared" si="384"/>
        <v>21545.08497187473</v>
      </c>
      <c r="K797" s="57">
        <f t="shared" si="385"/>
        <v>12255.282581475771</v>
      </c>
      <c r="M797" s="41">
        <v>792</v>
      </c>
      <c r="N797" s="57">
        <f t="shared" si="386"/>
        <v>-18918.440519687687</v>
      </c>
      <c r="O797" s="57">
        <f t="shared" si="387"/>
        <v>13328.697807033039</v>
      </c>
      <c r="Q797" s="41">
        <v>792</v>
      </c>
      <c r="R797" s="57">
        <f t="shared" si="388"/>
        <v>-3454.9150281252687</v>
      </c>
      <c r="S797" s="41">
        <f t="shared" si="389"/>
        <v>-10244.717418524229</v>
      </c>
      <c r="U797" s="41">
        <v>791</v>
      </c>
      <c r="V797" s="41">
        <f t="shared" si="411"/>
        <v>395.5</v>
      </c>
      <c r="W797" s="57">
        <f t="shared" si="412"/>
        <v>282079.39691960689</v>
      </c>
      <c r="X797" s="57">
        <f t="shared" si="413"/>
        <v>483395.75668794854</v>
      </c>
      <c r="Y797" s="57">
        <f t="shared" si="414"/>
        <v>649.39347951513912</v>
      </c>
      <c r="Z797" s="57">
        <f t="shared" si="415"/>
        <v>736.65894775849313</v>
      </c>
      <c r="AA797" s="57">
        <f t="shared" si="390"/>
        <v>-5.2636596839696344</v>
      </c>
      <c r="AB797" s="57">
        <f t="shared" si="391"/>
        <v>-9.0419714136210843</v>
      </c>
      <c r="AC797" s="57">
        <f t="shared" si="392"/>
        <v>-0.85530168079568225</v>
      </c>
      <c r="AD797" s="57">
        <f t="shared" si="393"/>
        <v>-1.5530959143026173</v>
      </c>
      <c r="AE797" s="57">
        <f t="shared" si="394"/>
        <v>-0.30627532594456874</v>
      </c>
      <c r="AF797" s="57">
        <f t="shared" si="395"/>
        <v>-0.47997129615219536</v>
      </c>
      <c r="AG797" s="57">
        <f t="shared" si="396"/>
        <v>-0.78964171048046983</v>
      </c>
      <c r="AH797" s="57">
        <f t="shared" si="397"/>
        <v>-1.3708893150471879</v>
      </c>
      <c r="AJ797" s="57">
        <f t="shared" si="398"/>
        <v>543288.48830371874</v>
      </c>
      <c r="AK797" s="57">
        <f t="shared" si="399"/>
        <v>561565.22728305461</v>
      </c>
      <c r="AL797" s="57">
        <f t="shared" si="400"/>
        <v>575163.37715494202</v>
      </c>
      <c r="AN797" s="41">
        <v>792</v>
      </c>
      <c r="AO797" s="57">
        <f t="shared" si="401"/>
        <v>7317.6274578120965</v>
      </c>
      <c r="AP797" s="57">
        <f t="shared" si="402"/>
        <v>22132.923872213654</v>
      </c>
      <c r="AR797" s="41">
        <v>792</v>
      </c>
      <c r="AS797" s="57">
        <f t="shared" si="403"/>
        <v>16081.559480312311</v>
      </c>
      <c r="AT797" s="57">
        <f t="shared" si="404"/>
        <v>-1671.3021929669612</v>
      </c>
      <c r="AV797" s="57">
        <f t="shared" si="405"/>
        <v>-3.0344196974421322</v>
      </c>
      <c r="AW797" s="57">
        <f t="shared" si="406"/>
        <v>-5.1296102348043178</v>
      </c>
      <c r="AX797" s="57">
        <f t="shared" si="407"/>
        <v>-0.27802126930678139</v>
      </c>
      <c r="AY797" s="57">
        <f t="shared" si="408"/>
        <v>-0.50840465331476559</v>
      </c>
      <c r="BA797" s="57">
        <f t="shared" si="409"/>
        <v>544212.80495832593</v>
      </c>
      <c r="BB797" s="57">
        <f t="shared" si="410"/>
        <v>556652.33261860558</v>
      </c>
    </row>
    <row r="798" spans="9:54" x14ac:dyDescent="0.25">
      <c r="I798" s="41">
        <v>793</v>
      </c>
      <c r="J798" s="57">
        <f t="shared" si="384"/>
        <v>21461.858523613682</v>
      </c>
      <c r="K798" s="57">
        <f t="shared" si="385"/>
        <v>12281.523779815177</v>
      </c>
      <c r="M798" s="41">
        <v>793</v>
      </c>
      <c r="N798" s="57">
        <f t="shared" si="386"/>
        <v>-18976.699033470421</v>
      </c>
      <c r="O798" s="57">
        <f t="shared" si="387"/>
        <v>13347.066645870626</v>
      </c>
      <c r="Q798" s="41">
        <v>793</v>
      </c>
      <c r="R798" s="57">
        <f t="shared" si="388"/>
        <v>-3538.1414763863168</v>
      </c>
      <c r="S798" s="41">
        <f t="shared" si="389"/>
        <v>-10218.476220184823</v>
      </c>
      <c r="U798" s="41">
        <v>792</v>
      </c>
      <c r="V798" s="41">
        <f t="shared" si="411"/>
        <v>396</v>
      </c>
      <c r="W798" s="57">
        <f t="shared" si="412"/>
        <v>282403.43570190395</v>
      </c>
      <c r="X798" s="57">
        <f t="shared" si="413"/>
        <v>483762.95591540111</v>
      </c>
      <c r="Y798" s="57">
        <f t="shared" si="414"/>
        <v>646.76164967315435</v>
      </c>
      <c r="Z798" s="57">
        <f t="shared" si="415"/>
        <v>732.13796205168262</v>
      </c>
      <c r="AA798" s="57">
        <f t="shared" si="390"/>
        <v>-5.2560507433080907</v>
      </c>
      <c r="AB798" s="57">
        <f t="shared" si="391"/>
        <v>-9.0253093057016542</v>
      </c>
      <c r="AC798" s="57">
        <f t="shared" si="392"/>
        <v>-0.85410369735153557</v>
      </c>
      <c r="AD798" s="57">
        <f t="shared" si="393"/>
        <v>-1.5502005546185917</v>
      </c>
      <c r="AE798" s="57">
        <f t="shared" si="394"/>
        <v>-0.30581281748949751</v>
      </c>
      <c r="AF798" s="57">
        <f t="shared" si="395"/>
        <v>-0.47910429335684046</v>
      </c>
      <c r="AG798" s="57">
        <f t="shared" si="396"/>
        <v>-0.78855797370508729</v>
      </c>
      <c r="AH798" s="57">
        <f t="shared" si="397"/>
        <v>-1.3684718309482722</v>
      </c>
      <c r="AJ798" s="57">
        <f t="shared" si="398"/>
        <v>543766.46296497411</v>
      </c>
      <c r="AK798" s="57">
        <f t="shared" si="399"/>
        <v>562049.08711073792</v>
      </c>
      <c r="AL798" s="57">
        <f t="shared" si="400"/>
        <v>575643.31060712133</v>
      </c>
      <c r="AN798" s="41">
        <v>793</v>
      </c>
      <c r="AO798" s="57">
        <f t="shared" si="401"/>
        <v>7192.7877854205244</v>
      </c>
      <c r="AP798" s="57">
        <f t="shared" si="402"/>
        <v>22172.285669722765</v>
      </c>
      <c r="AR798" s="41">
        <v>793</v>
      </c>
      <c r="AS798" s="57">
        <f t="shared" si="403"/>
        <v>16023.300966529578</v>
      </c>
      <c r="AT798" s="57">
        <f t="shared" si="404"/>
        <v>-1652.9333541293754</v>
      </c>
      <c r="AV798" s="57">
        <f t="shared" si="405"/>
        <v>-3.0299328982246498</v>
      </c>
      <c r="AW798" s="57">
        <f t="shared" si="406"/>
        <v>-5.1200530303574627</v>
      </c>
      <c r="AX798" s="57">
        <f t="shared" si="407"/>
        <v>-0.27764335653732003</v>
      </c>
      <c r="AY798" s="57">
        <f t="shared" si="408"/>
        <v>-0.50747959642048812</v>
      </c>
      <c r="BA798" s="57">
        <f t="shared" si="409"/>
        <v>544693.83600125741</v>
      </c>
      <c r="BB798" s="57">
        <f t="shared" si="410"/>
        <v>557129.98887184542</v>
      </c>
    </row>
    <row r="799" spans="9:54" x14ac:dyDescent="0.25">
      <c r="I799" s="41">
        <v>794</v>
      </c>
      <c r="J799" s="57">
        <f t="shared" si="384"/>
        <v>21378.186779085001</v>
      </c>
      <c r="K799" s="57">
        <f t="shared" si="385"/>
        <v>12306.308479691594</v>
      </c>
      <c r="M799" s="41">
        <v>794</v>
      </c>
      <c r="N799" s="57">
        <f t="shared" si="386"/>
        <v>-19035.269254640501</v>
      </c>
      <c r="O799" s="57">
        <f t="shared" si="387"/>
        <v>13364.415935784114</v>
      </c>
      <c r="Q799" s="41">
        <v>794</v>
      </c>
      <c r="R799" s="57">
        <f t="shared" si="388"/>
        <v>-3621.8132209149994</v>
      </c>
      <c r="S799" s="41">
        <f t="shared" si="389"/>
        <v>-10193.691520308406</v>
      </c>
      <c r="U799" s="41">
        <v>793</v>
      </c>
      <c r="V799" s="41">
        <f t="shared" si="411"/>
        <v>396.5</v>
      </c>
      <c r="W799" s="57">
        <f t="shared" si="412"/>
        <v>282726.1595203976</v>
      </c>
      <c r="X799" s="57">
        <f t="shared" si="413"/>
        <v>484127.89673276374</v>
      </c>
      <c r="Y799" s="57">
        <f t="shared" si="414"/>
        <v>644.13362430150028</v>
      </c>
      <c r="Z799" s="57">
        <f t="shared" si="415"/>
        <v>727.62530739883175</v>
      </c>
      <c r="AA799" s="57">
        <f t="shared" si="390"/>
        <v>-5.2485068570125462</v>
      </c>
      <c r="AB799" s="57">
        <f t="shared" si="391"/>
        <v>-9.0087776110182993</v>
      </c>
      <c r="AC799" s="57">
        <f t="shared" si="392"/>
        <v>-0.85291597808422248</v>
      </c>
      <c r="AD799" s="57">
        <f t="shared" si="393"/>
        <v>-1.5473280219455618</v>
      </c>
      <c r="AE799" s="57">
        <f t="shared" si="394"/>
        <v>-0.30535424402352318</v>
      </c>
      <c r="AF799" s="57">
        <f t="shared" si="395"/>
        <v>-0.47824398693083908</v>
      </c>
      <c r="AG799" s="57">
        <f t="shared" si="396"/>
        <v>-0.78748341031311053</v>
      </c>
      <c r="AH799" s="57">
        <f t="shared" si="397"/>
        <v>-1.3660730013450941</v>
      </c>
      <c r="AJ799" s="57">
        <f t="shared" si="398"/>
        <v>544241.84591065347</v>
      </c>
      <c r="AK799" s="57">
        <f t="shared" si="399"/>
        <v>562530.34595317917</v>
      </c>
      <c r="AL799" s="57">
        <f t="shared" si="400"/>
        <v>576120.64723391901</v>
      </c>
      <c r="AN799" s="41">
        <v>794</v>
      </c>
      <c r="AO799" s="57">
        <f t="shared" si="401"/>
        <v>7067.2801686275006</v>
      </c>
      <c r="AP799" s="57">
        <f t="shared" si="402"/>
        <v>22209.462719537391</v>
      </c>
      <c r="AR799" s="41">
        <v>794</v>
      </c>
      <c r="AS799" s="57">
        <f t="shared" si="403"/>
        <v>15964.7307453595</v>
      </c>
      <c r="AT799" s="57">
        <f t="shared" si="404"/>
        <v>-1635.5840642158851</v>
      </c>
      <c r="AV799" s="57">
        <f t="shared" si="405"/>
        <v>-3.0254845597852862</v>
      </c>
      <c r="AW799" s="57">
        <f t="shared" si="406"/>
        <v>-5.1105708248029815</v>
      </c>
      <c r="AX799" s="57">
        <f t="shared" si="407"/>
        <v>-0.27726866480640427</v>
      </c>
      <c r="AY799" s="57">
        <f t="shared" si="408"/>
        <v>-0.50656177599382313</v>
      </c>
      <c r="BA799" s="57">
        <f t="shared" si="409"/>
        <v>545172.2692643638</v>
      </c>
      <c r="BB799" s="57">
        <f t="shared" si="410"/>
        <v>557605.05364797276</v>
      </c>
    </row>
    <row r="800" spans="9:54" x14ac:dyDescent="0.25">
      <c r="I800" s="41">
        <v>795</v>
      </c>
      <c r="J800" s="57">
        <f t="shared" si="384"/>
        <v>21294.095225512614</v>
      </c>
      <c r="K800" s="57">
        <f t="shared" si="385"/>
        <v>12329.629131445339</v>
      </c>
      <c r="M800" s="41">
        <v>795</v>
      </c>
      <c r="N800" s="57">
        <f t="shared" si="386"/>
        <v>-19094.133342141169</v>
      </c>
      <c r="O800" s="57">
        <f t="shared" si="387"/>
        <v>13380.740392011738</v>
      </c>
      <c r="Q800" s="41">
        <v>795</v>
      </c>
      <c r="R800" s="57">
        <f t="shared" si="388"/>
        <v>-3705.904774487386</v>
      </c>
      <c r="S800" s="41">
        <f t="shared" si="389"/>
        <v>-10170.370868554661</v>
      </c>
      <c r="U800" s="41">
        <v>794</v>
      </c>
      <c r="V800" s="41">
        <f t="shared" si="411"/>
        <v>397</v>
      </c>
      <c r="W800" s="57">
        <f t="shared" si="412"/>
        <v>283047.57026919123</v>
      </c>
      <c r="X800" s="57">
        <f t="shared" si="413"/>
        <v>484490.58328926179</v>
      </c>
      <c r="Y800" s="57">
        <f t="shared" si="414"/>
        <v>641.50937087299405</v>
      </c>
      <c r="Z800" s="57">
        <f t="shared" si="415"/>
        <v>723.12091859332259</v>
      </c>
      <c r="AA800" s="57">
        <f t="shared" si="390"/>
        <v>-5.2410275743682986</v>
      </c>
      <c r="AB800" s="57">
        <f t="shared" si="391"/>
        <v>-8.9923753243178606</v>
      </c>
      <c r="AC800" s="57">
        <f t="shared" si="392"/>
        <v>-0.85173845366276724</v>
      </c>
      <c r="AD800" s="57">
        <f t="shared" si="393"/>
        <v>-1.5444781390937665</v>
      </c>
      <c r="AE800" s="57">
        <f t="shared" si="394"/>
        <v>-0.30489957744876517</v>
      </c>
      <c r="AF800" s="57">
        <f t="shared" si="395"/>
        <v>-0.47739032594719288</v>
      </c>
      <c r="AG800" s="57">
        <f t="shared" si="396"/>
        <v>-0.78641795884944088</v>
      </c>
      <c r="AH800" s="57">
        <f t="shared" si="397"/>
        <v>-1.3636926866203516</v>
      </c>
      <c r="AJ800" s="57">
        <f t="shared" si="398"/>
        <v>544714.6415979244</v>
      </c>
      <c r="AK800" s="57">
        <f t="shared" si="399"/>
        <v>563009.00834377797</v>
      </c>
      <c r="AL800" s="57">
        <f t="shared" si="400"/>
        <v>576595.39152913087</v>
      </c>
      <c r="AN800" s="41">
        <v>795</v>
      </c>
      <c r="AO800" s="57">
        <f t="shared" si="401"/>
        <v>6941.142838268921</v>
      </c>
      <c r="AP800" s="57">
        <f t="shared" si="402"/>
        <v>22244.443697168008</v>
      </c>
      <c r="AR800" s="41">
        <v>795</v>
      </c>
      <c r="AS800" s="57">
        <f t="shared" si="403"/>
        <v>15905.866657858829</v>
      </c>
      <c r="AT800" s="57">
        <f t="shared" si="404"/>
        <v>-1619.2596079882628</v>
      </c>
      <c r="AV800" s="57">
        <f t="shared" si="405"/>
        <v>-3.0210744116297628</v>
      </c>
      <c r="AW800" s="57">
        <f t="shared" si="406"/>
        <v>-5.1011630358903419</v>
      </c>
      <c r="AX800" s="57">
        <f t="shared" si="407"/>
        <v>-0.27689717277756198</v>
      </c>
      <c r="AY800" s="57">
        <f t="shared" si="408"/>
        <v>-0.5056511367662071</v>
      </c>
      <c r="BA800" s="57">
        <f t="shared" si="409"/>
        <v>545648.10925164225</v>
      </c>
      <c r="BB800" s="57">
        <f t="shared" si="410"/>
        <v>558077.53140229429</v>
      </c>
    </row>
    <row r="801" spans="9:54" x14ac:dyDescent="0.25">
      <c r="I801" s="41">
        <v>796</v>
      </c>
      <c r="J801" s="57">
        <f t="shared" si="384"/>
        <v>21209.609477998336</v>
      </c>
      <c r="K801" s="57">
        <f t="shared" si="385"/>
        <v>12351.478631379983</v>
      </c>
      <c r="M801" s="41">
        <v>796</v>
      </c>
      <c r="N801" s="57">
        <f t="shared" si="386"/>
        <v>-19153.273365401164</v>
      </c>
      <c r="O801" s="57">
        <f t="shared" si="387"/>
        <v>13396.035041965988</v>
      </c>
      <c r="Q801" s="41">
        <v>796</v>
      </c>
      <c r="R801" s="57">
        <f t="shared" si="388"/>
        <v>-3790.3905220016636</v>
      </c>
      <c r="S801" s="41">
        <f t="shared" si="389"/>
        <v>-10148.521368620017</v>
      </c>
      <c r="U801" s="41">
        <v>795</v>
      </c>
      <c r="V801" s="41">
        <f t="shared" si="411"/>
        <v>397.5</v>
      </c>
      <c r="W801" s="57">
        <f t="shared" si="412"/>
        <v>283367.66982618091</v>
      </c>
      <c r="X801" s="57">
        <f t="shared" si="413"/>
        <v>484851.01970164292</v>
      </c>
      <c r="Y801" s="57">
        <f t="shared" si="414"/>
        <v>638.88885708580995</v>
      </c>
      <c r="Z801" s="57">
        <f t="shared" si="415"/>
        <v>718.62473093116364</v>
      </c>
      <c r="AA801" s="57">
        <f t="shared" si="390"/>
        <v>-5.2336124500976711</v>
      </c>
      <c r="AB801" s="57">
        <f t="shared" si="391"/>
        <v>-8.9761014524069118</v>
      </c>
      <c r="AC801" s="57">
        <f t="shared" si="392"/>
        <v>-0.85057105558538681</v>
      </c>
      <c r="AD801" s="57">
        <f t="shared" si="393"/>
        <v>-1.5416507310117278</v>
      </c>
      <c r="AE801" s="57">
        <f t="shared" si="394"/>
        <v>-0.30444879000894853</v>
      </c>
      <c r="AF801" s="57">
        <f t="shared" si="395"/>
        <v>-0.47654326008276654</v>
      </c>
      <c r="AG801" s="57">
        <f t="shared" si="396"/>
        <v>-0.78536155858817713</v>
      </c>
      <c r="AH801" s="57">
        <f t="shared" si="397"/>
        <v>-1.3613307488020319</v>
      </c>
      <c r="AJ801" s="57">
        <f t="shared" si="398"/>
        <v>545184.85444835178</v>
      </c>
      <c r="AK801" s="57">
        <f t="shared" si="399"/>
        <v>563485.0787797817</v>
      </c>
      <c r="AL801" s="57">
        <f t="shared" si="400"/>
        <v>577067.54795063077</v>
      </c>
      <c r="AN801" s="41">
        <v>796</v>
      </c>
      <c r="AO801" s="57">
        <f t="shared" si="401"/>
        <v>6814.4142169975048</v>
      </c>
      <c r="AP801" s="57">
        <f t="shared" si="402"/>
        <v>22277.217947069974</v>
      </c>
      <c r="AR801" s="41">
        <v>796</v>
      </c>
      <c r="AS801" s="57">
        <f t="shared" si="403"/>
        <v>15846.726634598836</v>
      </c>
      <c r="AT801" s="57">
        <f t="shared" si="404"/>
        <v>-1603.9649580340119</v>
      </c>
      <c r="AV801" s="57">
        <f t="shared" si="405"/>
        <v>-3.016702186547993</v>
      </c>
      <c r="AW801" s="57">
        <f t="shared" si="406"/>
        <v>-5.0918290883808721</v>
      </c>
      <c r="AX801" s="57">
        <f t="shared" si="407"/>
        <v>-0.27652885936716615</v>
      </c>
      <c r="AY801" s="57">
        <f t="shared" si="408"/>
        <v>-0.50474762412951357</v>
      </c>
      <c r="BA801" s="57">
        <f t="shared" si="409"/>
        <v>546121.36043111456</v>
      </c>
      <c r="BB801" s="57">
        <f t="shared" si="410"/>
        <v>558547.42655451689</v>
      </c>
    </row>
    <row r="802" spans="9:54" x14ac:dyDescent="0.25">
      <c r="I802" s="41">
        <v>797</v>
      </c>
      <c r="J802" s="57">
        <f t="shared" si="384"/>
        <v>21124.755271719328</v>
      </c>
      <c r="K802" s="57">
        <f t="shared" si="385"/>
        <v>12371.850323926175</v>
      </c>
      <c r="M802" s="41">
        <v>797</v>
      </c>
      <c r="N802" s="57">
        <f t="shared" si="386"/>
        <v>-19212.671309796471</v>
      </c>
      <c r="O802" s="57">
        <f t="shared" si="387"/>
        <v>13410.295226748323</v>
      </c>
      <c r="Q802" s="41">
        <v>797</v>
      </c>
      <c r="R802" s="57">
        <f t="shared" si="388"/>
        <v>-3875.244728280672</v>
      </c>
      <c r="S802" s="41">
        <f t="shared" si="389"/>
        <v>-10128.149676073825</v>
      </c>
      <c r="U802" s="41">
        <v>796</v>
      </c>
      <c r="V802" s="41">
        <f t="shared" si="411"/>
        <v>398</v>
      </c>
      <c r="W802" s="57">
        <f t="shared" si="412"/>
        <v>283686.46005316754</v>
      </c>
      <c r="X802" s="57">
        <f t="shared" si="413"/>
        <v>485209.21005442692</v>
      </c>
      <c r="Y802" s="57">
        <f t="shared" si="414"/>
        <v>636.27205086076106</v>
      </c>
      <c r="Z802" s="57">
        <f t="shared" si="415"/>
        <v>714.13668020496016</v>
      </c>
      <c r="AA802" s="57">
        <f t="shared" si="390"/>
        <v>-5.226261044289596</v>
      </c>
      <c r="AB802" s="57">
        <f t="shared" si="391"/>
        <v>-8.9599550139875141</v>
      </c>
      <c r="AC802" s="57">
        <f t="shared" si="392"/>
        <v>-0.8494137161689167</v>
      </c>
      <c r="AD802" s="57">
        <f t="shared" si="393"/>
        <v>-1.5388456247568867</v>
      </c>
      <c r="AE802" s="57">
        <f t="shared" si="394"/>
        <v>-0.30400185428487714</v>
      </c>
      <c r="AF802" s="57">
        <f t="shared" si="395"/>
        <v>-0.47570273961014115</v>
      </c>
      <c r="AG802" s="57">
        <f t="shared" si="396"/>
        <v>-0.78431414952338685</v>
      </c>
      <c r="AH802" s="57">
        <f t="shared" si="397"/>
        <v>-1.3589870515414857</v>
      </c>
      <c r="AJ802" s="57">
        <f t="shared" si="398"/>
        <v>545652.48884816363</v>
      </c>
      <c r="AK802" s="57">
        <f t="shared" si="399"/>
        <v>563958.56172255822</v>
      </c>
      <c r="AL802" s="57">
        <f t="shared" si="400"/>
        <v>577537.12092064088</v>
      </c>
      <c r="AN802" s="41">
        <v>797</v>
      </c>
      <c r="AO802" s="57">
        <f t="shared" si="401"/>
        <v>6687.1329075789927</v>
      </c>
      <c r="AP802" s="57">
        <f t="shared" si="402"/>
        <v>22307.775485889262</v>
      </c>
      <c r="AR802" s="41">
        <v>797</v>
      </c>
      <c r="AS802" s="57">
        <f t="shared" si="403"/>
        <v>15787.328690203529</v>
      </c>
      <c r="AT802" s="57">
        <f t="shared" si="404"/>
        <v>-1589.7047732516771</v>
      </c>
      <c r="AV802" s="57">
        <f t="shared" si="405"/>
        <v>-3.0123676205711409</v>
      </c>
      <c r="AW802" s="57">
        <f t="shared" si="406"/>
        <v>-5.082568413951873</v>
      </c>
      <c r="AX802" s="57">
        <f t="shared" si="407"/>
        <v>-0.27616370374127491</v>
      </c>
      <c r="AY802" s="57">
        <f t="shared" si="408"/>
        <v>-0.50385118412712959</v>
      </c>
      <c r="BA802" s="57">
        <f t="shared" si="409"/>
        <v>546592.02723509783</v>
      </c>
      <c r="BB802" s="57">
        <f t="shared" si="410"/>
        <v>559014.74348901352</v>
      </c>
    </row>
    <row r="803" spans="9:54" x14ac:dyDescent="0.25">
      <c r="I803" s="41">
        <v>798</v>
      </c>
      <c r="J803" s="57">
        <f t="shared" si="384"/>
        <v>21039.558454088805</v>
      </c>
      <c r="K803" s="57">
        <f t="shared" si="385"/>
        <v>12390.738003669027</v>
      </c>
      <c r="M803" s="41">
        <v>798</v>
      </c>
      <c r="N803" s="57">
        <f t="shared" si="386"/>
        <v>-19272.309082137836</v>
      </c>
      <c r="O803" s="57">
        <f t="shared" si="387"/>
        <v>13423.516602568317</v>
      </c>
      <c r="Q803" s="41">
        <v>798</v>
      </c>
      <c r="R803" s="57">
        <f t="shared" si="388"/>
        <v>-3960.4415459111951</v>
      </c>
      <c r="S803" s="41">
        <f t="shared" si="389"/>
        <v>-10109.261996330973</v>
      </c>
      <c r="U803" s="41">
        <v>797</v>
      </c>
      <c r="V803" s="41">
        <f t="shared" si="411"/>
        <v>398.5</v>
      </c>
      <c r="W803" s="57">
        <f t="shared" si="412"/>
        <v>284003.94279596739</v>
      </c>
      <c r="X803" s="57">
        <f t="shared" si="413"/>
        <v>485565.15840015269</v>
      </c>
      <c r="Y803" s="57">
        <f t="shared" si="414"/>
        <v>633.65892033861621</v>
      </c>
      <c r="Z803" s="57">
        <f t="shared" si="415"/>
        <v>709.65670269796635</v>
      </c>
      <c r="AA803" s="57">
        <f t="shared" si="390"/>
        <v>-5.2189729223302761</v>
      </c>
      <c r="AB803" s="57">
        <f t="shared" si="391"/>
        <v>-8.9439350394956438</v>
      </c>
      <c r="AC803" s="57">
        <f t="shared" si="392"/>
        <v>-0.84826636853852366</v>
      </c>
      <c r="AD803" s="57">
        <f t="shared" si="393"/>
        <v>-1.5360626494669383</v>
      </c>
      <c r="AE803" s="57">
        <f t="shared" si="394"/>
        <v>-0.3035587431899841</v>
      </c>
      <c r="AF803" s="57">
        <f t="shared" si="395"/>
        <v>-0.47486871538960523</v>
      </c>
      <c r="AG803" s="57">
        <f t="shared" si="396"/>
        <v>-0.78327567236003404</v>
      </c>
      <c r="AH803" s="57">
        <f t="shared" si="397"/>
        <v>-1.3566614600918774</v>
      </c>
      <c r="AJ803" s="57">
        <f t="shared" si="398"/>
        <v>546117.54914851394</v>
      </c>
      <c r="AK803" s="57">
        <f t="shared" si="399"/>
        <v>564429.46159786533</v>
      </c>
      <c r="AL803" s="57">
        <f t="shared" si="400"/>
        <v>578004.11482599739</v>
      </c>
      <c r="AN803" s="41">
        <v>798</v>
      </c>
      <c r="AO803" s="57">
        <f t="shared" si="401"/>
        <v>6559.3376811332073</v>
      </c>
      <c r="AP803" s="57">
        <f t="shared" si="402"/>
        <v>22336.107005503538</v>
      </c>
      <c r="AR803" s="41">
        <v>798</v>
      </c>
      <c r="AS803" s="57">
        <f t="shared" si="403"/>
        <v>15727.690917862164</v>
      </c>
      <c r="AT803" s="57">
        <f t="shared" si="404"/>
        <v>-1576.4833974316816</v>
      </c>
      <c r="AV803" s="57">
        <f t="shared" si="405"/>
        <v>-3.0080704529292239</v>
      </c>
      <c r="AW803" s="57">
        <f t="shared" si="406"/>
        <v>-5.0733804511020626</v>
      </c>
      <c r="AX803" s="57">
        <f t="shared" si="407"/>
        <v>-0.27580168531251043</v>
      </c>
      <c r="AY803" s="57">
        <f t="shared" si="408"/>
        <v>-0.50296176344516008</v>
      </c>
      <c r="BA803" s="57">
        <f t="shared" si="409"/>
        <v>547060.11406047165</v>
      </c>
      <c r="BB803" s="57">
        <f t="shared" si="410"/>
        <v>559479.48655508633</v>
      </c>
    </row>
    <row r="804" spans="9:54" x14ac:dyDescent="0.25">
      <c r="I804" s="41">
        <v>799</v>
      </c>
      <c r="J804" s="57">
        <f t="shared" si="384"/>
        <v>20954.044976882727</v>
      </c>
      <c r="K804" s="57">
        <f t="shared" si="385"/>
        <v>12408.13591723832</v>
      </c>
      <c r="M804" s="41">
        <v>799</v>
      </c>
      <c r="N804" s="57">
        <f t="shared" si="386"/>
        <v>-19332.16851618209</v>
      </c>
      <c r="O804" s="57">
        <f t="shared" si="387"/>
        <v>13435.695142066823</v>
      </c>
      <c r="Q804" s="41">
        <v>799</v>
      </c>
      <c r="R804" s="57">
        <f t="shared" si="388"/>
        <v>-4045.9550231172707</v>
      </c>
      <c r="S804" s="41">
        <f t="shared" si="389"/>
        <v>-10091.86408276168</v>
      </c>
      <c r="U804" s="41">
        <v>798</v>
      </c>
      <c r="V804" s="41">
        <f t="shared" si="411"/>
        <v>399</v>
      </c>
      <c r="W804" s="57">
        <f t="shared" si="412"/>
        <v>284320.11988452141</v>
      </c>
      <c r="X804" s="57">
        <f t="shared" si="413"/>
        <v>485918.86875962175</v>
      </c>
      <c r="Y804" s="57">
        <f t="shared" si="414"/>
        <v>631.04943387745107</v>
      </c>
      <c r="Z804" s="57">
        <f t="shared" si="415"/>
        <v>705.18473517821849</v>
      </c>
      <c r="AA804" s="57">
        <f t="shared" si="390"/>
        <v>-5.2117476548349844</v>
      </c>
      <c r="AB804" s="57">
        <f t="shared" si="391"/>
        <v>-8.928040570942251</v>
      </c>
      <c r="AC804" s="57">
        <f t="shared" si="392"/>
        <v>-0.84712894661743676</v>
      </c>
      <c r="AD804" s="57">
        <f t="shared" si="393"/>
        <v>-1.5333016363313834</v>
      </c>
      <c r="AE804" s="57">
        <f t="shared" si="394"/>
        <v>-0.30311942996596725</v>
      </c>
      <c r="AF804" s="57">
        <f t="shared" si="395"/>
        <v>-0.47404113886129556</v>
      </c>
      <c r="AG804" s="57">
        <f t="shared" si="396"/>
        <v>-0.78224606850503564</v>
      </c>
      <c r="AH804" s="57">
        <f t="shared" si="397"/>
        <v>-1.3543538412869554</v>
      </c>
      <c r="AJ804" s="57">
        <f t="shared" si="398"/>
        <v>546580.03966574185</v>
      </c>
      <c r="AK804" s="57">
        <f t="shared" si="399"/>
        <v>564897.78279611573</v>
      </c>
      <c r="AL804" s="57">
        <f t="shared" si="400"/>
        <v>578468.53401841398</v>
      </c>
      <c r="AN804" s="41">
        <v>799</v>
      </c>
      <c r="AO804" s="57">
        <f t="shared" si="401"/>
        <v>6431.067465324094</v>
      </c>
      <c r="AP804" s="57">
        <f t="shared" si="402"/>
        <v>22362.203875857478</v>
      </c>
      <c r="AR804" s="41">
        <v>799</v>
      </c>
      <c r="AS804" s="57">
        <f t="shared" si="403"/>
        <v>15667.83148381791</v>
      </c>
      <c r="AT804" s="57">
        <f t="shared" si="404"/>
        <v>-1564.3048579331767</v>
      </c>
      <c r="AV804" s="57">
        <f t="shared" si="405"/>
        <v>-3.0038104260095428</v>
      </c>
      <c r="AW804" s="57">
        <f t="shared" si="406"/>
        <v>-5.064264645058814</v>
      </c>
      <c r="AX804" s="57">
        <f t="shared" si="407"/>
        <v>-0.27544278373700143</v>
      </c>
      <c r="AY804" s="57">
        <f t="shared" si="408"/>
        <v>-0.50207930940380285</v>
      </c>
      <c r="BA804" s="57">
        <f t="shared" si="409"/>
        <v>547525.6252689414</v>
      </c>
      <c r="BB804" s="57">
        <f t="shared" si="410"/>
        <v>559941.66006722499</v>
      </c>
    </row>
    <row r="805" spans="9:54" x14ac:dyDescent="0.25">
      <c r="I805" s="41">
        <v>800</v>
      </c>
      <c r="J805" s="57">
        <f t="shared" si="384"/>
        <v>20868.240888334654</v>
      </c>
      <c r="K805" s="57">
        <f t="shared" si="385"/>
        <v>12424.038765061039</v>
      </c>
      <c r="M805" s="41">
        <v>800</v>
      </c>
      <c r="N805" s="57">
        <f t="shared" si="386"/>
        <v>-19392.231378165743</v>
      </c>
      <c r="O805" s="57">
        <f t="shared" si="387"/>
        <v>13446.827135542728</v>
      </c>
      <c r="Q805" s="41">
        <v>800</v>
      </c>
      <c r="R805" s="57">
        <f t="shared" si="388"/>
        <v>-4131.7591116653466</v>
      </c>
      <c r="S805" s="41">
        <f t="shared" si="389"/>
        <v>-10075.961234938961</v>
      </c>
      <c r="U805" s="41">
        <v>799</v>
      </c>
      <c r="V805" s="41">
        <f t="shared" si="411"/>
        <v>399.5</v>
      </c>
      <c r="W805" s="57">
        <f t="shared" si="412"/>
        <v>284634.9931330033</v>
      </c>
      <c r="X805" s="57">
        <f t="shared" si="413"/>
        <v>486270.34512213949</v>
      </c>
      <c r="Y805" s="57">
        <f t="shared" si="414"/>
        <v>628.44356005003362</v>
      </c>
      <c r="Z805" s="57">
        <f t="shared" si="415"/>
        <v>700.72071489274731</v>
      </c>
      <c r="AA805" s="57">
        <f t="shared" si="390"/>
        <v>-5.2045848175811633</v>
      </c>
      <c r="AB805" s="57">
        <f t="shared" si="391"/>
        <v>-8.9122706617573417</v>
      </c>
      <c r="AC805" s="57">
        <f t="shared" si="392"/>
        <v>-0.84600138511699874</v>
      </c>
      <c r="AD805" s="57">
        <f t="shared" si="393"/>
        <v>-1.5305624185638356</v>
      </c>
      <c r="AE805" s="57">
        <f t="shared" si="394"/>
        <v>-0.30268388817849068</v>
      </c>
      <c r="AF805" s="57">
        <f t="shared" si="395"/>
        <v>-0.47321996203745709</v>
      </c>
      <c r="AG805" s="57">
        <f t="shared" si="396"/>
        <v>-0.78122528005849634</v>
      </c>
      <c r="AH805" s="57">
        <f t="shared" si="397"/>
        <v>-1.3520640635202306</v>
      </c>
      <c r="AJ805" s="57">
        <f t="shared" si="398"/>
        <v>547039.96468162839</v>
      </c>
      <c r="AK805" s="57">
        <f t="shared" si="399"/>
        <v>565363.52967264073</v>
      </c>
      <c r="AL805" s="57">
        <f t="shared" si="400"/>
        <v>578930.38281474193</v>
      </c>
      <c r="AN805" s="41">
        <v>800</v>
      </c>
      <c r="AO805" s="57">
        <f t="shared" si="401"/>
        <v>6302.3613325019796</v>
      </c>
      <c r="AP805" s="57">
        <f t="shared" si="402"/>
        <v>22386.058147591561</v>
      </c>
      <c r="AR805" s="41">
        <v>800</v>
      </c>
      <c r="AS805" s="57">
        <f t="shared" si="403"/>
        <v>15607.768621834257</v>
      </c>
      <c r="AT805" s="57">
        <f t="shared" si="404"/>
        <v>-1553.1728644572718</v>
      </c>
      <c r="AV805" s="57">
        <f t="shared" si="405"/>
        <v>-2.9995872853158208</v>
      </c>
      <c r="AW805" s="57">
        <f t="shared" si="406"/>
        <v>-5.0552204476869864</v>
      </c>
      <c r="AX805" s="57">
        <f t="shared" si="407"/>
        <v>-0.27508697891135647</v>
      </c>
      <c r="AY805" s="57">
        <f t="shared" si="408"/>
        <v>-0.50120376994883231</v>
      </c>
      <c r="BA805" s="57">
        <f t="shared" si="409"/>
        <v>547988.56518729962</v>
      </c>
      <c r="BB805" s="57">
        <f t="shared" si="410"/>
        <v>560401.26830536418</v>
      </c>
    </row>
    <row r="806" spans="9:54" x14ac:dyDescent="0.25">
      <c r="I806" s="41">
        <v>801</v>
      </c>
      <c r="J806" s="57">
        <f t="shared" si="384"/>
        <v>20782.172325201162</v>
      </c>
      <c r="K806" s="57">
        <f t="shared" si="385"/>
        <v>12438.441702975688</v>
      </c>
      <c r="M806" s="41">
        <v>801</v>
      </c>
      <c r="N806" s="57">
        <f t="shared" si="386"/>
        <v>-19452.479372359187</v>
      </c>
      <c r="O806" s="57">
        <f t="shared" si="387"/>
        <v>13456.909192082981</v>
      </c>
      <c r="Q806" s="41">
        <v>801</v>
      </c>
      <c r="R806" s="57">
        <f t="shared" si="388"/>
        <v>-4217.8276747988384</v>
      </c>
      <c r="S806" s="41">
        <f t="shared" si="389"/>
        <v>-10061.558297024312</v>
      </c>
      <c r="U806" s="41">
        <v>800</v>
      </c>
      <c r="V806" s="41">
        <f t="shared" si="411"/>
        <v>400</v>
      </c>
      <c r="W806" s="57">
        <f t="shared" si="412"/>
        <v>284948.56433992612</v>
      </c>
      <c r="X806" s="57">
        <f t="shared" si="413"/>
        <v>486619.59144575312</v>
      </c>
      <c r="Y806" s="57">
        <f t="shared" si="414"/>
        <v>625.84126764124301</v>
      </c>
      <c r="Z806" s="57">
        <f t="shared" si="415"/>
        <v>696.26457956186869</v>
      </c>
      <c r="AA806" s="57">
        <f t="shared" si="390"/>
        <v>-5.1974839914423674</v>
      </c>
      <c r="AB806" s="57">
        <f t="shared" si="391"/>
        <v>-8.896624376636181</v>
      </c>
      <c r="AC806" s="57">
        <f t="shared" si="392"/>
        <v>-0.84488361952675528</v>
      </c>
      <c r="AD806" s="57">
        <f t="shared" si="393"/>
        <v>-1.5278448313745674</v>
      </c>
      <c r="AE806" s="57">
        <f t="shared" si="394"/>
        <v>-0.30225209171295009</v>
      </c>
      <c r="AF806" s="57">
        <f t="shared" si="395"/>
        <v>-0.47240513749481938</v>
      </c>
      <c r="AG806" s="57">
        <f t="shared" si="396"/>
        <v>-0.78021324980504514</v>
      </c>
      <c r="AH806" s="57">
        <f t="shared" si="397"/>
        <v>-1.3497919967244276</v>
      </c>
      <c r="AJ806" s="57">
        <f t="shared" si="398"/>
        <v>547497.32844364946</v>
      </c>
      <c r="AK806" s="57">
        <f t="shared" si="399"/>
        <v>565826.70654794888</v>
      </c>
      <c r="AL806" s="57">
        <f t="shared" si="400"/>
        <v>579389.66549722699</v>
      </c>
      <c r="AN806" s="41">
        <v>801</v>
      </c>
      <c r="AO806" s="57">
        <f t="shared" si="401"/>
        <v>6173.2584878017424</v>
      </c>
      <c r="AP806" s="57">
        <f t="shared" si="402"/>
        <v>22407.662554463532</v>
      </c>
      <c r="AR806" s="41">
        <v>801</v>
      </c>
      <c r="AS806" s="57">
        <f t="shared" si="403"/>
        <v>15547.520627640813</v>
      </c>
      <c r="AT806" s="57">
        <f t="shared" si="404"/>
        <v>-1543.0908079170185</v>
      </c>
      <c r="AV806" s="57">
        <f t="shared" si="405"/>
        <v>-2.9954007794279107</v>
      </c>
      <c r="AW806" s="57">
        <f t="shared" si="406"/>
        <v>-5.0462473173991009</v>
      </c>
      <c r="AX806" s="57">
        <f t="shared" si="407"/>
        <v>-0.27473425096970588</v>
      </c>
      <c r="AY806" s="57">
        <f t="shared" si="408"/>
        <v>-0.50033509364326478</v>
      </c>
      <c r="BA806" s="57">
        <f t="shared" si="409"/>
        <v>548448.93810768274</v>
      </c>
      <c r="BB806" s="57">
        <f t="shared" si="410"/>
        <v>560858.31551513658</v>
      </c>
    </row>
    <row r="807" spans="9:54" x14ac:dyDescent="0.25">
      <c r="I807" s="41">
        <v>802</v>
      </c>
      <c r="J807" s="57">
        <f t="shared" si="384"/>
        <v>20695.865504800331</v>
      </c>
      <c r="K807" s="57">
        <f t="shared" si="385"/>
        <v>12451.340343707852</v>
      </c>
      <c r="M807" s="41">
        <v>802</v>
      </c>
      <c r="N807" s="57">
        <f t="shared" si="386"/>
        <v>-19512.89414663977</v>
      </c>
      <c r="O807" s="57">
        <f t="shared" si="387"/>
        <v>13465.938240595497</v>
      </c>
      <c r="Q807" s="41">
        <v>802</v>
      </c>
      <c r="R807" s="57">
        <f t="shared" si="388"/>
        <v>-4304.1344951996689</v>
      </c>
      <c r="S807" s="41">
        <f t="shared" si="389"/>
        <v>-10048.659656292148</v>
      </c>
      <c r="U807" s="41">
        <v>801</v>
      </c>
      <c r="V807" s="41">
        <f t="shared" si="411"/>
        <v>400.5</v>
      </c>
      <c r="W807" s="57">
        <f t="shared" si="412"/>
        <v>285260.83528824785</v>
      </c>
      <c r="X807" s="57">
        <f t="shared" si="413"/>
        <v>486966.611657487</v>
      </c>
      <c r="Y807" s="57">
        <f t="shared" si="414"/>
        <v>623.24252564552182</v>
      </c>
      <c r="Z807" s="57">
        <f t="shared" si="415"/>
        <v>691.81626737355055</v>
      </c>
      <c r="AA807" s="57">
        <f t="shared" si="390"/>
        <v>-5.1904447623235059</v>
      </c>
      <c r="AB807" s="57">
        <f t="shared" si="391"/>
        <v>-8.881100791388441</v>
      </c>
      <c r="AC807" s="57">
        <f t="shared" si="392"/>
        <v>-0.84377558610478187</v>
      </c>
      <c r="AD807" s="57">
        <f t="shared" si="393"/>
        <v>-1.5251487119436578</v>
      </c>
      <c r="AE807" s="57">
        <f t="shared" si="394"/>
        <v>-0.30182401477033238</v>
      </c>
      <c r="AF807" s="57">
        <f t="shared" si="395"/>
        <v>-0.47159661836713523</v>
      </c>
      <c r="AG807" s="57">
        <f t="shared" si="396"/>
        <v>-0.77920992120533383</v>
      </c>
      <c r="AH807" s="57">
        <f t="shared" si="397"/>
        <v>-1.34753751235131</v>
      </c>
      <c r="AJ807" s="57">
        <f t="shared" si="398"/>
        <v>547952.1351652263</v>
      </c>
      <c r="AK807" s="57">
        <f t="shared" si="399"/>
        <v>566287.31770798366</v>
      </c>
      <c r="AL807" s="57">
        <f t="shared" si="400"/>
        <v>579846.38631376298</v>
      </c>
      <c r="AN807" s="41">
        <v>802</v>
      </c>
      <c r="AO807" s="57">
        <f t="shared" si="401"/>
        <v>6043.7982572004967</v>
      </c>
      <c r="AP807" s="57">
        <f t="shared" si="402"/>
        <v>22427.010515561778</v>
      </c>
      <c r="AR807" s="41">
        <v>802</v>
      </c>
      <c r="AS807" s="57">
        <f t="shared" si="403"/>
        <v>15487.105853360232</v>
      </c>
      <c r="AT807" s="57">
        <f t="shared" si="404"/>
        <v>-1534.0617594045043</v>
      </c>
      <c r="AV807" s="57">
        <f t="shared" si="405"/>
        <v>-2.9912506599622746</v>
      </c>
      <c r="AW807" s="57">
        <f t="shared" si="406"/>
        <v>-5.0373447190671961</v>
      </c>
      <c r="AX807" s="57">
        <f t="shared" si="407"/>
        <v>-0.27438458028078277</v>
      </c>
      <c r="AY807" s="57">
        <f t="shared" si="408"/>
        <v>-0.49947322965914143</v>
      </c>
      <c r="BA807" s="57">
        <f t="shared" si="409"/>
        <v>548906.74828782666</v>
      </c>
      <c r="BB807" s="57">
        <f t="shared" si="410"/>
        <v>561312.80590812291</v>
      </c>
    </row>
    <row r="808" spans="9:54" x14ac:dyDescent="0.25">
      <c r="I808" s="41">
        <v>803</v>
      </c>
      <c r="J808" s="57">
        <f t="shared" si="384"/>
        <v>20609.346717025739</v>
      </c>
      <c r="K808" s="57">
        <f t="shared" si="385"/>
        <v>12462.73075820661</v>
      </c>
      <c r="M808" s="41">
        <v>803</v>
      </c>
      <c r="N808" s="57">
        <f t="shared" si="386"/>
        <v>-19573.457298081983</v>
      </c>
      <c r="O808" s="57">
        <f t="shared" si="387"/>
        <v>13473.911530744626</v>
      </c>
      <c r="Q808" s="41">
        <v>803</v>
      </c>
      <c r="R808" s="57">
        <f t="shared" si="388"/>
        <v>-4390.6532829742628</v>
      </c>
      <c r="S808" s="41">
        <f t="shared" si="389"/>
        <v>-10037.26924179339</v>
      </c>
      <c r="U808" s="41">
        <v>802</v>
      </c>
      <c r="V808" s="41">
        <f t="shared" si="411"/>
        <v>401</v>
      </c>
      <c r="W808" s="57">
        <f t="shared" si="412"/>
        <v>285571.80774547532</v>
      </c>
      <c r="X808" s="57">
        <f t="shared" si="413"/>
        <v>487311.40965357481</v>
      </c>
      <c r="Y808" s="57">
        <f t="shared" si="414"/>
        <v>620.64730326436006</v>
      </c>
      <c r="Z808" s="57">
        <f t="shared" si="415"/>
        <v>687.37571697785631</v>
      </c>
      <c r="AA808" s="57">
        <f t="shared" si="390"/>
        <v>-5.1834667210969467</v>
      </c>
      <c r="AB808" s="57">
        <f t="shared" si="391"/>
        <v>-8.8656989927895342</v>
      </c>
      <c r="AC808" s="57">
        <f t="shared" si="392"/>
        <v>-0.84267722186814109</v>
      </c>
      <c r="AD808" s="57">
        <f t="shared" si="393"/>
        <v>-1.5224738993945404</v>
      </c>
      <c r="AE808" s="57">
        <f t="shared" si="394"/>
        <v>-0.30139963186311092</v>
      </c>
      <c r="AF808" s="57">
        <f t="shared" si="395"/>
        <v>-0.47079435833779132</v>
      </c>
      <c r="AG808" s="57">
        <f t="shared" si="396"/>
        <v>-0.77821523838768036</v>
      </c>
      <c r="AH808" s="57">
        <f t="shared" si="397"/>
        <v>-1.3453004833518489</v>
      </c>
      <c r="AJ808" s="57">
        <f t="shared" si="398"/>
        <v>548404.38902597257</v>
      </c>
      <c r="AK808" s="57">
        <f t="shared" si="399"/>
        <v>566745.36740437534</v>
      </c>
      <c r="AL808" s="57">
        <f t="shared" si="400"/>
        <v>580300.54947814322</v>
      </c>
      <c r="AN808" s="41">
        <v>803</v>
      </c>
      <c r="AO808" s="57">
        <f t="shared" si="401"/>
        <v>5914.0200755386068</v>
      </c>
      <c r="AP808" s="57">
        <f t="shared" si="402"/>
        <v>22444.096137309916</v>
      </c>
      <c r="AR808" s="41">
        <v>803</v>
      </c>
      <c r="AS808" s="57">
        <f t="shared" si="403"/>
        <v>15426.542701918017</v>
      </c>
      <c r="AT808" s="57">
        <f t="shared" si="404"/>
        <v>-1526.0884692553732</v>
      </c>
      <c r="AV808" s="57">
        <f t="shared" si="405"/>
        <v>-2.9871366815329763</v>
      </c>
      <c r="AW808" s="57">
        <f t="shared" si="406"/>
        <v>-5.0285121239359238</v>
      </c>
      <c r="AX808" s="57">
        <f t="shared" si="407"/>
        <v>-0.27403794744503779</v>
      </c>
      <c r="AY808" s="57">
        <f t="shared" si="408"/>
        <v>-0.49861812776942899</v>
      </c>
      <c r="BA808" s="57">
        <f t="shared" si="409"/>
        <v>549361.99995131709</v>
      </c>
      <c r="BB808" s="57">
        <f t="shared" si="410"/>
        <v>561764.74366209959</v>
      </c>
    </row>
    <row r="809" spans="9:54" x14ac:dyDescent="0.25">
      <c r="I809" s="41">
        <v>804</v>
      </c>
      <c r="J809" s="57">
        <f t="shared" si="384"/>
        <v>20522.642316338264</v>
      </c>
      <c r="K809" s="57">
        <f t="shared" si="385"/>
        <v>12472.609476841368</v>
      </c>
      <c r="M809" s="41">
        <v>804</v>
      </c>
      <c r="N809" s="57">
        <f t="shared" si="386"/>
        <v>-19634.150378563216</v>
      </c>
      <c r="O809" s="57">
        <f t="shared" si="387"/>
        <v>13480.826633788956</v>
      </c>
      <c r="Q809" s="41">
        <v>804</v>
      </c>
      <c r="R809" s="57">
        <f t="shared" si="388"/>
        <v>-4477.3576836617358</v>
      </c>
      <c r="S809" s="41">
        <f t="shared" si="389"/>
        <v>-10027.390523158632</v>
      </c>
      <c r="U809" s="41">
        <v>803</v>
      </c>
      <c r="V809" s="41">
        <f t="shared" si="411"/>
        <v>401.5</v>
      </c>
      <c r="W809" s="57">
        <f t="shared" si="412"/>
        <v>285881.48346376733</v>
      </c>
      <c r="X809" s="57">
        <f t="shared" si="413"/>
        <v>487653.98929968965</v>
      </c>
      <c r="Y809" s="57">
        <f t="shared" si="414"/>
        <v>618.0555699038116</v>
      </c>
      <c r="Z809" s="57">
        <f t="shared" si="415"/>
        <v>682.94286748146158</v>
      </c>
      <c r="AA809" s="57">
        <f t="shared" si="390"/>
        <v>-5.1765494635398612</v>
      </c>
      <c r="AB809" s="57">
        <f t="shared" si="391"/>
        <v>-8.8504180784347071</v>
      </c>
      <c r="AC809" s="57">
        <f t="shared" si="392"/>
        <v>-0.84158846458346026</v>
      </c>
      <c r="AD809" s="57">
        <f t="shared" si="393"/>
        <v>-1.5198202347679326</v>
      </c>
      <c r="AE809" s="57">
        <f t="shared" si="394"/>
        <v>-0.30097891781123798</v>
      </c>
      <c r="AF809" s="57">
        <f t="shared" si="395"/>
        <v>-0.46999831163258543</v>
      </c>
      <c r="AG809" s="57">
        <f t="shared" si="396"/>
        <v>-0.77722914613982075</v>
      </c>
      <c r="AH809" s="57">
        <f t="shared" si="397"/>
        <v>-1.3430807841566712</v>
      </c>
      <c r="AJ809" s="57">
        <f t="shared" si="398"/>
        <v>548854.0941719393</v>
      </c>
      <c r="AK809" s="57">
        <f t="shared" si="399"/>
        <v>567200.85985469294</v>
      </c>
      <c r="AL809" s="57">
        <f t="shared" si="400"/>
        <v>580752.1591703078</v>
      </c>
      <c r="AN809" s="41">
        <v>804</v>
      </c>
      <c r="AO809" s="57">
        <f t="shared" si="401"/>
        <v>5783.9634745073963</v>
      </c>
      <c r="AP809" s="57">
        <f t="shared" si="402"/>
        <v>22458.914215262052</v>
      </c>
      <c r="AR809" s="41">
        <v>804</v>
      </c>
      <c r="AS809" s="57">
        <f t="shared" si="403"/>
        <v>15365.849621436784</v>
      </c>
      <c r="AT809" s="57">
        <f t="shared" si="404"/>
        <v>-1519.1733662110432</v>
      </c>
      <c r="AV809" s="57">
        <f t="shared" si="405"/>
        <v>-2.9830586017135157</v>
      </c>
      <c r="AW809" s="57">
        <f t="shared" si="406"/>
        <v>-5.0197490095374198</v>
      </c>
      <c r="AX809" s="57">
        <f t="shared" si="407"/>
        <v>-0.27369433329182624</v>
      </c>
      <c r="AY809" s="57">
        <f t="shared" si="408"/>
        <v>-0.49776973834009802</v>
      </c>
      <c r="BA809" s="57">
        <f t="shared" si="409"/>
        <v>549814.69728783867</v>
      </c>
      <c r="BB809" s="57">
        <f t="shared" si="410"/>
        <v>562214.1329212829</v>
      </c>
    </row>
    <row r="810" spans="9:54" x14ac:dyDescent="0.25">
      <c r="I810" s="41">
        <v>805</v>
      </c>
      <c r="J810" s="57">
        <f t="shared" si="384"/>
        <v>20435.778713738295</v>
      </c>
      <c r="K810" s="57">
        <f t="shared" si="385"/>
        <v>12480.973490458728</v>
      </c>
      <c r="M810" s="41">
        <v>805</v>
      </c>
      <c r="N810" s="57">
        <f t="shared" si="386"/>
        <v>-19694.954900383196</v>
      </c>
      <c r="O810" s="57">
        <f t="shared" si="387"/>
        <v>13486.681443321109</v>
      </c>
      <c r="Q810" s="41">
        <v>805</v>
      </c>
      <c r="R810" s="57">
        <f t="shared" si="388"/>
        <v>-4564.2212862617071</v>
      </c>
      <c r="S810" s="41">
        <f t="shared" si="389"/>
        <v>-10019.026509541272</v>
      </c>
      <c r="U810" s="41">
        <v>804</v>
      </c>
      <c r="V810" s="41">
        <f t="shared" si="411"/>
        <v>402</v>
      </c>
      <c r="W810" s="57">
        <f t="shared" si="412"/>
        <v>286189.8641800363</v>
      </c>
      <c r="X810" s="57">
        <f t="shared" si="413"/>
        <v>487994.35443117062</v>
      </c>
      <c r="Y810" s="57">
        <f t="shared" si="414"/>
        <v>615.46729517204164</v>
      </c>
      <c r="Z810" s="57">
        <f t="shared" si="415"/>
        <v>678.51765844224417</v>
      </c>
      <c r="AA810" s="57">
        <f t="shared" si="390"/>
        <v>-5.1696925902725255</v>
      </c>
      <c r="AB810" s="57">
        <f t="shared" si="391"/>
        <v>-8.8352571565954729</v>
      </c>
      <c r="AC810" s="57">
        <f t="shared" si="392"/>
        <v>-0.84050925275774535</v>
      </c>
      <c r="AD810" s="57">
        <f t="shared" si="393"/>
        <v>-1.5171875609963481</v>
      </c>
      <c r="AE810" s="57">
        <f t="shared" si="394"/>
        <v>-0.30056184773818806</v>
      </c>
      <c r="AF810" s="57">
        <f t="shared" si="395"/>
        <v>-0.46920843301259785</v>
      </c>
      <c r="AG810" s="57">
        <f t="shared" si="396"/>
        <v>-0.77625158990081367</v>
      </c>
      <c r="AH810" s="57">
        <f t="shared" si="397"/>
        <v>-1.3408782906568575</v>
      </c>
      <c r="AJ810" s="57">
        <f t="shared" si="398"/>
        <v>549301.25471585582</v>
      </c>
      <c r="AK810" s="57">
        <f t="shared" si="399"/>
        <v>567653.79924269044</v>
      </c>
      <c r="AL810" s="57">
        <f t="shared" si="400"/>
        <v>581201.21953658888</v>
      </c>
      <c r="AN810" s="41">
        <v>805</v>
      </c>
      <c r="AO810" s="57">
        <f t="shared" si="401"/>
        <v>5653.6680706074394</v>
      </c>
      <c r="AP810" s="57">
        <f t="shared" si="402"/>
        <v>22471.460235688093</v>
      </c>
      <c r="AR810" s="41">
        <v>805</v>
      </c>
      <c r="AS810" s="57">
        <f t="shared" si="403"/>
        <v>15305.045099616806</v>
      </c>
      <c r="AT810" s="57">
        <f t="shared" si="404"/>
        <v>-1513.3185566788907</v>
      </c>
      <c r="AV810" s="57">
        <f t="shared" si="405"/>
        <v>-2.9790161809991602</v>
      </c>
      <c r="AW810" s="57">
        <f t="shared" si="406"/>
        <v>-5.011054859607377</v>
      </c>
      <c r="AX810" s="57">
        <f t="shared" si="407"/>
        <v>-0.27335371887661819</v>
      </c>
      <c r="AY810" s="57">
        <f t="shared" si="408"/>
        <v>-0.49692801232229322</v>
      </c>
      <c r="BA810" s="57">
        <f t="shared" si="409"/>
        <v>550264.84445342049</v>
      </c>
      <c r="BB810" s="57">
        <f t="shared" si="410"/>
        <v>562660.97779657086</v>
      </c>
    </row>
    <row r="811" spans="9:54" x14ac:dyDescent="0.25">
      <c r="I811" s="41">
        <v>806</v>
      </c>
      <c r="J811" s="57">
        <f t="shared" si="384"/>
        <v>20348.782368720633</v>
      </c>
      <c r="K811" s="57">
        <f t="shared" si="385"/>
        <v>12487.820251299119</v>
      </c>
      <c r="M811" s="41">
        <v>806</v>
      </c>
      <c r="N811" s="57">
        <f t="shared" si="386"/>
        <v>-19755.852341895556</v>
      </c>
      <c r="O811" s="57">
        <f t="shared" si="387"/>
        <v>13491.474175909385</v>
      </c>
      <c r="Q811" s="41">
        <v>806</v>
      </c>
      <c r="R811" s="57">
        <f t="shared" si="388"/>
        <v>-4651.2176312793654</v>
      </c>
      <c r="S811" s="41">
        <f t="shared" si="389"/>
        <v>-10012.179748700881</v>
      </c>
      <c r="U811" s="41">
        <v>805</v>
      </c>
      <c r="V811" s="41">
        <f t="shared" si="411"/>
        <v>402.5</v>
      </c>
      <c r="W811" s="57">
        <f t="shared" si="412"/>
        <v>286496.95161604852</v>
      </c>
      <c r="X811" s="57">
        <f t="shared" si="413"/>
        <v>488332.50885324716</v>
      </c>
      <c r="Y811" s="57">
        <f t="shared" si="414"/>
        <v>612.88244887690541</v>
      </c>
      <c r="Z811" s="57">
        <f t="shared" si="415"/>
        <v>674.10002986394647</v>
      </c>
      <c r="AA811" s="57">
        <f t="shared" si="390"/>
        <v>-5.1628957066975083</v>
      </c>
      <c r="AB811" s="57">
        <f t="shared" si="391"/>
        <v>-8.8202153460781911</v>
      </c>
      <c r="AC811" s="57">
        <f t="shared" si="392"/>
        <v>-0.83943952562924873</v>
      </c>
      <c r="AD811" s="57">
        <f t="shared" si="393"/>
        <v>-1.5145757228788679</v>
      </c>
      <c r="AE811" s="57">
        <f t="shared" si="394"/>
        <v>-0.30014839706707264</v>
      </c>
      <c r="AF811" s="57">
        <f t="shared" si="395"/>
        <v>-0.46842467776718971</v>
      </c>
      <c r="AG811" s="57">
        <f t="shared" si="396"/>
        <v>-0.77528251575306528</v>
      </c>
      <c r="AH811" s="57">
        <f t="shared" si="397"/>
        <v>-1.3386928801850406</v>
      </c>
      <c r="AJ811" s="57">
        <f t="shared" si="398"/>
        <v>549745.87473736855</v>
      </c>
      <c r="AK811" s="57">
        <f t="shared" si="399"/>
        <v>568104.1897185517</v>
      </c>
      <c r="AL811" s="57">
        <f t="shared" si="400"/>
        <v>581647.73468995222</v>
      </c>
      <c r="AN811" s="41">
        <v>806</v>
      </c>
      <c r="AO811" s="57">
        <f t="shared" si="401"/>
        <v>5523.173553080951</v>
      </c>
      <c r="AP811" s="57">
        <f t="shared" si="402"/>
        <v>22481.730376948683</v>
      </c>
      <c r="AR811" s="41">
        <v>806</v>
      </c>
      <c r="AS811" s="57">
        <f t="shared" si="403"/>
        <v>15244.147658104444</v>
      </c>
      <c r="AT811" s="57">
        <f t="shared" si="404"/>
        <v>-1508.5258240906155</v>
      </c>
      <c r="AV811" s="57">
        <f t="shared" si="405"/>
        <v>-2.9750091827698593</v>
      </c>
      <c r="AW811" s="57">
        <f t="shared" si="406"/>
        <v>-5.0024291640024439</v>
      </c>
      <c r="AX811" s="57">
        <f t="shared" si="407"/>
        <v>-0.27301608547826245</v>
      </c>
      <c r="AY811" s="57">
        <f t="shared" si="408"/>
        <v>-0.49609290124464966</v>
      </c>
      <c r="BA811" s="57">
        <f t="shared" si="409"/>
        <v>550712.44557067822</v>
      </c>
      <c r="BB811" s="57">
        <f t="shared" si="410"/>
        <v>563105.28236578114</v>
      </c>
    </row>
    <row r="812" spans="9:54" x14ac:dyDescent="0.25">
      <c r="I812" s="41">
        <v>807</v>
      </c>
      <c r="J812" s="57">
        <f t="shared" si="384"/>
        <v>20261.679781214716</v>
      </c>
      <c r="K812" s="57">
        <f t="shared" si="385"/>
        <v>12493.14767377287</v>
      </c>
      <c r="M812" s="41">
        <v>807</v>
      </c>
      <c r="N812" s="57">
        <f t="shared" si="386"/>
        <v>-19816.824153149701</v>
      </c>
      <c r="O812" s="57">
        <f t="shared" si="387"/>
        <v>13495.203371641008</v>
      </c>
      <c r="Q812" s="41">
        <v>807</v>
      </c>
      <c r="R812" s="57">
        <f t="shared" si="388"/>
        <v>-4738.3202187852858</v>
      </c>
      <c r="S812" s="41">
        <f t="shared" si="389"/>
        <v>-10006.85232622713</v>
      </c>
      <c r="U812" s="41">
        <v>806</v>
      </c>
      <c r="V812" s="41">
        <f t="shared" si="411"/>
        <v>403</v>
      </c>
      <c r="W812" s="57">
        <f t="shared" si="412"/>
        <v>286802.74747852364</v>
      </c>
      <c r="X812" s="57">
        <f t="shared" si="413"/>
        <v>488668.45634126087</v>
      </c>
      <c r="Y812" s="57">
        <f t="shared" si="414"/>
        <v>610.30100102355664</v>
      </c>
      <c r="Z812" s="57">
        <f t="shared" si="415"/>
        <v>669.6899221909074</v>
      </c>
      <c r="AA812" s="57">
        <f t="shared" si="390"/>
        <v>-5.1561584229400692</v>
      </c>
      <c r="AB812" s="57">
        <f t="shared" si="391"/>
        <v>-8.8052917760853635</v>
      </c>
      <c r="AC812" s="57">
        <f t="shared" si="392"/>
        <v>-0.83837922315855407</v>
      </c>
      <c r="AD812" s="57">
        <f t="shared" si="393"/>
        <v>-1.5119845670564502</v>
      </c>
      <c r="AE812" s="57">
        <f t="shared" si="394"/>
        <v>-0.29973854151681101</v>
      </c>
      <c r="AF812" s="57">
        <f t="shared" si="395"/>
        <v>-0.46764700170710233</v>
      </c>
      <c r="AG812" s="57">
        <f t="shared" si="396"/>
        <v>-0.7743218704145054</v>
      </c>
      <c r="AH812" s="57">
        <f t="shared" si="397"/>
        <v>-1.3365244314968467</v>
      </c>
      <c r="AJ812" s="57">
        <f t="shared" si="398"/>
        <v>550187.95828327676</v>
      </c>
      <c r="AK812" s="57">
        <f t="shared" si="399"/>
        <v>568552.03539913241</v>
      </c>
      <c r="AL812" s="57">
        <f t="shared" si="400"/>
        <v>582091.70871023717</v>
      </c>
      <c r="AN812" s="41">
        <v>807</v>
      </c>
      <c r="AO812" s="57">
        <f t="shared" si="401"/>
        <v>5392.5196718220723</v>
      </c>
      <c r="AP812" s="57">
        <f t="shared" si="402"/>
        <v>22489.721510659307</v>
      </c>
      <c r="AR812" s="41">
        <v>807</v>
      </c>
      <c r="AS812" s="57">
        <f t="shared" si="403"/>
        <v>15183.175846850299</v>
      </c>
      <c r="AT812" s="57">
        <f t="shared" si="404"/>
        <v>-1504.7966283589913</v>
      </c>
      <c r="AV812" s="57">
        <f t="shared" si="405"/>
        <v>-2.9710373732539059</v>
      </c>
      <c r="AW812" s="57">
        <f t="shared" si="406"/>
        <v>-4.993871418619233</v>
      </c>
      <c r="AX812" s="57">
        <f t="shared" si="407"/>
        <v>-0.27268141459629253</v>
      </c>
      <c r="AY812" s="57">
        <f t="shared" si="408"/>
        <v>-0.4952643572057327</v>
      </c>
      <c r="BA812" s="57">
        <f t="shared" si="409"/>
        <v>551157.50472905429</v>
      </c>
      <c r="BB812" s="57">
        <f t="shared" si="410"/>
        <v>563547.05067388783</v>
      </c>
    </row>
    <row r="813" spans="9:54" x14ac:dyDescent="0.25">
      <c r="I813" s="41">
        <v>808</v>
      </c>
      <c r="J813" s="57">
        <f t="shared" si="384"/>
        <v>20174.497483512507</v>
      </c>
      <c r="K813" s="57">
        <f t="shared" si="385"/>
        <v>12496.954135095479</v>
      </c>
      <c r="M813" s="41">
        <v>808</v>
      </c>
      <c r="N813" s="57">
        <f t="shared" si="386"/>
        <v>-19877.851761541246</v>
      </c>
      <c r="O813" s="57">
        <f t="shared" si="387"/>
        <v>13497.867894566836</v>
      </c>
      <c r="Q813" s="41">
        <v>808</v>
      </c>
      <c r="R813" s="57">
        <f t="shared" si="388"/>
        <v>-4825.5025164874942</v>
      </c>
      <c r="S813" s="41">
        <f t="shared" si="389"/>
        <v>-10003.045864904521</v>
      </c>
      <c r="U813" s="41">
        <v>807</v>
      </c>
      <c r="V813" s="41">
        <f t="shared" si="411"/>
        <v>403.5</v>
      </c>
      <c r="W813" s="57">
        <f t="shared" si="412"/>
        <v>287107.25345923251</v>
      </c>
      <c r="X813" s="57">
        <f t="shared" si="413"/>
        <v>489002.20064088429</v>
      </c>
      <c r="Y813" s="57">
        <f t="shared" si="414"/>
        <v>607.72292181208661</v>
      </c>
      <c r="Z813" s="57">
        <f t="shared" si="415"/>
        <v>665.28727630286471</v>
      </c>
      <c r="AA813" s="57">
        <f t="shared" si="390"/>
        <v>-5.1494803537892526</v>
      </c>
      <c r="AB813" s="57">
        <f t="shared" si="391"/>
        <v>-8.7904855860787503</v>
      </c>
      <c r="AC813" s="57">
        <f t="shared" si="392"/>
        <v>-0.83732828601975273</v>
      </c>
      <c r="AD813" s="57">
        <f t="shared" si="393"/>
        <v>-1.509413941987561</v>
      </c>
      <c r="AE813" s="57">
        <f t="shared" si="394"/>
        <v>-0.29933225709836797</v>
      </c>
      <c r="AF813" s="57">
        <f t="shared" si="395"/>
        <v>-0.46687536115767631</v>
      </c>
      <c r="AG813" s="57">
        <f t="shared" si="396"/>
        <v>-0.77336960123084286</v>
      </c>
      <c r="AH813" s="57">
        <f t="shared" si="397"/>
        <v>-1.3343728247525597</v>
      </c>
      <c r="AJ813" s="57">
        <f t="shared" si="398"/>
        <v>550627.50936776586</v>
      </c>
      <c r="AK813" s="57">
        <f t="shared" si="399"/>
        <v>568997.34036819823</v>
      </c>
      <c r="AL813" s="57">
        <f t="shared" si="400"/>
        <v>582533.145644392</v>
      </c>
      <c r="AN813" s="41">
        <v>808</v>
      </c>
      <c r="AO813" s="57">
        <f t="shared" si="401"/>
        <v>5261.7462252687583</v>
      </c>
      <c r="AP813" s="57">
        <f t="shared" si="402"/>
        <v>22495.431202643216</v>
      </c>
      <c r="AR813" s="41">
        <v>808</v>
      </c>
      <c r="AS813" s="57">
        <f t="shared" si="403"/>
        <v>15122.148238458754</v>
      </c>
      <c r="AT813" s="57">
        <f t="shared" si="404"/>
        <v>-1502.1321054331647</v>
      </c>
      <c r="AV813" s="57">
        <f t="shared" si="405"/>
        <v>-2.9671005214920112</v>
      </c>
      <c r="AW813" s="57">
        <f t="shared" si="406"/>
        <v>-4.9853811253143485</v>
      </c>
      <c r="AX813" s="57">
        <f t="shared" si="407"/>
        <v>-0.2723496879482783</v>
      </c>
      <c r="AY813" s="57">
        <f t="shared" si="408"/>
        <v>-0.49444233286660544</v>
      </c>
      <c r="BA813" s="57">
        <f t="shared" si="409"/>
        <v>551600.02598505444</v>
      </c>
      <c r="BB813" s="57">
        <f t="shared" si="410"/>
        <v>563986.28673325339</v>
      </c>
    </row>
    <row r="814" spans="9:54" x14ac:dyDescent="0.25">
      <c r="I814" s="41">
        <v>809</v>
      </c>
      <c r="J814" s="57">
        <f t="shared" si="384"/>
        <v>20087.262032186423</v>
      </c>
      <c r="K814" s="57">
        <f t="shared" si="385"/>
        <v>12499.238475781956</v>
      </c>
      <c r="M814" s="41">
        <v>809</v>
      </c>
      <c r="N814" s="57">
        <f t="shared" si="386"/>
        <v>-19938.916577469503</v>
      </c>
      <c r="O814" s="57">
        <f t="shared" si="387"/>
        <v>13499.46693304737</v>
      </c>
      <c r="Q814" s="41">
        <v>809</v>
      </c>
      <c r="R814" s="57">
        <f t="shared" si="388"/>
        <v>-4912.7379678135767</v>
      </c>
      <c r="S814" s="41">
        <f t="shared" si="389"/>
        <v>-10000.761524218044</v>
      </c>
      <c r="U814" s="41">
        <v>808</v>
      </c>
      <c r="V814" s="41">
        <f t="shared" si="411"/>
        <v>404</v>
      </c>
      <c r="W814" s="57">
        <f t="shared" si="412"/>
        <v>287410.47123509436</v>
      </c>
      <c r="X814" s="57">
        <f t="shared" si="413"/>
        <v>489333.74546833744</v>
      </c>
      <c r="Y814" s="57">
        <f t="shared" si="414"/>
        <v>605.14818163519203</v>
      </c>
      <c r="Z814" s="57">
        <f t="shared" si="415"/>
        <v>660.8920335098253</v>
      </c>
      <c r="AA814" s="57">
        <f t="shared" si="390"/>
        <v>-5.1428611186402353</v>
      </c>
      <c r="AB814" s="57">
        <f t="shared" si="391"/>
        <v>-8.775795925645216</v>
      </c>
      <c r="AC814" s="57">
        <f t="shared" si="392"/>
        <v>-0.83628665559179927</v>
      </c>
      <c r="AD814" s="57">
        <f t="shared" si="393"/>
        <v>-1.5068636979242709</v>
      </c>
      <c r="AE814" s="57">
        <f t="shared" si="394"/>
        <v>-0.29892952011106388</v>
      </c>
      <c r="AF814" s="57">
        <f t="shared" si="395"/>
        <v>-0.46610971295219544</v>
      </c>
      <c r="AG814" s="57">
        <f t="shared" si="396"/>
        <v>-0.77242565616796754</v>
      </c>
      <c r="AH814" s="57">
        <f t="shared" si="397"/>
        <v>-1.3322379414991183</v>
      </c>
      <c r="AJ814" s="57">
        <f t="shared" si="398"/>
        <v>551064.53197263728</v>
      </c>
      <c r="AK814" s="57">
        <f t="shared" si="399"/>
        <v>569440.10867666116</v>
      </c>
      <c r="AL814" s="57">
        <f t="shared" si="400"/>
        <v>582972.04950670805</v>
      </c>
      <c r="AN814" s="41">
        <v>809</v>
      </c>
      <c r="AO814" s="57">
        <f t="shared" si="401"/>
        <v>5130.8930482796359</v>
      </c>
      <c r="AP814" s="57">
        <f t="shared" si="402"/>
        <v>22498.857713672936</v>
      </c>
      <c r="AR814" s="41">
        <v>809</v>
      </c>
      <c r="AS814" s="57">
        <f t="shared" si="403"/>
        <v>15061.083422530497</v>
      </c>
      <c r="AT814" s="57">
        <f t="shared" si="404"/>
        <v>-1500.5330669526306</v>
      </c>
      <c r="AV814" s="57">
        <f t="shared" si="405"/>
        <v>-2.9631983993021982</v>
      </c>
      <c r="AW814" s="57">
        <f t="shared" si="406"/>
        <v>-4.9769577918261367</v>
      </c>
      <c r="AX814" s="57">
        <f t="shared" si="407"/>
        <v>-0.2720208874672071</v>
      </c>
      <c r="AY814" s="57">
        <f t="shared" si="408"/>
        <v>-0.49362678144349575</v>
      </c>
      <c r="BA814" s="57">
        <f t="shared" si="409"/>
        <v>552040.01336248219</v>
      </c>
      <c r="BB814" s="57">
        <f t="shared" si="410"/>
        <v>564422.99452385993</v>
      </c>
    </row>
    <row r="815" spans="9:54" x14ac:dyDescent="0.25">
      <c r="I815" s="41">
        <v>810</v>
      </c>
      <c r="J815" s="57">
        <f t="shared" si="384"/>
        <v>20000.000000000011</v>
      </c>
      <c r="K815" s="57">
        <f t="shared" si="385"/>
        <v>12500</v>
      </c>
      <c r="M815" s="41">
        <v>810</v>
      </c>
      <c r="N815" s="57">
        <f t="shared" si="386"/>
        <v>-19999.999999999993</v>
      </c>
      <c r="O815" s="57">
        <f t="shared" si="387"/>
        <v>13500</v>
      </c>
      <c r="Q815" s="41">
        <v>810</v>
      </c>
      <c r="R815" s="57">
        <f t="shared" si="388"/>
        <v>-4999.9999999999882</v>
      </c>
      <c r="S815" s="41">
        <f t="shared" si="389"/>
        <v>-10000</v>
      </c>
      <c r="U815" s="41">
        <v>809</v>
      </c>
      <c r="V815" s="41">
        <f t="shared" si="411"/>
        <v>404.5</v>
      </c>
      <c r="W815" s="57">
        <f t="shared" si="412"/>
        <v>287712.40246827214</v>
      </c>
      <c r="X815" s="57">
        <f t="shared" si="413"/>
        <v>489663.0945106016</v>
      </c>
      <c r="Y815" s="57">
        <f t="shared" si="414"/>
        <v>602.57675107587193</v>
      </c>
      <c r="Z815" s="57">
        <f t="shared" si="415"/>
        <v>656.50413554700265</v>
      </c>
      <c r="AA815" s="57">
        <f t="shared" si="390"/>
        <v>-5.136300341437388</v>
      </c>
      <c r="AB815" s="57">
        <f t="shared" si="391"/>
        <v>-8.7612219543644461</v>
      </c>
      <c r="AC815" s="57">
        <f t="shared" si="392"/>
        <v>-0.83525427395000262</v>
      </c>
      <c r="AD815" s="57">
        <f t="shared" si="393"/>
        <v>-1.5043336868887438</v>
      </c>
      <c r="AE815" s="57">
        <f t="shared" si="394"/>
        <v>-0.29853030713893219</v>
      </c>
      <c r="AF815" s="57">
        <f t="shared" si="395"/>
        <v>-0.46535001442532081</v>
      </c>
      <c r="AG815" s="57">
        <f t="shared" si="396"/>
        <v>-0.77148998380451694</v>
      </c>
      <c r="AH815" s="57">
        <f t="shared" si="397"/>
        <v>-1.3301196646524851</v>
      </c>
      <c r="AJ815" s="57">
        <f t="shared" si="398"/>
        <v>551499.03004753636</v>
      </c>
      <c r="AK815" s="57">
        <f t="shared" si="399"/>
        <v>569880.3443428122</v>
      </c>
      <c r="AL815" s="57">
        <f t="shared" si="400"/>
        <v>583408.42427905009</v>
      </c>
      <c r="AN815" s="41">
        <v>810</v>
      </c>
      <c r="AO815" s="57">
        <f t="shared" si="401"/>
        <v>5000.0000000000173</v>
      </c>
      <c r="AP815" s="57">
        <f t="shared" si="402"/>
        <v>22500</v>
      </c>
      <c r="AR815" s="41">
        <v>810</v>
      </c>
      <c r="AS815" s="57">
        <f t="shared" si="403"/>
        <v>15000.000000000007</v>
      </c>
      <c r="AT815" s="57">
        <f t="shared" si="404"/>
        <v>-1500</v>
      </c>
      <c r="AV815" s="57">
        <f t="shared" si="405"/>
        <v>-2.9593307812450065</v>
      </c>
      <c r="AW815" s="57">
        <f t="shared" si="406"/>
        <v>-4.9686009316972717</v>
      </c>
      <c r="AX815" s="57">
        <f t="shared" si="407"/>
        <v>-0.27169499529892954</v>
      </c>
      <c r="AY815" s="57">
        <f t="shared" si="408"/>
        <v>-0.49281765670062583</v>
      </c>
      <c r="BA815" s="57">
        <f t="shared" si="409"/>
        <v>552477.47085266979</v>
      </c>
      <c r="BB815" s="57">
        <f t="shared" si="410"/>
        <v>564857.177993536</v>
      </c>
    </row>
    <row r="816" spans="9:54" x14ac:dyDescent="0.25">
      <c r="I816" s="41">
        <v>811</v>
      </c>
      <c r="J816" s="57">
        <f t="shared" si="384"/>
        <v>19912.73796781358</v>
      </c>
      <c r="K816" s="57">
        <f t="shared" si="385"/>
        <v>12499.238475781956</v>
      </c>
      <c r="M816" s="41">
        <v>811</v>
      </c>
      <c r="N816" s="57">
        <f t="shared" si="386"/>
        <v>-20061.083422530493</v>
      </c>
      <c r="O816" s="57">
        <f t="shared" si="387"/>
        <v>13499.46693304737</v>
      </c>
      <c r="Q816" s="41">
        <v>811</v>
      </c>
      <c r="R816" s="57">
        <f t="shared" si="388"/>
        <v>-5087.2620321864179</v>
      </c>
      <c r="S816" s="41">
        <f t="shared" si="389"/>
        <v>-10000.761524218044</v>
      </c>
      <c r="U816" s="41">
        <v>810</v>
      </c>
      <c r="V816" s="41">
        <f t="shared" si="411"/>
        <v>405</v>
      </c>
      <c r="W816" s="57">
        <f t="shared" si="412"/>
        <v>288013.04880626744</v>
      </c>
      <c r="X816" s="57">
        <f t="shared" si="413"/>
        <v>489990.25142563082</v>
      </c>
      <c r="Y816" s="57">
        <f t="shared" si="414"/>
        <v>600.00860090515323</v>
      </c>
      <c r="Z816" s="57">
        <f t="shared" si="415"/>
        <v>652.12352456982046</v>
      </c>
      <c r="AA816" s="57">
        <f t="shared" si="390"/>
        <v>-5.1297976506183112</v>
      </c>
      <c r="AB816" s="57">
        <f t="shared" si="391"/>
        <v>-8.7467628416788763</v>
      </c>
      <c r="AC816" s="57">
        <f t="shared" si="392"/>
        <v>-0.83423108385760214</v>
      </c>
      <c r="AD816" s="57">
        <f t="shared" si="393"/>
        <v>-1.5018237626500162</v>
      </c>
      <c r="AE816" s="57">
        <f t="shared" si="394"/>
        <v>-0.29813459504713047</v>
      </c>
      <c r="AF816" s="57">
        <f t="shared" si="395"/>
        <v>-0.46459622340662005</v>
      </c>
      <c r="AG816" s="57">
        <f t="shared" si="396"/>
        <v>-0.77056253332445523</v>
      </c>
      <c r="AH816" s="57">
        <f t="shared" si="397"/>
        <v>-1.3280178784801082</v>
      </c>
      <c r="AJ816" s="57">
        <f t="shared" si="398"/>
        <v>551931.00751017698</v>
      </c>
      <c r="AK816" s="57">
        <f t="shared" si="399"/>
        <v>570318.05135255225</v>
      </c>
      <c r="AL816" s="57">
        <f t="shared" si="400"/>
        <v>583842.27391108451</v>
      </c>
      <c r="AN816" s="41">
        <v>811</v>
      </c>
      <c r="AO816" s="57">
        <f t="shared" si="401"/>
        <v>4869.1069517203723</v>
      </c>
      <c r="AP816" s="57">
        <f t="shared" si="402"/>
        <v>22498.857713672936</v>
      </c>
      <c r="AR816" s="41">
        <v>811</v>
      </c>
      <c r="AS816" s="57">
        <f t="shared" si="403"/>
        <v>14938.916577469507</v>
      </c>
      <c r="AT816" s="57">
        <f t="shared" si="404"/>
        <v>-1500.5330669526306</v>
      </c>
      <c r="AV816" s="57">
        <f t="shared" si="405"/>
        <v>-2.9554974445895037</v>
      </c>
      <c r="AW816" s="57">
        <f t="shared" si="406"/>
        <v>-4.9603100641990236</v>
      </c>
      <c r="AX816" s="57">
        <f t="shared" si="407"/>
        <v>-0.27137199379962001</v>
      </c>
      <c r="AY816" s="57">
        <f t="shared" si="408"/>
        <v>-0.49201491294310973</v>
      </c>
      <c r="BA816" s="57">
        <f t="shared" si="409"/>
        <v>552912.40241470677</v>
      </c>
      <c r="BB816" s="57">
        <f t="shared" si="410"/>
        <v>565288.84105818206</v>
      </c>
    </row>
    <row r="817" spans="9:54" x14ac:dyDescent="0.25">
      <c r="I817" s="41">
        <v>812</v>
      </c>
      <c r="J817" s="57">
        <f t="shared" si="384"/>
        <v>19825.502516487501</v>
      </c>
      <c r="K817" s="57">
        <f t="shared" si="385"/>
        <v>12496.954135095479</v>
      </c>
      <c r="M817" s="41">
        <v>812</v>
      </c>
      <c r="N817" s="57">
        <f t="shared" si="386"/>
        <v>-20122.148238458751</v>
      </c>
      <c r="O817" s="57">
        <f t="shared" si="387"/>
        <v>13497.867894566836</v>
      </c>
      <c r="Q817" s="41">
        <v>812</v>
      </c>
      <c r="R817" s="57">
        <f t="shared" si="388"/>
        <v>-5174.4974835125004</v>
      </c>
      <c r="S817" s="41">
        <f t="shared" si="389"/>
        <v>-10003.045864904521</v>
      </c>
      <c r="U817" s="41">
        <v>811</v>
      </c>
      <c r="V817" s="41">
        <f t="shared" si="411"/>
        <v>405.5</v>
      </c>
      <c r="W817" s="57">
        <f t="shared" si="412"/>
        <v>288312.41188201372</v>
      </c>
      <c r="X817" s="57">
        <f t="shared" si="413"/>
        <v>490315.21984256053</v>
      </c>
      <c r="Y817" s="57">
        <f t="shared" si="414"/>
        <v>597.44370207984412</v>
      </c>
      <c r="Z817" s="57">
        <f t="shared" si="415"/>
        <v>647.75014314898101</v>
      </c>
      <c r="AA817" s="57">
        <f t="shared" si="390"/>
        <v>-5.1233526790588559</v>
      </c>
      <c r="AB817" s="57">
        <f t="shared" si="391"/>
        <v>-8.7324177667658951</v>
      </c>
      <c r="AC817" s="57">
        <f t="shared" si="392"/>
        <v>-0.83321702875756165</v>
      </c>
      <c r="AD817" s="57">
        <f t="shared" si="393"/>
        <v>-1.4993337807013118</v>
      </c>
      <c r="AE817" s="57">
        <f t="shared" si="394"/>
        <v>-0.29774236097843026</v>
      </c>
      <c r="AF817" s="57">
        <f t="shared" si="395"/>
        <v>-0.46384829821423312</v>
      </c>
      <c r="AG817" s="57">
        <f t="shared" si="396"/>
        <v>-0.76964325450990867</v>
      </c>
      <c r="AH817" s="57">
        <f t="shared" si="397"/>
        <v>-1.3259324685839073</v>
      </c>
      <c r="AJ817" s="57">
        <f t="shared" si="398"/>
        <v>552360.46824656404</v>
      </c>
      <c r="AK817" s="57">
        <f t="shared" si="399"/>
        <v>570753.23365961912</v>
      </c>
      <c r="AL817" s="57">
        <f t="shared" si="400"/>
        <v>584273.60232050472</v>
      </c>
      <c r="AN817" s="41">
        <v>812</v>
      </c>
      <c r="AO817" s="57">
        <f t="shared" si="401"/>
        <v>4738.2537747312499</v>
      </c>
      <c r="AP817" s="57">
        <f t="shared" si="402"/>
        <v>22495.431202643216</v>
      </c>
      <c r="AR817" s="41">
        <v>812</v>
      </c>
      <c r="AS817" s="57">
        <f t="shared" si="403"/>
        <v>14877.851761541249</v>
      </c>
      <c r="AT817" s="57">
        <f t="shared" si="404"/>
        <v>-1502.1321054331647</v>
      </c>
      <c r="AV817" s="57">
        <f t="shared" si="405"/>
        <v>-2.9516981692796591</v>
      </c>
      <c r="AW817" s="57">
        <f t="shared" si="406"/>
        <v>-4.952084714256439</v>
      </c>
      <c r="AX817" s="57">
        <f t="shared" si="407"/>
        <v>-0.27105186553329669</v>
      </c>
      <c r="AY817" s="57">
        <f t="shared" si="408"/>
        <v>-0.49121850501000314</v>
      </c>
      <c r="BA817" s="57">
        <f t="shared" si="409"/>
        <v>553344.81197566621</v>
      </c>
      <c r="BB817" s="57">
        <f t="shared" si="410"/>
        <v>565717.98760199209</v>
      </c>
    </row>
    <row r="818" spans="9:54" x14ac:dyDescent="0.25">
      <c r="I818" s="41">
        <v>813</v>
      </c>
      <c r="J818" s="57">
        <f t="shared" si="384"/>
        <v>19738.320218785291</v>
      </c>
      <c r="K818" s="57">
        <f t="shared" si="385"/>
        <v>12493.14767377287</v>
      </c>
      <c r="M818" s="41">
        <v>813</v>
      </c>
      <c r="N818" s="57">
        <f t="shared" si="386"/>
        <v>-20183.175846850296</v>
      </c>
      <c r="O818" s="57">
        <f t="shared" si="387"/>
        <v>13495.203371641008</v>
      </c>
      <c r="Q818" s="41">
        <v>813</v>
      </c>
      <c r="R818" s="57">
        <f t="shared" si="388"/>
        <v>-5261.6797812147088</v>
      </c>
      <c r="S818" s="41">
        <f t="shared" si="389"/>
        <v>-10006.85232622713</v>
      </c>
      <c r="U818" s="41">
        <v>812</v>
      </c>
      <c r="V818" s="41">
        <f t="shared" si="411"/>
        <v>406</v>
      </c>
      <c r="W818" s="57">
        <f t="shared" si="412"/>
        <v>288610.49331396876</v>
      </c>
      <c r="X818" s="57">
        <f t="shared" si="413"/>
        <v>490638.00336191413</v>
      </c>
      <c r="Y818" s="57">
        <f t="shared" si="414"/>
        <v>594.8820257403147</v>
      </c>
      <c r="Z818" s="57">
        <f t="shared" si="415"/>
        <v>643.3839342655981</v>
      </c>
      <c r="AA818" s="57">
        <f t="shared" si="390"/>
        <v>-5.1169650640188395</v>
      </c>
      <c r="AB818" s="57">
        <f t="shared" si="391"/>
        <v>-8.7181859184118036</v>
      </c>
      <c r="AC818" s="57">
        <f t="shared" si="392"/>
        <v>-0.8322120527644099</v>
      </c>
      <c r="AD818" s="57">
        <f t="shared" si="393"/>
        <v>-1.4968635982375733</v>
      </c>
      <c r="AE818" s="57">
        <f t="shared" si="394"/>
        <v>-0.2973535823497559</v>
      </c>
      <c r="AF818" s="57">
        <f t="shared" si="395"/>
        <v>-0.4631061976486272</v>
      </c>
      <c r="AG818" s="57">
        <f t="shared" si="396"/>
        <v>-0.76873209773396967</v>
      </c>
      <c r="AH818" s="57">
        <f t="shared" si="397"/>
        <v>-1.3238633218832836</v>
      </c>
      <c r="AJ818" s="57">
        <f t="shared" si="398"/>
        <v>552787.41611121234</v>
      </c>
      <c r="AK818" s="57">
        <f t="shared" si="399"/>
        <v>571185.89518581296</v>
      </c>
      <c r="AL818" s="57">
        <f t="shared" si="400"/>
        <v>584702.41339325358</v>
      </c>
      <c r="AN818" s="41">
        <v>813</v>
      </c>
      <c r="AO818" s="57">
        <f t="shared" si="401"/>
        <v>4607.4803281779368</v>
      </c>
      <c r="AP818" s="57">
        <f t="shared" si="402"/>
        <v>22489.721510659307</v>
      </c>
      <c r="AR818" s="41">
        <v>813</v>
      </c>
      <c r="AS818" s="57">
        <f t="shared" si="403"/>
        <v>14816.824153149704</v>
      </c>
      <c r="AT818" s="57">
        <f t="shared" si="404"/>
        <v>-1504.7966283589913</v>
      </c>
      <c r="AV818" s="57">
        <f t="shared" si="405"/>
        <v>-2.947932737901334</v>
      </c>
      <c r="AW818" s="57">
        <f t="shared" si="406"/>
        <v>-4.9439244123748747</v>
      </c>
      <c r="AX818" s="57">
        <f t="shared" si="407"/>
        <v>-0.27073459326936977</v>
      </c>
      <c r="AY818" s="57">
        <f t="shared" si="408"/>
        <v>-0.49042838826744534</v>
      </c>
      <c r="BA818" s="57">
        <f t="shared" si="409"/>
        <v>553774.70343082759</v>
      </c>
      <c r="BB818" s="57">
        <f t="shared" si="410"/>
        <v>566144.62147767341</v>
      </c>
    </row>
    <row r="819" spans="9:54" x14ac:dyDescent="0.25">
      <c r="I819" s="41">
        <v>814</v>
      </c>
      <c r="J819" s="57">
        <f t="shared" si="384"/>
        <v>19651.217631279371</v>
      </c>
      <c r="K819" s="57">
        <f t="shared" si="385"/>
        <v>12487.820251299121</v>
      </c>
      <c r="M819" s="41">
        <v>814</v>
      </c>
      <c r="N819" s="57">
        <f t="shared" si="386"/>
        <v>-20244.147658104441</v>
      </c>
      <c r="O819" s="57">
        <f t="shared" si="387"/>
        <v>13491.474175909385</v>
      </c>
      <c r="Q819" s="41">
        <v>814</v>
      </c>
      <c r="R819" s="57">
        <f t="shared" si="388"/>
        <v>-5348.7823687206283</v>
      </c>
      <c r="S819" s="41">
        <f t="shared" si="389"/>
        <v>-10012.179748700879</v>
      </c>
      <c r="U819" s="41">
        <v>813</v>
      </c>
      <c r="V819" s="41">
        <f t="shared" si="411"/>
        <v>406.5</v>
      </c>
      <c r="W819" s="57">
        <f t="shared" si="412"/>
        <v>288907.29470620595</v>
      </c>
      <c r="X819" s="57">
        <f t="shared" si="413"/>
        <v>490958.60555580712</v>
      </c>
      <c r="Y819" s="57">
        <f t="shared" si="414"/>
        <v>592.3235432083053</v>
      </c>
      <c r="Z819" s="57">
        <f t="shared" si="415"/>
        <v>639.0248413063922</v>
      </c>
      <c r="AA819" s="57">
        <f t="shared" si="390"/>
        <v>-5.1106344470889269</v>
      </c>
      <c r="AB819" s="57">
        <f t="shared" si="391"/>
        <v>-8.7040664948883393</v>
      </c>
      <c r="AC819" s="57">
        <f t="shared" si="392"/>
        <v>-0.8312161006562887</v>
      </c>
      <c r="AD819" s="57">
        <f t="shared" si="393"/>
        <v>-1.4944130741335016</v>
      </c>
      <c r="AE819" s="57">
        <f t="shared" si="394"/>
        <v>-0.29696823684876245</v>
      </c>
      <c r="AF819" s="57">
        <f t="shared" si="395"/>
        <v>-0.46236988098642656</v>
      </c>
      <c r="AG819" s="57">
        <f t="shared" si="396"/>
        <v>-0.76782901395374004</v>
      </c>
      <c r="AH819" s="57">
        <f t="shared" si="397"/>
        <v>-1.3218103265986123</v>
      </c>
      <c r="AJ819" s="57">
        <f t="shared" si="398"/>
        <v>553211.85492736485</v>
      </c>
      <c r="AK819" s="57">
        <f t="shared" si="399"/>
        <v>571616.03982121882</v>
      </c>
      <c r="AL819" s="57">
        <f t="shared" si="400"/>
        <v>585128.71098374366</v>
      </c>
      <c r="AN819" s="41">
        <v>814</v>
      </c>
      <c r="AO819" s="57">
        <f t="shared" si="401"/>
        <v>4476.8264469190572</v>
      </c>
      <c r="AP819" s="57">
        <f t="shared" si="402"/>
        <v>22481.730376948683</v>
      </c>
      <c r="AR819" s="41">
        <v>814</v>
      </c>
      <c r="AS819" s="57">
        <f t="shared" si="403"/>
        <v>14755.852341895559</v>
      </c>
      <c r="AT819" s="57">
        <f t="shared" si="404"/>
        <v>-1508.5258240906155</v>
      </c>
      <c r="AV819" s="57">
        <f t="shared" si="405"/>
        <v>-2.9442009356499055</v>
      </c>
      <c r="AW819" s="57">
        <f t="shared" si="406"/>
        <v>-4.9358286945678822</v>
      </c>
      <c r="AX819" s="57">
        <f t="shared" si="407"/>
        <v>-0.27042015998023078</v>
      </c>
      <c r="AY819" s="57">
        <f t="shared" si="408"/>
        <v>-0.48964451860191666</v>
      </c>
      <c r="BA819" s="57">
        <f t="shared" si="409"/>
        <v>554202.08064389729</v>
      </c>
      <c r="BB819" s="57">
        <f t="shared" si="410"/>
        <v>566568.74650666455</v>
      </c>
    </row>
    <row r="820" spans="9:54" x14ac:dyDescent="0.25">
      <c r="I820" s="41">
        <v>815</v>
      </c>
      <c r="J820" s="57">
        <f t="shared" si="384"/>
        <v>19564.221286261713</v>
      </c>
      <c r="K820" s="57">
        <f t="shared" si="385"/>
        <v>12480.973490458728</v>
      </c>
      <c r="M820" s="41">
        <v>815</v>
      </c>
      <c r="N820" s="57">
        <f t="shared" si="386"/>
        <v>-20305.0450996168</v>
      </c>
      <c r="O820" s="57">
        <f t="shared" si="387"/>
        <v>13486.681443321109</v>
      </c>
      <c r="Q820" s="41">
        <v>815</v>
      </c>
      <c r="R820" s="57">
        <f t="shared" si="388"/>
        <v>-5435.7787137382875</v>
      </c>
      <c r="S820" s="41">
        <f t="shared" si="389"/>
        <v>-10019.026509541272</v>
      </c>
      <c r="U820" s="41">
        <v>814</v>
      </c>
      <c r="V820" s="41">
        <f t="shared" si="411"/>
        <v>407</v>
      </c>
      <c r="W820" s="57">
        <f t="shared" si="412"/>
        <v>289202.81764850422</v>
      </c>
      <c r="X820" s="57">
        <f t="shared" si="413"/>
        <v>491277.02996814845</v>
      </c>
      <c r="Y820" s="57">
        <f t="shared" si="414"/>
        <v>589.76822598476087</v>
      </c>
      <c r="Z820" s="57">
        <f t="shared" si="415"/>
        <v>634.67280805894802</v>
      </c>
      <c r="AA820" s="57">
        <f t="shared" si="390"/>
        <v>-5.1043604741380841</v>
      </c>
      <c r="AB820" s="57">
        <f t="shared" si="391"/>
        <v>-8.690058703830676</v>
      </c>
      <c r="AC820" s="57">
        <f t="shared" si="392"/>
        <v>-0.83022911786703901</v>
      </c>
      <c r="AD820" s="57">
        <f t="shared" si="393"/>
        <v>-1.4919820689217949</v>
      </c>
      <c r="AE820" s="57">
        <f t="shared" si="394"/>
        <v>-0.2965863024304955</v>
      </c>
      <c r="AF820" s="57">
        <f t="shared" si="395"/>
        <v>-0.46163930797438008</v>
      </c>
      <c r="AG820" s="57">
        <f t="shared" si="396"/>
        <v>-0.76693395470339398</v>
      </c>
      <c r="AH820" s="57">
        <f t="shared" si="397"/>
        <v>-1.3197733722348493</v>
      </c>
      <c r="AJ820" s="57">
        <f t="shared" si="398"/>
        <v>553633.78848720621</v>
      </c>
      <c r="AK820" s="57">
        <f t="shared" si="399"/>
        <v>572043.67142442556</v>
      </c>
      <c r="AL820" s="57">
        <f t="shared" si="400"/>
        <v>585552.49891507463</v>
      </c>
      <c r="AN820" s="41">
        <v>815</v>
      </c>
      <c r="AO820" s="57">
        <f t="shared" si="401"/>
        <v>4346.3319293925688</v>
      </c>
      <c r="AP820" s="57">
        <f t="shared" si="402"/>
        <v>22471.460235688093</v>
      </c>
      <c r="AR820" s="41">
        <v>815</v>
      </c>
      <c r="AS820" s="57">
        <f t="shared" si="403"/>
        <v>14694.954900383198</v>
      </c>
      <c r="AT820" s="57">
        <f t="shared" si="404"/>
        <v>-1513.3185566788907</v>
      </c>
      <c r="AV820" s="57">
        <f t="shared" si="405"/>
        <v>-2.9405025502982722</v>
      </c>
      <c r="AW820" s="57">
        <f t="shared" si="406"/>
        <v>-4.927797102286041</v>
      </c>
      <c r="AX820" s="57">
        <f t="shared" si="407"/>
        <v>-0.27010854883888363</v>
      </c>
      <c r="AY820" s="57">
        <f t="shared" si="408"/>
        <v>-0.4888668524136115</v>
      </c>
      <c r="BA820" s="57">
        <f t="shared" si="409"/>
        <v>554626.94744722743</v>
      </c>
      <c r="BB820" s="57">
        <f t="shared" si="410"/>
        <v>566990.36647934804</v>
      </c>
    </row>
    <row r="821" spans="9:54" x14ac:dyDescent="0.25">
      <c r="I821" s="41">
        <v>816</v>
      </c>
      <c r="J821" s="57">
        <f t="shared" si="384"/>
        <v>19477.357683661743</v>
      </c>
      <c r="K821" s="57">
        <f t="shared" si="385"/>
        <v>12472.609476841368</v>
      </c>
      <c r="M821" s="41">
        <v>816</v>
      </c>
      <c r="N821" s="57">
        <f t="shared" si="386"/>
        <v>-20365.849621436781</v>
      </c>
      <c r="O821" s="57">
        <f t="shared" si="387"/>
        <v>13480.826633788958</v>
      </c>
      <c r="Q821" s="41">
        <v>816</v>
      </c>
      <c r="R821" s="57">
        <f t="shared" si="388"/>
        <v>-5522.6423163382588</v>
      </c>
      <c r="S821" s="41">
        <f t="shared" si="389"/>
        <v>-10027.390523158632</v>
      </c>
      <c r="U821" s="41">
        <v>815</v>
      </c>
      <c r="V821" s="41">
        <f t="shared" si="411"/>
        <v>407.5</v>
      </c>
      <c r="W821" s="57">
        <f t="shared" si="412"/>
        <v>289497.06371643732</v>
      </c>
      <c r="X821" s="57">
        <f t="shared" si="413"/>
        <v>491593.2801148399</v>
      </c>
      <c r="Y821" s="57">
        <f t="shared" si="414"/>
        <v>587.21604574769185</v>
      </c>
      <c r="Z821" s="57">
        <f t="shared" si="415"/>
        <v>630.32777870703273</v>
      </c>
      <c r="AA821" s="57">
        <f t="shared" si="390"/>
        <v>-5.0981427952619125</v>
      </c>
      <c r="AB821" s="57">
        <f t="shared" si="391"/>
        <v>-8.6761617621175198</v>
      </c>
      <c r="AC821" s="57">
        <f t="shared" si="392"/>
        <v>-0.82925105047852299</v>
      </c>
      <c r="AD821" s="57">
        <f t="shared" si="393"/>
        <v>-1.4895704447719382</v>
      </c>
      <c r="AE821" s="57">
        <f t="shared" si="394"/>
        <v>-0.29620775731408638</v>
      </c>
      <c r="AF821" s="57">
        <f t="shared" si="395"/>
        <v>-0.46091443882339855</v>
      </c>
      <c r="AG821" s="57">
        <f t="shared" si="396"/>
        <v>-0.76604687208739608</v>
      </c>
      <c r="AH821" s="57">
        <f t="shared" si="397"/>
        <v>-1.3177523495654702</v>
      </c>
      <c r="AJ821" s="57">
        <f t="shared" si="398"/>
        <v>554053.22055207507</v>
      </c>
      <c r="AK821" s="57">
        <f t="shared" si="399"/>
        <v>572468.79382274381</v>
      </c>
      <c r="AL821" s="57">
        <f t="shared" si="400"/>
        <v>585973.78097924823</v>
      </c>
      <c r="AN821" s="41">
        <v>816</v>
      </c>
      <c r="AO821" s="57">
        <f t="shared" si="401"/>
        <v>4216.0365254926119</v>
      </c>
      <c r="AP821" s="57">
        <f t="shared" si="402"/>
        <v>22458.914215262052</v>
      </c>
      <c r="AR821" s="41">
        <v>816</v>
      </c>
      <c r="AS821" s="57">
        <f t="shared" si="403"/>
        <v>14634.150378563219</v>
      </c>
      <c r="AT821" s="57">
        <f t="shared" si="404"/>
        <v>-1519.1733662110428</v>
      </c>
      <c r="AV821" s="57">
        <f t="shared" si="405"/>
        <v>-2.9368373721653005</v>
      </c>
      <c r="AW821" s="57">
        <f t="shared" si="406"/>
        <v>-4.919829182346807</v>
      </c>
      <c r="AX821" s="57">
        <f t="shared" si="407"/>
        <v>-0.2697997432166061</v>
      </c>
      <c r="AY821" s="57">
        <f t="shared" si="408"/>
        <v>-0.48809534660990606</v>
      </c>
      <c r="BA821" s="57">
        <f t="shared" si="409"/>
        <v>555049.30764202995</v>
      </c>
      <c r="BB821" s="57">
        <f t="shared" si="410"/>
        <v>567409.48515526392</v>
      </c>
    </row>
    <row r="822" spans="9:54" x14ac:dyDescent="0.25">
      <c r="I822" s="41">
        <v>817</v>
      </c>
      <c r="J822" s="57">
        <f t="shared" si="384"/>
        <v>19390.653282974268</v>
      </c>
      <c r="K822" s="57">
        <f t="shared" si="385"/>
        <v>12462.730758206611</v>
      </c>
      <c r="M822" s="41">
        <v>817</v>
      </c>
      <c r="N822" s="57">
        <f t="shared" si="386"/>
        <v>-20426.542701918013</v>
      </c>
      <c r="O822" s="57">
        <f t="shared" si="387"/>
        <v>13473.911530744628</v>
      </c>
      <c r="Q822" s="41">
        <v>817</v>
      </c>
      <c r="R822" s="57">
        <f t="shared" si="388"/>
        <v>-5609.3467170257318</v>
      </c>
      <c r="S822" s="41">
        <f t="shared" si="389"/>
        <v>-10037.269241793389</v>
      </c>
      <c r="U822" s="41">
        <v>816</v>
      </c>
      <c r="V822" s="41">
        <f t="shared" si="411"/>
        <v>408</v>
      </c>
      <c r="W822" s="57">
        <f t="shared" si="412"/>
        <v>289790.03447146178</v>
      </c>
      <c r="X822" s="57">
        <f t="shared" si="413"/>
        <v>491907.35948397312</v>
      </c>
      <c r="Y822" s="57">
        <f t="shared" si="414"/>
        <v>584.66697435006085</v>
      </c>
      <c r="Z822" s="57">
        <f t="shared" si="415"/>
        <v>625.98969782597396</v>
      </c>
      <c r="AA822" s="57">
        <f t="shared" si="390"/>
        <v>-5.0919810647320807</v>
      </c>
      <c r="AB822" s="57">
        <f t="shared" si="391"/>
        <v>-8.6623748957535565</v>
      </c>
      <c r="AC822" s="57">
        <f t="shared" si="392"/>
        <v>-0.82828184521294357</v>
      </c>
      <c r="AD822" s="57">
        <f t="shared" si="393"/>
        <v>-1.4871780654691173</v>
      </c>
      <c r="AE822" s="57">
        <f t="shared" si="394"/>
        <v>-0.29583257997951701</v>
      </c>
      <c r="AF822" s="57">
        <f t="shared" si="395"/>
        <v>-0.46019523420271125</v>
      </c>
      <c r="AG822" s="57">
        <f t="shared" si="396"/>
        <v>-0.76516771877382594</v>
      </c>
      <c r="AH822" s="57">
        <f t="shared" si="397"/>
        <v>-1.3157471506166689</v>
      </c>
      <c r="AJ822" s="57">
        <f t="shared" si="398"/>
        <v>554470.15485267353</v>
      </c>
      <c r="AK822" s="57">
        <f t="shared" si="399"/>
        <v>572891.41081241984</v>
      </c>
      <c r="AL822" s="57">
        <f t="shared" si="400"/>
        <v>586392.56093738053</v>
      </c>
      <c r="AN822" s="41">
        <v>817</v>
      </c>
      <c r="AO822" s="57">
        <f t="shared" si="401"/>
        <v>4085.9799244614019</v>
      </c>
      <c r="AP822" s="57">
        <f t="shared" si="402"/>
        <v>22444.096137309916</v>
      </c>
      <c r="AR822" s="41">
        <v>817</v>
      </c>
      <c r="AS822" s="57">
        <f t="shared" si="403"/>
        <v>14573.457298081987</v>
      </c>
      <c r="AT822" s="57">
        <f t="shared" si="404"/>
        <v>-1526.0884692553723</v>
      </c>
      <c r="AV822" s="57">
        <f t="shared" si="405"/>
        <v>-2.9332051940851387</v>
      </c>
      <c r="AW822" s="57">
        <f t="shared" si="406"/>
        <v>-4.9119244868661154</v>
      </c>
      <c r="AX822" s="57">
        <f t="shared" si="407"/>
        <v>-0.26949372668065502</v>
      </c>
      <c r="AY822" s="57">
        <f t="shared" si="408"/>
        <v>-0.48732995859894396</v>
      </c>
      <c r="BA822" s="57">
        <f t="shared" si="409"/>
        <v>555469.16499859106</v>
      </c>
      <c r="BB822" s="57">
        <f t="shared" si="410"/>
        <v>567826.10626331868</v>
      </c>
    </row>
    <row r="823" spans="9:54" x14ac:dyDescent="0.25">
      <c r="I823" s="41">
        <v>818</v>
      </c>
      <c r="J823" s="57">
        <f t="shared" si="384"/>
        <v>19304.134495199676</v>
      </c>
      <c r="K823" s="57">
        <f t="shared" si="385"/>
        <v>12451.340343707852</v>
      </c>
      <c r="M823" s="41">
        <v>818</v>
      </c>
      <c r="N823" s="57">
        <f t="shared" si="386"/>
        <v>-20487.105853360226</v>
      </c>
      <c r="O823" s="57">
        <f t="shared" si="387"/>
        <v>13465.938240595497</v>
      </c>
      <c r="Q823" s="41">
        <v>818</v>
      </c>
      <c r="R823" s="57">
        <f t="shared" si="388"/>
        <v>-5695.8655048003257</v>
      </c>
      <c r="S823" s="41">
        <f t="shared" si="389"/>
        <v>-10048.659656292148</v>
      </c>
      <c r="U823" s="41">
        <v>817</v>
      </c>
      <c r="V823" s="41">
        <f t="shared" si="411"/>
        <v>408.5</v>
      </c>
      <c r="W823" s="57">
        <f t="shared" si="412"/>
        <v>290081.73146100377</v>
      </c>
      <c r="X823" s="57">
        <f t="shared" si="413"/>
        <v>492219.27153602417</v>
      </c>
      <c r="Y823" s="57">
        <f t="shared" si="414"/>
        <v>582.12098381769476</v>
      </c>
      <c r="Z823" s="57">
        <f t="shared" si="415"/>
        <v>621.65851037809716</v>
      </c>
      <c r="AA823" s="57">
        <f t="shared" si="390"/>
        <v>-5.0858749409462236</v>
      </c>
      <c r="AB823" s="57">
        <f t="shared" si="391"/>
        <v>-8.648697339753241</v>
      </c>
      <c r="AC823" s="57">
        <f t="shared" si="392"/>
        <v>-0.8273214494253931</v>
      </c>
      <c r="AD823" s="57">
        <f t="shared" si="393"/>
        <v>-1.484804796393665</v>
      </c>
      <c r="AE823" s="57">
        <f t="shared" si="394"/>
        <v>-0.29546074916441872</v>
      </c>
      <c r="AF823" s="57">
        <f t="shared" si="395"/>
        <v>-0.45948165523408785</v>
      </c>
      <c r="AG823" s="57">
        <f t="shared" si="396"/>
        <v>-0.76429644798778529</v>
      </c>
      <c r="AH823" s="57">
        <f t="shared" si="397"/>
        <v>-1.3137576686517678</v>
      </c>
      <c r="AJ823" s="57">
        <f t="shared" si="398"/>
        <v>554884.59508927411</v>
      </c>
      <c r="AK823" s="57">
        <f t="shared" si="399"/>
        <v>573311.52615884843</v>
      </c>
      <c r="AL823" s="57">
        <f t="shared" si="400"/>
        <v>586808.84251991205</v>
      </c>
      <c r="AN823" s="41">
        <v>818</v>
      </c>
      <c r="AO823" s="57">
        <f t="shared" si="401"/>
        <v>3956.201742799512</v>
      </c>
      <c r="AP823" s="57">
        <f t="shared" si="402"/>
        <v>22427.010515561778</v>
      </c>
      <c r="AR823" s="41">
        <v>818</v>
      </c>
      <c r="AS823" s="57">
        <f t="shared" si="403"/>
        <v>14512.894146639772</v>
      </c>
      <c r="AT823" s="57">
        <f t="shared" si="404"/>
        <v>-1534.0617594045038</v>
      </c>
      <c r="AV823" s="57">
        <f t="shared" si="405"/>
        <v>-2.9296058113766215</v>
      </c>
      <c r="AW823" s="57">
        <f t="shared" si="406"/>
        <v>-4.9040825731904008</v>
      </c>
      <c r="AX823" s="57">
        <f t="shared" si="407"/>
        <v>-0.26919048299200482</v>
      </c>
      <c r="AY823" s="57">
        <f t="shared" si="408"/>
        <v>-0.48657064628331947</v>
      </c>
      <c r="BA823" s="57">
        <f t="shared" si="409"/>
        <v>555886.52325648034</v>
      </c>
      <c r="BB823" s="57">
        <f t="shared" si="410"/>
        <v>568240.23350199196</v>
      </c>
    </row>
    <row r="824" spans="9:54" x14ac:dyDescent="0.25">
      <c r="I824" s="41">
        <v>819</v>
      </c>
      <c r="J824" s="57">
        <f t="shared" si="384"/>
        <v>19217.827674798846</v>
      </c>
      <c r="K824" s="57">
        <f t="shared" si="385"/>
        <v>12438.441702975688</v>
      </c>
      <c r="M824" s="41">
        <v>819</v>
      </c>
      <c r="N824" s="57">
        <f t="shared" si="386"/>
        <v>-20547.52062764081</v>
      </c>
      <c r="O824" s="57">
        <f t="shared" si="387"/>
        <v>13456.909192082981</v>
      </c>
      <c r="Q824" s="41">
        <v>819</v>
      </c>
      <c r="R824" s="57">
        <f t="shared" si="388"/>
        <v>-5782.1723252011561</v>
      </c>
      <c r="S824" s="41">
        <f t="shared" si="389"/>
        <v>-10061.558297024312</v>
      </c>
      <c r="U824" s="41">
        <v>818</v>
      </c>
      <c r="V824" s="41">
        <f t="shared" si="411"/>
        <v>409</v>
      </c>
      <c r="W824" s="57">
        <f t="shared" si="412"/>
        <v>290372.15621854505</v>
      </c>
      <c r="X824" s="57">
        <f t="shared" si="413"/>
        <v>492529.01970404573</v>
      </c>
      <c r="Y824" s="57">
        <f t="shared" si="414"/>
        <v>579.57804634722163</v>
      </c>
      <c r="Z824" s="57">
        <f t="shared" si="415"/>
        <v>617.33416170822056</v>
      </c>
      <c r="AA824" s="57">
        <f t="shared" si="390"/>
        <v>-5.0798240863787854</v>
      </c>
      <c r="AB824" s="57">
        <f t="shared" si="391"/>
        <v>-8.6351283380266803</v>
      </c>
      <c r="AC824" s="57">
        <f t="shared" si="392"/>
        <v>-0.82636981109644869</v>
      </c>
      <c r="AD824" s="57">
        <f t="shared" si="393"/>
        <v>-1.4824505045007139</v>
      </c>
      <c r="AE824" s="57">
        <f t="shared" si="394"/>
        <v>-0.29509224386092903</v>
      </c>
      <c r="AF824" s="57">
        <f t="shared" si="395"/>
        <v>-0.458773663486162</v>
      </c>
      <c r="AG824" s="57">
        <f t="shared" si="396"/>
        <v>-0.76343301350492421</v>
      </c>
      <c r="AH824" s="57">
        <f t="shared" si="397"/>
        <v>-1.3117837981558957</v>
      </c>
      <c r="AJ824" s="57">
        <f t="shared" si="398"/>
        <v>555296.54493192455</v>
      </c>
      <c r="AK824" s="57">
        <f t="shared" si="399"/>
        <v>573729.14359678142</v>
      </c>
      <c r="AL824" s="57">
        <f t="shared" si="400"/>
        <v>587222.62942681473</v>
      </c>
      <c r="AN824" s="41">
        <v>819</v>
      </c>
      <c r="AO824" s="57">
        <f t="shared" si="401"/>
        <v>3826.7415121982658</v>
      </c>
      <c r="AP824" s="57">
        <f t="shared" si="402"/>
        <v>22407.662554463532</v>
      </c>
      <c r="AR824" s="41">
        <v>819</v>
      </c>
      <c r="AS824" s="57">
        <f t="shared" si="403"/>
        <v>14452.47937235919</v>
      </c>
      <c r="AT824" s="57">
        <f t="shared" si="404"/>
        <v>-1543.0908079170181</v>
      </c>
      <c r="AV824" s="57">
        <f t="shared" si="405"/>
        <v>-2.9260390218133705</v>
      </c>
      <c r="AW824" s="57">
        <f t="shared" si="406"/>
        <v>-4.8963030038300621</v>
      </c>
      <c r="AX824" s="57">
        <f t="shared" si="407"/>
        <v>-0.26888999610311248</v>
      </c>
      <c r="AY824" s="57">
        <f t="shared" si="408"/>
        <v>-0.48581736805384657</v>
      </c>
      <c r="BA824" s="57">
        <f t="shared" si="409"/>
        <v>556301.38612475933</v>
      </c>
      <c r="BB824" s="57">
        <f t="shared" si="410"/>
        <v>568651.87053954159</v>
      </c>
    </row>
    <row r="825" spans="9:54" x14ac:dyDescent="0.25">
      <c r="I825" s="41">
        <v>820</v>
      </c>
      <c r="J825" s="57">
        <f t="shared" si="384"/>
        <v>19131.759111665353</v>
      </c>
      <c r="K825" s="57">
        <f t="shared" si="385"/>
        <v>12424.038765061041</v>
      </c>
      <c r="M825" s="41">
        <v>820</v>
      </c>
      <c r="N825" s="57">
        <f t="shared" si="386"/>
        <v>-20607.768621834253</v>
      </c>
      <c r="O825" s="57">
        <f t="shared" si="387"/>
        <v>13446.827135542728</v>
      </c>
      <c r="Q825" s="41">
        <v>820</v>
      </c>
      <c r="R825" s="57">
        <f t="shared" si="388"/>
        <v>-5868.2408883346479</v>
      </c>
      <c r="S825" s="41">
        <f t="shared" si="389"/>
        <v>-10075.961234938959</v>
      </c>
      <c r="U825" s="41">
        <v>819</v>
      </c>
      <c r="V825" s="41">
        <f t="shared" si="411"/>
        <v>409.5</v>
      </c>
      <c r="W825" s="57">
        <f t="shared" si="412"/>
        <v>290661.31026370788</v>
      </c>
      <c r="X825" s="57">
        <f t="shared" si="413"/>
        <v>492836.60739385762</v>
      </c>
      <c r="Y825" s="57">
        <f t="shared" si="414"/>
        <v>577.03813430403227</v>
      </c>
      <c r="Z825" s="57">
        <f t="shared" si="415"/>
        <v>613.01659753920717</v>
      </c>
      <c r="AA825" s="57">
        <f t="shared" si="390"/>
        <v>-5.0738281675327208</v>
      </c>
      <c r="AB825" s="57">
        <f t="shared" si="391"/>
        <v>-8.6216671432674978</v>
      </c>
      <c r="AC825" s="57">
        <f t="shared" si="392"/>
        <v>-0.82542687882491916</v>
      </c>
      <c r="AD825" s="57">
        <f t="shared" si="393"/>
        <v>-1.4801150583002389</v>
      </c>
      <c r="AE825" s="57">
        <f t="shared" si="394"/>
        <v>-0.29472704331261301</v>
      </c>
      <c r="AF825" s="57">
        <f t="shared" si="395"/>
        <v>-0.45807122096886671</v>
      </c>
      <c r="AG825" s="57">
        <f t="shared" si="396"/>
        <v>-0.76257736964506795</v>
      </c>
      <c r="AH825" s="57">
        <f t="shared" si="397"/>
        <v>-1.3098254348209162</v>
      </c>
      <c r="AJ825" s="57">
        <f t="shared" si="398"/>
        <v>555706.0080206499</v>
      </c>
      <c r="AK825" s="57">
        <f t="shared" si="399"/>
        <v>574144.26683053619</v>
      </c>
      <c r="AL825" s="57">
        <f t="shared" si="400"/>
        <v>587633.92532779765</v>
      </c>
      <c r="AN825" s="41">
        <v>820</v>
      </c>
      <c r="AO825" s="57">
        <f t="shared" si="401"/>
        <v>3697.6386674980276</v>
      </c>
      <c r="AP825" s="57">
        <f t="shared" si="402"/>
        <v>22386.058147591561</v>
      </c>
      <c r="AR825" s="41">
        <v>820</v>
      </c>
      <c r="AS825" s="57">
        <f t="shared" si="403"/>
        <v>14392.231378165747</v>
      </c>
      <c r="AT825" s="57">
        <f t="shared" si="404"/>
        <v>-1553.1728644572713</v>
      </c>
      <c r="AV825" s="57">
        <f t="shared" si="405"/>
        <v>-2.9225046255943847</v>
      </c>
      <c r="AW825" s="57">
        <f t="shared" si="406"/>
        <v>-4.8885853463940157</v>
      </c>
      <c r="AX825" s="57">
        <f t="shared" si="407"/>
        <v>-0.26859225015573585</v>
      </c>
      <c r="AY825" s="57">
        <f t="shared" si="408"/>
        <v>-0.48507008278346009</v>
      </c>
      <c r="BA825" s="57">
        <f t="shared" si="409"/>
        <v>556713.75728218711</v>
      </c>
      <c r="BB825" s="57">
        <f t="shared" si="410"/>
        <v>569061.02101420565</v>
      </c>
    </row>
    <row r="826" spans="9:54" x14ac:dyDescent="0.25">
      <c r="I826" s="41">
        <v>821</v>
      </c>
      <c r="J826" s="57">
        <f t="shared" si="384"/>
        <v>19045.955023117283</v>
      </c>
      <c r="K826" s="57">
        <f t="shared" si="385"/>
        <v>12408.135917238322</v>
      </c>
      <c r="M826" s="41">
        <v>821</v>
      </c>
      <c r="N826" s="57">
        <f t="shared" si="386"/>
        <v>-20667.831483817899</v>
      </c>
      <c r="O826" s="57">
        <f t="shared" si="387"/>
        <v>13435.695142066825</v>
      </c>
      <c r="Q826" s="41">
        <v>821</v>
      </c>
      <c r="R826" s="57">
        <f t="shared" si="388"/>
        <v>-5954.0449768827148</v>
      </c>
      <c r="S826" s="41">
        <f t="shared" si="389"/>
        <v>-10091.864082761678</v>
      </c>
      <c r="U826" s="41">
        <v>820</v>
      </c>
      <c r="V826" s="41">
        <f t="shared" si="411"/>
        <v>410</v>
      </c>
      <c r="W826" s="57">
        <f t="shared" si="412"/>
        <v>290949.19510233891</v>
      </c>
      <c r="X826" s="57">
        <f t="shared" si="413"/>
        <v>493142.03798423428</v>
      </c>
      <c r="Y826" s="57">
        <f t="shared" si="414"/>
        <v>574.50122022026596</v>
      </c>
      <c r="Z826" s="57">
        <f t="shared" si="415"/>
        <v>608.70576396757338</v>
      </c>
      <c r="AA826" s="57">
        <f t="shared" si="390"/>
        <v>-5.0678868548917579</v>
      </c>
      <c r="AB826" s="57">
        <f t="shared" si="391"/>
        <v>-8.6083130168421214</v>
      </c>
      <c r="AC826" s="57">
        <f t="shared" si="392"/>
        <v>-0.82449260182069417</v>
      </c>
      <c r="AD826" s="57">
        <f t="shared" si="393"/>
        <v>-1.4777983278373992</v>
      </c>
      <c r="AE826" s="57">
        <f t="shared" si="394"/>
        <v>-0.29436512701141115</v>
      </c>
      <c r="AF826" s="57">
        <f t="shared" si="395"/>
        <v>-0.45737429012792252</v>
      </c>
      <c r="AG826" s="57">
        <f t="shared" si="396"/>
        <v>-0.76172947126593349</v>
      </c>
      <c r="AH826" s="57">
        <f t="shared" si="397"/>
        <v>-1.3078824755305631</v>
      </c>
      <c r="AJ826" s="57">
        <f t="shared" si="398"/>
        <v>556112.98796565237</v>
      </c>
      <c r="AK826" s="57">
        <f t="shared" si="399"/>
        <v>574556.89953419904</v>
      </c>
      <c r="AL826" s="57">
        <f t="shared" si="400"/>
        <v>588042.73386250879</v>
      </c>
      <c r="AN826" s="41">
        <v>821</v>
      </c>
      <c r="AO826" s="57">
        <f t="shared" si="401"/>
        <v>3568.9325346759274</v>
      </c>
      <c r="AP826" s="57">
        <f t="shared" si="402"/>
        <v>22362.203875857482</v>
      </c>
      <c r="AR826" s="41">
        <v>821</v>
      </c>
      <c r="AS826" s="57">
        <f t="shared" si="403"/>
        <v>14332.168516182099</v>
      </c>
      <c r="AT826" s="57">
        <f t="shared" si="404"/>
        <v>-1564.3048579331748</v>
      </c>
      <c r="AV826" s="57">
        <f t="shared" si="405"/>
        <v>-2.9190024253149458</v>
      </c>
      <c r="AW826" s="57">
        <f t="shared" si="406"/>
        <v>-4.8809291735250442</v>
      </c>
      <c r="AX826" s="57">
        <f t="shared" si="407"/>
        <v>-0.26829722947877338</v>
      </c>
      <c r="AY826" s="57">
        <f t="shared" si="408"/>
        <v>-0.48432874982119178</v>
      </c>
      <c r="BA826" s="57">
        <f t="shared" si="409"/>
        <v>557123.64037742326</v>
      </c>
      <c r="BB826" s="57">
        <f t="shared" si="410"/>
        <v>569467.68853440229</v>
      </c>
    </row>
    <row r="827" spans="9:54" x14ac:dyDescent="0.25">
      <c r="I827" s="41">
        <v>822</v>
      </c>
      <c r="J827" s="57">
        <f t="shared" si="384"/>
        <v>18960.441545911199</v>
      </c>
      <c r="K827" s="57">
        <f t="shared" si="385"/>
        <v>12390.738003669027</v>
      </c>
      <c r="M827" s="41">
        <v>822</v>
      </c>
      <c r="N827" s="57">
        <f t="shared" si="386"/>
        <v>-20727.690917862161</v>
      </c>
      <c r="O827" s="57">
        <f t="shared" si="387"/>
        <v>13423.516602568319</v>
      </c>
      <c r="Q827" s="41">
        <v>822</v>
      </c>
      <c r="R827" s="57">
        <f t="shared" si="388"/>
        <v>-6039.5584540887994</v>
      </c>
      <c r="S827" s="41">
        <f t="shared" si="389"/>
        <v>-10109.261996330973</v>
      </c>
      <c r="U827" s="41">
        <v>821</v>
      </c>
      <c r="V827" s="41">
        <f t="shared" si="411"/>
        <v>410.5</v>
      </c>
      <c r="W827" s="57">
        <f t="shared" si="412"/>
        <v>291235.81222659216</v>
      </c>
      <c r="X827" s="57">
        <f t="shared" si="413"/>
        <v>493445.31482709094</v>
      </c>
      <c r="Y827" s="57">
        <f t="shared" si="414"/>
        <v>571.96727679282003</v>
      </c>
      <c r="Z827" s="57">
        <f t="shared" si="415"/>
        <v>604.40160745915227</v>
      </c>
      <c r="AA827" s="57">
        <f t="shared" si="390"/>
        <v>-5.0619998228737018</v>
      </c>
      <c r="AB827" s="57">
        <f t="shared" si="391"/>
        <v>-8.5950652286813298</v>
      </c>
      <c r="AC827" s="57">
        <f t="shared" si="392"/>
        <v>-0.82356692989771141</v>
      </c>
      <c r="AD827" s="57">
        <f t="shared" si="393"/>
        <v>-1.4755001846732074</v>
      </c>
      <c r="AE827" s="57">
        <f t="shared" si="394"/>
        <v>-0.29400647469465324</v>
      </c>
      <c r="AF827" s="57">
        <f t="shared" si="395"/>
        <v>-0.45668283383943947</v>
      </c>
      <c r="AG827" s="57">
        <f t="shared" si="396"/>
        <v>-0.76088927375696636</v>
      </c>
      <c r="AH827" s="57">
        <f t="shared" si="397"/>
        <v>-1.3059548183458598</v>
      </c>
      <c r="AJ827" s="57">
        <f t="shared" si="398"/>
        <v>556517.48834750894</v>
      </c>
      <c r="AK827" s="57">
        <f t="shared" si="399"/>
        <v>574967.04535182845</v>
      </c>
      <c r="AL827" s="57">
        <f t="shared" si="400"/>
        <v>588449.05864073604</v>
      </c>
      <c r="AN827" s="41">
        <v>822</v>
      </c>
      <c r="AO827" s="57">
        <f t="shared" si="401"/>
        <v>3440.6623188668004</v>
      </c>
      <c r="AP827" s="57">
        <f t="shared" si="402"/>
        <v>22336.107005503542</v>
      </c>
      <c r="AR827" s="41">
        <v>822</v>
      </c>
      <c r="AS827" s="57">
        <f t="shared" si="403"/>
        <v>14272.309082137841</v>
      </c>
      <c r="AT827" s="57">
        <f t="shared" si="404"/>
        <v>-1576.4833974316807</v>
      </c>
      <c r="AV827" s="57">
        <f t="shared" si="405"/>
        <v>-2.9155322259382426</v>
      </c>
      <c r="AW827" s="57">
        <f t="shared" si="406"/>
        <v>-4.8733340628365971</v>
      </c>
      <c r="AX827" s="57">
        <f t="shared" si="407"/>
        <v>-0.26800491858612885</v>
      </c>
      <c r="AY827" s="57">
        <f t="shared" si="408"/>
        <v>-0.48359332898622653</v>
      </c>
      <c r="BA827" s="57">
        <f t="shared" si="409"/>
        <v>557531.0390292285</v>
      </c>
      <c r="BB827" s="57">
        <f t="shared" si="410"/>
        <v>569871.87667892757</v>
      </c>
    </row>
    <row r="828" spans="9:54" x14ac:dyDescent="0.25">
      <c r="I828" s="41">
        <v>823</v>
      </c>
      <c r="J828" s="57">
        <f t="shared" si="384"/>
        <v>18875.244728280679</v>
      </c>
      <c r="K828" s="57">
        <f t="shared" si="385"/>
        <v>12371.850323926177</v>
      </c>
      <c r="M828" s="41">
        <v>823</v>
      </c>
      <c r="N828" s="57">
        <f t="shared" si="386"/>
        <v>-20787.328690203525</v>
      </c>
      <c r="O828" s="57">
        <f t="shared" si="387"/>
        <v>13410.295226748323</v>
      </c>
      <c r="Q828" s="41">
        <v>823</v>
      </c>
      <c r="R828" s="57">
        <f t="shared" si="388"/>
        <v>-6124.755271719323</v>
      </c>
      <c r="S828" s="41">
        <f t="shared" si="389"/>
        <v>-10128.149676073823</v>
      </c>
      <c r="U828" s="41">
        <v>822</v>
      </c>
      <c r="V828" s="41">
        <f t="shared" si="411"/>
        <v>411</v>
      </c>
      <c r="W828" s="57">
        <f t="shared" si="412"/>
        <v>291521.16311501071</v>
      </c>
      <c r="X828" s="57">
        <f t="shared" si="413"/>
        <v>493746.44124766695</v>
      </c>
      <c r="Y828" s="57">
        <f t="shared" si="414"/>
        <v>569.43627688138315</v>
      </c>
      <c r="Z828" s="57">
        <f t="shared" si="415"/>
        <v>600.10407484481163</v>
      </c>
      <c r="AA828" s="57">
        <f t="shared" si="390"/>
        <v>-5.0561667497841896</v>
      </c>
      <c r="AB828" s="57">
        <f t="shared" si="391"/>
        <v>-8.5819230571730412</v>
      </c>
      <c r="AC828" s="57">
        <f t="shared" si="392"/>
        <v>-0.82264981346701593</v>
      </c>
      <c r="AD828" s="57">
        <f t="shared" si="393"/>
        <v>-1.4732205018654747</v>
      </c>
      <c r="AE828" s="57">
        <f t="shared" si="394"/>
        <v>-0.29365106634211569</v>
      </c>
      <c r="AF828" s="57">
        <f t="shared" si="395"/>
        <v>-0.45599681540459741</v>
      </c>
      <c r="AG828" s="57">
        <f t="shared" si="396"/>
        <v>-0.76005673303323684</v>
      </c>
      <c r="AH828" s="57">
        <f t="shared" si="397"/>
        <v>-1.3040423624906952</v>
      </c>
      <c r="AJ828" s="57">
        <f t="shared" si="398"/>
        <v>556919.51271736668</v>
      </c>
      <c r="AK828" s="57">
        <f t="shared" si="399"/>
        <v>575374.70789765485</v>
      </c>
      <c r="AL828" s="57">
        <f t="shared" si="400"/>
        <v>588852.90324260492</v>
      </c>
      <c r="AN828" s="41">
        <v>823</v>
      </c>
      <c r="AO828" s="57">
        <f t="shared" si="401"/>
        <v>3312.8670924210155</v>
      </c>
      <c r="AP828" s="57">
        <f t="shared" si="402"/>
        <v>22307.775485889266</v>
      </c>
      <c r="AR828" s="41">
        <v>823</v>
      </c>
      <c r="AS828" s="57">
        <f t="shared" si="403"/>
        <v>14212.671309796475</v>
      </c>
      <c r="AT828" s="57">
        <f t="shared" si="404"/>
        <v>-1589.7047732516762</v>
      </c>
      <c r="AV828" s="57">
        <f t="shared" si="405"/>
        <v>-2.912093834767183</v>
      </c>
      <c r="AW828" s="57">
        <f t="shared" si="406"/>
        <v>-4.8657995968501684</v>
      </c>
      <c r="AX828" s="57">
        <f t="shared" si="407"/>
        <v>-0.26771530217463807</v>
      </c>
      <c r="AY828" s="57">
        <f t="shared" si="408"/>
        <v>-0.48286378056210483</v>
      </c>
      <c r="BA828" s="57">
        <f t="shared" si="409"/>
        <v>557935.95682666346</v>
      </c>
      <c r="BB828" s="57">
        <f t="shared" si="410"/>
        <v>570273.58899715042</v>
      </c>
    </row>
    <row r="829" spans="9:54" x14ac:dyDescent="0.25">
      <c r="I829" s="41">
        <v>824</v>
      </c>
      <c r="J829" s="57">
        <f t="shared" si="384"/>
        <v>18790.390522001668</v>
      </c>
      <c r="K829" s="57">
        <f t="shared" si="385"/>
        <v>12351.478631379985</v>
      </c>
      <c r="M829" s="41">
        <v>824</v>
      </c>
      <c r="N829" s="57">
        <f t="shared" si="386"/>
        <v>-20846.726634598832</v>
      </c>
      <c r="O829" s="57">
        <f t="shared" si="387"/>
        <v>13396.035041965988</v>
      </c>
      <c r="Q829" s="41">
        <v>824</v>
      </c>
      <c r="R829" s="57">
        <f t="shared" si="388"/>
        <v>-6209.6094779983314</v>
      </c>
      <c r="S829" s="41">
        <f t="shared" si="389"/>
        <v>-10148.521368620015</v>
      </c>
      <c r="U829" s="41">
        <v>823</v>
      </c>
      <c r="V829" s="41">
        <f t="shared" si="411"/>
        <v>411.5</v>
      </c>
      <c r="W829" s="57">
        <f t="shared" si="412"/>
        <v>291805.24923260766</v>
      </c>
      <c r="X829" s="57">
        <f t="shared" si="413"/>
        <v>494045.42054470722</v>
      </c>
      <c r="Y829" s="57">
        <f t="shared" si="414"/>
        <v>566.9081935064911</v>
      </c>
      <c r="Z829" s="57">
        <f t="shared" si="415"/>
        <v>595.8131133162251</v>
      </c>
      <c r="AA829" s="57">
        <f t="shared" si="390"/>
        <v>-5.0503873177713619</v>
      </c>
      <c r="AB829" s="57">
        <f t="shared" si="391"/>
        <v>-8.56888578905712</v>
      </c>
      <c r="AC829" s="57">
        <f t="shared" si="392"/>
        <v>-0.8217412035299706</v>
      </c>
      <c r="AD829" s="57">
        <f t="shared" si="393"/>
        <v>-1.4709591539501394</v>
      </c>
      <c r="AE829" s="57">
        <f t="shared" si="394"/>
        <v>-0.29329888217311478</v>
      </c>
      <c r="AF829" s="57">
        <f t="shared" si="395"/>
        <v>-0.45531619854439281</v>
      </c>
      <c r="AG829" s="57">
        <f t="shared" si="396"/>
        <v>-0.75923180552947722</v>
      </c>
      <c r="AH829" s="57">
        <f t="shared" si="397"/>
        <v>-1.3021450083377104</v>
      </c>
      <c r="AJ829" s="57">
        <f t="shared" si="398"/>
        <v>557319.06459713541</v>
      </c>
      <c r="AK829" s="57">
        <f t="shared" si="399"/>
        <v>575779.89075627772</v>
      </c>
      <c r="AL829" s="57">
        <f t="shared" si="400"/>
        <v>589254.27121877379</v>
      </c>
      <c r="AN829" s="41">
        <v>824</v>
      </c>
      <c r="AO829" s="57">
        <f t="shared" si="401"/>
        <v>3185.5857830025034</v>
      </c>
      <c r="AP829" s="57">
        <f t="shared" si="402"/>
        <v>22277.217947069978</v>
      </c>
      <c r="AR829" s="41">
        <v>824</v>
      </c>
      <c r="AS829" s="57">
        <f t="shared" si="403"/>
        <v>14153.273365401168</v>
      </c>
      <c r="AT829" s="57">
        <f t="shared" si="404"/>
        <v>-1603.964958034011</v>
      </c>
      <c r="AV829" s="57">
        <f t="shared" si="405"/>
        <v>-2.9086870614168094</v>
      </c>
      <c r="AW829" s="57">
        <f t="shared" si="406"/>
        <v>-4.8583253629339271</v>
      </c>
      <c r="AX829" s="57">
        <f t="shared" si="407"/>
        <v>-0.26742836512199036</v>
      </c>
      <c r="AY829" s="57">
        <f t="shared" si="408"/>
        <v>-0.48214006529095021</v>
      </c>
      <c r="BA829" s="57">
        <f t="shared" si="409"/>
        <v>558338.39732928423</v>
      </c>
      <c r="BB829" s="57">
        <f t="shared" si="410"/>
        <v>570672.82900920534</v>
      </c>
    </row>
    <row r="830" spans="9:54" x14ac:dyDescent="0.25">
      <c r="I830" s="41">
        <v>825</v>
      </c>
      <c r="J830" s="57">
        <f t="shared" si="384"/>
        <v>18705.904774487393</v>
      </c>
      <c r="K830" s="57">
        <f t="shared" si="385"/>
        <v>12329.629131445341</v>
      </c>
      <c r="M830" s="41">
        <v>825</v>
      </c>
      <c r="N830" s="57">
        <f t="shared" si="386"/>
        <v>-20905.866657858827</v>
      </c>
      <c r="O830" s="57">
        <f t="shared" si="387"/>
        <v>13380.740392011738</v>
      </c>
      <c r="Q830" s="41">
        <v>825</v>
      </c>
      <c r="R830" s="57">
        <f t="shared" si="388"/>
        <v>-6294.0952255126085</v>
      </c>
      <c r="S830" s="41">
        <f t="shared" si="389"/>
        <v>-10170.370868554659</v>
      </c>
      <c r="U830" s="41">
        <v>824</v>
      </c>
      <c r="V830" s="41">
        <f t="shared" si="411"/>
        <v>412</v>
      </c>
      <c r="W830" s="57">
        <f t="shared" si="412"/>
        <v>292088.0720309462</v>
      </c>
      <c r="X830" s="57">
        <f t="shared" si="413"/>
        <v>494342.25599064166</v>
      </c>
      <c r="Y830" s="57">
        <f t="shared" si="414"/>
        <v>564.38299984760545</v>
      </c>
      <c r="Z830" s="57">
        <f t="shared" si="415"/>
        <v>591.52867042169657</v>
      </c>
      <c r="AA830" s="57">
        <f t="shared" si="390"/>
        <v>-5.0446612127812163</v>
      </c>
      <c r="AB830" s="57">
        <f t="shared" si="391"/>
        <v>-8.5559527193217875</v>
      </c>
      <c r="AC830" s="57">
        <f t="shared" si="392"/>
        <v>-0.82084105167151444</v>
      </c>
      <c r="AD830" s="57">
        <f t="shared" si="393"/>
        <v>-1.4687160169227844</v>
      </c>
      <c r="AE830" s="57">
        <f t="shared" si="394"/>
        <v>-0.29294990264366777</v>
      </c>
      <c r="AF830" s="57">
        <f t="shared" si="395"/>
        <v>-0.45464094739450173</v>
      </c>
      <c r="AG830" s="57">
        <f t="shared" si="396"/>
        <v>-0.75841444819415904</v>
      </c>
      <c r="AH830" s="57">
        <f t="shared" si="397"/>
        <v>-1.300262657394311</v>
      </c>
      <c r="AJ830" s="57">
        <f t="shared" si="398"/>
        <v>557716.14747967885</v>
      </c>
      <c r="AK830" s="57">
        <f t="shared" si="399"/>
        <v>576182.5974828616</v>
      </c>
      <c r="AL830" s="57">
        <f t="shared" si="400"/>
        <v>589653.16609062732</v>
      </c>
      <c r="AN830" s="41">
        <v>825</v>
      </c>
      <c r="AO830" s="57">
        <f t="shared" si="401"/>
        <v>3058.8571617310881</v>
      </c>
      <c r="AP830" s="57">
        <f t="shared" si="402"/>
        <v>22244.443697168012</v>
      </c>
      <c r="AR830" s="41">
        <v>825</v>
      </c>
      <c r="AS830" s="57">
        <f t="shared" si="403"/>
        <v>14094.133342141175</v>
      </c>
      <c r="AT830" s="57">
        <f t="shared" si="404"/>
        <v>-1619.2596079882619</v>
      </c>
      <c r="AV830" s="57">
        <f t="shared" si="405"/>
        <v>-2.9053117177871535</v>
      </c>
      <c r="AW830" s="57">
        <f t="shared" si="406"/>
        <v>-4.850910953242332</v>
      </c>
      <c r="AX830" s="57">
        <f t="shared" si="407"/>
        <v>-0.2671440924847216</v>
      </c>
      <c r="AY830" s="57">
        <f t="shared" si="408"/>
        <v>-0.48142214436785757</v>
      </c>
      <c r="BA830" s="57">
        <f t="shared" si="409"/>
        <v>558738.36406733666</v>
      </c>
      <c r="BB830" s="57">
        <f t="shared" si="410"/>
        <v>571069.60020618362</v>
      </c>
    </row>
    <row r="831" spans="9:54" x14ac:dyDescent="0.25">
      <c r="I831" s="41">
        <v>826</v>
      </c>
      <c r="J831" s="57">
        <f t="shared" si="384"/>
        <v>18621.813220915006</v>
      </c>
      <c r="K831" s="57">
        <f t="shared" si="385"/>
        <v>12306.308479691594</v>
      </c>
      <c r="M831" s="41">
        <v>826</v>
      </c>
      <c r="N831" s="57">
        <f t="shared" si="386"/>
        <v>-20964.730745359499</v>
      </c>
      <c r="O831" s="57">
        <f t="shared" si="387"/>
        <v>13364.415935784116</v>
      </c>
      <c r="Q831" s="41">
        <v>826</v>
      </c>
      <c r="R831" s="57">
        <f t="shared" si="388"/>
        <v>-6378.1867790849956</v>
      </c>
      <c r="S831" s="41">
        <f t="shared" si="389"/>
        <v>-10193.691520308406</v>
      </c>
      <c r="U831" s="41">
        <v>825</v>
      </c>
      <c r="V831" s="41">
        <f t="shared" si="411"/>
        <v>412.5</v>
      </c>
      <c r="W831" s="57">
        <f t="shared" si="412"/>
        <v>292369.63294821844</v>
      </c>
      <c r="X831" s="57">
        <f t="shared" si="413"/>
        <v>494636.95083176257</v>
      </c>
      <c r="Y831" s="57">
        <f t="shared" si="414"/>
        <v>561.86066924121485</v>
      </c>
      <c r="Z831" s="57">
        <f t="shared" si="415"/>
        <v>587.25069406203568</v>
      </c>
      <c r="AA831" s="57">
        <f t="shared" si="390"/>
        <v>-5.0389881245136339</v>
      </c>
      <c r="AB831" s="57">
        <f t="shared" si="391"/>
        <v>-8.5431231511016339</v>
      </c>
      <c r="AC831" s="57">
        <f t="shared" si="392"/>
        <v>-0.81994931005357474</v>
      </c>
      <c r="AD831" s="57">
        <f t="shared" si="393"/>
        <v>-1.4664909682205398</v>
      </c>
      <c r="AE831" s="57">
        <f t="shared" si="394"/>
        <v>-0.29260410844367701</v>
      </c>
      <c r="AF831" s="57">
        <f t="shared" si="395"/>
        <v>-0.45397102650018911</v>
      </c>
      <c r="AG831" s="57">
        <f t="shared" si="396"/>
        <v>-0.75760461848373783</v>
      </c>
      <c r="AH831" s="57">
        <f t="shared" si="397"/>
        <v>-1.2983952122890299</v>
      </c>
      <c r="AJ831" s="57">
        <f t="shared" si="398"/>
        <v>558110.76482900267</v>
      </c>
      <c r="AK831" s="57">
        <f t="shared" si="399"/>
        <v>576582.83160332905</v>
      </c>
      <c r="AL831" s="57">
        <f t="shared" si="400"/>
        <v>590049.59135046822</v>
      </c>
      <c r="AN831" s="41">
        <v>826</v>
      </c>
      <c r="AO831" s="57">
        <f t="shared" si="401"/>
        <v>2932.7198313725071</v>
      </c>
      <c r="AP831" s="57">
        <f t="shared" si="402"/>
        <v>22209.462719537391</v>
      </c>
      <c r="AR831" s="41">
        <v>826</v>
      </c>
      <c r="AS831" s="57">
        <f t="shared" si="403"/>
        <v>14035.269254640503</v>
      </c>
      <c r="AT831" s="57">
        <f t="shared" si="404"/>
        <v>-1635.5840642158837</v>
      </c>
      <c r="AV831" s="57">
        <f t="shared" si="405"/>
        <v>-2.9019676180364433</v>
      </c>
      <c r="AW831" s="57">
        <f t="shared" si="406"/>
        <v>-4.84355596465657</v>
      </c>
      <c r="AX831" s="57">
        <f t="shared" si="407"/>
        <v>-0.26686246949620107</v>
      </c>
      <c r="AY831" s="57">
        <f t="shared" si="408"/>
        <v>-0.48070997943530491</v>
      </c>
      <c r="BA831" s="57">
        <f t="shared" si="409"/>
        <v>559135.86054194777</v>
      </c>
      <c r="BB831" s="57">
        <f t="shared" si="410"/>
        <v>571463.90605032141</v>
      </c>
    </row>
    <row r="832" spans="9:54" x14ac:dyDescent="0.25">
      <c r="I832" s="41">
        <v>827</v>
      </c>
      <c r="J832" s="57">
        <f t="shared" si="384"/>
        <v>18538.141476386321</v>
      </c>
      <c r="K832" s="57">
        <f t="shared" si="385"/>
        <v>12281.523779815179</v>
      </c>
      <c r="M832" s="41">
        <v>827</v>
      </c>
      <c r="N832" s="57">
        <f t="shared" si="386"/>
        <v>-21023.300966529576</v>
      </c>
      <c r="O832" s="57">
        <f t="shared" si="387"/>
        <v>13347.066645870626</v>
      </c>
      <c r="Q832" s="41">
        <v>827</v>
      </c>
      <c r="R832" s="57">
        <f t="shared" si="388"/>
        <v>-6461.8585236136778</v>
      </c>
      <c r="S832" s="41">
        <f t="shared" si="389"/>
        <v>-10218.476220184821</v>
      </c>
      <c r="U832" s="41">
        <v>826</v>
      </c>
      <c r="V832" s="41">
        <f t="shared" si="411"/>
        <v>413</v>
      </c>
      <c r="W832" s="57">
        <f t="shared" si="412"/>
        <v>292649.93340932345</v>
      </c>
      <c r="X832" s="57">
        <f t="shared" si="413"/>
        <v>494929.50828839967</v>
      </c>
      <c r="Y832" s="57">
        <f t="shared" si="414"/>
        <v>559.341175178958</v>
      </c>
      <c r="Z832" s="57">
        <f t="shared" si="415"/>
        <v>582.9791324864849</v>
      </c>
      <c r="AA832" s="57">
        <f t="shared" si="390"/>
        <v>-5.0333677463790938</v>
      </c>
      <c r="AB832" s="57">
        <f t="shared" si="391"/>
        <v>-8.530396395577224</v>
      </c>
      <c r="AC832" s="57">
        <f t="shared" si="392"/>
        <v>-0.81906593140855077</v>
      </c>
      <c r="AD832" s="57">
        <f t="shared" si="393"/>
        <v>-1.4642838867042167</v>
      </c>
      <c r="AE832" s="57">
        <f t="shared" si="394"/>
        <v>-0.2922614804941841</v>
      </c>
      <c r="AF832" s="57">
        <f t="shared" si="395"/>
        <v>-0.45330640081133644</v>
      </c>
      <c r="AG832" s="57">
        <f t="shared" si="396"/>
        <v>-0.75680227435688519</v>
      </c>
      <c r="AH832" s="57">
        <f t="shared" si="397"/>
        <v>-1.2965425767579251</v>
      </c>
      <c r="AJ832" s="57">
        <f t="shared" si="398"/>
        <v>558502.92008044105</v>
      </c>
      <c r="AK832" s="57">
        <f t="shared" si="399"/>
        <v>576980.59661455126</v>
      </c>
      <c r="AL832" s="57">
        <f t="shared" si="400"/>
        <v>590443.55046170484</v>
      </c>
      <c r="AN832" s="41">
        <v>827</v>
      </c>
      <c r="AO832" s="57">
        <f t="shared" si="401"/>
        <v>2807.2122145794833</v>
      </c>
      <c r="AP832" s="57">
        <f t="shared" si="402"/>
        <v>22172.285669722769</v>
      </c>
      <c r="AR832" s="41">
        <v>827</v>
      </c>
      <c r="AS832" s="57">
        <f t="shared" si="403"/>
        <v>13976.699033470426</v>
      </c>
      <c r="AT832" s="57">
        <f t="shared" si="404"/>
        <v>-1652.9333541293745</v>
      </c>
      <c r="AV832" s="57">
        <f t="shared" si="405"/>
        <v>-2.8986545785547979</v>
      </c>
      <c r="AW832" s="57">
        <f t="shared" si="406"/>
        <v>-4.8362599987260477</v>
      </c>
      <c r="AX832" s="57">
        <f t="shared" si="407"/>
        <v>-0.26658348156467548</v>
      </c>
      <c r="AY832" s="57">
        <f t="shared" si="408"/>
        <v>-0.48000353257769796</v>
      </c>
      <c r="BA832" s="57">
        <f t="shared" si="409"/>
        <v>559530.89022531477</v>
      </c>
      <c r="BB832" s="57">
        <f t="shared" si="410"/>
        <v>571855.74997518642</v>
      </c>
    </row>
    <row r="833" spans="9:54" x14ac:dyDescent="0.25">
      <c r="I833" s="41">
        <v>828</v>
      </c>
      <c r="J833" s="57">
        <f t="shared" si="384"/>
        <v>18454.915028125273</v>
      </c>
      <c r="K833" s="57">
        <f t="shared" si="385"/>
        <v>12255.282581475771</v>
      </c>
      <c r="M833" s="41">
        <v>828</v>
      </c>
      <c r="N833" s="57">
        <f t="shared" si="386"/>
        <v>-21081.559480312309</v>
      </c>
      <c r="O833" s="57">
        <f t="shared" si="387"/>
        <v>13328.697807033041</v>
      </c>
      <c r="Q833" s="41">
        <v>828</v>
      </c>
      <c r="R833" s="57">
        <f t="shared" si="388"/>
        <v>-6545.0849718747259</v>
      </c>
      <c r="S833" s="41">
        <f t="shared" si="389"/>
        <v>-10244.717418524229</v>
      </c>
      <c r="U833" s="41">
        <v>827</v>
      </c>
      <c r="V833" s="41">
        <f t="shared" si="411"/>
        <v>413.5</v>
      </c>
      <c r="W833" s="57">
        <f t="shared" si="412"/>
        <v>292928.97482594464</v>
      </c>
      <c r="X833" s="57">
        <f t="shared" si="413"/>
        <v>495219.9315550935</v>
      </c>
      <c r="Y833" s="57">
        <f t="shared" si="414"/>
        <v>556.82449130576845</v>
      </c>
      <c r="Z833" s="57">
        <f t="shared" si="415"/>
        <v>578.71393428869624</v>
      </c>
      <c r="AA833" s="57">
        <f t="shared" si="390"/>
        <v>-5.0277997754561223</v>
      </c>
      <c r="AB833" s="57">
        <f t="shared" si="391"/>
        <v>-8.5177717718763883</v>
      </c>
      <c r="AC833" s="57">
        <f t="shared" si="392"/>
        <v>-0.81819086903292471</v>
      </c>
      <c r="AD833" s="57">
        <f t="shared" si="393"/>
        <v>-1.4620946526407683</v>
      </c>
      <c r="AE833" s="57">
        <f t="shared" si="394"/>
        <v>-0.29192199994463103</v>
      </c>
      <c r="AF833" s="57">
        <f t="shared" si="395"/>
        <v>-0.45264703567749048</v>
      </c>
      <c r="AG833" s="57">
        <f t="shared" si="396"/>
        <v>-0.75600737426889941</v>
      </c>
      <c r="AH833" s="57">
        <f t="shared" si="397"/>
        <v>-1.2947046556313435</v>
      </c>
      <c r="AJ833" s="57">
        <f t="shared" si="398"/>
        <v>558892.61664084112</v>
      </c>
      <c r="AK833" s="57">
        <f t="shared" si="399"/>
        <v>577375.8959845365</v>
      </c>
      <c r="AL833" s="57">
        <f t="shared" si="400"/>
        <v>590835.04685903888</v>
      </c>
      <c r="AN833" s="41">
        <v>828</v>
      </c>
      <c r="AO833" s="57">
        <f t="shared" si="401"/>
        <v>2682.3725421879112</v>
      </c>
      <c r="AP833" s="57">
        <f t="shared" si="402"/>
        <v>22132.923872213658</v>
      </c>
      <c r="AR833" s="41">
        <v>828</v>
      </c>
      <c r="AS833" s="57">
        <f t="shared" si="403"/>
        <v>13918.440519687692</v>
      </c>
      <c r="AT833" s="57">
        <f t="shared" si="404"/>
        <v>-1671.3021929669599</v>
      </c>
      <c r="AV833" s="57">
        <f t="shared" si="405"/>
        <v>-2.8953724179383298</v>
      </c>
      <c r="AW833" s="57">
        <f t="shared" si="406"/>
        <v>-4.829022661610793</v>
      </c>
      <c r="AX833" s="57">
        <f t="shared" si="407"/>
        <v>-0.26630711427133752</v>
      </c>
      <c r="AY833" s="57">
        <f t="shared" si="408"/>
        <v>-0.47930276631599184</v>
      </c>
      <c r="BA833" s="57">
        <f t="shared" si="409"/>
        <v>559923.45656089287</v>
      </c>
      <c r="BB833" s="57">
        <f t="shared" si="410"/>
        <v>572245.1353858615</v>
      </c>
    </row>
    <row r="834" spans="9:54" x14ac:dyDescent="0.25">
      <c r="I834" s="41">
        <v>829</v>
      </c>
      <c r="J834" s="57">
        <f t="shared" si="384"/>
        <v>18372.159227714215</v>
      </c>
      <c r="K834" s="57">
        <f t="shared" si="385"/>
        <v>12227.592877996583</v>
      </c>
      <c r="M834" s="41">
        <v>829</v>
      </c>
      <c r="N834" s="57">
        <f t="shared" si="386"/>
        <v>-21139.48854060005</v>
      </c>
      <c r="O834" s="57">
        <f t="shared" si="387"/>
        <v>13309.315014597609</v>
      </c>
      <c r="Q834" s="41">
        <v>829</v>
      </c>
      <c r="R834" s="57">
        <f t="shared" si="388"/>
        <v>-6627.8407722857837</v>
      </c>
      <c r="S834" s="41">
        <f t="shared" si="389"/>
        <v>-10272.407122003417</v>
      </c>
      <c r="U834" s="41">
        <v>828</v>
      </c>
      <c r="V834" s="41">
        <f t="shared" si="411"/>
        <v>414</v>
      </c>
      <c r="W834" s="57">
        <f t="shared" si="412"/>
        <v>293206.75859662559</v>
      </c>
      <c r="X834" s="57">
        <f t="shared" si="413"/>
        <v>495508.22380076634</v>
      </c>
      <c r="Y834" s="57">
        <f t="shared" si="414"/>
        <v>554.31059141804042</v>
      </c>
      <c r="Z834" s="57">
        <f t="shared" si="415"/>
        <v>574.45504840275805</v>
      </c>
      <c r="AA834" s="57">
        <f t="shared" si="390"/>
        <v>-5.0222839124493515</v>
      </c>
      <c r="AB834" s="57">
        <f t="shared" si="391"/>
        <v>-8.5052486069769522</v>
      </c>
      <c r="AC834" s="57">
        <f t="shared" si="392"/>
        <v>-0.8173240767809673</v>
      </c>
      <c r="AD834" s="57">
        <f t="shared" si="393"/>
        <v>-1.4599231476860228</v>
      </c>
      <c r="AE834" s="57">
        <f t="shared" si="394"/>
        <v>-0.29158564817020616</v>
      </c>
      <c r="AF834" s="57">
        <f t="shared" si="395"/>
        <v>-0.45199289684305421</v>
      </c>
      <c r="AG834" s="57">
        <f t="shared" si="396"/>
        <v>-0.75521987716617012</v>
      </c>
      <c r="AH834" s="57">
        <f t="shared" si="397"/>
        <v>-1.2928813548208331</v>
      </c>
      <c r="AJ834" s="57">
        <f t="shared" si="398"/>
        <v>559279.85788874398</v>
      </c>
      <c r="AK834" s="57">
        <f t="shared" si="399"/>
        <v>577768.733152617</v>
      </c>
      <c r="AL834" s="57">
        <f t="shared" si="400"/>
        <v>591224.08394864923</v>
      </c>
      <c r="AN834" s="41">
        <v>829</v>
      </c>
      <c r="AO834" s="57">
        <f t="shared" si="401"/>
        <v>2558.238841571324</v>
      </c>
      <c r="AP834" s="57">
        <f t="shared" si="402"/>
        <v>22091.389316994875</v>
      </c>
      <c r="AR834" s="41">
        <v>829</v>
      </c>
      <c r="AS834" s="57">
        <f t="shared" si="403"/>
        <v>13860.511459399951</v>
      </c>
      <c r="AT834" s="57">
        <f t="shared" si="404"/>
        <v>-1690.6849854023912</v>
      </c>
      <c r="AV834" s="57">
        <f t="shared" si="405"/>
        <v>-2.8921209569635957</v>
      </c>
      <c r="AW834" s="57">
        <f t="shared" si="406"/>
        <v>-4.8218435640246673</v>
      </c>
      <c r="AX834" s="57">
        <f t="shared" si="407"/>
        <v>-0.26603335336841244</v>
      </c>
      <c r="AY834" s="57">
        <f t="shared" si="408"/>
        <v>-0.47860764360237495</v>
      </c>
      <c r="BA834" s="57">
        <f t="shared" si="409"/>
        <v>560313.56296357932</v>
      </c>
      <c r="BB834" s="57">
        <f t="shared" si="410"/>
        <v>572632.06565912731</v>
      </c>
    </row>
    <row r="835" spans="9:54" x14ac:dyDescent="0.25">
      <c r="I835" s="41">
        <v>830</v>
      </c>
      <c r="J835" s="57">
        <f t="shared" si="384"/>
        <v>18289.899283371662</v>
      </c>
      <c r="K835" s="57">
        <f t="shared" si="385"/>
        <v>12198.463103929544</v>
      </c>
      <c r="M835" s="41">
        <v>830</v>
      </c>
      <c r="N835" s="57">
        <f t="shared" si="386"/>
        <v>-21197.070501639839</v>
      </c>
      <c r="O835" s="57">
        <f t="shared" si="387"/>
        <v>13288.924172750681</v>
      </c>
      <c r="Q835" s="41">
        <v>830</v>
      </c>
      <c r="R835" s="57">
        <f t="shared" si="388"/>
        <v>-6710.1007166283389</v>
      </c>
      <c r="S835" s="41">
        <f t="shared" si="389"/>
        <v>-10301.536896070456</v>
      </c>
      <c r="U835" s="41">
        <v>829</v>
      </c>
      <c r="V835" s="41">
        <f t="shared" si="411"/>
        <v>414.5</v>
      </c>
      <c r="W835" s="57">
        <f t="shared" si="412"/>
        <v>293483.28610684554</v>
      </c>
      <c r="X835" s="57">
        <f t="shared" si="413"/>
        <v>495794.38816889183</v>
      </c>
      <c r="Y835" s="57">
        <f t="shared" si="414"/>
        <v>551.7994494618157</v>
      </c>
      <c r="Z835" s="57">
        <f t="shared" si="415"/>
        <v>570.20242409926959</v>
      </c>
      <c r="AA835" s="57">
        <f t="shared" si="390"/>
        <v>-5.0168198616482833</v>
      </c>
      <c r="AB835" s="57">
        <f t="shared" si="391"/>
        <v>-8.4928262356111066</v>
      </c>
      <c r="AC835" s="57">
        <f t="shared" si="392"/>
        <v>-0.81646550905850013</v>
      </c>
      <c r="AD835" s="57">
        <f t="shared" si="393"/>
        <v>-1.4577692548676155</v>
      </c>
      <c r="AE835" s="57">
        <f t="shared" si="394"/>
        <v>-0.29125240676920533</v>
      </c>
      <c r="AF835" s="57">
        <f t="shared" si="395"/>
        <v>-0.45134395044251008</v>
      </c>
      <c r="AG835" s="57">
        <f t="shared" si="396"/>
        <v>-0.75443974248071588</v>
      </c>
      <c r="AH835" s="57">
        <f t="shared" si="397"/>
        <v>-1.2910725813062385</v>
      </c>
      <c r="AJ835" s="57">
        <f t="shared" si="398"/>
        <v>559664.6471745657</v>
      </c>
      <c r="AK835" s="57">
        <f t="shared" si="399"/>
        <v>578159.1115296327</v>
      </c>
      <c r="AL835" s="57">
        <f t="shared" si="400"/>
        <v>591610.66510837479</v>
      </c>
      <c r="AN835" s="41">
        <v>830</v>
      </c>
      <c r="AO835" s="57">
        <f t="shared" si="401"/>
        <v>2434.8489250574912</v>
      </c>
      <c r="AP835" s="57">
        <f t="shared" si="402"/>
        <v>22047.694655894316</v>
      </c>
      <c r="AR835" s="41">
        <v>830</v>
      </c>
      <c r="AS835" s="57">
        <f t="shared" si="403"/>
        <v>13802.929498360163</v>
      </c>
      <c r="AT835" s="57">
        <f t="shared" si="404"/>
        <v>-1711.0758272493194</v>
      </c>
      <c r="AV835" s="57">
        <f t="shared" si="405"/>
        <v>-2.8889000185625706</v>
      </c>
      <c r="AW835" s="57">
        <f t="shared" si="406"/>
        <v>-4.8147223211796746</v>
      </c>
      <c r="AX835" s="57">
        <f t="shared" si="407"/>
        <v>-0.26576218477729091</v>
      </c>
      <c r="AY835" s="57">
        <f t="shared" si="408"/>
        <v>-0.47791812781506737</v>
      </c>
      <c r="BA835" s="57">
        <f t="shared" si="409"/>
        <v>560701.21281989675</v>
      </c>
      <c r="BB835" s="57">
        <f t="shared" si="410"/>
        <v>573016.5441436416</v>
      </c>
    </row>
    <row r="836" spans="9:54" x14ac:dyDescent="0.25">
      <c r="I836" s="41">
        <v>831</v>
      </c>
      <c r="J836" s="57">
        <f t="shared" si="384"/>
        <v>18208.160252273501</v>
      </c>
      <c r="K836" s="57">
        <f t="shared" si="385"/>
        <v>12167.90213248601</v>
      </c>
      <c r="M836" s="41">
        <v>831</v>
      </c>
      <c r="N836" s="57">
        <f t="shared" si="386"/>
        <v>-21254.287823408551</v>
      </c>
      <c r="O836" s="57">
        <f t="shared" si="387"/>
        <v>13267.531492740207</v>
      </c>
      <c r="Q836" s="41">
        <v>831</v>
      </c>
      <c r="R836" s="57">
        <f t="shared" si="388"/>
        <v>-6791.8397477265007</v>
      </c>
      <c r="S836" s="41">
        <f t="shared" si="389"/>
        <v>-10332.09786751399</v>
      </c>
      <c r="U836" s="41">
        <v>830</v>
      </c>
      <c r="V836" s="41">
        <f t="shared" si="411"/>
        <v>415</v>
      </c>
      <c r="W836" s="57">
        <f t="shared" si="412"/>
        <v>293758.55872909375</v>
      </c>
      <c r="X836" s="57">
        <f t="shared" si="413"/>
        <v>496078.42777766206</v>
      </c>
      <c r="Y836" s="57">
        <f t="shared" si="414"/>
        <v>549.29103953099161</v>
      </c>
      <c r="Z836" s="57">
        <f t="shared" si="415"/>
        <v>565.95601098146403</v>
      </c>
      <c r="AA836" s="57">
        <f t="shared" si="390"/>
        <v>-5.0114073308867351</v>
      </c>
      <c r="AB836" s="57">
        <f t="shared" si="391"/>
        <v>-8.4805040001713063</v>
      </c>
      <c r="AC836" s="57">
        <f t="shared" si="392"/>
        <v>-0.81561512081683385</v>
      </c>
      <c r="AD836" s="57">
        <f t="shared" si="393"/>
        <v>-1.4556328585683291</v>
      </c>
      <c r="AE836" s="57">
        <f t="shared" si="394"/>
        <v>-0.29092225756043494</v>
      </c>
      <c r="AF836" s="57">
        <f t="shared" si="395"/>
        <v>-0.45070016299571852</v>
      </c>
      <c r="AG836" s="57">
        <f t="shared" si="396"/>
        <v>-0.75366693012482111</v>
      </c>
      <c r="AH836" s="57">
        <f t="shared" si="397"/>
        <v>-1.289278243123017</v>
      </c>
      <c r="AJ836" s="57">
        <f t="shared" si="398"/>
        <v>560046.98782077455</v>
      </c>
      <c r="AK836" s="57">
        <f t="shared" si="399"/>
        <v>578547.03449811414</v>
      </c>
      <c r="AL836" s="57">
        <f t="shared" si="400"/>
        <v>591994.79368789413</v>
      </c>
      <c r="AN836" s="41">
        <v>831</v>
      </c>
      <c r="AO836" s="57">
        <f t="shared" si="401"/>
        <v>2312.2403784102498</v>
      </c>
      <c r="AP836" s="57">
        <f t="shared" si="402"/>
        <v>22001.853198729012</v>
      </c>
      <c r="AR836" s="41">
        <v>831</v>
      </c>
      <c r="AS836" s="57">
        <f t="shared" si="403"/>
        <v>13745.712176591449</v>
      </c>
      <c r="AT836" s="57">
        <f t="shared" si="404"/>
        <v>-1732.4685072597936</v>
      </c>
      <c r="AV836" s="57">
        <f t="shared" si="405"/>
        <v>-2.8857094277979671</v>
      </c>
      <c r="AW836" s="57">
        <f t="shared" si="406"/>
        <v>-4.8076585527310636</v>
      </c>
      <c r="AX836" s="57">
        <f t="shared" si="407"/>
        <v>-0.26549359458667815</v>
      </c>
      <c r="AY836" s="57">
        <f t="shared" si="408"/>
        <v>-0.47723418275317753</v>
      </c>
      <c r="BA836" s="57">
        <f t="shared" si="409"/>
        <v>561086.40948817378</v>
      </c>
      <c r="BB836" s="57">
        <f t="shared" si="410"/>
        <v>573398.57416011719</v>
      </c>
    </row>
    <row r="837" spans="9:54" x14ac:dyDescent="0.25">
      <c r="I837" s="41">
        <v>832</v>
      </c>
      <c r="J837" s="57">
        <f t="shared" si="384"/>
        <v>18126.967032920438</v>
      </c>
      <c r="K837" s="57">
        <f t="shared" si="385"/>
        <v>12135.919272833937</v>
      </c>
      <c r="M837" s="41">
        <v>832</v>
      </c>
      <c r="N837" s="57">
        <f t="shared" si="386"/>
        <v>-21311.123076955693</v>
      </c>
      <c r="O837" s="57">
        <f t="shared" si="387"/>
        <v>13245.143490983755</v>
      </c>
      <c r="Q837" s="41">
        <v>832</v>
      </c>
      <c r="R837" s="57">
        <f t="shared" si="388"/>
        <v>-6873.0329670795618</v>
      </c>
      <c r="S837" s="41">
        <f t="shared" si="389"/>
        <v>-10364.080727166063</v>
      </c>
      <c r="U837" s="41">
        <v>831</v>
      </c>
      <c r="V837" s="41">
        <f t="shared" si="411"/>
        <v>415.5</v>
      </c>
      <c r="W837" s="57">
        <f t="shared" si="412"/>
        <v>294032.57782294287</v>
      </c>
      <c r="X837" s="57">
        <f t="shared" si="413"/>
        <v>496360.34572015278</v>
      </c>
      <c r="Y837" s="57">
        <f t="shared" si="414"/>
        <v>546.78533586554829</v>
      </c>
      <c r="Z837" s="57">
        <f t="shared" si="415"/>
        <v>561.71575898137837</v>
      </c>
      <c r="AA837" s="57">
        <f t="shared" si="390"/>
        <v>-5.0060460315027555</v>
      </c>
      <c r="AB837" s="57">
        <f t="shared" si="391"/>
        <v>-8.4682812506173821</v>
      </c>
      <c r="AC837" s="57">
        <f t="shared" si="392"/>
        <v>-0.81477286754671652</v>
      </c>
      <c r="AD837" s="57">
        <f t="shared" si="393"/>
        <v>-1.4535138445095497</v>
      </c>
      <c r="AE837" s="57">
        <f t="shared" si="394"/>
        <v>-0.2905951825806789</v>
      </c>
      <c r="AF837" s="57">
        <f t="shared" si="395"/>
        <v>-0.45006150140332424</v>
      </c>
      <c r="AG837" s="57">
        <f t="shared" si="396"/>
        <v>-0.75290140048576726</v>
      </c>
      <c r="AH837" s="57">
        <f t="shared" si="397"/>
        <v>-1.2874982493497746</v>
      </c>
      <c r="AJ837" s="57">
        <f t="shared" si="398"/>
        <v>560426.88312206662</v>
      </c>
      <c r="AK837" s="57">
        <f t="shared" si="399"/>
        <v>578932.505412461</v>
      </c>
      <c r="AL837" s="57">
        <f t="shared" si="400"/>
        <v>592376.47300890379</v>
      </c>
      <c r="AN837" s="41">
        <v>832</v>
      </c>
      <c r="AO837" s="57">
        <f t="shared" si="401"/>
        <v>2190.4505493806569</v>
      </c>
      <c r="AP837" s="57">
        <f t="shared" si="402"/>
        <v>21953.878909250903</v>
      </c>
      <c r="AR837" s="41">
        <v>832</v>
      </c>
      <c r="AS837" s="57">
        <f t="shared" si="403"/>
        <v>13688.876923044307</v>
      </c>
      <c r="AT837" s="57">
        <f t="shared" si="404"/>
        <v>-1754.8565090162447</v>
      </c>
      <c r="AV837" s="57">
        <f t="shared" si="405"/>
        <v>-2.8825490118388113</v>
      </c>
      <c r="AW837" s="57">
        <f t="shared" si="406"/>
        <v>-4.8006518827230771</v>
      </c>
      <c r="AX837" s="57">
        <f t="shared" si="407"/>
        <v>-0.26522756905078104</v>
      </c>
      <c r="AY837" s="57">
        <f t="shared" si="408"/>
        <v>-0.47655577263165616</v>
      </c>
      <c r="BA837" s="57">
        <f t="shared" si="409"/>
        <v>561469.15629872365</v>
      </c>
      <c r="BB837" s="57">
        <f t="shared" si="410"/>
        <v>573778.15900149755</v>
      </c>
    </row>
    <row r="838" spans="9:54" x14ac:dyDescent="0.25">
      <c r="I838" s="41">
        <v>833</v>
      </c>
      <c r="J838" s="57">
        <f t="shared" si="384"/>
        <v>18046.344357553633</v>
      </c>
      <c r="K838" s="57">
        <f t="shared" si="385"/>
        <v>12102.524267262203</v>
      </c>
      <c r="M838" s="41">
        <v>833</v>
      </c>
      <c r="N838" s="57">
        <f t="shared" si="386"/>
        <v>-21367.558949712457</v>
      </c>
      <c r="O838" s="57">
        <f t="shared" si="387"/>
        <v>13221.766987083542</v>
      </c>
      <c r="Q838" s="41">
        <v>833</v>
      </c>
      <c r="R838" s="57">
        <f t="shared" si="388"/>
        <v>-6953.6556424463661</v>
      </c>
      <c r="S838" s="41">
        <f t="shared" si="389"/>
        <v>-10397.475732737797</v>
      </c>
      <c r="U838" s="41">
        <v>832</v>
      </c>
      <c r="V838" s="41">
        <f t="shared" si="411"/>
        <v>416</v>
      </c>
      <c r="W838" s="57">
        <f t="shared" si="412"/>
        <v>294305.3447351217</v>
      </c>
      <c r="X838" s="57">
        <f t="shared" si="413"/>
        <v>496640.14506448718</v>
      </c>
      <c r="Y838" s="57">
        <f t="shared" si="414"/>
        <v>544.28231284979688</v>
      </c>
      <c r="Z838" s="57">
        <f t="shared" si="415"/>
        <v>557.4816183560697</v>
      </c>
      <c r="AA838" s="57">
        <f t="shared" si="390"/>
        <v>-5.0007356782993373</v>
      </c>
      <c r="AB838" s="57">
        <f t="shared" si="391"/>
        <v>-8.4561573443853906</v>
      </c>
      <c r="AC838" s="57">
        <f t="shared" si="392"/>
        <v>-0.81393870527242485</v>
      </c>
      <c r="AD838" s="57">
        <f t="shared" si="393"/>
        <v>-1.4514120997350684</v>
      </c>
      <c r="AE838" s="57">
        <f t="shared" si="394"/>
        <v>-0.29027116408217341</v>
      </c>
      <c r="AF838" s="57">
        <f t="shared" si="395"/>
        <v>-0.44942793294218442</v>
      </c>
      <c r="AG838" s="57">
        <f t="shared" si="396"/>
        <v>-0.75214311442059845</v>
      </c>
      <c r="AH838" s="57">
        <f t="shared" si="397"/>
        <v>-1.2857325100959114</v>
      </c>
      <c r="AJ838" s="57">
        <f t="shared" si="398"/>
        <v>560804.33634554001</v>
      </c>
      <c r="AK838" s="57">
        <f t="shared" si="399"/>
        <v>579315.52759912179</v>
      </c>
      <c r="AL838" s="57">
        <f t="shared" si="400"/>
        <v>592755.70636529475</v>
      </c>
      <c r="AN838" s="41">
        <v>833</v>
      </c>
      <c r="AO838" s="57">
        <f t="shared" si="401"/>
        <v>2069.5165363304513</v>
      </c>
      <c r="AP838" s="57">
        <f t="shared" si="402"/>
        <v>21903.786400893303</v>
      </c>
      <c r="AR838" s="41">
        <v>833</v>
      </c>
      <c r="AS838" s="57">
        <f t="shared" si="403"/>
        <v>13632.441050287543</v>
      </c>
      <c r="AT838" s="57">
        <f t="shared" si="404"/>
        <v>-1778.2330129164579</v>
      </c>
      <c r="AV838" s="57">
        <f t="shared" si="405"/>
        <v>-2.8794185999366322</v>
      </c>
      <c r="AW838" s="57">
        <f t="shared" si="406"/>
        <v>-4.7937019395359233</v>
      </c>
      <c r="AX838" s="57">
        <f t="shared" si="407"/>
        <v>-0.26496409458750858</v>
      </c>
      <c r="AY838" s="57">
        <f t="shared" si="408"/>
        <v>-0.47588286207630343</v>
      </c>
      <c r="BA838" s="57">
        <f t="shared" si="409"/>
        <v>561849.45655402017</v>
      </c>
      <c r="BB838" s="57">
        <f t="shared" si="410"/>
        <v>574155.30193313106</v>
      </c>
    </row>
    <row r="839" spans="9:54" x14ac:dyDescent="0.25">
      <c r="I839" s="41">
        <v>834</v>
      </c>
      <c r="J839" s="57">
        <f t="shared" ref="J839:J902" si="416">$F$8*COS(I839*PI()/180)+$E$7</f>
        <v>17966.316784620998</v>
      </c>
      <c r="K839" s="57">
        <f t="shared" ref="K839:K902" si="417">$F$8*SIN(I839*PI()/180)+$G$7</f>
        <v>12067.727288213006</v>
      </c>
      <c r="M839" s="41">
        <v>834</v>
      </c>
      <c r="N839" s="57">
        <f t="shared" ref="N839:N902" si="418">$F$19*COS(M839*PI()/180)+$E$18</f>
        <v>-21423.578250765302</v>
      </c>
      <c r="O839" s="57">
        <f t="shared" ref="O839:O902" si="419">$F$19*SIN(M839*PI()/180)+$G$18</f>
        <v>13197.409101749103</v>
      </c>
      <c r="Q839" s="41">
        <v>834</v>
      </c>
      <c r="R839" s="57">
        <f t="shared" ref="R839:R902" si="420">$F$30*COS(Q839*PI()/180)+$E$29</f>
        <v>-7033.683215379001</v>
      </c>
      <c r="S839" s="41">
        <f t="shared" ref="S839:S902" si="421">$F$30*SIN(Q839*PI()/180)+$G$29</f>
        <v>-10432.272711786994</v>
      </c>
      <c r="U839" s="41">
        <v>833</v>
      </c>
      <c r="V839" s="41">
        <f t="shared" si="411"/>
        <v>416.5</v>
      </c>
      <c r="W839" s="57">
        <f t="shared" si="412"/>
        <v>294576.86079958681</v>
      </c>
      <c r="X839" s="57">
        <f t="shared" si="413"/>
        <v>496917.82885399717</v>
      </c>
      <c r="Y839" s="57">
        <f t="shared" si="414"/>
        <v>541.78194501064718</v>
      </c>
      <c r="Z839" s="57">
        <f t="shared" si="415"/>
        <v>553.25353968387697</v>
      </c>
      <c r="AA839" s="57">
        <f t="shared" ref="AA839:AA902" si="422">AC839+AE839+AG839+AV839+AX839</f>
        <v>-4.9954759895057386</v>
      </c>
      <c r="AB839" s="57">
        <f t="shared" ref="AB839:AB902" si="423">AD839+AF839+AH839+AW839+AY839</f>
        <v>-8.4441316462978815</v>
      </c>
      <c r="AC839" s="57">
        <f t="shared" ref="AC839:AC902" si="424">(($E$7-W839)/(AJ839^2+$F$12^2)^(3/2))*$E$11</f>
        <v>-0.81311259054596052</v>
      </c>
      <c r="AD839" s="57">
        <f t="shared" ref="AD839:AD902" si="425">(($G$7-X839)/(AJ839^2+$F$12^2)^(3/2))*$E$11</f>
        <v>-1.4493275125951619</v>
      </c>
      <c r="AE839" s="57">
        <f t="shared" ref="AE839:AE902" si="426">(($E$18-W839)/(AK839^2+$F$23^2)^(3/2))*$E$22</f>
        <v>-0.28995018453015453</v>
      </c>
      <c r="AF839" s="57">
        <f t="shared" ref="AF839:AF902" si="427">(($G$18-X839)/(AK839^2+$F$23^2)^(3/2))*$E$22</f>
        <v>-0.44879942526091904</v>
      </c>
      <c r="AG839" s="57">
        <f t="shared" ref="AG839:AG902" si="428">(($E$29-W839)/(AL839^2+$F$34^2)^(3/2))*$E$33</f>
        <v>-0.75139203325102755</v>
      </c>
      <c r="AH839" s="57">
        <f t="shared" ref="AH839:AH902" si="429">(($G$29-X839)/(AL839^2+$F$34^2)^(3/2))*$E$33</f>
        <v>-1.2839809364895614</v>
      </c>
      <c r="AJ839" s="57">
        <f t="shared" ref="AJ839:AJ902" si="430">SQRT(($E$7-W839)^2+($G$7-X839)^2)</f>
        <v>561179.35073086584</v>
      </c>
      <c r="AK839" s="57">
        <f t="shared" ref="AK839:AK902" si="431">SQRT(($E$18-W839)^2+($G$18-X839)^2)</f>
        <v>579696.10435676819</v>
      </c>
      <c r="AL839" s="57">
        <f t="shared" ref="AL839:AL902" si="432">SQRT(($E$29-W839)^2+($G$29-X839)^2)</f>
        <v>593132.49702332565</v>
      </c>
      <c r="AN839" s="41">
        <v>834</v>
      </c>
      <c r="AO839" s="57">
        <f t="shared" ref="AO839:AO902" si="433">$F$41*COS(AN839*PI()/180)+$E$40</f>
        <v>1949.4751769314985</v>
      </c>
      <c r="AP839" s="57">
        <f t="shared" ref="AP839:AP902" si="434">$F$41*SIN(AN839*PI()/180)+$G$40</f>
        <v>21851.590932319508</v>
      </c>
      <c r="AR839" s="41">
        <v>834</v>
      </c>
      <c r="AS839" s="57">
        <f t="shared" ref="AS839:AS902" si="435">$F$52*COS(AR839*PI()/180)+$E$51</f>
        <v>13576.4217492347</v>
      </c>
      <c r="AT839" s="57">
        <f t="shared" ref="AT839:AT902" si="436">$F$52*SIN(AR839*PI()/180)+$G$51</f>
        <v>-1802.5908982508968</v>
      </c>
      <c r="AV839" s="57">
        <f t="shared" ref="AV839:AV902" si="437">(($E$40-W839)/(BA839^2+$F$45^2)^(3/2))*$E$44</f>
        <v>-2.876318023401871</v>
      </c>
      <c r="AW839" s="57">
        <f t="shared" ref="AW839:AW902" si="438">(($G$40-X839)/(BA839^2+$F$45^2)^(3/2))*$E$44</f>
        <v>-4.7868083558333403</v>
      </c>
      <c r="AX839" s="57">
        <f t="shared" ref="AX839:AX902" si="439">(($E$51-W839)/(BB839^2+$F$56^2)^(3/2))*$E$55</f>
        <v>-0.26470315777672537</v>
      </c>
      <c r="AY839" s="57">
        <f t="shared" ref="AY839:AY902" si="440">(($G$51-X839)/(BB839^2+$F$56^2)^(3/2))*$E$55</f>
        <v>-0.47521541611889867</v>
      </c>
      <c r="BA839" s="57">
        <f t="shared" ref="BA839:BA902" si="441">SQRT(($E$40-W839)^2+($G$40-X839)^2)</f>
        <v>562227.31352887314</v>
      </c>
      <c r="BB839" s="57">
        <f t="shared" ref="BB839:BB902" si="442">SQRT(($E$51-W839)^2+($G$51-X839)^2)</f>
        <v>574530.00619294203</v>
      </c>
    </row>
    <row r="840" spans="9:54" x14ac:dyDescent="0.25">
      <c r="I840" s="41">
        <v>835</v>
      </c>
      <c r="J840" s="57">
        <f t="shared" si="416"/>
        <v>17886.908691296507</v>
      </c>
      <c r="K840" s="57">
        <f t="shared" si="417"/>
        <v>12031.538935183253</v>
      </c>
      <c r="M840" s="41">
        <v>835</v>
      </c>
      <c r="N840" s="57">
        <f t="shared" si="418"/>
        <v>-21479.163916092446</v>
      </c>
      <c r="O840" s="57">
        <f t="shared" si="419"/>
        <v>13172.077254628277</v>
      </c>
      <c r="Q840" s="41">
        <v>835</v>
      </c>
      <c r="R840" s="57">
        <f t="shared" si="420"/>
        <v>-7113.0913087034924</v>
      </c>
      <c r="S840" s="41">
        <f t="shared" si="421"/>
        <v>-10468.461064816747</v>
      </c>
      <c r="U840" s="41">
        <v>834</v>
      </c>
      <c r="V840" s="41">
        <f t="shared" ref="V840:V903" si="443">V839+0.5</f>
        <v>417</v>
      </c>
      <c r="W840" s="57">
        <f t="shared" ref="W840:W903" si="444">W839+Y839*$F$3+((1/2)*AA839)*$F$3^2</f>
        <v>294847.12733759347</v>
      </c>
      <c r="X840" s="57">
        <f t="shared" ref="X840:X903" si="445">X839+Z839*$F$3+((1/2)*AB839)*$F$3^2</f>
        <v>497193.40010738332</v>
      </c>
      <c r="Y840" s="57">
        <f t="shared" ref="Y840:Y903" si="446">Y839+AA839*$F$3</f>
        <v>539.28420701589425</v>
      </c>
      <c r="Z840" s="57">
        <f t="shared" ref="Z840:Z903" si="447">Z839+AB839*$F$3</f>
        <v>549.03147386072806</v>
      </c>
      <c r="AA840" s="57">
        <f t="shared" si="422"/>
        <v>-4.9902666867393446</v>
      </c>
      <c r="AB840" s="57">
        <f t="shared" si="423"/>
        <v>-8.4322035284754442</v>
      </c>
      <c r="AC840" s="57">
        <f t="shared" si="424"/>
        <v>-0.81229448044129393</v>
      </c>
      <c r="AD840" s="57">
        <f t="shared" si="425"/>
        <v>-1.4472599727308484</v>
      </c>
      <c r="AE840" s="57">
        <f t="shared" si="426"/>
        <v>-0.28963222660041149</v>
      </c>
      <c r="AF840" s="57">
        <f t="shared" si="427"/>
        <v>-0.44817594637547803</v>
      </c>
      <c r="AG840" s="57">
        <f t="shared" si="428"/>
        <v>-0.75064811875840265</v>
      </c>
      <c r="AH840" s="57">
        <f t="shared" si="429"/>
        <v>-1.2822434406656835</v>
      </c>
      <c r="AJ840" s="57">
        <f t="shared" si="430"/>
        <v>561551.9294904588</v>
      </c>
      <c r="AK840" s="57">
        <f t="shared" si="431"/>
        <v>580074.23895646993</v>
      </c>
      <c r="AL840" s="57">
        <f t="shared" si="432"/>
        <v>593506.84822179517</v>
      </c>
      <c r="AN840" s="41">
        <v>835</v>
      </c>
      <c r="AO840" s="57">
        <f t="shared" si="433"/>
        <v>1830.3630369447615</v>
      </c>
      <c r="AP840" s="57">
        <f t="shared" si="434"/>
        <v>21797.308402774877</v>
      </c>
      <c r="AR840" s="41">
        <v>835</v>
      </c>
      <c r="AS840" s="57">
        <f t="shared" si="435"/>
        <v>13520.836083907556</v>
      </c>
      <c r="AT840" s="57">
        <f t="shared" si="436"/>
        <v>-1827.9227453717235</v>
      </c>
      <c r="AV840" s="57">
        <f t="shared" si="437"/>
        <v>-2.8732471155807353</v>
      </c>
      <c r="AW840" s="57">
        <f t="shared" si="438"/>
        <v>-4.7799707685110837</v>
      </c>
      <c r="AX840" s="57">
        <f t="shared" si="439"/>
        <v>-0.26444474535850099</v>
      </c>
      <c r="AY840" s="57">
        <f t="shared" si="440"/>
        <v>-0.47455340019235093</v>
      </c>
      <c r="BA840" s="57">
        <f t="shared" si="441"/>
        <v>562602.73047059961</v>
      </c>
      <c r="BB840" s="57">
        <f t="shared" si="442"/>
        <v>574902.27499160031</v>
      </c>
    </row>
    <row r="841" spans="9:54" x14ac:dyDescent="0.25">
      <c r="I841" s="41">
        <v>836</v>
      </c>
      <c r="J841" s="57">
        <f t="shared" si="416"/>
        <v>17808.144266054616</v>
      </c>
      <c r="K841" s="57">
        <f t="shared" si="417"/>
        <v>11993.970231495836</v>
      </c>
      <c r="M841" s="41">
        <v>836</v>
      </c>
      <c r="N841" s="57">
        <f t="shared" si="418"/>
        <v>-21534.299013761771</v>
      </c>
      <c r="O841" s="57">
        <f t="shared" si="419"/>
        <v>13145.779162047085</v>
      </c>
      <c r="Q841" s="41">
        <v>836</v>
      </c>
      <c r="R841" s="57">
        <f t="shared" si="420"/>
        <v>-7191.8557339453855</v>
      </c>
      <c r="S841" s="41">
        <f t="shared" si="421"/>
        <v>-10506.029768504164</v>
      </c>
      <c r="U841" s="41">
        <v>835</v>
      </c>
      <c r="V841" s="41">
        <f t="shared" si="443"/>
        <v>417.5</v>
      </c>
      <c r="W841" s="57">
        <f t="shared" si="444"/>
        <v>295116.14565776556</v>
      </c>
      <c r="X841" s="57">
        <f t="shared" si="445"/>
        <v>497466.86181887263</v>
      </c>
      <c r="Y841" s="57">
        <f t="shared" si="446"/>
        <v>536.78907367252464</v>
      </c>
      <c r="Z841" s="57">
        <f t="shared" si="447"/>
        <v>544.81537209649036</v>
      </c>
      <c r="AA841" s="57">
        <f t="shared" si="422"/>
        <v>-4.9851074949679806</v>
      </c>
      <c r="AB841" s="57">
        <f t="shared" si="423"/>
        <v>-8.4203723702494155</v>
      </c>
      <c r="AC841" s="57">
        <f t="shared" si="424"/>
        <v>-0.81148433254868968</v>
      </c>
      <c r="AD841" s="57">
        <f t="shared" si="425"/>
        <v>-1.445209371058376</v>
      </c>
      <c r="AE841" s="57">
        <f t="shared" si="426"/>
        <v>-0.28931727317690509</v>
      </c>
      <c r="AF841" s="57">
        <f t="shared" si="427"/>
        <v>-0.44755746466481916</v>
      </c>
      <c r="AG841" s="57">
        <f t="shared" si="428"/>
        <v>-0.74991133317870495</v>
      </c>
      <c r="AH841" s="57">
        <f t="shared" si="429"/>
        <v>-1.2805199357542594</v>
      </c>
      <c r="AJ841" s="57">
        <f t="shared" si="430"/>
        <v>561922.07580964384</v>
      </c>
      <c r="AK841" s="57">
        <f t="shared" si="431"/>
        <v>580449.93464186555</v>
      </c>
      <c r="AL841" s="57">
        <f t="shared" si="432"/>
        <v>593878.76317221229</v>
      </c>
      <c r="AN841" s="41">
        <v>836</v>
      </c>
      <c r="AO841" s="57">
        <f t="shared" si="433"/>
        <v>1712.2163990819222</v>
      </c>
      <c r="AP841" s="57">
        <f t="shared" si="434"/>
        <v>21740.955347243755</v>
      </c>
      <c r="AR841" s="41">
        <v>836</v>
      </c>
      <c r="AS841" s="57">
        <f t="shared" si="435"/>
        <v>13465.700986238229</v>
      </c>
      <c r="AT841" s="57">
        <f t="shared" si="436"/>
        <v>-1854.2208379529152</v>
      </c>
      <c r="AV841" s="57">
        <f t="shared" si="437"/>
        <v>-2.8702057118322677</v>
      </c>
      <c r="AW841" s="57">
        <f t="shared" si="438"/>
        <v>-4.7731888186459885</v>
      </c>
      <c r="AX841" s="57">
        <f t="shared" si="439"/>
        <v>-0.26418884423141276</v>
      </c>
      <c r="AY841" s="57">
        <f t="shared" si="440"/>
        <v>-0.47389678012597225</v>
      </c>
      <c r="BA841" s="57">
        <f t="shared" si="441"/>
        <v>562975.71059919533</v>
      </c>
      <c r="BB841" s="57">
        <f t="shared" si="442"/>
        <v>575272.11151268973</v>
      </c>
    </row>
    <row r="842" spans="9:54" x14ac:dyDescent="0.25">
      <c r="I842" s="41">
        <v>837</v>
      </c>
      <c r="J842" s="57">
        <f t="shared" si="416"/>
        <v>17730.047501302266</v>
      </c>
      <c r="K842" s="57">
        <f t="shared" si="417"/>
        <v>11955.032620941838</v>
      </c>
      <c r="M842" s="41">
        <v>837</v>
      </c>
      <c r="N842" s="57">
        <f t="shared" si="418"/>
        <v>-21588.966749088417</v>
      </c>
      <c r="O842" s="57">
        <f t="shared" si="419"/>
        <v>13118.522834659287</v>
      </c>
      <c r="Q842" s="41">
        <v>837</v>
      </c>
      <c r="R842" s="57">
        <f t="shared" si="420"/>
        <v>-7269.9524986977358</v>
      </c>
      <c r="S842" s="41">
        <f t="shared" si="421"/>
        <v>-10544.967379058162</v>
      </c>
      <c r="U842" s="41">
        <v>836</v>
      </c>
      <c r="V842" s="41">
        <f t="shared" si="443"/>
        <v>418</v>
      </c>
      <c r="W842" s="57">
        <f t="shared" si="444"/>
        <v>295383.91705616494</v>
      </c>
      <c r="X842" s="57">
        <f t="shared" si="445"/>
        <v>497738.2169583746</v>
      </c>
      <c r="Y842" s="57">
        <f t="shared" si="446"/>
        <v>534.29651992504068</v>
      </c>
      <c r="Z842" s="57">
        <f t="shared" si="447"/>
        <v>540.60518591136565</v>
      </c>
      <c r="AA842" s="57">
        <f t="shared" si="422"/>
        <v>-4.9799981424732875</v>
      </c>
      <c r="AB842" s="57">
        <f t="shared" si="423"/>
        <v>-8.4086375580767143</v>
      </c>
      <c r="AC842" s="57">
        <f t="shared" si="424"/>
        <v>-0.81068210496921056</v>
      </c>
      <c r="AD842" s="57">
        <f t="shared" si="425"/>
        <v>-1.4431755997541127</v>
      </c>
      <c r="AE842" s="57">
        <f t="shared" si="426"/>
        <v>-0.28900530734941088</v>
      </c>
      <c r="AF842" s="57">
        <f t="shared" si="427"/>
        <v>-0.44694394886663208</v>
      </c>
      <c r="AG842" s="57">
        <f t="shared" si="428"/>
        <v>-0.74918163919768899</v>
      </c>
      <c r="AH842" s="57">
        <f t="shared" si="429"/>
        <v>-1.2788103358687843</v>
      </c>
      <c r="AJ842" s="57">
        <f t="shared" si="430"/>
        <v>562289.79284682299</v>
      </c>
      <c r="AK842" s="57">
        <f t="shared" si="431"/>
        <v>580823.19462933333</v>
      </c>
      <c r="AL842" s="57">
        <f t="shared" si="432"/>
        <v>594248.24505896377</v>
      </c>
      <c r="AN842" s="41">
        <v>837</v>
      </c>
      <c r="AO842" s="57">
        <f t="shared" si="433"/>
        <v>1595.0712519533968</v>
      </c>
      <c r="AP842" s="57">
        <f t="shared" si="434"/>
        <v>21682.548931412755</v>
      </c>
      <c r="AR842" s="41">
        <v>837</v>
      </c>
      <c r="AS842" s="57">
        <f t="shared" si="435"/>
        <v>13411.033250911585</v>
      </c>
      <c r="AT842" s="57">
        <f t="shared" si="436"/>
        <v>-1881.4771653407133</v>
      </c>
      <c r="AV842" s="57">
        <f t="shared" si="437"/>
        <v>-2.8671936495061225</v>
      </c>
      <c r="AW842" s="57">
        <f t="shared" si="438"/>
        <v>-4.7664621514463974</v>
      </c>
      <c r="AX842" s="57">
        <f t="shared" si="439"/>
        <v>-0.26393544145085468</v>
      </c>
      <c r="AY842" s="57">
        <f t="shared" si="440"/>
        <v>-0.47324552214078802</v>
      </c>
      <c r="BA842" s="57">
        <f t="shared" si="441"/>
        <v>563346.25710750266</v>
      </c>
      <c r="BB842" s="57">
        <f t="shared" si="442"/>
        <v>575639.51891287323</v>
      </c>
    </row>
    <row r="843" spans="9:54" x14ac:dyDescent="0.25">
      <c r="I843" s="41">
        <v>838</v>
      </c>
      <c r="J843" s="57">
        <f t="shared" si="416"/>
        <v>17652.642186070549</v>
      </c>
      <c r="K843" s="57">
        <f t="shared" si="417"/>
        <v>11914.737964294636</v>
      </c>
      <c r="M843" s="41">
        <v>838</v>
      </c>
      <c r="N843" s="57">
        <f t="shared" si="418"/>
        <v>-21643.150469750617</v>
      </c>
      <c r="O843" s="57">
        <f t="shared" si="419"/>
        <v>13090.316575006245</v>
      </c>
      <c r="Q843" s="41">
        <v>838</v>
      </c>
      <c r="R843" s="57">
        <f t="shared" si="420"/>
        <v>-7347.3578139294505</v>
      </c>
      <c r="S843" s="41">
        <f t="shared" si="421"/>
        <v>-10585.262035705364</v>
      </c>
      <c r="U843" s="41">
        <v>837</v>
      </c>
      <c r="V843" s="41">
        <f t="shared" si="443"/>
        <v>418.5</v>
      </c>
      <c r="W843" s="57">
        <f t="shared" si="444"/>
        <v>295650.44281635963</v>
      </c>
      <c r="X843" s="57">
        <f t="shared" si="445"/>
        <v>498007.46847163554</v>
      </c>
      <c r="Y843" s="57">
        <f t="shared" si="446"/>
        <v>531.80652085380405</v>
      </c>
      <c r="Z843" s="57">
        <f t="shared" si="447"/>
        <v>536.40086713232733</v>
      </c>
      <c r="AA843" s="57">
        <f t="shared" si="422"/>
        <v>-4.9749383608140292</v>
      </c>
      <c r="AB843" s="57">
        <f t="shared" si="423"/>
        <v>-8.3969984854549473</v>
      </c>
      <c r="AC843" s="57">
        <f t="shared" si="424"/>
        <v>-0.80988775630918519</v>
      </c>
      <c r="AD843" s="57">
        <f t="shared" si="425"/>
        <v>-1.4411585522394614</v>
      </c>
      <c r="AE843" s="57">
        <f t="shared" si="426"/>
        <v>-0.28869631241120353</v>
      </c>
      <c r="AF843" s="57">
        <f t="shared" si="427"/>
        <v>-0.44633536807313473</v>
      </c>
      <c r="AG843" s="57">
        <f t="shared" si="428"/>
        <v>-0.74845899994606724</v>
      </c>
      <c r="AH843" s="57">
        <f t="shared" si="429"/>
        <v>-1.2771145560948791</v>
      </c>
      <c r="AJ843" s="57">
        <f t="shared" si="430"/>
        <v>562655.0837336384</v>
      </c>
      <c r="AK843" s="57">
        <f t="shared" si="431"/>
        <v>581194.02210815821</v>
      </c>
      <c r="AL843" s="57">
        <f t="shared" si="432"/>
        <v>594615.29703948018</v>
      </c>
      <c r="AN843" s="41">
        <v>838</v>
      </c>
      <c r="AO843" s="57">
        <f t="shared" si="433"/>
        <v>1478.9632791058243</v>
      </c>
      <c r="AP843" s="57">
        <f t="shared" si="434"/>
        <v>21622.106946441956</v>
      </c>
      <c r="AR843" s="41">
        <v>838</v>
      </c>
      <c r="AS843" s="57">
        <f t="shared" si="435"/>
        <v>13356.849530249385</v>
      </c>
      <c r="AT843" s="57">
        <f t="shared" si="436"/>
        <v>-1909.6834249937542</v>
      </c>
      <c r="AV843" s="57">
        <f t="shared" si="437"/>
        <v>-2.8642107679201816</v>
      </c>
      <c r="AW843" s="57">
        <f t="shared" si="438"/>
        <v>-4.7597904162025166</v>
      </c>
      <c r="AX843" s="57">
        <f t="shared" si="439"/>
        <v>-0.2636845242273913</v>
      </c>
      <c r="AY843" s="57">
        <f t="shared" si="440"/>
        <v>-0.47259959284495451</v>
      </c>
      <c r="BA843" s="57">
        <f t="shared" si="441"/>
        <v>563714.3731613768</v>
      </c>
      <c r="BB843" s="57">
        <f t="shared" si="442"/>
        <v>576004.50032205658</v>
      </c>
    </row>
    <row r="844" spans="9:54" x14ac:dyDescent="0.25">
      <c r="I844" s="41">
        <v>839</v>
      </c>
      <c r="J844" s="57">
        <f t="shared" si="416"/>
        <v>17575.951898768322</v>
      </c>
      <c r="K844" s="57">
        <f t="shared" si="417"/>
        <v>11873.098535696983</v>
      </c>
      <c r="M844" s="41">
        <v>839</v>
      </c>
      <c r="N844" s="57">
        <f t="shared" si="418"/>
        <v>-21696.833670862175</v>
      </c>
      <c r="O844" s="57">
        <f t="shared" si="419"/>
        <v>13061.16897498789</v>
      </c>
      <c r="Q844" s="41">
        <v>839</v>
      </c>
      <c r="R844" s="57">
        <f t="shared" si="420"/>
        <v>-7424.0481012316768</v>
      </c>
      <c r="S844" s="41">
        <f t="shared" si="421"/>
        <v>-10626.901464303017</v>
      </c>
      <c r="U844" s="41">
        <v>838</v>
      </c>
      <c r="V844" s="41">
        <f t="shared" si="443"/>
        <v>419</v>
      </c>
      <c r="W844" s="57">
        <f t="shared" si="444"/>
        <v>295915.7242094914</v>
      </c>
      <c r="X844" s="57">
        <f t="shared" si="445"/>
        <v>498274.61928039102</v>
      </c>
      <c r="Y844" s="57">
        <f t="shared" si="446"/>
        <v>529.31905167339698</v>
      </c>
      <c r="Z844" s="57">
        <f t="shared" si="447"/>
        <v>532.20236788959983</v>
      </c>
      <c r="AA844" s="57">
        <f t="shared" si="422"/>
        <v>-4.9699278847905592</v>
      </c>
      <c r="AB844" s="57">
        <f t="shared" si="423"/>
        <v>-8.3854545528397999</v>
      </c>
      <c r="AC844" s="57">
        <f t="shared" si="424"/>
        <v>-0.80910124567483976</v>
      </c>
      <c r="AD844" s="57">
        <f t="shared" si="425"/>
        <v>-1.4391581231661461</v>
      </c>
      <c r="AE844" s="57">
        <f t="shared" si="426"/>
        <v>-0.28839027185677357</v>
      </c>
      <c r="AF844" s="57">
        <f t="shared" si="427"/>
        <v>-0.44573169172692911</v>
      </c>
      <c r="AG844" s="57">
        <f t="shared" si="428"/>
        <v>-0.7477433789947675</v>
      </c>
      <c r="AH844" s="57">
        <f t="shared" si="429"/>
        <v>-1.2754325124790762</v>
      </c>
      <c r="AJ844" s="57">
        <f t="shared" si="430"/>
        <v>563017.95157513476</v>
      </c>
      <c r="AK844" s="57">
        <f t="shared" si="431"/>
        <v>581562.42024069803</v>
      </c>
      <c r="AL844" s="57">
        <f t="shared" si="432"/>
        <v>594979.92224440072</v>
      </c>
      <c r="AN844" s="41">
        <v>839</v>
      </c>
      <c r="AO844" s="57">
        <f t="shared" si="433"/>
        <v>1363.9278481524843</v>
      </c>
      <c r="AP844" s="57">
        <f t="shared" si="434"/>
        <v>21559.647803545475</v>
      </c>
      <c r="AR844" s="41">
        <v>839</v>
      </c>
      <c r="AS844" s="57">
        <f t="shared" si="435"/>
        <v>13303.166329137826</v>
      </c>
      <c r="AT844" s="57">
        <f t="shared" si="436"/>
        <v>-1938.8310250121112</v>
      </c>
      <c r="AV844" s="57">
        <f t="shared" si="437"/>
        <v>-2.8612569083390627</v>
      </c>
      <c r="AW844" s="57">
        <f t="shared" si="438"/>
        <v>-4.7531732662384387</v>
      </c>
      <c r="AX844" s="57">
        <f t="shared" si="439"/>
        <v>-0.26343607992511614</v>
      </c>
      <c r="AY844" s="57">
        <f t="shared" si="440"/>
        <v>-0.47195895922921044</v>
      </c>
      <c r="BA844" s="57">
        <f t="shared" si="441"/>
        <v>564080.06189985108</v>
      </c>
      <c r="BB844" s="57">
        <f t="shared" si="442"/>
        <v>576367.0588435512</v>
      </c>
    </row>
    <row r="845" spans="9:54" x14ac:dyDescent="0.25">
      <c r="I845" s="41">
        <v>840</v>
      </c>
      <c r="J845" s="57">
        <f t="shared" si="416"/>
        <v>17499.999999999996</v>
      </c>
      <c r="K845" s="57">
        <f t="shared" si="417"/>
        <v>11830.127018922192</v>
      </c>
      <c r="M845" s="41">
        <v>840</v>
      </c>
      <c r="N845" s="57">
        <f t="shared" si="418"/>
        <v>-21750.000000000004</v>
      </c>
      <c r="O845" s="57">
        <f t="shared" si="419"/>
        <v>13031.088913245534</v>
      </c>
      <c r="Q845" s="41">
        <v>840</v>
      </c>
      <c r="R845" s="57">
        <f t="shared" si="420"/>
        <v>-7500.0000000000027</v>
      </c>
      <c r="S845" s="41">
        <f t="shared" si="421"/>
        <v>-10669.872981077808</v>
      </c>
      <c r="U845" s="41">
        <v>839</v>
      </c>
      <c r="V845" s="41">
        <f t="shared" si="443"/>
        <v>419.5</v>
      </c>
      <c r="W845" s="57">
        <f t="shared" si="444"/>
        <v>296179.76249434252</v>
      </c>
      <c r="X845" s="57">
        <f t="shared" si="445"/>
        <v>498539.67228251672</v>
      </c>
      <c r="Y845" s="57">
        <f t="shared" si="446"/>
        <v>526.83408773100166</v>
      </c>
      <c r="Z845" s="57">
        <f t="shared" si="447"/>
        <v>528.00964061317995</v>
      </c>
      <c r="AA845" s="57">
        <f t="shared" si="422"/>
        <v>-4.9649664524093495</v>
      </c>
      <c r="AB845" s="57">
        <f t="shared" si="423"/>
        <v>-8.3740051675629079</v>
      </c>
      <c r="AC845" s="57">
        <f t="shared" si="424"/>
        <v>-0.80832253266699405</v>
      </c>
      <c r="AD845" s="57">
        <f t="shared" si="425"/>
        <v>-1.4371742084016943</v>
      </c>
      <c r="AE845" s="57">
        <f t="shared" si="426"/>
        <v>-0.28808716937957918</v>
      </c>
      <c r="AF845" s="57">
        <f t="shared" si="427"/>
        <v>-0.44513288961691794</v>
      </c>
      <c r="AG845" s="57">
        <f t="shared" si="428"/>
        <v>-0.74703474035025164</v>
      </c>
      <c r="AH845" s="57">
        <f t="shared" si="429"/>
        <v>-1.2737641220177582</v>
      </c>
      <c r="AJ845" s="57">
        <f t="shared" si="430"/>
        <v>563378.39944991935</v>
      </c>
      <c r="AK845" s="57">
        <f t="shared" si="431"/>
        <v>581928.39216254756</v>
      </c>
      <c r="AL845" s="57">
        <f t="shared" si="432"/>
        <v>595342.12377773435</v>
      </c>
      <c r="AN845" s="41">
        <v>840</v>
      </c>
      <c r="AO845" s="57">
        <f t="shared" si="433"/>
        <v>1249.9999999999959</v>
      </c>
      <c r="AP845" s="57">
        <f t="shared" si="434"/>
        <v>21495.190528383289</v>
      </c>
      <c r="AR845" s="41">
        <v>840</v>
      </c>
      <c r="AS845" s="57">
        <f t="shared" si="435"/>
        <v>13249.999999999998</v>
      </c>
      <c r="AT845" s="57">
        <f t="shared" si="436"/>
        <v>-1968.9110867544655</v>
      </c>
      <c r="AV845" s="57">
        <f t="shared" si="437"/>
        <v>-2.8583319139524743</v>
      </c>
      <c r="AW845" s="57">
        <f t="shared" si="438"/>
        <v>-4.7466103588641122</v>
      </c>
      <c r="AX845" s="57">
        <f t="shared" si="439"/>
        <v>-0.26319009606005039</v>
      </c>
      <c r="AY845" s="57">
        <f t="shared" si="440"/>
        <v>-0.47132358866242513</v>
      </c>
      <c r="BA845" s="57">
        <f t="shared" si="441"/>
        <v>564443.32643529889</v>
      </c>
      <c r="BB845" s="57">
        <f t="shared" si="442"/>
        <v>576727.1975542329</v>
      </c>
    </row>
    <row r="846" spans="9:54" x14ac:dyDescent="0.25">
      <c r="I846" s="41">
        <v>841</v>
      </c>
      <c r="J846" s="57">
        <f t="shared" si="416"/>
        <v>17424.809625449732</v>
      </c>
      <c r="K846" s="57">
        <f t="shared" si="417"/>
        <v>11785.836503510563</v>
      </c>
      <c r="M846" s="41">
        <v>841</v>
      </c>
      <c r="N846" s="57">
        <f t="shared" si="418"/>
        <v>-21802.633262185187</v>
      </c>
      <c r="O846" s="57">
        <f t="shared" si="419"/>
        <v>13000.085552457394</v>
      </c>
      <c r="Q846" s="41">
        <v>841</v>
      </c>
      <c r="R846" s="57">
        <f t="shared" si="420"/>
        <v>-7575.1903745502696</v>
      </c>
      <c r="S846" s="41">
        <f t="shared" si="421"/>
        <v>-10714.163496489437</v>
      </c>
      <c r="U846" s="41">
        <v>840</v>
      </c>
      <c r="V846" s="41">
        <f t="shared" si="443"/>
        <v>420</v>
      </c>
      <c r="W846" s="57">
        <f t="shared" si="444"/>
        <v>296442.55891740147</v>
      </c>
      <c r="X846" s="57">
        <f t="shared" si="445"/>
        <v>498802.63035217737</v>
      </c>
      <c r="Y846" s="57">
        <f t="shared" si="446"/>
        <v>524.35160450479702</v>
      </c>
      <c r="Z846" s="57">
        <f t="shared" si="447"/>
        <v>523.82263802939849</v>
      </c>
      <c r="AA846" s="57">
        <f t="shared" si="422"/>
        <v>-4.9600538048485525</v>
      </c>
      <c r="AB846" s="57">
        <f t="shared" si="423"/>
        <v>-8.362649743751783</v>
      </c>
      <c r="AC846" s="57">
        <f t="shared" si="424"/>
        <v>-0.80755157737583372</v>
      </c>
      <c r="AD846" s="57">
        <f t="shared" si="425"/>
        <v>-1.4352067050151383</v>
      </c>
      <c r="AE846" s="57">
        <f t="shared" si="426"/>
        <v>-0.28778698886984616</v>
      </c>
      <c r="AF846" s="57">
        <f t="shared" si="427"/>
        <v>-0.44453893187430543</v>
      </c>
      <c r="AG846" s="57">
        <f t="shared" si="428"/>
        <v>-0.74633304844995763</v>
      </c>
      <c r="AH846" s="57">
        <f t="shared" si="429"/>
        <v>-1.2721093026463512</v>
      </c>
      <c r="AJ846" s="57">
        <f t="shared" si="430"/>
        <v>563736.43041031971</v>
      </c>
      <c r="AK846" s="57">
        <f t="shared" si="431"/>
        <v>582291.94098270021</v>
      </c>
      <c r="AL846" s="57">
        <f t="shared" si="432"/>
        <v>595701.90471702151</v>
      </c>
      <c r="AN846" s="41">
        <v>841</v>
      </c>
      <c r="AO846" s="57">
        <f t="shared" si="433"/>
        <v>1137.2144381745961</v>
      </c>
      <c r="AP846" s="57">
        <f t="shared" si="434"/>
        <v>21428.754755265843</v>
      </c>
      <c r="AR846" s="41">
        <v>841</v>
      </c>
      <c r="AS846" s="57">
        <f t="shared" si="435"/>
        <v>13197.366737814811</v>
      </c>
      <c r="AT846" s="57">
        <f t="shared" si="436"/>
        <v>-1999.914447542606</v>
      </c>
      <c r="AV846" s="57">
        <f t="shared" si="437"/>
        <v>-2.8554356298543468</v>
      </c>
      <c r="AW846" s="57">
        <f t="shared" si="438"/>
        <v>-4.7401013553287692</v>
      </c>
      <c r="AX846" s="57">
        <f t="shared" si="439"/>
        <v>-0.26294656029856761</v>
      </c>
      <c r="AY846" s="57">
        <f t="shared" si="440"/>
        <v>-0.47069344888721809</v>
      </c>
      <c r="BA846" s="57">
        <f t="shared" si="441"/>
        <v>564804.16985359497</v>
      </c>
      <c r="BB846" s="57">
        <f t="shared" si="442"/>
        <v>577084.91950470139</v>
      </c>
    </row>
    <row r="847" spans="9:54" x14ac:dyDescent="0.25">
      <c r="I847" s="41">
        <v>842</v>
      </c>
      <c r="J847" s="57">
        <f t="shared" si="416"/>
        <v>17350.40367883398</v>
      </c>
      <c r="K847" s="57">
        <f t="shared" si="417"/>
        <v>11740.240480782133</v>
      </c>
      <c r="M847" s="41">
        <v>842</v>
      </c>
      <c r="N847" s="57">
        <f t="shared" si="418"/>
        <v>-21854.717424816212</v>
      </c>
      <c r="O847" s="57">
        <f t="shared" si="419"/>
        <v>12968.168336547495</v>
      </c>
      <c r="Q847" s="41">
        <v>842</v>
      </c>
      <c r="R847" s="57">
        <f t="shared" si="420"/>
        <v>-7649.5963211660182</v>
      </c>
      <c r="S847" s="41">
        <f t="shared" si="421"/>
        <v>-10759.759519217867</v>
      </c>
      <c r="U847" s="41">
        <v>841</v>
      </c>
      <c r="V847" s="41">
        <f t="shared" si="443"/>
        <v>420.5</v>
      </c>
      <c r="W847" s="57">
        <f t="shared" si="444"/>
        <v>296704.11471292825</v>
      </c>
      <c r="X847" s="57">
        <f t="shared" si="445"/>
        <v>499063.49633997405</v>
      </c>
      <c r="Y847" s="57">
        <f t="shared" si="446"/>
        <v>521.87157760237278</v>
      </c>
      <c r="Z847" s="57">
        <f t="shared" si="447"/>
        <v>519.64131315752263</v>
      </c>
      <c r="AA847" s="57">
        <f t="shared" si="422"/>
        <v>-4.95518968642358</v>
      </c>
      <c r="AB847" s="57">
        <f t="shared" si="423"/>
        <v>-8.3513877022501148</v>
      </c>
      <c r="AC847" s="57">
        <f t="shared" si="424"/>
        <v>-0.80678834037576008</v>
      </c>
      <c r="AD847" s="57">
        <f t="shared" si="425"/>
        <v>-1.4332555112629273</v>
      </c>
      <c r="AE847" s="57">
        <f t="shared" si="426"/>
        <v>-0.28748971441237864</v>
      </c>
      <c r="AF847" s="57">
        <f t="shared" si="427"/>
        <v>-0.44394978896862136</v>
      </c>
      <c r="AG847" s="57">
        <f t="shared" si="428"/>
        <v>-0.74563826815772172</v>
      </c>
      <c r="AH847" s="57">
        <f t="shared" si="429"/>
        <v>-1.2704679732285291</v>
      </c>
      <c r="AJ847" s="57">
        <f t="shared" si="430"/>
        <v>564092.04748254083</v>
      </c>
      <c r="AK847" s="57">
        <f t="shared" si="431"/>
        <v>582653.06978370878</v>
      </c>
      <c r="AL847" s="57">
        <f t="shared" si="432"/>
        <v>596059.26811349078</v>
      </c>
      <c r="AN847" s="41">
        <v>842</v>
      </c>
      <c r="AO847" s="57">
        <f t="shared" si="433"/>
        <v>1025.6055182509722</v>
      </c>
      <c r="AP847" s="57">
        <f t="shared" si="434"/>
        <v>21360.360721173201</v>
      </c>
      <c r="AR847" s="41">
        <v>842</v>
      </c>
      <c r="AS847" s="57">
        <f t="shared" si="435"/>
        <v>13145.282575183788</v>
      </c>
      <c r="AT847" s="57">
        <f t="shared" si="436"/>
        <v>-2031.8316634525058</v>
      </c>
      <c r="AV847" s="57">
        <f t="shared" si="437"/>
        <v>-2.8525679030218938</v>
      </c>
      <c r="AW847" s="57">
        <f t="shared" si="438"/>
        <v>-4.7336459207744195</v>
      </c>
      <c r="AX847" s="57">
        <f t="shared" si="439"/>
        <v>-0.26270546045582616</v>
      </c>
      <c r="AY847" s="57">
        <f t="shared" si="440"/>
        <v>-0.47006850801561739</v>
      </c>
      <c r="BA847" s="57">
        <f t="shared" si="441"/>
        <v>565162.5952142739</v>
      </c>
      <c r="BB847" s="57">
        <f t="shared" si="442"/>
        <v>577440.2277194357</v>
      </c>
    </row>
    <row r="848" spans="9:54" x14ac:dyDescent="0.25">
      <c r="I848" s="41">
        <v>843</v>
      </c>
      <c r="J848" s="57">
        <f t="shared" si="416"/>
        <v>17276.80482492486</v>
      </c>
      <c r="K848" s="57">
        <f t="shared" si="417"/>
        <v>11693.352839727118</v>
      </c>
      <c r="M848" s="41">
        <v>843</v>
      </c>
      <c r="N848" s="57">
        <f t="shared" si="418"/>
        <v>-21906.236622552598</v>
      </c>
      <c r="O848" s="57">
        <f t="shared" si="419"/>
        <v>12935.346987808982</v>
      </c>
      <c r="Q848" s="41">
        <v>843</v>
      </c>
      <c r="R848" s="57">
        <f t="shared" si="420"/>
        <v>-7723.1951750751396</v>
      </c>
      <c r="S848" s="41">
        <f t="shared" si="421"/>
        <v>-10806.647160272882</v>
      </c>
      <c r="U848" s="41">
        <v>842</v>
      </c>
      <c r="V848" s="41">
        <f t="shared" si="443"/>
        <v>421</v>
      </c>
      <c r="W848" s="57">
        <f t="shared" si="444"/>
        <v>296964.43110301864</v>
      </c>
      <c r="X848" s="57">
        <f t="shared" si="445"/>
        <v>499322.27307309001</v>
      </c>
      <c r="Y848" s="57">
        <f t="shared" si="446"/>
        <v>519.39398275916096</v>
      </c>
      <c r="Z848" s="57">
        <f t="shared" si="447"/>
        <v>515.46561930639757</v>
      </c>
      <c r="AA848" s="57">
        <f t="shared" si="422"/>
        <v>-4.9503738445537318</v>
      </c>
      <c r="AB848" s="57">
        <f t="shared" si="423"/>
        <v>-8.3402184705401616</v>
      </c>
      <c r="AC848" s="57">
        <f t="shared" si="424"/>
        <v>-0.80603278272035006</v>
      </c>
      <c r="AD848" s="57">
        <f t="shared" si="425"/>
        <v>-1.4313205265751179</v>
      </c>
      <c r="AE848" s="57">
        <f t="shared" si="426"/>
        <v>-0.28719533028443672</v>
      </c>
      <c r="AF848" s="57">
        <f t="shared" si="427"/>
        <v>-0.44336543170385739</v>
      </c>
      <c r="AG848" s="57">
        <f t="shared" si="428"/>
        <v>-0.74495036475937759</v>
      </c>
      <c r="AH848" s="57">
        <f t="shared" si="429"/>
        <v>-1.2688400535457649</v>
      </c>
      <c r="AJ848" s="57">
        <f t="shared" si="430"/>
        <v>564445.25366681919</v>
      </c>
      <c r="AK848" s="57">
        <f t="shared" si="431"/>
        <v>583011.78162184334</v>
      </c>
      <c r="AL848" s="57">
        <f t="shared" si="432"/>
        <v>596414.21699221747</v>
      </c>
      <c r="AN848" s="41">
        <v>843</v>
      </c>
      <c r="AO848" s="57">
        <f t="shared" si="433"/>
        <v>915.20723738729112</v>
      </c>
      <c r="AP848" s="57">
        <f t="shared" si="434"/>
        <v>21290.029259590676</v>
      </c>
      <c r="AR848" s="41">
        <v>843</v>
      </c>
      <c r="AS848" s="57">
        <f t="shared" si="435"/>
        <v>13093.763377447402</v>
      </c>
      <c r="AT848" s="57">
        <f t="shared" si="436"/>
        <v>-2064.6530121910178</v>
      </c>
      <c r="AV848" s="57">
        <f t="shared" si="437"/>
        <v>-2.8497285822953269</v>
      </c>
      <c r="AW848" s="57">
        <f t="shared" si="438"/>
        <v>-4.7272437241906111</v>
      </c>
      <c r="AX848" s="57">
        <f t="shared" si="439"/>
        <v>-0.26246678449424066</v>
      </c>
      <c r="AY848" s="57">
        <f t="shared" si="440"/>
        <v>-0.46944873452481073</v>
      </c>
      <c r="BA848" s="57">
        <f t="shared" si="441"/>
        <v>565518.60555068753</v>
      </c>
      <c r="BB848" s="57">
        <f t="shared" si="442"/>
        <v>577793.12519694911</v>
      </c>
    </row>
    <row r="849" spans="9:54" x14ac:dyDescent="0.25">
      <c r="I849" s="41">
        <v>844</v>
      </c>
      <c r="J849" s="57">
        <f t="shared" si="416"/>
        <v>17204.035482646268</v>
      </c>
      <c r="K849" s="57">
        <f t="shared" si="417"/>
        <v>11645.187862775208</v>
      </c>
      <c r="M849" s="41">
        <v>844</v>
      </c>
      <c r="N849" s="57">
        <f t="shared" si="418"/>
        <v>-21957.175162147614</v>
      </c>
      <c r="O849" s="57">
        <f t="shared" si="419"/>
        <v>12901.631503942646</v>
      </c>
      <c r="Q849" s="41">
        <v>844</v>
      </c>
      <c r="R849" s="57">
        <f t="shared" si="420"/>
        <v>-7795.9645173537338</v>
      </c>
      <c r="S849" s="41">
        <f t="shared" si="421"/>
        <v>-10854.812137224792</v>
      </c>
      <c r="U849" s="41">
        <v>843</v>
      </c>
      <c r="V849" s="41">
        <f t="shared" si="443"/>
        <v>421.5</v>
      </c>
      <c r="W849" s="57">
        <f t="shared" si="444"/>
        <v>297223.50929766765</v>
      </c>
      <c r="X849" s="57">
        <f t="shared" si="445"/>
        <v>499578.96335543442</v>
      </c>
      <c r="Y849" s="57">
        <f t="shared" si="446"/>
        <v>516.9187958368841</v>
      </c>
      <c r="Z849" s="57">
        <f t="shared" si="447"/>
        <v>511.29551007112747</v>
      </c>
      <c r="AA849" s="57">
        <f t="shared" si="422"/>
        <v>-4.9456060297288937</v>
      </c>
      <c r="AB849" s="57">
        <f t="shared" si="423"/>
        <v>-8.3291414826656016</v>
      </c>
      <c r="AC849" s="57">
        <f t="shared" si="424"/>
        <v>-0.80528486593731885</v>
      </c>
      <c r="AD849" s="57">
        <f t="shared" si="425"/>
        <v>-1.4294016515416419</v>
      </c>
      <c r="AE849" s="57">
        <f t="shared" si="426"/>
        <v>-0.28690382095360056</v>
      </c>
      <c r="AF849" s="57">
        <f t="shared" si="427"/>
        <v>-0.44278583121458975</v>
      </c>
      <c r="AG849" s="57">
        <f t="shared" si="428"/>
        <v>-0.74426930395833069</v>
      </c>
      <c r="AH849" s="57">
        <f t="shared" si="429"/>
        <v>-1.2672254642868848</v>
      </c>
      <c r="AJ849" s="57">
        <f t="shared" si="430"/>
        <v>564796.05193757592</v>
      </c>
      <c r="AK849" s="57">
        <f t="shared" si="431"/>
        <v>583368.0795272477</v>
      </c>
      <c r="AL849" s="57">
        <f t="shared" si="432"/>
        <v>596766.75435227703</v>
      </c>
      <c r="AN849" s="41">
        <v>844</v>
      </c>
      <c r="AO849" s="57">
        <f t="shared" si="433"/>
        <v>806.05322396940028</v>
      </c>
      <c r="AP849" s="57">
        <f t="shared" si="434"/>
        <v>21217.781794162813</v>
      </c>
      <c r="AR849" s="41">
        <v>844</v>
      </c>
      <c r="AS849" s="57">
        <f t="shared" si="435"/>
        <v>13042.824837852386</v>
      </c>
      <c r="AT849" s="57">
        <f t="shared" si="436"/>
        <v>-2098.3684960573537</v>
      </c>
      <c r="AV849" s="57">
        <f t="shared" si="437"/>
        <v>-2.8469175183576696</v>
      </c>
      <c r="AW849" s="57">
        <f t="shared" si="438"/>
        <v>-4.7208944383695286</v>
      </c>
      <c r="AX849" s="57">
        <f t="shared" si="439"/>
        <v>-0.26223052052197343</v>
      </c>
      <c r="AY849" s="57">
        <f t="shared" si="440"/>
        <v>-0.46883409725295627</v>
      </c>
      <c r="BA849" s="57">
        <f t="shared" si="441"/>
        <v>565872.20387015957</v>
      </c>
      <c r="BB849" s="57">
        <f t="shared" si="442"/>
        <v>578143.61490994215</v>
      </c>
    </row>
    <row r="850" spans="9:54" x14ac:dyDescent="0.25">
      <c r="I850" s="41">
        <v>845</v>
      </c>
      <c r="J850" s="57">
        <f t="shared" si="416"/>
        <v>17132.117818244777</v>
      </c>
      <c r="K850" s="57">
        <f t="shared" si="417"/>
        <v>11595.760221444962</v>
      </c>
      <c r="M850" s="41">
        <v>845</v>
      </c>
      <c r="N850" s="57">
        <f t="shared" si="418"/>
        <v>-22007.517527228658</v>
      </c>
      <c r="O850" s="57">
        <f t="shared" si="419"/>
        <v>12867.032155011473</v>
      </c>
      <c r="Q850" s="41">
        <v>845</v>
      </c>
      <c r="R850" s="57">
        <f t="shared" si="420"/>
        <v>-7867.8821817552252</v>
      </c>
      <c r="S850" s="41">
        <f t="shared" si="421"/>
        <v>-10904.239778555038</v>
      </c>
      <c r="U850" s="41">
        <v>844</v>
      </c>
      <c r="V850" s="41">
        <f t="shared" si="443"/>
        <v>422</v>
      </c>
      <c r="W850" s="57">
        <f t="shared" si="444"/>
        <v>297481.35049483238</v>
      </c>
      <c r="X850" s="57">
        <f t="shared" si="445"/>
        <v>499833.56996778463</v>
      </c>
      <c r="Y850" s="57">
        <f t="shared" si="446"/>
        <v>514.44599282201966</v>
      </c>
      <c r="Z850" s="57">
        <f t="shared" si="447"/>
        <v>507.13093932979467</v>
      </c>
      <c r="AA850" s="57">
        <f t="shared" si="422"/>
        <v>-4.9408859954770925</v>
      </c>
      <c r="AB850" s="57">
        <f t="shared" si="423"/>
        <v>-8.3181561791561087</v>
      </c>
      <c r="AC850" s="57">
        <f t="shared" si="424"/>
        <v>-0.80454455202367015</v>
      </c>
      <c r="AD850" s="57">
        <f t="shared" si="425"/>
        <v>-1.4274987878989811</v>
      </c>
      <c r="AE850" s="57">
        <f t="shared" si="426"/>
        <v>-0.28661517107572759</v>
      </c>
      <c r="AF850" s="57">
        <f t="shared" si="427"/>
        <v>-0.44221095896225299</v>
      </c>
      <c r="AG850" s="57">
        <f t="shared" si="428"/>
        <v>-0.74359505187126851</v>
      </c>
      <c r="AH850" s="57">
        <f t="shared" si="429"/>
        <v>-1.265624127037893</v>
      </c>
      <c r="AJ850" s="57">
        <f t="shared" si="430"/>
        <v>565144.44524356734</v>
      </c>
      <c r="AK850" s="57">
        <f t="shared" si="431"/>
        <v>583721.96650409442</v>
      </c>
      <c r="AL850" s="57">
        <f t="shared" si="432"/>
        <v>597116.88316689839</v>
      </c>
      <c r="AN850" s="41">
        <v>845</v>
      </c>
      <c r="AO850" s="57">
        <f t="shared" si="433"/>
        <v>698.17672736716213</v>
      </c>
      <c r="AP850" s="57">
        <f t="shared" si="434"/>
        <v>21143.640332167444</v>
      </c>
      <c r="AR850" s="41">
        <v>845</v>
      </c>
      <c r="AS850" s="57">
        <f t="shared" si="435"/>
        <v>12992.482472771342</v>
      </c>
      <c r="AT850" s="57">
        <f t="shared" si="436"/>
        <v>-2132.9678449885264</v>
      </c>
      <c r="AV850" s="57">
        <f t="shared" si="437"/>
        <v>-2.84413456371498</v>
      </c>
      <c r="AW850" s="57">
        <f t="shared" si="438"/>
        <v>-4.7145977398619285</v>
      </c>
      <c r="AX850" s="57">
        <f t="shared" si="439"/>
        <v>-0.26199665679144629</v>
      </c>
      <c r="AY850" s="57">
        <f t="shared" si="440"/>
        <v>-0.46822456539505203</v>
      </c>
      <c r="BA850" s="57">
        <f t="shared" si="441"/>
        <v>566223.39315413998</v>
      </c>
      <c r="BB850" s="57">
        <f t="shared" si="442"/>
        <v>578491.69980545307</v>
      </c>
    </row>
    <row r="851" spans="9:54" x14ac:dyDescent="0.25">
      <c r="I851" s="41">
        <v>846</v>
      </c>
      <c r="J851" s="57">
        <f t="shared" si="416"/>
        <v>17061.073738537638</v>
      </c>
      <c r="K851" s="57">
        <f t="shared" si="417"/>
        <v>11545.084971874739</v>
      </c>
      <c r="M851" s="41">
        <v>846</v>
      </c>
      <c r="N851" s="57">
        <f t="shared" si="418"/>
        <v>-22057.248383023652</v>
      </c>
      <c r="O851" s="57">
        <f t="shared" si="419"/>
        <v>12831.559480312317</v>
      </c>
      <c r="Q851" s="41">
        <v>846</v>
      </c>
      <c r="R851" s="57">
        <f t="shared" si="420"/>
        <v>-7938.926261462364</v>
      </c>
      <c r="S851" s="41">
        <f t="shared" si="421"/>
        <v>-10954.915028125261</v>
      </c>
      <c r="U851" s="41">
        <v>845</v>
      </c>
      <c r="V851" s="41">
        <f t="shared" si="443"/>
        <v>422.5</v>
      </c>
      <c r="W851" s="57">
        <f t="shared" si="444"/>
        <v>297737.95588049397</v>
      </c>
      <c r="X851" s="57">
        <f t="shared" si="445"/>
        <v>500086.09566792712</v>
      </c>
      <c r="Y851" s="57">
        <f t="shared" si="446"/>
        <v>511.97554982428113</v>
      </c>
      <c r="Z851" s="57">
        <f t="shared" si="447"/>
        <v>502.97186124021664</v>
      </c>
      <c r="AA851" s="57">
        <f t="shared" si="422"/>
        <v>-4.9362134983323731</v>
      </c>
      <c r="AB851" s="57">
        <f t="shared" si="423"/>
        <v>-8.3072620069528025</v>
      </c>
      <c r="AC851" s="57">
        <f t="shared" si="424"/>
        <v>-0.8038118034408116</v>
      </c>
      <c r="AD851" s="57">
        <f t="shared" si="425"/>
        <v>-1.4256118385168566</v>
      </c>
      <c r="AE851" s="57">
        <f t="shared" si="426"/>
        <v>-0.28632936549288357</v>
      </c>
      <c r="AF851" s="57">
        <f t="shared" si="427"/>
        <v>-0.44164078673138107</v>
      </c>
      <c r="AG851" s="57">
        <f t="shared" si="428"/>
        <v>-0.74292757502386997</v>
      </c>
      <c r="AH851" s="57">
        <f t="shared" si="429"/>
        <v>-1.2640359642718408</v>
      </c>
      <c r="AJ851" s="57">
        <f t="shared" si="430"/>
        <v>565490.43650803459</v>
      </c>
      <c r="AK851" s="57">
        <f t="shared" si="431"/>
        <v>584073.44553073752</v>
      </c>
      <c r="AL851" s="57">
        <f t="shared" si="432"/>
        <v>597464.60638361576</v>
      </c>
      <c r="AN851" s="41">
        <v>846</v>
      </c>
      <c r="AO851" s="57">
        <f t="shared" si="433"/>
        <v>591.61060780645494</v>
      </c>
      <c r="AP851" s="57">
        <f t="shared" si="434"/>
        <v>21067.627457812108</v>
      </c>
      <c r="AR851" s="41">
        <v>846</v>
      </c>
      <c r="AS851" s="57">
        <f t="shared" si="435"/>
        <v>12942.751616976346</v>
      </c>
      <c r="AT851" s="57">
        <f t="shared" si="436"/>
        <v>-2168.4405196876828</v>
      </c>
      <c r="AV851" s="57">
        <f t="shared" si="437"/>
        <v>-2.8413795726769302</v>
      </c>
      <c r="AW851" s="57">
        <f t="shared" si="438"/>
        <v>-4.7083533089338498</v>
      </c>
      <c r="AX851" s="57">
        <f t="shared" si="439"/>
        <v>-0.26176518169787727</v>
      </c>
      <c r="AY851" s="57">
        <f t="shared" si="440"/>
        <v>-0.4676201084988737</v>
      </c>
      <c r="BA851" s="57">
        <f t="shared" si="441"/>
        <v>566572.17635835544</v>
      </c>
      <c r="BB851" s="57">
        <f t="shared" si="442"/>
        <v>578837.38280500728</v>
      </c>
    </row>
    <row r="852" spans="9:54" x14ac:dyDescent="0.25">
      <c r="I852" s="41">
        <v>847</v>
      </c>
      <c r="J852" s="57">
        <f t="shared" si="416"/>
        <v>16990.924884239757</v>
      </c>
      <c r="K852" s="57">
        <f t="shared" si="417"/>
        <v>11493.177550236464</v>
      </c>
      <c r="M852" s="41">
        <v>847</v>
      </c>
      <c r="N852" s="57">
        <f t="shared" si="418"/>
        <v>-22106.35258103217</v>
      </c>
      <c r="O852" s="57">
        <f t="shared" si="419"/>
        <v>12795.224285165525</v>
      </c>
      <c r="Q852" s="41">
        <v>847</v>
      </c>
      <c r="R852" s="57">
        <f t="shared" si="420"/>
        <v>-8009.0751157602417</v>
      </c>
      <c r="S852" s="41">
        <f t="shared" si="421"/>
        <v>-11006.822449763536</v>
      </c>
      <c r="U852" s="41">
        <v>846</v>
      </c>
      <c r="V852" s="41">
        <f t="shared" si="443"/>
        <v>423</v>
      </c>
      <c r="W852" s="57">
        <f t="shared" si="444"/>
        <v>297993.32662871882</v>
      </c>
      <c r="X852" s="57">
        <f t="shared" si="445"/>
        <v>500336.54319079634</v>
      </c>
      <c r="Y852" s="57">
        <f t="shared" si="446"/>
        <v>509.50744307511496</v>
      </c>
      <c r="Z852" s="57">
        <f t="shared" si="447"/>
        <v>498.81823023674025</v>
      </c>
      <c r="AA852" s="57">
        <f t="shared" si="422"/>
        <v>-4.9315882978031826</v>
      </c>
      <c r="AB852" s="57">
        <f t="shared" si="423"/>
        <v>-8.2964584193348756</v>
      </c>
      <c r="AC852" s="57">
        <f t="shared" si="424"/>
        <v>-0.80308658310983716</v>
      </c>
      <c r="AD852" s="57">
        <f t="shared" si="425"/>
        <v>-1.4237407073852837</v>
      </c>
      <c r="AE852" s="57">
        <f t="shared" si="426"/>
        <v>-0.28604638923134473</v>
      </c>
      <c r="AF852" s="57">
        <f t="shared" si="427"/>
        <v>-0.44107528662596612</v>
      </c>
      <c r="AG852" s="57">
        <f t="shared" si="428"/>
        <v>-0.74226684034666524</v>
      </c>
      <c r="AH852" s="57">
        <f t="shared" si="429"/>
        <v>-1.2624608993389916</v>
      </c>
      <c r="AJ852" s="57">
        <f t="shared" si="430"/>
        <v>565834.02862885082</v>
      </c>
      <c r="AK852" s="57">
        <f t="shared" si="431"/>
        <v>584422.51955986326</v>
      </c>
      <c r="AL852" s="57">
        <f t="shared" si="432"/>
        <v>597809.92692441714</v>
      </c>
      <c r="AN852" s="41">
        <v>847</v>
      </c>
      <c r="AO852" s="57">
        <f t="shared" si="433"/>
        <v>486.38732635963697</v>
      </c>
      <c r="AP852" s="57">
        <f t="shared" si="434"/>
        <v>20989.766325354696</v>
      </c>
      <c r="AR852" s="41">
        <v>847</v>
      </c>
      <c r="AS852" s="57">
        <f t="shared" si="435"/>
        <v>12893.64741896783</v>
      </c>
      <c r="AT852" s="57">
        <f t="shared" si="436"/>
        <v>-2204.7757148344749</v>
      </c>
      <c r="AV852" s="57">
        <f t="shared" si="437"/>
        <v>-2.838652401337495</v>
      </c>
      <c r="AW852" s="57">
        <f t="shared" si="438"/>
        <v>-4.7021608295236597</v>
      </c>
      <c r="AX852" s="57">
        <f t="shared" si="439"/>
        <v>-0.26153608377784038</v>
      </c>
      <c r="AY852" s="57">
        <f t="shared" si="440"/>
        <v>-0.46702069646097466</v>
      </c>
      <c r="BA852" s="57">
        <f t="shared" si="441"/>
        <v>566918.55641296029</v>
      </c>
      <c r="BB852" s="57">
        <f t="shared" si="442"/>
        <v>579180.66680476512</v>
      </c>
    </row>
    <row r="853" spans="9:54" x14ac:dyDescent="0.25">
      <c r="I853" s="41">
        <v>848</v>
      </c>
      <c r="J853" s="57">
        <f t="shared" si="416"/>
        <v>16921.692623371713</v>
      </c>
      <c r="K853" s="57">
        <f t="shared" si="417"/>
        <v>11440.053768033613</v>
      </c>
      <c r="M853" s="41">
        <v>848</v>
      </c>
      <c r="N853" s="57">
        <f t="shared" si="418"/>
        <v>-22154.8151636398</v>
      </c>
      <c r="O853" s="57">
        <f t="shared" si="419"/>
        <v>12758.037637623529</v>
      </c>
      <c r="Q853" s="41">
        <v>848</v>
      </c>
      <c r="R853" s="57">
        <f t="shared" si="420"/>
        <v>-8078.3073766282878</v>
      </c>
      <c r="S853" s="41">
        <f t="shared" si="421"/>
        <v>-11059.946231966387</v>
      </c>
      <c r="U853" s="41">
        <v>847</v>
      </c>
      <c r="V853" s="41">
        <f t="shared" si="443"/>
        <v>423.5</v>
      </c>
      <c r="W853" s="57">
        <f t="shared" si="444"/>
        <v>298247.46390171914</v>
      </c>
      <c r="X853" s="57">
        <f t="shared" si="445"/>
        <v>500584.91524861229</v>
      </c>
      <c r="Y853" s="57">
        <f t="shared" si="446"/>
        <v>507.04164892621338</v>
      </c>
      <c r="Z853" s="57">
        <f t="shared" si="447"/>
        <v>494.67000102707283</v>
      </c>
      <c r="AA853" s="57">
        <f t="shared" si="422"/>
        <v>-4.9270101563413045</v>
      </c>
      <c r="AB853" s="57">
        <f t="shared" si="423"/>
        <v>-8.2857448758473957</v>
      </c>
      <c r="AC853" s="57">
        <f t="shared" si="424"/>
        <v>-0.80236885440681804</v>
      </c>
      <c r="AD853" s="57">
        <f t="shared" si="425"/>
        <v>-1.4218852996017104</v>
      </c>
      <c r="AE853" s="57">
        <f t="shared" si="426"/>
        <v>-0.28576622749961866</v>
      </c>
      <c r="AF853" s="57">
        <f t="shared" si="427"/>
        <v>-0.44051443106585197</v>
      </c>
      <c r="AG853" s="57">
        <f t="shared" si="428"/>
        <v>-0.74161281517086319</v>
      </c>
      <c r="AH853" s="57">
        <f t="shared" si="429"/>
        <v>-1.2608988564569712</v>
      </c>
      <c r="AJ853" s="57">
        <f t="shared" si="430"/>
        <v>566175.2244786676</v>
      </c>
      <c r="AK853" s="57">
        <f t="shared" si="431"/>
        <v>584769.19151864026</v>
      </c>
      <c r="AL853" s="57">
        <f t="shared" si="432"/>
        <v>598152.84768589307</v>
      </c>
      <c r="AN853" s="41">
        <v>848</v>
      </c>
      <c r="AO853" s="57">
        <f t="shared" si="433"/>
        <v>382.53893505756878</v>
      </c>
      <c r="AP853" s="57">
        <f t="shared" si="434"/>
        <v>20910.080652050419</v>
      </c>
      <c r="AR853" s="41">
        <v>848</v>
      </c>
      <c r="AS853" s="57">
        <f t="shared" si="435"/>
        <v>12845.184836360198</v>
      </c>
      <c r="AT853" s="57">
        <f t="shared" si="436"/>
        <v>-2241.962362376471</v>
      </c>
      <c r="AV853" s="57">
        <f t="shared" si="437"/>
        <v>-2.8359529075561651</v>
      </c>
      <c r="AW853" s="57">
        <f t="shared" si="438"/>
        <v>-4.6960199892001278</v>
      </c>
      <c r="AX853" s="57">
        <f t="shared" si="439"/>
        <v>-0.26130935170783987</v>
      </c>
      <c r="AY853" s="57">
        <f t="shared" si="440"/>
        <v>-0.46642629952273396</v>
      </c>
      <c r="BA853" s="57">
        <f t="shared" si="441"/>
        <v>567262.5362226842</v>
      </c>
      <c r="BB853" s="57">
        <f t="shared" si="442"/>
        <v>579521.55467566708</v>
      </c>
    </row>
    <row r="854" spans="9:54" x14ac:dyDescent="0.25">
      <c r="I854" s="41">
        <v>849</v>
      </c>
      <c r="J854" s="57">
        <f t="shared" si="416"/>
        <v>16853.398044750815</v>
      </c>
      <c r="K854" s="57">
        <f t="shared" si="417"/>
        <v>11385.729807284855</v>
      </c>
      <c r="M854" s="41">
        <v>849</v>
      </c>
      <c r="N854" s="57">
        <f t="shared" si="418"/>
        <v>-22202.62136867443</v>
      </c>
      <c r="O854" s="57">
        <f t="shared" si="419"/>
        <v>12720.010865099399</v>
      </c>
      <c r="Q854" s="41">
        <v>849</v>
      </c>
      <c r="R854" s="57">
        <f t="shared" si="420"/>
        <v>-8146.6019552491862</v>
      </c>
      <c r="S854" s="41">
        <f t="shared" si="421"/>
        <v>-11114.270192715145</v>
      </c>
      <c r="U854" s="41">
        <v>848</v>
      </c>
      <c r="V854" s="41">
        <f t="shared" si="443"/>
        <v>424</v>
      </c>
      <c r="W854" s="57">
        <f t="shared" si="444"/>
        <v>298500.36884991272</v>
      </c>
      <c r="X854" s="57">
        <f t="shared" si="445"/>
        <v>500831.21453101636</v>
      </c>
      <c r="Y854" s="57">
        <f t="shared" si="446"/>
        <v>504.57814384804271</v>
      </c>
      <c r="Z854" s="57">
        <f t="shared" si="447"/>
        <v>490.52712858914913</v>
      </c>
      <c r="AA854" s="57">
        <f t="shared" si="422"/>
        <v>-4.9224788393113004</v>
      </c>
      <c r="AB854" s="57">
        <f t="shared" si="423"/>
        <v>-8.2751208422302991</v>
      </c>
      <c r="AC854" s="57">
        <f t="shared" si="424"/>
        <v>-0.80165858115817434</v>
      </c>
      <c r="AD854" s="57">
        <f t="shared" si="425"/>
        <v>-1.4200455213583729</v>
      </c>
      <c r="AE854" s="57">
        <f t="shared" si="426"/>
        <v>-0.28548886568648812</v>
      </c>
      <c r="AF854" s="57">
        <f t="shared" si="427"/>
        <v>-0.43995819278317161</v>
      </c>
      <c r="AG854" s="57">
        <f t="shared" si="428"/>
        <v>-0.74096546722432499</v>
      </c>
      <c r="AH854" s="57">
        <f t="shared" si="429"/>
        <v>-1.2593497607012067</v>
      </c>
      <c r="AJ854" s="57">
        <f t="shared" si="430"/>
        <v>566514.0269050583</v>
      </c>
      <c r="AK854" s="57">
        <f t="shared" si="431"/>
        <v>585113.46430886642</v>
      </c>
      <c r="AL854" s="57">
        <f t="shared" si="432"/>
        <v>598493.3715393818</v>
      </c>
      <c r="AN854" s="41">
        <v>849</v>
      </c>
      <c r="AO854" s="57">
        <f t="shared" si="433"/>
        <v>280.09706712622028</v>
      </c>
      <c r="AP854" s="57">
        <f t="shared" si="434"/>
        <v>20828.594710927282</v>
      </c>
      <c r="AR854" s="41">
        <v>849</v>
      </c>
      <c r="AS854" s="57">
        <f t="shared" si="435"/>
        <v>12797.37863132557</v>
      </c>
      <c r="AT854" s="57">
        <f t="shared" si="436"/>
        <v>-2279.9891349006016</v>
      </c>
      <c r="AV854" s="57">
        <f t="shared" si="437"/>
        <v>-2.8332809509393933</v>
      </c>
      <c r="AW854" s="57">
        <f t="shared" si="438"/>
        <v>-4.6899304791210588</v>
      </c>
      <c r="AX854" s="57">
        <f t="shared" si="439"/>
        <v>-0.26108497430291971</v>
      </c>
      <c r="AY854" s="57">
        <f t="shared" si="440"/>
        <v>-0.4658368882664885</v>
      </c>
      <c r="BA854" s="57">
        <f t="shared" si="441"/>
        <v>567604.11866697844</v>
      </c>
      <c r="BB854" s="57">
        <f t="shared" si="442"/>
        <v>579860.04926357849</v>
      </c>
    </row>
    <row r="855" spans="9:54" x14ac:dyDescent="0.25">
      <c r="I855" s="41">
        <v>850</v>
      </c>
      <c r="J855" s="57">
        <f t="shared" si="416"/>
        <v>16786.06195156731</v>
      </c>
      <c r="K855" s="57">
        <f t="shared" si="417"/>
        <v>11330.222215594895</v>
      </c>
      <c r="M855" s="41">
        <v>850</v>
      </c>
      <c r="N855" s="57">
        <f t="shared" si="418"/>
        <v>-22249.756633902885</v>
      </c>
      <c r="O855" s="57">
        <f t="shared" si="419"/>
        <v>12681.155550916426</v>
      </c>
      <c r="Q855" s="41">
        <v>850</v>
      </c>
      <c r="R855" s="57">
        <f t="shared" si="420"/>
        <v>-8213.9380484326903</v>
      </c>
      <c r="S855" s="41">
        <f t="shared" si="421"/>
        <v>-11169.777784405105</v>
      </c>
      <c r="U855" s="41">
        <v>849</v>
      </c>
      <c r="V855" s="41">
        <f t="shared" si="443"/>
        <v>424.5</v>
      </c>
      <c r="W855" s="57">
        <f t="shared" si="444"/>
        <v>298752.0426119818</v>
      </c>
      <c r="X855" s="57">
        <f t="shared" si="445"/>
        <v>501075.44370520563</v>
      </c>
      <c r="Y855" s="57">
        <f t="shared" si="446"/>
        <v>502.11690442838704</v>
      </c>
      <c r="Z855" s="57">
        <f t="shared" si="447"/>
        <v>486.38956816803397</v>
      </c>
      <c r="AA855" s="57">
        <f t="shared" si="422"/>
        <v>-4.9179941149602993</v>
      </c>
      <c r="AB855" s="57">
        <f t="shared" si="423"/>
        <v>-8.2645857903482476</v>
      </c>
      <c r="AC855" s="57">
        <f t="shared" si="424"/>
        <v>-0.80095572763618095</v>
      </c>
      <c r="AD855" s="57">
        <f t="shared" si="425"/>
        <v>-1.4182212799299538</v>
      </c>
      <c r="AE855" s="57">
        <f t="shared" si="426"/>
        <v>-0.28521428935909571</v>
      </c>
      <c r="AF855" s="57">
        <f t="shared" si="427"/>
        <v>-0.43940654481885338</v>
      </c>
      <c r="AG855" s="57">
        <f t="shared" si="428"/>
        <v>-0.74032476462754926</v>
      </c>
      <c r="AH855" s="57">
        <f t="shared" si="429"/>
        <v>-1.2578135379954267</v>
      </c>
      <c r="AJ855" s="57">
        <f t="shared" si="430"/>
        <v>566850.43873066083</v>
      </c>
      <c r="AK855" s="57">
        <f t="shared" si="431"/>
        <v>585455.34080711508</v>
      </c>
      <c r="AL855" s="57">
        <f t="shared" si="432"/>
        <v>598831.50133111409</v>
      </c>
      <c r="AN855" s="41">
        <v>850</v>
      </c>
      <c r="AO855" s="57">
        <f t="shared" si="433"/>
        <v>179.09292735096278</v>
      </c>
      <c r="AP855" s="57">
        <f t="shared" si="434"/>
        <v>20745.33332339234</v>
      </c>
      <c r="AR855" s="41">
        <v>850</v>
      </c>
      <c r="AS855" s="57">
        <f t="shared" si="435"/>
        <v>12750.243366097116</v>
      </c>
      <c r="AT855" s="57">
        <f t="shared" si="436"/>
        <v>-2318.8444490835736</v>
      </c>
      <c r="AV855" s="57">
        <f t="shared" si="437"/>
        <v>-2.8306363928221834</v>
      </c>
      <c r="AW855" s="57">
        <f t="shared" si="438"/>
        <v>-4.6838919939922965</v>
      </c>
      <c r="AX855" s="57">
        <f t="shared" si="439"/>
        <v>-0.26086294051529008</v>
      </c>
      <c r="AY855" s="57">
        <f t="shared" si="440"/>
        <v>-0.4652524336117167</v>
      </c>
      <c r="BA855" s="57">
        <f t="shared" si="441"/>
        <v>567943.30660016066</v>
      </c>
      <c r="BB855" s="57">
        <f t="shared" si="442"/>
        <v>580196.15338943154</v>
      </c>
    </row>
    <row r="856" spans="9:54" x14ac:dyDescent="0.25">
      <c r="I856" s="41">
        <v>851</v>
      </c>
      <c r="J856" s="57">
        <f t="shared" si="416"/>
        <v>16719.704855047465</v>
      </c>
      <c r="K856" s="57">
        <f t="shared" si="417"/>
        <v>11273.547901113863</v>
      </c>
      <c r="M856" s="41">
        <v>851</v>
      </c>
      <c r="N856" s="57">
        <f t="shared" si="418"/>
        <v>-22296.206601466773</v>
      </c>
      <c r="O856" s="57">
        <f t="shared" si="419"/>
        <v>12641.483530779704</v>
      </c>
      <c r="Q856" s="41">
        <v>851</v>
      </c>
      <c r="R856" s="57">
        <f t="shared" si="420"/>
        <v>-8280.2951449525335</v>
      </c>
      <c r="S856" s="41">
        <f t="shared" si="421"/>
        <v>-11226.452098886137</v>
      </c>
      <c r="U856" s="41">
        <v>850</v>
      </c>
      <c r="V856" s="41">
        <f t="shared" si="443"/>
        <v>425</v>
      </c>
      <c r="W856" s="57">
        <f t="shared" si="444"/>
        <v>299002.48631493159</v>
      </c>
      <c r="X856" s="57">
        <f t="shared" si="445"/>
        <v>501317.6054160659</v>
      </c>
      <c r="Y856" s="57">
        <f t="shared" si="446"/>
        <v>499.65790737090691</v>
      </c>
      <c r="Z856" s="57">
        <f t="shared" si="447"/>
        <v>482.25727527285983</v>
      </c>
      <c r="AA856" s="57">
        <f t="shared" si="422"/>
        <v>-4.9135557543883701</v>
      </c>
      <c r="AB856" s="57">
        <f t="shared" si="423"/>
        <v>-8.2541391981217362</v>
      </c>
      <c r="AC856" s="57">
        <f t="shared" si="424"/>
        <v>-0.80026025855442962</v>
      </c>
      <c r="AD856" s="57">
        <f t="shared" si="425"/>
        <v>-1.4164124836612286</v>
      </c>
      <c r="AE856" s="57">
        <f t="shared" si="426"/>
        <v>-0.28494248426106289</v>
      </c>
      <c r="AF856" s="57">
        <f t="shared" si="427"/>
        <v>-0.43885946051918773</v>
      </c>
      <c r="AG856" s="57">
        <f t="shared" si="428"/>
        <v>-0.73969067588973758</v>
      </c>
      <c r="AH856" s="57">
        <f t="shared" si="429"/>
        <v>-1.2562901151023322</v>
      </c>
      <c r="AJ856" s="57">
        <f t="shared" si="430"/>
        <v>567184.46275331883</v>
      </c>
      <c r="AK856" s="57">
        <f t="shared" si="431"/>
        <v>585794.82386487944</v>
      </c>
      <c r="AL856" s="57">
        <f t="shared" si="432"/>
        <v>599167.23988235579</v>
      </c>
      <c r="AN856" s="41">
        <v>851</v>
      </c>
      <c r="AO856" s="57">
        <f t="shared" si="433"/>
        <v>79.557282571199721</v>
      </c>
      <c r="AP856" s="57">
        <f t="shared" si="434"/>
        <v>20660.321851670793</v>
      </c>
      <c r="AR856" s="41">
        <v>851</v>
      </c>
      <c r="AS856" s="57">
        <f t="shared" si="435"/>
        <v>12703.793398533227</v>
      </c>
      <c r="AT856" s="57">
        <f t="shared" si="436"/>
        <v>-2358.5164692202966</v>
      </c>
      <c r="AV856" s="57">
        <f t="shared" si="437"/>
        <v>-2.8280190962501863</v>
      </c>
      <c r="AW856" s="57">
        <f t="shared" si="438"/>
        <v>-4.6779042320277435</v>
      </c>
      <c r="AX856" s="57">
        <f t="shared" si="439"/>
        <v>-0.26064323943295453</v>
      </c>
      <c r="AY856" s="57">
        <f t="shared" si="440"/>
        <v>-0.46467290681124412</v>
      </c>
      <c r="BA856" s="57">
        <f t="shared" si="441"/>
        <v>568280.10285155848</v>
      </c>
      <c r="BB856" s="57">
        <f t="shared" si="442"/>
        <v>580529.86984936602</v>
      </c>
    </row>
    <row r="857" spans="9:54" x14ac:dyDescent="0.25">
      <c r="I857" s="41">
        <v>852</v>
      </c>
      <c r="J857" s="57">
        <f t="shared" si="416"/>
        <v>16654.346968205708</v>
      </c>
      <c r="K857" s="57">
        <f t="shared" si="417"/>
        <v>11215.724127386971</v>
      </c>
      <c r="M857" s="41">
        <v>852</v>
      </c>
      <c r="N857" s="57">
        <f t="shared" si="418"/>
        <v>-22341.957122256004</v>
      </c>
      <c r="O857" s="57">
        <f t="shared" si="419"/>
        <v>12601.00688917088</v>
      </c>
      <c r="Q857" s="41">
        <v>852</v>
      </c>
      <c r="R857" s="57">
        <f t="shared" si="420"/>
        <v>-8345.6530317942907</v>
      </c>
      <c r="S857" s="41">
        <f t="shared" si="421"/>
        <v>-11284.275872613029</v>
      </c>
      <c r="U857" s="41">
        <v>851</v>
      </c>
      <c r="V857" s="41">
        <f t="shared" si="443"/>
        <v>425.5</v>
      </c>
      <c r="W857" s="57">
        <f t="shared" si="444"/>
        <v>299251.70107414777</v>
      </c>
      <c r="X857" s="57">
        <f t="shared" si="445"/>
        <v>501557.70228630258</v>
      </c>
      <c r="Y857" s="57">
        <f t="shared" si="446"/>
        <v>497.2011294937127</v>
      </c>
      <c r="Z857" s="57">
        <f t="shared" si="447"/>
        <v>478.13020567379897</v>
      </c>
      <c r="AA857" s="57">
        <f t="shared" si="422"/>
        <v>-4.9091635315192681</v>
      </c>
      <c r="AB857" s="57">
        <f t="shared" si="423"/>
        <v>-8.243780549459121</v>
      </c>
      <c r="AC857" s="57">
        <f t="shared" si="424"/>
        <v>-0.79957213906348978</v>
      </c>
      <c r="AD857" s="57">
        <f t="shared" si="425"/>
        <v>-1.4146190419551319</v>
      </c>
      <c r="AE857" s="57">
        <f t="shared" si="426"/>
        <v>-0.28467343631061648</v>
      </c>
      <c r="AF857" s="57">
        <f t="shared" si="427"/>
        <v>-0.4383169135324122</v>
      </c>
      <c r="AG857" s="57">
        <f t="shared" si="428"/>
        <v>-0.73906316990491705</v>
      </c>
      <c r="AH857" s="57">
        <f t="shared" si="429"/>
        <v>-1.2547794196144069</v>
      </c>
      <c r="AJ857" s="57">
        <f t="shared" si="430"/>
        <v>567516.10174622003</v>
      </c>
      <c r="AK857" s="57">
        <f t="shared" si="431"/>
        <v>586131.91630871489</v>
      </c>
      <c r="AL857" s="57">
        <f t="shared" si="432"/>
        <v>599500.58998954878</v>
      </c>
      <c r="AN857" s="41">
        <v>852</v>
      </c>
      <c r="AO857" s="57">
        <f t="shared" si="433"/>
        <v>-18.479547691436892</v>
      </c>
      <c r="AP857" s="57">
        <f t="shared" si="434"/>
        <v>20573.586191080456</v>
      </c>
      <c r="AR857" s="41">
        <v>852</v>
      </c>
      <c r="AS857" s="57">
        <f t="shared" si="435"/>
        <v>12658.042877743996</v>
      </c>
      <c r="AT857" s="57">
        <f t="shared" si="436"/>
        <v>-2398.9931108291203</v>
      </c>
      <c r="AV857" s="57">
        <f t="shared" si="437"/>
        <v>-2.8254289259618472</v>
      </c>
      <c r="AW857" s="57">
        <f t="shared" si="438"/>
        <v>-4.6719668949095929</v>
      </c>
      <c r="AX857" s="57">
        <f t="shared" si="439"/>
        <v>-0.26042586027839781</v>
      </c>
      <c r="AY857" s="57">
        <f t="shared" si="440"/>
        <v>-0.4640982794475767</v>
      </c>
      <c r="BA857" s="57">
        <f t="shared" si="441"/>
        <v>568614.51022565004</v>
      </c>
      <c r="BB857" s="57">
        <f t="shared" si="442"/>
        <v>580861.20141486893</v>
      </c>
    </row>
    <row r="858" spans="9:54" x14ac:dyDescent="0.25">
      <c r="I858" s="41">
        <v>853</v>
      </c>
      <c r="J858" s="57">
        <f t="shared" si="416"/>
        <v>16590.008199687512</v>
      </c>
      <c r="K858" s="57">
        <f t="shared" si="417"/>
        <v>11156.768508095856</v>
      </c>
      <c r="M858" s="41">
        <v>853</v>
      </c>
      <c r="N858" s="57">
        <f t="shared" si="418"/>
        <v>-22386.994260218744</v>
      </c>
      <c r="O858" s="57">
        <f t="shared" si="419"/>
        <v>12559.7379556671</v>
      </c>
      <c r="Q858" s="41">
        <v>853</v>
      </c>
      <c r="R858" s="57">
        <f t="shared" si="420"/>
        <v>-8409.9918003124876</v>
      </c>
      <c r="S858" s="41">
        <f t="shared" si="421"/>
        <v>-11343.231491904144</v>
      </c>
      <c r="U858" s="41">
        <v>852</v>
      </c>
      <c r="V858" s="41">
        <f t="shared" si="443"/>
        <v>426</v>
      </c>
      <c r="W858" s="57">
        <f t="shared" si="444"/>
        <v>299499.68799345323</v>
      </c>
      <c r="X858" s="57">
        <f t="shared" si="445"/>
        <v>501795.73691657075</v>
      </c>
      <c r="Y858" s="57">
        <f t="shared" si="446"/>
        <v>494.74654772795304</v>
      </c>
      <c r="Z858" s="57">
        <f t="shared" si="447"/>
        <v>474.00831539906943</v>
      </c>
      <c r="AA858" s="57">
        <f t="shared" si="422"/>
        <v>-4.9048172230717837</v>
      </c>
      <c r="AB858" s="57">
        <f t="shared" si="423"/>
        <v>-8.2335093341899324</v>
      </c>
      <c r="AC858" s="57">
        <f t="shared" si="424"/>
        <v>-0.79889133474653029</v>
      </c>
      <c r="AD858" s="57">
        <f t="shared" si="425"/>
        <v>-1.4128408652608175</v>
      </c>
      <c r="AE858" s="57">
        <f t="shared" si="426"/>
        <v>-0.28440713159877334</v>
      </c>
      <c r="AF858" s="57">
        <f t="shared" si="427"/>
        <v>-0.4377788778053921</v>
      </c>
      <c r="AG858" s="57">
        <f t="shared" si="428"/>
        <v>-0.73844221594812254</v>
      </c>
      <c r="AH858" s="57">
        <f t="shared" si="429"/>
        <v>-1.2532813799448634</v>
      </c>
      <c r="AJ858" s="57">
        <f t="shared" si="430"/>
        <v>567845.35845803423</v>
      </c>
      <c r="AK858" s="57">
        <f t="shared" si="431"/>
        <v>586466.62094037957</v>
      </c>
      <c r="AL858" s="57">
        <f t="shared" si="432"/>
        <v>599831.55442444992</v>
      </c>
      <c r="AN858" s="41">
        <v>853</v>
      </c>
      <c r="AO858" s="57">
        <f t="shared" si="433"/>
        <v>-114.98770046873233</v>
      </c>
      <c r="AP858" s="57">
        <f t="shared" si="434"/>
        <v>20485.152762143785</v>
      </c>
      <c r="AR858" s="41">
        <v>853</v>
      </c>
      <c r="AS858" s="57">
        <f t="shared" si="435"/>
        <v>12613.005739781258</v>
      </c>
      <c r="AT858" s="57">
        <f t="shared" si="436"/>
        <v>-2440.2620443329006</v>
      </c>
      <c r="AV858" s="57">
        <f t="shared" si="437"/>
        <v>-2.822865748371099</v>
      </c>
      <c r="AW858" s="57">
        <f t="shared" si="438"/>
        <v>-4.6660796877496313</v>
      </c>
      <c r="AX858" s="57">
        <f t="shared" si="439"/>
        <v>-0.26021079240725875</v>
      </c>
      <c r="AY858" s="57">
        <f t="shared" si="440"/>
        <v>-0.46352852342922823</v>
      </c>
      <c r="BA858" s="57">
        <f t="shared" si="441"/>
        <v>568946.53150220402</v>
      </c>
      <c r="BB858" s="57">
        <f t="shared" si="442"/>
        <v>581190.15083291137</v>
      </c>
    </row>
    <row r="859" spans="9:54" x14ac:dyDescent="0.25">
      <c r="I859" s="41">
        <v>854</v>
      </c>
      <c r="J859" s="57">
        <f t="shared" si="416"/>
        <v>16526.708147705009</v>
      </c>
      <c r="K859" s="57">
        <f t="shared" si="417"/>
        <v>11096.69900169325</v>
      </c>
      <c r="M859" s="41">
        <v>854</v>
      </c>
      <c r="N859" s="57">
        <f t="shared" si="418"/>
        <v>-22431.304296606493</v>
      </c>
      <c r="O859" s="57">
        <f t="shared" si="419"/>
        <v>12517.689301185275</v>
      </c>
      <c r="Q859" s="41">
        <v>854</v>
      </c>
      <c r="R859" s="57">
        <f t="shared" si="420"/>
        <v>-8473.2918522949913</v>
      </c>
      <c r="S859" s="41">
        <f t="shared" si="421"/>
        <v>-11403.30099830675</v>
      </c>
      <c r="U859" s="41">
        <v>853</v>
      </c>
      <c r="V859" s="41">
        <f t="shared" si="443"/>
        <v>426.5</v>
      </c>
      <c r="W859" s="57">
        <f t="shared" si="444"/>
        <v>299746.44816516433</v>
      </c>
      <c r="X859" s="57">
        <f t="shared" si="445"/>
        <v>502031.71188560349</v>
      </c>
      <c r="Y859" s="57">
        <f t="shared" si="446"/>
        <v>492.29413911641717</v>
      </c>
      <c r="Z859" s="57">
        <f t="shared" si="447"/>
        <v>469.89156073197444</v>
      </c>
      <c r="AA859" s="57">
        <f t="shared" si="422"/>
        <v>-4.9005166085313645</v>
      </c>
      <c r="AB859" s="57">
        <f t="shared" si="423"/>
        <v>-8.2233250479989106</v>
      </c>
      <c r="AC859" s="57">
        <f t="shared" si="424"/>
        <v>-0.79821781161505889</v>
      </c>
      <c r="AD859" s="57">
        <f t="shared" si="425"/>
        <v>-1.4110778650619917</v>
      </c>
      <c r="AE859" s="57">
        <f t="shared" si="426"/>
        <v>-0.2841435563875277</v>
      </c>
      <c r="AF859" s="57">
        <f t="shared" si="427"/>
        <v>-0.43724532758031265</v>
      </c>
      <c r="AG859" s="57">
        <f t="shared" si="428"/>
        <v>-0.73782778367163859</v>
      </c>
      <c r="AH859" s="57">
        <f t="shared" si="429"/>
        <v>-1.2517959253187294</v>
      </c>
      <c r="AJ859" s="57">
        <f t="shared" si="430"/>
        <v>568172.23561304936</v>
      </c>
      <c r="AK859" s="57">
        <f t="shared" si="431"/>
        <v>586798.94053697435</v>
      </c>
      <c r="AL859" s="57">
        <f t="shared" si="432"/>
        <v>600160.13593426952</v>
      </c>
      <c r="AN859" s="41">
        <v>854</v>
      </c>
      <c r="AO859" s="57">
        <f t="shared" si="433"/>
        <v>-209.93777844248689</v>
      </c>
      <c r="AP859" s="57">
        <f t="shared" si="434"/>
        <v>20395.048502539878</v>
      </c>
      <c r="AR859" s="41">
        <v>854</v>
      </c>
      <c r="AS859" s="57">
        <f t="shared" si="435"/>
        <v>12568.695703393507</v>
      </c>
      <c r="AT859" s="57">
        <f t="shared" si="436"/>
        <v>-2482.3106988147242</v>
      </c>
      <c r="AV859" s="57">
        <f t="shared" si="437"/>
        <v>-2.820329431550102</v>
      </c>
      <c r="AW859" s="57">
        <f t="shared" si="438"/>
        <v>-4.6602423190507496</v>
      </c>
      <c r="AX859" s="57">
        <f t="shared" si="439"/>
        <v>-0.25999802530703658</v>
      </c>
      <c r="AY859" s="57">
        <f t="shared" si="440"/>
        <v>-0.46296361098712685</v>
      </c>
      <c r="BA859" s="57">
        <f t="shared" si="441"/>
        <v>569276.1694364181</v>
      </c>
      <c r="BB859" s="57">
        <f t="shared" si="442"/>
        <v>581516.72082608449</v>
      </c>
    </row>
    <row r="860" spans="9:54" x14ac:dyDescent="0.25">
      <c r="I860" s="41">
        <v>855</v>
      </c>
      <c r="J860" s="57">
        <f t="shared" si="416"/>
        <v>16464.466094067262</v>
      </c>
      <c r="K860" s="57">
        <f t="shared" si="417"/>
        <v>11035.533905932736</v>
      </c>
      <c r="M860" s="41">
        <v>855</v>
      </c>
      <c r="N860" s="57">
        <f t="shared" si="418"/>
        <v>-22474.873734152916</v>
      </c>
      <c r="O860" s="57">
        <f t="shared" si="419"/>
        <v>12474.873734152916</v>
      </c>
      <c r="Q860" s="41">
        <v>855</v>
      </c>
      <c r="R860" s="57">
        <f t="shared" si="420"/>
        <v>-8535.533905932738</v>
      </c>
      <c r="S860" s="41">
        <f t="shared" si="421"/>
        <v>-11464.466094067264</v>
      </c>
      <c r="U860" s="41">
        <v>854</v>
      </c>
      <c r="V860" s="41">
        <f t="shared" si="443"/>
        <v>427</v>
      </c>
      <c r="W860" s="57">
        <f t="shared" si="444"/>
        <v>299991.98267014645</v>
      </c>
      <c r="X860" s="57">
        <f t="shared" si="445"/>
        <v>502265.62975033844</v>
      </c>
      <c r="Y860" s="57">
        <f t="shared" si="446"/>
        <v>489.8438808121515</v>
      </c>
      <c r="Z860" s="57">
        <f t="shared" si="447"/>
        <v>465.77989820797501</v>
      </c>
      <c r="AA860" s="57">
        <f t="shared" si="422"/>
        <v>-4.8962614701221714</v>
      </c>
      <c r="AB860" s="57">
        <f t="shared" si="423"/>
        <v>-8.2132271923610425</v>
      </c>
      <c r="AC860" s="57">
        <f t="shared" si="424"/>
        <v>-0.79755153610473151</v>
      </c>
      <c r="AD860" s="57">
        <f t="shared" si="425"/>
        <v>-1.4093299538654283</v>
      </c>
      <c r="AE860" s="57">
        <f t="shared" si="426"/>
        <v>-0.28388269710808406</v>
      </c>
      <c r="AF860" s="57">
        <f t="shared" si="427"/>
        <v>-0.43671623739144733</v>
      </c>
      <c r="AG860" s="57">
        <f t="shared" si="428"/>
        <v>-0.73721984310129052</v>
      </c>
      <c r="AH860" s="57">
        <f t="shared" si="429"/>
        <v>-1.2503229857640497</v>
      </c>
      <c r="AJ860" s="57">
        <f t="shared" si="430"/>
        <v>568496.73591130541</v>
      </c>
      <c r="AK860" s="57">
        <f t="shared" si="431"/>
        <v>587128.87785108015</v>
      </c>
      <c r="AL860" s="57">
        <f t="shared" si="432"/>
        <v>600486.3372418069</v>
      </c>
      <c r="AN860" s="41">
        <v>855</v>
      </c>
      <c r="AO860" s="57">
        <f t="shared" si="433"/>
        <v>-303.30085889910879</v>
      </c>
      <c r="AP860" s="57">
        <f t="shared" si="434"/>
        <v>20303.300858899107</v>
      </c>
      <c r="AR860" s="41">
        <v>855</v>
      </c>
      <c r="AS860" s="57">
        <f t="shared" si="435"/>
        <v>12525.126265847082</v>
      </c>
      <c r="AT860" s="57">
        <f t="shared" si="436"/>
        <v>-2525.1262658470841</v>
      </c>
      <c r="AV860" s="57">
        <f t="shared" si="437"/>
        <v>-2.8178198452122407</v>
      </c>
      <c r="AW860" s="57">
        <f t="shared" si="438"/>
        <v>-4.654454500669031</v>
      </c>
      <c r="AX860" s="57">
        <f t="shared" si="439"/>
        <v>-0.2597875485958237</v>
      </c>
      <c r="AY860" s="57">
        <f t="shared" si="440"/>
        <v>-0.4624035146710867</v>
      </c>
      <c r="BA860" s="57">
        <f t="shared" si="441"/>
        <v>569603.42675905477</v>
      </c>
      <c r="BB860" s="57">
        <f t="shared" si="442"/>
        <v>581840.91409273422</v>
      </c>
    </row>
    <row r="861" spans="9:54" x14ac:dyDescent="0.25">
      <c r="I861" s="41">
        <v>856</v>
      </c>
      <c r="J861" s="57">
        <f t="shared" si="416"/>
        <v>16403.300998306746</v>
      </c>
      <c r="K861" s="57">
        <f t="shared" si="417"/>
        <v>10973.291852294989</v>
      </c>
      <c r="M861" s="41">
        <v>856</v>
      </c>
      <c r="N861" s="57">
        <f t="shared" si="418"/>
        <v>-22517.689301185277</v>
      </c>
      <c r="O861" s="57">
        <f t="shared" si="419"/>
        <v>12431.304296606493</v>
      </c>
      <c r="Q861" s="41">
        <v>856</v>
      </c>
      <c r="R861" s="57">
        <f t="shared" si="420"/>
        <v>-8596.6990016932541</v>
      </c>
      <c r="S861" s="41">
        <f t="shared" si="421"/>
        <v>-11526.708147705011</v>
      </c>
      <c r="U861" s="41">
        <v>855</v>
      </c>
      <c r="V861" s="41">
        <f t="shared" si="443"/>
        <v>427.5</v>
      </c>
      <c r="W861" s="57">
        <f t="shared" si="444"/>
        <v>300236.29257786879</v>
      </c>
      <c r="X861" s="57">
        <f t="shared" si="445"/>
        <v>502497.49304604338</v>
      </c>
      <c r="Y861" s="57">
        <f t="shared" si="446"/>
        <v>487.39575007709038</v>
      </c>
      <c r="Z861" s="57">
        <f t="shared" si="447"/>
        <v>461.67328461179449</v>
      </c>
      <c r="AA861" s="57">
        <f t="shared" si="422"/>
        <v>-4.8920515927797918</v>
      </c>
      <c r="AB861" s="57">
        <f t="shared" si="423"/>
        <v>-8.2032152744779445</v>
      </c>
      <c r="AC861" s="57">
        <f t="shared" si="424"/>
        <v>-0.79689247507120153</v>
      </c>
      <c r="AD861" s="57">
        <f t="shared" si="425"/>
        <v>-1.4075970451896183</v>
      </c>
      <c r="AE861" s="57">
        <f t="shared" si="426"/>
        <v>-0.28362454035910034</v>
      </c>
      <c r="AF861" s="57">
        <f t="shared" si="427"/>
        <v>-0.43619158206194747</v>
      </c>
      <c r="AG861" s="57">
        <f t="shared" si="428"/>
        <v>-0.73661836463280428</v>
      </c>
      <c r="AH861" s="57">
        <f t="shared" si="429"/>
        <v>-1.2488624921032452</v>
      </c>
      <c r="AJ861" s="57">
        <f t="shared" si="430"/>
        <v>568818.86202872754</v>
      </c>
      <c r="AK861" s="57">
        <f t="shared" si="431"/>
        <v>587456.43561089353</v>
      </c>
      <c r="AL861" s="57">
        <f t="shared" si="432"/>
        <v>600810.16104558529</v>
      </c>
      <c r="AN861" s="41">
        <v>856</v>
      </c>
      <c r="AO861" s="57">
        <f t="shared" si="433"/>
        <v>-395.04850253987934</v>
      </c>
      <c r="AP861" s="57">
        <f t="shared" si="434"/>
        <v>20209.937778442483</v>
      </c>
      <c r="AR861" s="41">
        <v>856</v>
      </c>
      <c r="AS861" s="57">
        <f t="shared" si="435"/>
        <v>12482.310698814723</v>
      </c>
      <c r="AT861" s="57">
        <f t="shared" si="436"/>
        <v>-2568.6957033935078</v>
      </c>
      <c r="AV861" s="57">
        <f t="shared" si="437"/>
        <v>-2.8153368606956448</v>
      </c>
      <c r="AW861" s="57">
        <f t="shared" si="438"/>
        <v>-4.6487159477768296</v>
      </c>
      <c r="AX861" s="57">
        <f t="shared" si="439"/>
        <v>-0.2595793520210406</v>
      </c>
      <c r="AY861" s="57">
        <f t="shared" si="440"/>
        <v>-0.46184820734630366</v>
      </c>
      <c r="BA861" s="57">
        <f t="shared" si="441"/>
        <v>569928.306176577</v>
      </c>
      <c r="BB861" s="57">
        <f t="shared" si="442"/>
        <v>582162.73330709385</v>
      </c>
    </row>
    <row r="862" spans="9:54" x14ac:dyDescent="0.25">
      <c r="I862" s="41">
        <v>857</v>
      </c>
      <c r="J862" s="57">
        <f t="shared" si="416"/>
        <v>16343.231491904153</v>
      </c>
      <c r="K862" s="57">
        <f t="shared" si="417"/>
        <v>10909.991800312499</v>
      </c>
      <c r="M862" s="41">
        <v>857</v>
      </c>
      <c r="N862" s="57">
        <f t="shared" si="418"/>
        <v>-22559.737955667093</v>
      </c>
      <c r="O862" s="57">
        <f t="shared" si="419"/>
        <v>12386.994260218749</v>
      </c>
      <c r="Q862" s="41">
        <v>857</v>
      </c>
      <c r="R862" s="57">
        <f t="shared" si="420"/>
        <v>-8656.7685080958472</v>
      </c>
      <c r="S862" s="41">
        <f t="shared" si="421"/>
        <v>-11590.008199687501</v>
      </c>
      <c r="U862" s="41">
        <v>856</v>
      </c>
      <c r="V862" s="41">
        <f t="shared" si="443"/>
        <v>428</v>
      </c>
      <c r="W862" s="57">
        <f t="shared" si="444"/>
        <v>300479.37894645822</v>
      </c>
      <c r="X862" s="57">
        <f t="shared" si="445"/>
        <v>502727.30428643996</v>
      </c>
      <c r="Y862" s="57">
        <f t="shared" si="446"/>
        <v>484.94972428070048</v>
      </c>
      <c r="Z862" s="57">
        <f t="shared" si="447"/>
        <v>457.57167697455549</v>
      </c>
      <c r="AA862" s="57">
        <f t="shared" si="422"/>
        <v>-4.8878867641241648</v>
      </c>
      <c r="AB862" s="57">
        <f t="shared" si="423"/>
        <v>-8.1932888072148788</v>
      </c>
      <c r="AC862" s="57">
        <f t="shared" si="424"/>
        <v>-0.79624059578605011</v>
      </c>
      <c r="AD862" s="57">
        <f t="shared" si="425"/>
        <v>-1.4058790535536221</v>
      </c>
      <c r="AE862" s="57">
        <f t="shared" si="426"/>
        <v>-0.2833690729049857</v>
      </c>
      <c r="AF862" s="57">
        <f t="shared" si="427"/>
        <v>-0.43567133670072383</v>
      </c>
      <c r="AG862" s="57">
        <f t="shared" si="428"/>
        <v>-0.73602331902822382</v>
      </c>
      <c r="AH862" s="57">
        <f t="shared" si="429"/>
        <v>-1.2474143759446019</v>
      </c>
      <c r="AJ862" s="57">
        <f t="shared" si="430"/>
        <v>569138.61661725712</v>
      </c>
      <c r="AK862" s="57">
        <f t="shared" si="431"/>
        <v>587781.61652036174</v>
      </c>
      <c r="AL862" s="57">
        <f t="shared" si="432"/>
        <v>601131.61001998372</v>
      </c>
      <c r="AN862" s="41">
        <v>857</v>
      </c>
      <c r="AO862" s="57">
        <f t="shared" si="433"/>
        <v>-485.152762143769</v>
      </c>
      <c r="AP862" s="57">
        <f t="shared" si="434"/>
        <v>20114.987700468751</v>
      </c>
      <c r="AR862" s="41">
        <v>857</v>
      </c>
      <c r="AS862" s="57">
        <f t="shared" si="435"/>
        <v>12440.262044332907</v>
      </c>
      <c r="AT862" s="57">
        <f t="shared" si="436"/>
        <v>-2613.0057397812502</v>
      </c>
      <c r="AV862" s="57">
        <f t="shared" si="437"/>
        <v>-2.8128803509466924</v>
      </c>
      <c r="AW862" s="57">
        <f t="shared" si="438"/>
        <v>-4.6430263788259865</v>
      </c>
      <c r="AX862" s="57">
        <f t="shared" si="439"/>
        <v>-0.2593734254582129</v>
      </c>
      <c r="AY862" s="57">
        <f t="shared" si="440"/>
        <v>-0.46129766218994406</v>
      </c>
      <c r="BA862" s="57">
        <f t="shared" si="441"/>
        <v>570250.81037128065</v>
      </c>
      <c r="BB862" s="57">
        <f t="shared" si="442"/>
        <v>582482.18111941474</v>
      </c>
    </row>
    <row r="863" spans="9:54" x14ac:dyDescent="0.25">
      <c r="I863" s="41">
        <v>858</v>
      </c>
      <c r="J863" s="57">
        <f t="shared" si="416"/>
        <v>16284.275872613027</v>
      </c>
      <c r="K863" s="57">
        <f t="shared" si="417"/>
        <v>10845.653031794289</v>
      </c>
      <c r="M863" s="41">
        <v>858</v>
      </c>
      <c r="N863" s="57">
        <f t="shared" si="418"/>
        <v>-22601.00688917088</v>
      </c>
      <c r="O863" s="57">
        <f t="shared" si="419"/>
        <v>12341.957122256003</v>
      </c>
      <c r="Q863" s="41">
        <v>858</v>
      </c>
      <c r="R863" s="57">
        <f t="shared" si="420"/>
        <v>-8715.7241273869731</v>
      </c>
      <c r="S863" s="41">
        <f t="shared" si="421"/>
        <v>-11654.346968205711</v>
      </c>
      <c r="U863" s="41">
        <v>857</v>
      </c>
      <c r="V863" s="41">
        <f t="shared" si="443"/>
        <v>428.5</v>
      </c>
      <c r="W863" s="57">
        <f t="shared" si="444"/>
        <v>300721.24282275309</v>
      </c>
      <c r="X863" s="57">
        <f t="shared" si="445"/>
        <v>502955.06596382632</v>
      </c>
      <c r="Y863" s="57">
        <f t="shared" si="446"/>
        <v>482.50578089863842</v>
      </c>
      <c r="Z863" s="57">
        <f t="shared" si="447"/>
        <v>453.47503257094803</v>
      </c>
      <c r="AA863" s="57">
        <f t="shared" si="422"/>
        <v>-4.8837667744328996</v>
      </c>
      <c r="AB863" s="57">
        <f t="shared" si="423"/>
        <v>-8.1834473090386659</v>
      </c>
      <c r="AC863" s="57">
        <f t="shared" si="424"/>
        <v>-0.79559586593278298</v>
      </c>
      <c r="AD863" s="57">
        <f t="shared" si="425"/>
        <v>-1.4041758944660998</v>
      </c>
      <c r="AE863" s="57">
        <f t="shared" si="426"/>
        <v>-0.28311628167419584</v>
      </c>
      <c r="AF863" s="57">
        <f t="shared" si="427"/>
        <v>-0.43515547669932919</v>
      </c>
      <c r="AG863" s="57">
        <f t="shared" si="428"/>
        <v>-0.73543467741235047</v>
      </c>
      <c r="AH863" s="57">
        <f t="shared" si="429"/>
        <v>-1.2459785696738293</v>
      </c>
      <c r="AJ863" s="57">
        <f t="shared" si="430"/>
        <v>569456.00230498111</v>
      </c>
      <c r="AK863" s="57">
        <f t="shared" si="431"/>
        <v>588104.4232593152</v>
      </c>
      <c r="AL863" s="57">
        <f t="shared" si="432"/>
        <v>601450.68681537011</v>
      </c>
      <c r="AN863" s="41">
        <v>858</v>
      </c>
      <c r="AO863" s="57">
        <f t="shared" si="433"/>
        <v>-573.58619108046059</v>
      </c>
      <c r="AP863" s="57">
        <f t="shared" si="434"/>
        <v>20018.479547691433</v>
      </c>
      <c r="AR863" s="41">
        <v>858</v>
      </c>
      <c r="AS863" s="57">
        <f t="shared" si="435"/>
        <v>12398.993110829118</v>
      </c>
      <c r="AT863" s="57">
        <f t="shared" si="436"/>
        <v>-2658.0428777439979</v>
      </c>
      <c r="AV863" s="57">
        <f t="shared" si="437"/>
        <v>-2.8104501905038246</v>
      </c>
      <c r="AW863" s="57">
        <f t="shared" si="438"/>
        <v>-4.637385515511661</v>
      </c>
      <c r="AX863" s="57">
        <f t="shared" si="439"/>
        <v>-0.25916975890974553</v>
      </c>
      <c r="AY863" s="57">
        <f t="shared" si="440"/>
        <v>-0.46075185268774571</v>
      </c>
      <c r="BA863" s="57">
        <f t="shared" si="441"/>
        <v>570570.94200142694</v>
      </c>
      <c r="BB863" s="57">
        <f t="shared" si="442"/>
        <v>582799.26015609677</v>
      </c>
    </row>
    <row r="864" spans="9:54" x14ac:dyDescent="0.25">
      <c r="I864" s="41">
        <v>859</v>
      </c>
      <c r="J864" s="57">
        <f t="shared" si="416"/>
        <v>16226.452098886142</v>
      </c>
      <c r="K864" s="57">
        <f t="shared" si="417"/>
        <v>10780.295144952539</v>
      </c>
      <c r="M864" s="41">
        <v>859</v>
      </c>
      <c r="N864" s="57">
        <f t="shared" si="418"/>
        <v>-22641.4835307797</v>
      </c>
      <c r="O864" s="57">
        <f t="shared" si="419"/>
        <v>12296.206601466776</v>
      </c>
      <c r="Q864" s="41">
        <v>859</v>
      </c>
      <c r="R864" s="57">
        <f t="shared" si="420"/>
        <v>-8773.5479011138577</v>
      </c>
      <c r="S864" s="41">
        <f t="shared" si="421"/>
        <v>-11719.704855047461</v>
      </c>
      <c r="U864" s="41">
        <v>858</v>
      </c>
      <c r="V864" s="41">
        <f t="shared" si="443"/>
        <v>429</v>
      </c>
      <c r="W864" s="57">
        <f t="shared" si="444"/>
        <v>300961.88524235558</v>
      </c>
      <c r="X864" s="57">
        <f t="shared" si="445"/>
        <v>503180.78054919821</v>
      </c>
      <c r="Y864" s="57">
        <f t="shared" si="446"/>
        <v>480.06389751142194</v>
      </c>
      <c r="Z864" s="57">
        <f t="shared" si="447"/>
        <v>449.38330891642869</v>
      </c>
      <c r="AA864" s="57">
        <f t="shared" si="422"/>
        <v>-4.8796914166152598</v>
      </c>
      <c r="AB864" s="57">
        <f t="shared" si="423"/>
        <v>-8.1736903039569633</v>
      </c>
      <c r="AC864" s="57">
        <f t="shared" si="424"/>
        <v>-0.79495825360285244</v>
      </c>
      <c r="AD864" s="57">
        <f t="shared" si="425"/>
        <v>-1.4024874844144384</v>
      </c>
      <c r="AE864" s="57">
        <f t="shared" si="426"/>
        <v>-0.28286615375756674</v>
      </c>
      <c r="AF864" s="57">
        <f t="shared" si="427"/>
        <v>-0.43464397772890656</v>
      </c>
      <c r="AG864" s="57">
        <f t="shared" si="428"/>
        <v>-0.7348524112693009</v>
      </c>
      <c r="AH864" s="57">
        <f t="shared" si="429"/>
        <v>-1.2445550064458581</v>
      </c>
      <c r="AJ864" s="57">
        <f t="shared" si="430"/>
        <v>569771.0216962609</v>
      </c>
      <c r="AK864" s="57">
        <f t="shared" si="431"/>
        <v>588424.85848359892</v>
      </c>
      <c r="AL864" s="57">
        <f t="shared" si="432"/>
        <v>601767.39405822963</v>
      </c>
      <c r="AN864" s="41">
        <v>859</v>
      </c>
      <c r="AO864" s="57">
        <f t="shared" si="433"/>
        <v>-660.32185167078751</v>
      </c>
      <c r="AP864" s="57">
        <f t="shared" si="434"/>
        <v>19920.442717428807</v>
      </c>
      <c r="AR864" s="41">
        <v>859</v>
      </c>
      <c r="AS864" s="57">
        <f t="shared" si="435"/>
        <v>12358.5164692203</v>
      </c>
      <c r="AT864" s="57">
        <f t="shared" si="436"/>
        <v>-2703.7933985332234</v>
      </c>
      <c r="AV864" s="57">
        <f t="shared" si="437"/>
        <v>-2.808046255481814</v>
      </c>
      <c r="AW864" s="57">
        <f t="shared" si="438"/>
        <v>-4.6317930827370706</v>
      </c>
      <c r="AX864" s="57">
        <f t="shared" si="439"/>
        <v>-0.25896834250372519</v>
      </c>
      <c r="AY864" s="57">
        <f t="shared" si="440"/>
        <v>-0.46021075263068895</v>
      </c>
      <c r="BA864" s="57">
        <f t="shared" si="441"/>
        <v>570888.70370137272</v>
      </c>
      <c r="BB864" s="57">
        <f t="shared" si="442"/>
        <v>583113.97301981575</v>
      </c>
    </row>
    <row r="865" spans="9:54" x14ac:dyDescent="0.25">
      <c r="I865" s="41">
        <v>860</v>
      </c>
      <c r="J865" s="57">
        <f t="shared" si="416"/>
        <v>16169.777784405114</v>
      </c>
      <c r="K865" s="57">
        <f t="shared" si="417"/>
        <v>10713.938048432703</v>
      </c>
      <c r="M865" s="41">
        <v>860</v>
      </c>
      <c r="N865" s="57">
        <f t="shared" si="418"/>
        <v>-22681.155550916421</v>
      </c>
      <c r="O865" s="57">
        <f t="shared" si="419"/>
        <v>12249.756633902893</v>
      </c>
      <c r="Q865" s="41">
        <v>860</v>
      </c>
      <c r="R865" s="57">
        <f t="shared" si="420"/>
        <v>-8830.2222155948857</v>
      </c>
      <c r="S865" s="41">
        <f t="shared" si="421"/>
        <v>-11786.061951567297</v>
      </c>
      <c r="U865" s="41">
        <v>859</v>
      </c>
      <c r="V865" s="41">
        <f t="shared" si="443"/>
        <v>429.5</v>
      </c>
      <c r="W865" s="57">
        <f t="shared" si="444"/>
        <v>301201.30722968426</v>
      </c>
      <c r="X865" s="57">
        <f t="shared" si="445"/>
        <v>503404.45049236843</v>
      </c>
      <c r="Y865" s="57">
        <f t="shared" si="446"/>
        <v>477.6240518031143</v>
      </c>
      <c r="Z865" s="57">
        <f t="shared" si="447"/>
        <v>445.29646376445021</v>
      </c>
      <c r="AA865" s="57">
        <f t="shared" si="422"/>
        <v>-4.8756604861862387</v>
      </c>
      <c r="AB865" s="57">
        <f t="shared" si="423"/>
        <v>-8.164017321457937</v>
      </c>
      <c r="AC865" s="57">
        <f t="shared" si="424"/>
        <v>-0.79432772729181123</v>
      </c>
      <c r="AD865" s="57">
        <f t="shared" si="425"/>
        <v>-1.4008137408541728</v>
      </c>
      <c r="AE865" s="57">
        <f t="shared" si="426"/>
        <v>-0.28261867640667943</v>
      </c>
      <c r="AF865" s="57">
        <f t="shared" si="427"/>
        <v>-0.43413681573719054</v>
      </c>
      <c r="AG865" s="57">
        <f t="shared" si="428"/>
        <v>-0.73427649243904947</v>
      </c>
      <c r="AH865" s="57">
        <f t="shared" si="429"/>
        <v>-1.2431436201766397</v>
      </c>
      <c r="AJ865" s="57">
        <f t="shared" si="430"/>
        <v>570083.67737185839</v>
      </c>
      <c r="AK865" s="57">
        <f t="shared" si="431"/>
        <v>588742.92482520256</v>
      </c>
      <c r="AL865" s="57">
        <f t="shared" si="432"/>
        <v>602081.73435129388</v>
      </c>
      <c r="AN865" s="41">
        <v>860</v>
      </c>
      <c r="AO865" s="57">
        <f t="shared" si="433"/>
        <v>-745.33332339232766</v>
      </c>
      <c r="AP865" s="57">
        <f t="shared" si="434"/>
        <v>19820.907072649054</v>
      </c>
      <c r="AR865" s="41">
        <v>860</v>
      </c>
      <c r="AS865" s="57">
        <f t="shared" si="435"/>
        <v>12318.844449083581</v>
      </c>
      <c r="AT865" s="57">
        <f t="shared" si="436"/>
        <v>-2750.2433660971078</v>
      </c>
      <c r="AV865" s="57">
        <f t="shared" si="437"/>
        <v>-2.8056684235559524</v>
      </c>
      <c r="AW865" s="57">
        <f t="shared" si="438"/>
        <v>-4.6262488085782083</v>
      </c>
      <c r="AX865" s="57">
        <f t="shared" si="439"/>
        <v>-0.25876916649274695</v>
      </c>
      <c r="AY865" s="57">
        <f t="shared" si="440"/>
        <v>-0.45967433611172598</v>
      </c>
      <c r="BA865" s="57">
        <f t="shared" si="441"/>
        <v>571204.09808169806</v>
      </c>
      <c r="BB865" s="57">
        <f t="shared" si="442"/>
        <v>583426.32228965056</v>
      </c>
    </row>
    <row r="866" spans="9:54" x14ac:dyDescent="0.25">
      <c r="I866" s="41">
        <v>861</v>
      </c>
      <c r="J866" s="57">
        <f t="shared" si="416"/>
        <v>16114.270192715148</v>
      </c>
      <c r="K866" s="57">
        <f t="shared" si="417"/>
        <v>10646.601955249191</v>
      </c>
      <c r="M866" s="41">
        <v>861</v>
      </c>
      <c r="N866" s="57">
        <f t="shared" si="418"/>
        <v>-22720.010865099397</v>
      </c>
      <c r="O866" s="57">
        <f t="shared" si="419"/>
        <v>12202.621368674434</v>
      </c>
      <c r="Q866" s="41">
        <v>861</v>
      </c>
      <c r="R866" s="57">
        <f t="shared" si="420"/>
        <v>-8885.7298072848516</v>
      </c>
      <c r="S866" s="41">
        <f t="shared" si="421"/>
        <v>-11853.398044750809</v>
      </c>
      <c r="U866" s="41">
        <v>860</v>
      </c>
      <c r="V866" s="41">
        <f t="shared" si="443"/>
        <v>430</v>
      </c>
      <c r="W866" s="57">
        <f t="shared" si="444"/>
        <v>301439.50979802507</v>
      </c>
      <c r="X866" s="57">
        <f t="shared" si="445"/>
        <v>503626.07822208549</v>
      </c>
      <c r="Y866" s="57">
        <f t="shared" si="446"/>
        <v>475.18622156002118</v>
      </c>
      <c r="Z866" s="57">
        <f t="shared" si="447"/>
        <v>441.21445510372126</v>
      </c>
      <c r="AA866" s="57">
        <f t="shared" si="422"/>
        <v>-4.8716737812412534</v>
      </c>
      <c r="AB866" s="57">
        <f t="shared" si="423"/>
        <v>-8.154427896451212</v>
      </c>
      <c r="AC866" s="57">
        <f t="shared" si="424"/>
        <v>-0.79370425589544968</v>
      </c>
      <c r="AD866" s="57">
        <f t="shared" si="425"/>
        <v>-1.3991545821984346</v>
      </c>
      <c r="AE866" s="57">
        <f t="shared" si="426"/>
        <v>-0.28237383703224428</v>
      </c>
      <c r="AF866" s="57">
        <f t="shared" si="427"/>
        <v>-0.43363396694554518</v>
      </c>
      <c r="AG866" s="57">
        <f t="shared" si="428"/>
        <v>-0.73370689311405723</v>
      </c>
      <c r="AH866" s="57">
        <f t="shared" si="429"/>
        <v>-1.2417443455351289</v>
      </c>
      <c r="AJ866" s="57">
        <f t="shared" si="430"/>
        <v>570393.9718890615</v>
      </c>
      <c r="AK866" s="57">
        <f t="shared" si="431"/>
        <v>589058.624892388</v>
      </c>
      <c r="AL866" s="57">
        <f t="shared" si="432"/>
        <v>602393.71027366701</v>
      </c>
      <c r="AN866" s="41">
        <v>861</v>
      </c>
      <c r="AO866" s="57">
        <f t="shared" si="433"/>
        <v>-828.59471092727745</v>
      </c>
      <c r="AP866" s="57">
        <f t="shared" si="434"/>
        <v>19719.902932873785</v>
      </c>
      <c r="AR866" s="41">
        <v>861</v>
      </c>
      <c r="AS866" s="57">
        <f t="shared" si="435"/>
        <v>12279.989134900603</v>
      </c>
      <c r="AT866" s="57">
        <f t="shared" si="436"/>
        <v>-2797.3786313255664</v>
      </c>
      <c r="AV866" s="57">
        <f t="shared" si="437"/>
        <v>-2.8033165739467516</v>
      </c>
      <c r="AW866" s="57">
        <f t="shared" si="438"/>
        <v>-4.620752424249555</v>
      </c>
      <c r="AX866" s="57">
        <f t="shared" si="439"/>
        <v>-0.25857222125275148</v>
      </c>
      <c r="AY866" s="57">
        <f t="shared" si="440"/>
        <v>-0.459142577522548</v>
      </c>
      <c r="BA866" s="57">
        <f t="shared" si="441"/>
        <v>571517.12772933498</v>
      </c>
      <c r="BB866" s="57">
        <f t="shared" si="442"/>
        <v>583736.31052120775</v>
      </c>
    </row>
    <row r="867" spans="9:54" x14ac:dyDescent="0.25">
      <c r="I867" s="41">
        <v>862</v>
      </c>
      <c r="J867" s="57">
        <f t="shared" si="416"/>
        <v>16059.946231966391</v>
      </c>
      <c r="K867" s="57">
        <f t="shared" si="417"/>
        <v>10578.307376628292</v>
      </c>
      <c r="M867" s="41">
        <v>862</v>
      </c>
      <c r="N867" s="57">
        <f t="shared" si="418"/>
        <v>-22758.037637623525</v>
      </c>
      <c r="O867" s="57">
        <f t="shared" si="419"/>
        <v>12154.815163639803</v>
      </c>
      <c r="Q867" s="41">
        <v>862</v>
      </c>
      <c r="R867" s="57">
        <f t="shared" si="420"/>
        <v>-8940.0537680336092</v>
      </c>
      <c r="S867" s="41">
        <f t="shared" si="421"/>
        <v>-11921.692623371708</v>
      </c>
      <c r="U867" s="41">
        <v>861</v>
      </c>
      <c r="V867" s="41">
        <f t="shared" si="443"/>
        <v>430.5</v>
      </c>
      <c r="W867" s="57">
        <f t="shared" si="444"/>
        <v>301676.49394958239</v>
      </c>
      <c r="X867" s="57">
        <f t="shared" si="445"/>
        <v>503845.66614615032</v>
      </c>
      <c r="Y867" s="57">
        <f t="shared" si="446"/>
        <v>472.75038466940055</v>
      </c>
      <c r="Z867" s="57">
        <f t="shared" si="447"/>
        <v>437.13724115549564</v>
      </c>
      <c r="AA867" s="57">
        <f t="shared" si="422"/>
        <v>-4.8677311024311702</v>
      </c>
      <c r="AB867" s="57">
        <f t="shared" si="423"/>
        <v>-8.1449215692096093</v>
      </c>
      <c r="AC867" s="57">
        <f t="shared" si="424"/>
        <v>-0.79308780870604279</v>
      </c>
      <c r="AD867" s="57">
        <f t="shared" si="425"/>
        <v>-1.397509927807645</v>
      </c>
      <c r="AE867" s="57">
        <f t="shared" si="426"/>
        <v>-0.28213162320251151</v>
      </c>
      <c r="AF867" s="57">
        <f t="shared" si="427"/>
        <v>-0.43313540784604743</v>
      </c>
      <c r="AG867" s="57">
        <f t="shared" si="428"/>
        <v>-0.73314358583596106</v>
      </c>
      <c r="AH867" s="57">
        <f t="shared" si="429"/>
        <v>-1.240357117935398</v>
      </c>
      <c r="AJ867" s="57">
        <f t="shared" si="430"/>
        <v>570701.90778180759</v>
      </c>
      <c r="AK867" s="57">
        <f t="shared" si="431"/>
        <v>589371.96126981708</v>
      </c>
      <c r="AL867" s="57">
        <f t="shared" si="432"/>
        <v>602703.3243809517</v>
      </c>
      <c r="AN867" s="41">
        <v>862</v>
      </c>
      <c r="AO867" s="57">
        <f t="shared" si="433"/>
        <v>-910.08065205041385</v>
      </c>
      <c r="AP867" s="57">
        <f t="shared" si="434"/>
        <v>19617.461064942436</v>
      </c>
      <c r="AR867" s="41">
        <v>862</v>
      </c>
      <c r="AS867" s="57">
        <f t="shared" si="435"/>
        <v>12241.962362376475</v>
      </c>
      <c r="AT867" s="57">
        <f t="shared" si="436"/>
        <v>-2845.1848363601957</v>
      </c>
      <c r="AV867" s="57">
        <f t="shared" si="437"/>
        <v>-2.8009905874047791</v>
      </c>
      <c r="AW867" s="57">
        <f t="shared" si="438"/>
        <v>-4.6153036640701259</v>
      </c>
      <c r="AX867" s="57">
        <f t="shared" si="439"/>
        <v>-0.25837749728187553</v>
      </c>
      <c r="AY867" s="57">
        <f t="shared" si="440"/>
        <v>-0.45861545155039257</v>
      </c>
      <c r="BA867" s="57">
        <f t="shared" si="441"/>
        <v>571827.79520769196</v>
      </c>
      <c r="BB867" s="57">
        <f t="shared" si="442"/>
        <v>584043.94024674583</v>
      </c>
    </row>
    <row r="868" spans="9:54" x14ac:dyDescent="0.25">
      <c r="I868" s="41">
        <v>863</v>
      </c>
      <c r="J868" s="57">
        <f t="shared" si="416"/>
        <v>16006.82244976354</v>
      </c>
      <c r="K868" s="57">
        <f t="shared" si="417"/>
        <v>10509.075115760246</v>
      </c>
      <c r="M868" s="41">
        <v>863</v>
      </c>
      <c r="N868" s="57">
        <f t="shared" si="418"/>
        <v>-22795.224285165521</v>
      </c>
      <c r="O868" s="57">
        <f t="shared" si="419"/>
        <v>12106.352581032173</v>
      </c>
      <c r="Q868" s="41">
        <v>863</v>
      </c>
      <c r="R868" s="57">
        <f t="shared" si="420"/>
        <v>-8993.1775502364599</v>
      </c>
      <c r="S868" s="41">
        <f t="shared" si="421"/>
        <v>-11990.924884239754</v>
      </c>
      <c r="U868" s="41">
        <v>862</v>
      </c>
      <c r="V868" s="41">
        <f t="shared" si="443"/>
        <v>431</v>
      </c>
      <c r="W868" s="57">
        <f t="shared" si="444"/>
        <v>301912.26067552931</v>
      </c>
      <c r="X868" s="57">
        <f t="shared" si="445"/>
        <v>504063.21665153193</v>
      </c>
      <c r="Y868" s="57">
        <f t="shared" si="446"/>
        <v>470.31651911818494</v>
      </c>
      <c r="Z868" s="57">
        <f t="shared" si="447"/>
        <v>433.06478037089084</v>
      </c>
      <c r="AA868" s="57">
        <f t="shared" si="422"/>
        <v>-4.8638322529376934</v>
      </c>
      <c r="AB868" s="57">
        <f t="shared" si="423"/>
        <v>-8.1354978853117181</v>
      </c>
      <c r="AC868" s="57">
        <f t="shared" si="424"/>
        <v>-0.79247835540863687</v>
      </c>
      <c r="AD868" s="57">
        <f t="shared" si="425"/>
        <v>-1.3958796979793324</v>
      </c>
      <c r="AE868" s="57">
        <f t="shared" si="426"/>
        <v>-0.28189202264169549</v>
      </c>
      <c r="AF868" s="57">
        <f t="shared" si="427"/>
        <v>-0.43264111519859733</v>
      </c>
      <c r="AG868" s="57">
        <f t="shared" si="428"/>
        <v>-0.73258654349229879</v>
      </c>
      <c r="AH868" s="57">
        <f t="shared" si="429"/>
        <v>-1.2389818735288434</v>
      </c>
      <c r="AJ868" s="57">
        <f t="shared" si="430"/>
        <v>571007.48756080575</v>
      </c>
      <c r="AK868" s="57">
        <f t="shared" si="431"/>
        <v>589682.93651867565</v>
      </c>
      <c r="AL868" s="57">
        <f t="shared" si="432"/>
        <v>603010.57920537284</v>
      </c>
      <c r="AN868" s="41">
        <v>863</v>
      </c>
      <c r="AO868" s="57">
        <f t="shared" si="433"/>
        <v>-989.76632535469071</v>
      </c>
      <c r="AP868" s="57">
        <f t="shared" si="434"/>
        <v>19513.612673640368</v>
      </c>
      <c r="AR868" s="41">
        <v>863</v>
      </c>
      <c r="AS868" s="57">
        <f t="shared" si="435"/>
        <v>12204.775714834477</v>
      </c>
      <c r="AT868" s="57">
        <f t="shared" si="436"/>
        <v>-2893.6474189678274</v>
      </c>
      <c r="AV868" s="57">
        <f t="shared" si="437"/>
        <v>-2.7986903461957273</v>
      </c>
      <c r="AW868" s="57">
        <f t="shared" si="438"/>
        <v>-4.6099022654300219</v>
      </c>
      <c r="AX868" s="57">
        <f t="shared" si="439"/>
        <v>-0.25818498519933458</v>
      </c>
      <c r="AY868" s="57">
        <f t="shared" si="440"/>
        <v>-0.45809293317492322</v>
      </c>
      <c r="BA868" s="57">
        <f t="shared" si="441"/>
        <v>572136.10305677855</v>
      </c>
      <c r="BB868" s="57">
        <f t="shared" si="442"/>
        <v>584349.21397529694</v>
      </c>
    </row>
    <row r="869" spans="9:54" x14ac:dyDescent="0.25">
      <c r="I869" s="41">
        <v>864</v>
      </c>
      <c r="J869" s="57">
        <f t="shared" si="416"/>
        <v>15954.915028125264</v>
      </c>
      <c r="K869" s="57">
        <f t="shared" si="417"/>
        <v>10438.926261462368</v>
      </c>
      <c r="M869" s="41">
        <v>864</v>
      </c>
      <c r="N869" s="57">
        <f t="shared" si="418"/>
        <v>-22831.559480312317</v>
      </c>
      <c r="O869" s="57">
        <f t="shared" si="419"/>
        <v>12057.248383023658</v>
      </c>
      <c r="Q869" s="41">
        <v>864</v>
      </c>
      <c r="R869" s="57">
        <f t="shared" si="420"/>
        <v>-9045.0849718747359</v>
      </c>
      <c r="S869" s="41">
        <f t="shared" si="421"/>
        <v>-12061.073738537632</v>
      </c>
      <c r="U869" s="41">
        <v>863</v>
      </c>
      <c r="V869" s="41">
        <f t="shared" si="443"/>
        <v>431.5</v>
      </c>
      <c r="W869" s="57">
        <f t="shared" si="444"/>
        <v>302146.81095605675</v>
      </c>
      <c r="X869" s="57">
        <f t="shared" si="445"/>
        <v>504278.73210448172</v>
      </c>
      <c r="Y869" s="57">
        <f t="shared" si="446"/>
        <v>467.88460299171612</v>
      </c>
      <c r="Z869" s="57">
        <f t="shared" si="447"/>
        <v>428.997031428235</v>
      </c>
      <c r="AA869" s="57">
        <f t="shared" si="422"/>
        <v>-4.8599770384491494</v>
      </c>
      <c r="AB869" s="57">
        <f t="shared" si="423"/>
        <v>-8.1261563955853653</v>
      </c>
      <c r="AC869" s="57">
        <f t="shared" si="424"/>
        <v>-0.79187586607739735</v>
      </c>
      <c r="AD869" s="57">
        <f t="shared" si="425"/>
        <v>-1.3942638139381143</v>
      </c>
      <c r="AE869" s="57">
        <f t="shared" si="426"/>
        <v>-0.2816550232284602</v>
      </c>
      <c r="AF869" s="57">
        <f t="shared" si="427"/>
        <v>-0.43215106602812769</v>
      </c>
      <c r="AG869" s="57">
        <f t="shared" si="428"/>
        <v>-0.7320357393132817</v>
      </c>
      <c r="AH869" s="57">
        <f t="shared" si="429"/>
        <v>-1.2376185491965039</v>
      </c>
      <c r="AJ869" s="57">
        <f t="shared" si="430"/>
        <v>571310.71371365804</v>
      </c>
      <c r="AK869" s="57">
        <f t="shared" si="431"/>
        <v>589991.55317679874</v>
      </c>
      <c r="AL869" s="57">
        <f t="shared" si="432"/>
        <v>603315.47725589946</v>
      </c>
      <c r="AN869" s="41">
        <v>864</v>
      </c>
      <c r="AO869" s="57">
        <f t="shared" si="433"/>
        <v>-1067.6274578121038</v>
      </c>
      <c r="AP869" s="57">
        <f t="shared" si="434"/>
        <v>19408.389392193552</v>
      </c>
      <c r="AR869" s="41">
        <v>864</v>
      </c>
      <c r="AS869" s="57">
        <f t="shared" si="435"/>
        <v>12168.440519687685</v>
      </c>
      <c r="AT869" s="57">
        <f t="shared" si="436"/>
        <v>-2942.7516169763426</v>
      </c>
      <c r="AV869" s="57">
        <f t="shared" si="437"/>
        <v>-2.7964157340857012</v>
      </c>
      <c r="AW869" s="57">
        <f t="shared" si="438"/>
        <v>-4.6045479687574842</v>
      </c>
      <c r="AX869" s="57">
        <f t="shared" si="439"/>
        <v>-0.25799467574430934</v>
      </c>
      <c r="AY869" s="57">
        <f t="shared" si="440"/>
        <v>-0.45757499766513543</v>
      </c>
      <c r="BA869" s="57">
        <f t="shared" si="441"/>
        <v>572442.05379332823</v>
      </c>
      <c r="BB869" s="57">
        <f t="shared" si="442"/>
        <v>584652.13419278804</v>
      </c>
    </row>
    <row r="870" spans="9:54" x14ac:dyDescent="0.25">
      <c r="I870" s="41">
        <v>865</v>
      </c>
      <c r="J870" s="57">
        <f t="shared" si="416"/>
        <v>15904.239778555042</v>
      </c>
      <c r="K870" s="57">
        <f t="shared" si="417"/>
        <v>10367.882181755231</v>
      </c>
      <c r="M870" s="41">
        <v>865</v>
      </c>
      <c r="N870" s="57">
        <f t="shared" si="418"/>
        <v>-22867.032155011471</v>
      </c>
      <c r="O870" s="57">
        <f t="shared" si="419"/>
        <v>12007.517527228661</v>
      </c>
      <c r="Q870" s="41">
        <v>865</v>
      </c>
      <c r="R870" s="57">
        <f t="shared" si="420"/>
        <v>-9095.760221444958</v>
      </c>
      <c r="S870" s="41">
        <f t="shared" si="421"/>
        <v>-12132.117818244769</v>
      </c>
      <c r="U870" s="41">
        <v>864</v>
      </c>
      <c r="V870" s="41">
        <f t="shared" si="443"/>
        <v>432</v>
      </c>
      <c r="W870" s="57">
        <f t="shared" si="444"/>
        <v>302380.14576042281</v>
      </c>
      <c r="X870" s="57">
        <f t="shared" si="445"/>
        <v>504492.21485064639</v>
      </c>
      <c r="Y870" s="57">
        <f t="shared" si="446"/>
        <v>465.45461447249153</v>
      </c>
      <c r="Z870" s="57">
        <f t="shared" si="447"/>
        <v>424.93395323044234</v>
      </c>
      <c r="AA870" s="57">
        <f t="shared" si="422"/>
        <v>-4.8561652671367206</v>
      </c>
      <c r="AB870" s="57">
        <f t="shared" si="423"/>
        <v>-8.1168966560520399</v>
      </c>
      <c r="AC870" s="57">
        <f t="shared" si="424"/>
        <v>-0.79128031117201314</v>
      </c>
      <c r="AD870" s="57">
        <f t="shared" si="425"/>
        <v>-1.392662197825826</v>
      </c>
      <c r="AE870" s="57">
        <f t="shared" si="426"/>
        <v>-0.28142061299436788</v>
      </c>
      <c r="AF870" s="57">
        <f t="shared" si="427"/>
        <v>-0.43166523762176323</v>
      </c>
      <c r="AG870" s="57">
        <f t="shared" si="428"/>
        <v>-0.73149114686862193</v>
      </c>
      <c r="AH870" s="57">
        <f t="shared" si="429"/>
        <v>-1.236267082541503</v>
      </c>
      <c r="AJ870" s="57">
        <f t="shared" si="430"/>
        <v>571611.58870497777</v>
      </c>
      <c r="AK870" s="57">
        <f t="shared" si="431"/>
        <v>590297.81375879189</v>
      </c>
      <c r="AL870" s="57">
        <f t="shared" si="432"/>
        <v>603618.02101836633</v>
      </c>
      <c r="AN870" s="41">
        <v>865</v>
      </c>
      <c r="AO870" s="57">
        <f t="shared" si="433"/>
        <v>-1143.6403321674388</v>
      </c>
      <c r="AP870" s="57">
        <f t="shared" si="434"/>
        <v>19301.823272632846</v>
      </c>
      <c r="AR870" s="41">
        <v>865</v>
      </c>
      <c r="AS870" s="57">
        <f t="shared" si="435"/>
        <v>12132.967844988529</v>
      </c>
      <c r="AT870" s="57">
        <f t="shared" si="436"/>
        <v>-2992.4824727713385</v>
      </c>
      <c r="AV870" s="57">
        <f t="shared" si="437"/>
        <v>-2.7941666363268602</v>
      </c>
      <c r="AW870" s="57">
        <f t="shared" si="438"/>
        <v>-4.5992405174866269</v>
      </c>
      <c r="AX870" s="57">
        <f t="shared" si="439"/>
        <v>-0.25780655977485795</v>
      </c>
      <c r="AY870" s="57">
        <f t="shared" si="440"/>
        <v>-0.45706162057632016</v>
      </c>
      <c r="BA870" s="57">
        <f t="shared" si="441"/>
        <v>572745.6499109196</v>
      </c>
      <c r="BB870" s="57">
        <f t="shared" si="442"/>
        <v>584952.7033621599</v>
      </c>
    </row>
    <row r="871" spans="9:54" x14ac:dyDescent="0.25">
      <c r="I871" s="41">
        <v>866</v>
      </c>
      <c r="J871" s="57">
        <f t="shared" si="416"/>
        <v>15854.812137224788</v>
      </c>
      <c r="K871" s="57">
        <f t="shared" si="417"/>
        <v>10295.96451735373</v>
      </c>
      <c r="M871" s="41">
        <v>866</v>
      </c>
      <c r="N871" s="57">
        <f t="shared" si="418"/>
        <v>-22901.631503942648</v>
      </c>
      <c r="O871" s="57">
        <f t="shared" si="419"/>
        <v>11957.175162147611</v>
      </c>
      <c r="Q871" s="41">
        <v>866</v>
      </c>
      <c r="R871" s="57">
        <f t="shared" si="420"/>
        <v>-9145.1878627752121</v>
      </c>
      <c r="S871" s="41">
        <f t="shared" si="421"/>
        <v>-12204.03548264627</v>
      </c>
      <c r="U871" s="41">
        <v>865</v>
      </c>
      <c r="V871" s="41">
        <f t="shared" si="443"/>
        <v>432.5</v>
      </c>
      <c r="W871" s="57">
        <f t="shared" si="444"/>
        <v>302612.26604700065</v>
      </c>
      <c r="X871" s="57">
        <f t="shared" si="445"/>
        <v>504703.66721517959</v>
      </c>
      <c r="Y871" s="57">
        <f t="shared" si="446"/>
        <v>463.02653183892318</v>
      </c>
      <c r="Z871" s="57">
        <f t="shared" si="447"/>
        <v>420.87550490241631</v>
      </c>
      <c r="AA871" s="57">
        <f t="shared" si="422"/>
        <v>-4.852396749630822</v>
      </c>
      <c r="AB871" s="57">
        <f t="shared" si="423"/>
        <v>-8.1077182278717945</v>
      </c>
      <c r="AC871" s="57">
        <f t="shared" si="424"/>
        <v>-0.79069166153415127</v>
      </c>
      <c r="AD871" s="57">
        <f t="shared" si="425"/>
        <v>-1.3910747726917916</v>
      </c>
      <c r="AE871" s="57">
        <f t="shared" si="426"/>
        <v>-0.28118878012241855</v>
      </c>
      <c r="AF871" s="57">
        <f t="shared" si="427"/>
        <v>-0.43118360752612345</v>
      </c>
      <c r="AG871" s="57">
        <f t="shared" si="428"/>
        <v>-0.73095274006441879</v>
      </c>
      <c r="AH871" s="57">
        <f t="shared" si="429"/>
        <v>-1.2349274118816185</v>
      </c>
      <c r="AJ871" s="57">
        <f t="shared" si="430"/>
        <v>571910.11497650901</v>
      </c>
      <c r="AK871" s="57">
        <f t="shared" si="431"/>
        <v>590601.72075615206</v>
      </c>
      <c r="AL871" s="57">
        <f t="shared" si="432"/>
        <v>603918.2129555929</v>
      </c>
      <c r="AN871" s="41">
        <v>866</v>
      </c>
      <c r="AO871" s="57">
        <f t="shared" si="433"/>
        <v>-1217.7817941628164</v>
      </c>
      <c r="AP871" s="57">
        <f t="shared" si="434"/>
        <v>19193.946776030596</v>
      </c>
      <c r="AR871" s="41">
        <v>866</v>
      </c>
      <c r="AS871" s="57">
        <f t="shared" si="435"/>
        <v>12098.368496057352</v>
      </c>
      <c r="AT871" s="57">
        <f t="shared" si="436"/>
        <v>-3042.8248378523886</v>
      </c>
      <c r="AV871" s="57">
        <f t="shared" si="437"/>
        <v>-2.7919429396430004</v>
      </c>
      <c r="AW871" s="57">
        <f t="shared" si="438"/>
        <v>-4.5939796580252041</v>
      </c>
      <c r="AX871" s="57">
        <f t="shared" si="439"/>
        <v>-0.25762062826683346</v>
      </c>
      <c r="AY871" s="57">
        <f t="shared" si="440"/>
        <v>-0.45655277774705649</v>
      </c>
      <c r="BA871" s="57">
        <f t="shared" si="441"/>
        <v>573046.89388009603</v>
      </c>
      <c r="BB871" s="57">
        <f t="shared" si="442"/>
        <v>585250.92392348533</v>
      </c>
    </row>
    <row r="872" spans="9:54" x14ac:dyDescent="0.25">
      <c r="I872" s="41">
        <v>867</v>
      </c>
      <c r="J872" s="57">
        <f t="shared" si="416"/>
        <v>15806.647160272882</v>
      </c>
      <c r="K872" s="57">
        <f t="shared" si="417"/>
        <v>10223.195175075136</v>
      </c>
      <c r="M872" s="41">
        <v>867</v>
      </c>
      <c r="N872" s="57">
        <f t="shared" si="418"/>
        <v>-22935.346987808982</v>
      </c>
      <c r="O872" s="57">
        <f t="shared" si="419"/>
        <v>11906.236622552595</v>
      </c>
      <c r="Q872" s="41">
        <v>867</v>
      </c>
      <c r="R872" s="57">
        <f t="shared" si="420"/>
        <v>-9193.3528397271184</v>
      </c>
      <c r="S872" s="41">
        <f t="shared" si="421"/>
        <v>-12276.804824924864</v>
      </c>
      <c r="U872" s="41">
        <v>866</v>
      </c>
      <c r="V872" s="41">
        <f t="shared" si="443"/>
        <v>433</v>
      </c>
      <c r="W872" s="57">
        <f t="shared" si="444"/>
        <v>302843.17276332644</v>
      </c>
      <c r="X872" s="57">
        <f t="shared" si="445"/>
        <v>504913.09150285233</v>
      </c>
      <c r="Y872" s="57">
        <f t="shared" si="446"/>
        <v>460.60033346410779</v>
      </c>
      <c r="Z872" s="57">
        <f t="shared" si="447"/>
        <v>416.8216457884804</v>
      </c>
      <c r="AA872" s="57">
        <f t="shared" si="422"/>
        <v>-4.8486712989981999</v>
      </c>
      <c r="AB872" s="57">
        <f t="shared" si="423"/>
        <v>-8.0986206772895653</v>
      </c>
      <c r="AC872" s="57">
        <f t="shared" si="424"/>
        <v>-0.790109888383976</v>
      </c>
      <c r="AD872" s="57">
        <f t="shared" si="425"/>
        <v>-1.3895014624832589</v>
      </c>
      <c r="AE872" s="57">
        <f t="shared" si="426"/>
        <v>-0.2809595129455561</v>
      </c>
      <c r="AF872" s="57">
        <f t="shared" si="427"/>
        <v>-0.43070615354458058</v>
      </c>
      <c r="AG872" s="57">
        <f t="shared" si="428"/>
        <v>-0.73042049314007185</v>
      </c>
      <c r="AH872" s="57">
        <f t="shared" si="429"/>
        <v>-1.2335994762419276</v>
      </c>
      <c r="AJ872" s="57">
        <f t="shared" si="430"/>
        <v>572206.29494724178</v>
      </c>
      <c r="AK872" s="57">
        <f t="shared" si="431"/>
        <v>590903.27663738816</v>
      </c>
      <c r="AL872" s="57">
        <f t="shared" si="432"/>
        <v>604216.05550750182</v>
      </c>
      <c r="AN872" s="41">
        <v>867</v>
      </c>
      <c r="AO872" s="57">
        <f t="shared" si="433"/>
        <v>-1290.0292595906785</v>
      </c>
      <c r="AP872" s="57">
        <f t="shared" si="434"/>
        <v>19084.792762612706</v>
      </c>
      <c r="AR872" s="41">
        <v>867</v>
      </c>
      <c r="AS872" s="57">
        <f t="shared" si="435"/>
        <v>12064.653012191016</v>
      </c>
      <c r="AT872" s="57">
        <f t="shared" si="436"/>
        <v>-3093.7633774474043</v>
      </c>
      <c r="AV872" s="57">
        <f t="shared" si="437"/>
        <v>-2.7897445322157575</v>
      </c>
      <c r="AW872" s="57">
        <f t="shared" si="438"/>
        <v>-4.5887651397235141</v>
      </c>
      <c r="AX872" s="57">
        <f t="shared" si="439"/>
        <v>-0.25743687231283874</v>
      </c>
      <c r="AY872" s="57">
        <f t="shared" si="440"/>
        <v>-0.4560484452962838</v>
      </c>
      <c r="BA872" s="57">
        <f t="shared" si="441"/>
        <v>573345.78814848454</v>
      </c>
      <c r="BB872" s="57">
        <f t="shared" si="442"/>
        <v>585546.79829408554</v>
      </c>
    </row>
    <row r="873" spans="9:54" x14ac:dyDescent="0.25">
      <c r="I873" s="41">
        <v>868</v>
      </c>
      <c r="J873" s="57">
        <f t="shared" si="416"/>
        <v>15759.759519217874</v>
      </c>
      <c r="K873" s="57">
        <f t="shared" si="417"/>
        <v>10149.596321166031</v>
      </c>
      <c r="M873" s="41">
        <v>868</v>
      </c>
      <c r="N873" s="57">
        <f t="shared" si="418"/>
        <v>-22968.168336547489</v>
      </c>
      <c r="O873" s="57">
        <f t="shared" si="419"/>
        <v>11854.717424816221</v>
      </c>
      <c r="Q873" s="41">
        <v>868</v>
      </c>
      <c r="R873" s="57">
        <f t="shared" si="420"/>
        <v>-9240.2404807821258</v>
      </c>
      <c r="S873" s="41">
        <f t="shared" si="421"/>
        <v>-12350.403678833969</v>
      </c>
      <c r="U873" s="41">
        <v>867</v>
      </c>
      <c r="V873" s="41">
        <f t="shared" si="443"/>
        <v>433.5</v>
      </c>
      <c r="W873" s="57">
        <f t="shared" si="444"/>
        <v>303072.86684614612</v>
      </c>
      <c r="X873" s="57">
        <f t="shared" si="445"/>
        <v>505120.48999816191</v>
      </c>
      <c r="Y873" s="57">
        <f t="shared" si="446"/>
        <v>458.17599781460871</v>
      </c>
      <c r="Z873" s="57">
        <f t="shared" si="447"/>
        <v>412.77233544983562</v>
      </c>
      <c r="AA873" s="57">
        <f t="shared" si="422"/>
        <v>-4.844988730719086</v>
      </c>
      <c r="AB873" s="57">
        <f t="shared" si="423"/>
        <v>-8.0896035755817817</v>
      </c>
      <c r="AC873" s="57">
        <f t="shared" si="424"/>
        <v>-0.78953496331672979</v>
      </c>
      <c r="AD873" s="57">
        <f t="shared" si="425"/>
        <v>-1.3879421920359898</v>
      </c>
      <c r="AE873" s="57">
        <f t="shared" si="426"/>
        <v>-0.28073279994523304</v>
      </c>
      <c r="AF873" s="57">
        <f t="shared" si="427"/>
        <v>-0.43023285373461195</v>
      </c>
      <c r="AG873" s="57">
        <f t="shared" si="428"/>
        <v>-0.72989438066526258</v>
      </c>
      <c r="AH873" s="57">
        <f t="shared" si="429"/>
        <v>-1.2322832153475975</v>
      </c>
      <c r="AJ873" s="57">
        <f t="shared" si="430"/>
        <v>572500.13101352798</v>
      </c>
      <c r="AK873" s="57">
        <f t="shared" si="431"/>
        <v>591202.48384813778</v>
      </c>
      <c r="AL873" s="57">
        <f t="shared" si="432"/>
        <v>604511.55109123536</v>
      </c>
      <c r="AN873" s="41">
        <v>868</v>
      </c>
      <c r="AO873" s="57">
        <f t="shared" si="433"/>
        <v>-1360.3607211731896</v>
      </c>
      <c r="AP873" s="57">
        <f t="shared" si="434"/>
        <v>18974.394481749045</v>
      </c>
      <c r="AR873" s="41">
        <v>868</v>
      </c>
      <c r="AS873" s="57">
        <f t="shared" si="435"/>
        <v>12031.831663452511</v>
      </c>
      <c r="AT873" s="57">
        <f t="shared" si="436"/>
        <v>-3145.2825751837786</v>
      </c>
      <c r="AV873" s="57">
        <f t="shared" si="437"/>
        <v>-2.7875713036706857</v>
      </c>
      <c r="AW873" s="57">
        <f t="shared" si="438"/>
        <v>-4.5835967148432051</v>
      </c>
      <c r="AX873" s="57">
        <f t="shared" si="439"/>
        <v>-0.25725528312117474</v>
      </c>
      <c r="AY873" s="57">
        <f t="shared" si="440"/>
        <v>-0.45554859962037814</v>
      </c>
      <c r="BA873" s="57">
        <f t="shared" si="441"/>
        <v>573642.33514091221</v>
      </c>
      <c r="BB873" s="57">
        <f t="shared" si="442"/>
        <v>585840.32886864513</v>
      </c>
    </row>
    <row r="874" spans="9:54" x14ac:dyDescent="0.25">
      <c r="I874" s="41">
        <v>869</v>
      </c>
      <c r="J874" s="57">
        <f t="shared" si="416"/>
        <v>15714.163496489437</v>
      </c>
      <c r="K874" s="57">
        <f t="shared" si="417"/>
        <v>10075.190374550266</v>
      </c>
      <c r="M874" s="41">
        <v>869</v>
      </c>
      <c r="N874" s="57">
        <f t="shared" si="418"/>
        <v>-23000.085552457396</v>
      </c>
      <c r="O874" s="57">
        <f t="shared" si="419"/>
        <v>11802.633262185187</v>
      </c>
      <c r="Q874" s="41">
        <v>869</v>
      </c>
      <c r="R874" s="57">
        <f t="shared" si="420"/>
        <v>-9285.8365035105635</v>
      </c>
      <c r="S874" s="41">
        <f t="shared" si="421"/>
        <v>-12424.809625449734</v>
      </c>
      <c r="U874" s="41">
        <v>868</v>
      </c>
      <c r="V874" s="41">
        <f t="shared" si="443"/>
        <v>434</v>
      </c>
      <c r="W874" s="57">
        <f t="shared" si="444"/>
        <v>303301.34922146209</v>
      </c>
      <c r="X874" s="57">
        <f t="shared" si="445"/>
        <v>505325.86496543989</v>
      </c>
      <c r="Y874" s="57">
        <f t="shared" si="446"/>
        <v>455.75350344924914</v>
      </c>
      <c r="Z874" s="57">
        <f t="shared" si="447"/>
        <v>408.72753366204472</v>
      </c>
      <c r="AA874" s="57">
        <f t="shared" si="422"/>
        <v>-4.8413488626648196</v>
      </c>
      <c r="AB874" s="57">
        <f t="shared" si="423"/>
        <v>-8.0806664990039838</v>
      </c>
      <c r="AC874" s="57">
        <f t="shared" si="424"/>
        <v>-0.78896685829933355</v>
      </c>
      <c r="AD874" s="57">
        <f t="shared" si="425"/>
        <v>-1.3863968870649361</v>
      </c>
      <c r="AE874" s="57">
        <f t="shared" si="426"/>
        <v>-0.28050862974998891</v>
      </c>
      <c r="AF874" s="57">
        <f t="shared" si="427"/>
        <v>-0.42976368640517865</v>
      </c>
      <c r="AG874" s="57">
        <f t="shared" si="428"/>
        <v>-0.72937437753697232</v>
      </c>
      <c r="AH874" s="57">
        <f t="shared" si="429"/>
        <v>-1.2309785696167659</v>
      </c>
      <c r="AJ874" s="57">
        <f t="shared" si="430"/>
        <v>572791.62554919499</v>
      </c>
      <c r="AK874" s="57">
        <f t="shared" si="431"/>
        <v>591499.34481128457</v>
      </c>
      <c r="AL874" s="57">
        <f t="shared" si="432"/>
        <v>604804.70210127102</v>
      </c>
      <c r="AN874" s="41">
        <v>869</v>
      </c>
      <c r="AO874" s="57">
        <f t="shared" si="433"/>
        <v>-1428.7547552658471</v>
      </c>
      <c r="AP874" s="57">
        <f t="shared" si="434"/>
        <v>18862.7855618254</v>
      </c>
      <c r="AR874" s="41">
        <v>869</v>
      </c>
      <c r="AS874" s="57">
        <f t="shared" si="435"/>
        <v>11999.914447542606</v>
      </c>
      <c r="AT874" s="57">
        <f t="shared" si="436"/>
        <v>-3197.3667378148139</v>
      </c>
      <c r="AV874" s="57">
        <f t="shared" si="437"/>
        <v>-2.7854231450637017</v>
      </c>
      <c r="AW874" s="57">
        <f t="shared" si="438"/>
        <v>-4.5784741385267989</v>
      </c>
      <c r="AX874" s="57">
        <f t="shared" si="439"/>
        <v>-0.25707585201482325</v>
      </c>
      <c r="AY874" s="57">
        <f t="shared" si="440"/>
        <v>-0.45505321739030452</v>
      </c>
      <c r="BA874" s="57">
        <f t="shared" si="441"/>
        <v>573936.53725952271</v>
      </c>
      <c r="BB874" s="57">
        <f t="shared" si="442"/>
        <v>586131.51801932626</v>
      </c>
    </row>
    <row r="875" spans="9:54" x14ac:dyDescent="0.25">
      <c r="I875" s="41">
        <v>870</v>
      </c>
      <c r="J875" s="57">
        <f t="shared" si="416"/>
        <v>15669.872981077806</v>
      </c>
      <c r="K875" s="57">
        <f t="shared" si="417"/>
        <v>10000</v>
      </c>
      <c r="M875" s="41">
        <v>870</v>
      </c>
      <c r="N875" s="57">
        <f t="shared" si="418"/>
        <v>-23031.088913245534</v>
      </c>
      <c r="O875" s="57">
        <f t="shared" si="419"/>
        <v>11750</v>
      </c>
      <c r="Q875" s="41">
        <v>870</v>
      </c>
      <c r="R875" s="57">
        <f t="shared" si="420"/>
        <v>-9330.1270189221941</v>
      </c>
      <c r="S875" s="41">
        <f t="shared" si="421"/>
        <v>-12500</v>
      </c>
      <c r="U875" s="41">
        <v>869</v>
      </c>
      <c r="V875" s="41">
        <f t="shared" si="443"/>
        <v>434.5</v>
      </c>
      <c r="W875" s="57">
        <f t="shared" si="444"/>
        <v>303528.62080457888</v>
      </c>
      <c r="X875" s="57">
        <f t="shared" si="445"/>
        <v>505529.21864895849</v>
      </c>
      <c r="Y875" s="57">
        <f t="shared" si="446"/>
        <v>453.33282901791671</v>
      </c>
      <c r="Z875" s="57">
        <f t="shared" si="447"/>
        <v>404.68720041254272</v>
      </c>
      <c r="AA875" s="57">
        <f t="shared" si="422"/>
        <v>-4.8377515150758095</v>
      </c>
      <c r="AB875" s="57">
        <f t="shared" si="423"/>
        <v>-8.0718090287391835</v>
      </c>
      <c r="AC875" s="57">
        <f t="shared" si="424"/>
        <v>-0.78840554566706877</v>
      </c>
      <c r="AD875" s="57">
        <f t="shared" si="425"/>
        <v>-1.3848654741551045</v>
      </c>
      <c r="AE875" s="57">
        <f t="shared" si="426"/>
        <v>-0.28028699113403704</v>
      </c>
      <c r="AF875" s="57">
        <f t="shared" si="427"/>
        <v>-0.42929863011412195</v>
      </c>
      <c r="AG875" s="57">
        <f t="shared" si="428"/>
        <v>-0.72886045897653773</v>
      </c>
      <c r="AH875" s="57">
        <f t="shared" si="429"/>
        <v>-1.2296854801535089</v>
      </c>
      <c r="AJ875" s="57">
        <f t="shared" si="430"/>
        <v>573080.78090565803</v>
      </c>
      <c r="AK875" s="57">
        <f t="shared" si="431"/>
        <v>591793.86192707368</v>
      </c>
      <c r="AL875" s="57">
        <f t="shared" si="432"/>
        <v>605095.51090953476</v>
      </c>
      <c r="AN875" s="41">
        <v>870</v>
      </c>
      <c r="AO875" s="57">
        <f t="shared" si="433"/>
        <v>-1495.1905283832893</v>
      </c>
      <c r="AP875" s="57">
        <f t="shared" si="434"/>
        <v>18750</v>
      </c>
      <c r="AR875" s="41">
        <v>870</v>
      </c>
      <c r="AS875" s="57">
        <f t="shared" si="435"/>
        <v>11968.911086754466</v>
      </c>
      <c r="AT875" s="57">
        <f t="shared" si="436"/>
        <v>-3250</v>
      </c>
      <c r="AV875" s="57">
        <f t="shared" si="437"/>
        <v>-2.7832999488677359</v>
      </c>
      <c r="AW875" s="57">
        <f t="shared" si="438"/>
        <v>-4.5733971687676638</v>
      </c>
      <c r="AX875" s="57">
        <f t="shared" si="439"/>
        <v>-0.2568985704304303</v>
      </c>
      <c r="AY875" s="57">
        <f t="shared" si="440"/>
        <v>-0.45456227554878542</v>
      </c>
      <c r="BA875" s="57">
        <f t="shared" si="441"/>
        <v>574228.39688388957</v>
      </c>
      <c r="BB875" s="57">
        <f t="shared" si="442"/>
        <v>586420.36809588096</v>
      </c>
    </row>
    <row r="876" spans="9:54" x14ac:dyDescent="0.25">
      <c r="I876" s="41">
        <v>871</v>
      </c>
      <c r="J876" s="57">
        <f t="shared" si="416"/>
        <v>15626.901464303024</v>
      </c>
      <c r="K876" s="57">
        <f t="shared" si="417"/>
        <v>9924.0481012316905</v>
      </c>
      <c r="M876" s="41">
        <v>871</v>
      </c>
      <c r="N876" s="57">
        <f t="shared" si="418"/>
        <v>-23061.168974987882</v>
      </c>
      <c r="O876" s="57">
        <f t="shared" si="419"/>
        <v>11696.833670862183</v>
      </c>
      <c r="Q876" s="41">
        <v>871</v>
      </c>
      <c r="R876" s="57">
        <f t="shared" si="420"/>
        <v>-9373.0985356969759</v>
      </c>
      <c r="S876" s="41">
        <f t="shared" si="421"/>
        <v>-12575.95189876831</v>
      </c>
      <c r="U876" s="41">
        <v>870</v>
      </c>
      <c r="V876" s="41">
        <f t="shared" si="443"/>
        <v>435</v>
      </c>
      <c r="W876" s="57">
        <f t="shared" si="444"/>
        <v>303754.68250014842</v>
      </c>
      <c r="X876" s="57">
        <f t="shared" si="445"/>
        <v>505730.55327303614</v>
      </c>
      <c r="Y876" s="57">
        <f t="shared" si="446"/>
        <v>450.91395326037878</v>
      </c>
      <c r="Z876" s="57">
        <f t="shared" si="447"/>
        <v>400.65129589817315</v>
      </c>
      <c r="AA876" s="57">
        <f t="shared" si="422"/>
        <v>-4.8341965105399556</v>
      </c>
      <c r="AB876" s="57">
        <f t="shared" si="423"/>
        <v>-8.0630307508472328</v>
      </c>
      <c r="AC876" s="57">
        <f t="shared" si="424"/>
        <v>-0.78785099812032333</v>
      </c>
      <c r="AD876" s="57">
        <f t="shared" si="425"/>
        <v>-1.3833478807525834</v>
      </c>
      <c r="AE876" s="57">
        <f t="shared" si="426"/>
        <v>-0.28006787301589081</v>
      </c>
      <c r="AF876" s="57">
        <f t="shared" si="427"/>
        <v>-0.42883766366562537</v>
      </c>
      <c r="AG876" s="57">
        <f t="shared" si="428"/>
        <v>-0.72835260052678663</v>
      </c>
      <c r="AH876" s="57">
        <f t="shared" si="429"/>
        <v>-1.2284038887409778</v>
      </c>
      <c r="AJ876" s="57">
        <f t="shared" si="430"/>
        <v>573367.59941203147</v>
      </c>
      <c r="AK876" s="57">
        <f t="shared" si="431"/>
        <v>592086.0375732251</v>
      </c>
      <c r="AL876" s="57">
        <f t="shared" si="432"/>
        <v>605383.97986551467</v>
      </c>
      <c r="AN876" s="41">
        <v>871</v>
      </c>
      <c r="AO876" s="57">
        <f t="shared" si="433"/>
        <v>-1559.6478035454647</v>
      </c>
      <c r="AP876" s="57">
        <f t="shared" si="434"/>
        <v>18636.072151847537</v>
      </c>
      <c r="AR876" s="41">
        <v>871</v>
      </c>
      <c r="AS876" s="57">
        <f t="shared" si="435"/>
        <v>11938.831025012116</v>
      </c>
      <c r="AT876" s="57">
        <f t="shared" si="436"/>
        <v>-3303.1663291378172</v>
      </c>
      <c r="AV876" s="57">
        <f t="shared" si="437"/>
        <v>-2.7812016089596376</v>
      </c>
      <c r="AW876" s="57">
        <f t="shared" si="438"/>
        <v>-4.5683655663805141</v>
      </c>
      <c r="AX876" s="57">
        <f t="shared" si="439"/>
        <v>-0.25672342991731656</v>
      </c>
      <c r="AY876" s="57">
        <f t="shared" si="440"/>
        <v>-0.45407575130753142</v>
      </c>
      <c r="BA876" s="57">
        <f t="shared" si="441"/>
        <v>574517.91637112992</v>
      </c>
      <c r="BB876" s="57">
        <f t="shared" si="442"/>
        <v>586706.88142576197</v>
      </c>
    </row>
    <row r="877" spans="9:54" x14ac:dyDescent="0.25">
      <c r="I877" s="41">
        <v>872</v>
      </c>
      <c r="J877" s="57">
        <f t="shared" si="416"/>
        <v>15585.262035705371</v>
      </c>
      <c r="K877" s="57">
        <f t="shared" si="417"/>
        <v>9847.3578139294641</v>
      </c>
      <c r="M877" s="41">
        <v>872</v>
      </c>
      <c r="N877" s="57">
        <f t="shared" si="418"/>
        <v>-23090.31657500624</v>
      </c>
      <c r="O877" s="57">
        <f t="shared" si="419"/>
        <v>11643.150469750624</v>
      </c>
      <c r="Q877" s="41">
        <v>872</v>
      </c>
      <c r="R877" s="57">
        <f t="shared" si="420"/>
        <v>-9414.7379642946289</v>
      </c>
      <c r="S877" s="41">
        <f t="shared" si="421"/>
        <v>-12652.642186070536</v>
      </c>
      <c r="U877" s="41">
        <v>871</v>
      </c>
      <c r="V877" s="41">
        <f t="shared" si="443"/>
        <v>435.5</v>
      </c>
      <c r="W877" s="57">
        <f t="shared" si="444"/>
        <v>303979.53520221479</v>
      </c>
      <c r="X877" s="57">
        <f t="shared" si="445"/>
        <v>505929.87104214134</v>
      </c>
      <c r="Y877" s="57">
        <f t="shared" si="446"/>
        <v>448.49685500510878</v>
      </c>
      <c r="Z877" s="57">
        <f t="shared" si="447"/>
        <v>396.61978052274952</v>
      </c>
      <c r="AA877" s="57">
        <f t="shared" si="422"/>
        <v>-4.8306836739711381</v>
      </c>
      <c r="AB877" s="57">
        <f t="shared" si="423"/>
        <v>-8.0543312562144589</v>
      </c>
      <c r="AC877" s="57">
        <f t="shared" si="424"/>
        <v>-0.78730318872135807</v>
      </c>
      <c r="AD877" s="57">
        <f t="shared" si="425"/>
        <v>-1.3818440351556454</v>
      </c>
      <c r="AE877" s="57">
        <f t="shared" si="426"/>
        <v>-0.27985126445700925</v>
      </c>
      <c r="AF877" s="57">
        <f t="shared" si="427"/>
        <v>-0.4283807661077107</v>
      </c>
      <c r="AG877" s="57">
        <f t="shared" si="428"/>
        <v>-0.72785077804915976</v>
      </c>
      <c r="AH877" s="57">
        <f t="shared" si="429"/>
        <v>-1.2271337378345348</v>
      </c>
      <c r="AJ877" s="57">
        <f t="shared" si="430"/>
        <v>573652.08337523846</v>
      </c>
      <c r="AK877" s="57">
        <f t="shared" si="431"/>
        <v>592375.87410504662</v>
      </c>
      <c r="AL877" s="57">
        <f t="shared" si="432"/>
        <v>605670.11129637121</v>
      </c>
      <c r="AN877" s="41">
        <v>872</v>
      </c>
      <c r="AO877" s="57">
        <f t="shared" si="433"/>
        <v>-1622.1069464419443</v>
      </c>
      <c r="AP877" s="57">
        <f t="shared" si="434"/>
        <v>18521.036720894197</v>
      </c>
      <c r="AR877" s="41">
        <v>872</v>
      </c>
      <c r="AS877" s="57">
        <f t="shared" si="435"/>
        <v>11909.68342499376</v>
      </c>
      <c r="AT877" s="57">
        <f t="shared" si="436"/>
        <v>-3356.8495302493757</v>
      </c>
      <c r="AV877" s="57">
        <f t="shared" si="437"/>
        <v>-2.7791280206071138</v>
      </c>
      <c r="AW877" s="57">
        <f t="shared" si="438"/>
        <v>-4.5633790949720661</v>
      </c>
      <c r="AX877" s="57">
        <f t="shared" si="439"/>
        <v>-0.25655042213649709</v>
      </c>
      <c r="AY877" s="57">
        <f t="shared" si="440"/>
        <v>-0.45359362214450255</v>
      </c>
      <c r="BA877" s="57">
        <f t="shared" si="441"/>
        <v>574805.09805601579</v>
      </c>
      <c r="BB877" s="57">
        <f t="shared" si="442"/>
        <v>586991.06031423283</v>
      </c>
    </row>
    <row r="878" spans="9:54" x14ac:dyDescent="0.25">
      <c r="I878" s="41">
        <v>873</v>
      </c>
      <c r="J878" s="57">
        <f t="shared" si="416"/>
        <v>15544.96737905816</v>
      </c>
      <c r="K878" s="57">
        <f t="shared" si="417"/>
        <v>9769.9524986977322</v>
      </c>
      <c r="M878" s="41">
        <v>873</v>
      </c>
      <c r="N878" s="57">
        <f t="shared" si="418"/>
        <v>-23118.522834659288</v>
      </c>
      <c r="O878" s="57">
        <f t="shared" si="419"/>
        <v>11588.966749088413</v>
      </c>
      <c r="Q878" s="41">
        <v>873</v>
      </c>
      <c r="R878" s="57">
        <f t="shared" si="420"/>
        <v>-9455.0326209418399</v>
      </c>
      <c r="S878" s="41">
        <f t="shared" si="421"/>
        <v>-12730.047501302268</v>
      </c>
      <c r="U878" s="41">
        <v>872</v>
      </c>
      <c r="V878" s="41">
        <f t="shared" si="443"/>
        <v>436</v>
      </c>
      <c r="W878" s="57">
        <f t="shared" si="444"/>
        <v>304203.17979425809</v>
      </c>
      <c r="X878" s="57">
        <f t="shared" si="445"/>
        <v>506127.17414099572</v>
      </c>
      <c r="Y878" s="57">
        <f t="shared" si="446"/>
        <v>446.08151316812319</v>
      </c>
      <c r="Z878" s="57">
        <f t="shared" si="447"/>
        <v>392.59261489464228</v>
      </c>
      <c r="AA878" s="57">
        <f t="shared" si="422"/>
        <v>-4.8272128325883656</v>
      </c>
      <c r="AB878" s="57">
        <f t="shared" si="423"/>
        <v>-8.0457101405046281</v>
      </c>
      <c r="AC878" s="57">
        <f t="shared" si="424"/>
        <v>-0.78676209089112792</v>
      </c>
      <c r="AD878" s="57">
        <f t="shared" si="425"/>
        <v>-1.3803538665060011</v>
      </c>
      <c r="AE878" s="57">
        <f t="shared" si="426"/>
        <v>-0.27963715466044814</v>
      </c>
      <c r="AF878" s="57">
        <f t="shared" si="427"/>
        <v>-0.42792791672974773</v>
      </c>
      <c r="AG878" s="57">
        <f t="shared" si="428"/>
        <v>-0.72735496772092811</v>
      </c>
      <c r="AH878" s="57">
        <f t="shared" si="429"/>
        <v>-1.2258749705550773</v>
      </c>
      <c r="AJ878" s="57">
        <f t="shared" si="430"/>
        <v>573934.2350801198</v>
      </c>
      <c r="AK878" s="57">
        <f t="shared" si="431"/>
        <v>592663.3738555453</v>
      </c>
      <c r="AL878" s="57">
        <f t="shared" si="432"/>
        <v>605953.90750704787</v>
      </c>
      <c r="AN878" s="41">
        <v>873</v>
      </c>
      <c r="AO878" s="57">
        <f t="shared" si="433"/>
        <v>-1682.5489314127599</v>
      </c>
      <c r="AP878" s="57">
        <f t="shared" si="434"/>
        <v>18404.928748046601</v>
      </c>
      <c r="AR878" s="41">
        <v>873</v>
      </c>
      <c r="AS878" s="57">
        <f t="shared" si="435"/>
        <v>11881.477165340712</v>
      </c>
      <c r="AT878" s="57">
        <f t="shared" si="436"/>
        <v>-3411.0332509115869</v>
      </c>
      <c r="AV878" s="57">
        <f t="shared" si="437"/>
        <v>-2.7770790804561356</v>
      </c>
      <c r="AW878" s="57">
        <f t="shared" si="438"/>
        <v>-4.5584375209125731</v>
      </c>
      <c r="AX878" s="57">
        <f t="shared" si="439"/>
        <v>-0.25637953885972609</v>
      </c>
      <c r="AY878" s="57">
        <f t="shared" si="440"/>
        <v>-0.45311586580122781</v>
      </c>
      <c r="BA878" s="57">
        <f t="shared" si="441"/>
        <v>575089.94425108412</v>
      </c>
      <c r="BB878" s="57">
        <f t="shared" si="442"/>
        <v>587272.90704447601</v>
      </c>
    </row>
    <row r="879" spans="9:54" x14ac:dyDescent="0.25">
      <c r="I879" s="41">
        <v>874</v>
      </c>
      <c r="J879" s="57">
        <f t="shared" si="416"/>
        <v>15506.029768504166</v>
      </c>
      <c r="K879" s="57">
        <f t="shared" si="417"/>
        <v>9691.855733945391</v>
      </c>
      <c r="M879" s="41">
        <v>874</v>
      </c>
      <c r="N879" s="57">
        <f t="shared" si="418"/>
        <v>-23145.779162047082</v>
      </c>
      <c r="O879" s="57">
        <f t="shared" si="419"/>
        <v>11534.299013761774</v>
      </c>
      <c r="Q879" s="41">
        <v>874</v>
      </c>
      <c r="R879" s="57">
        <f t="shared" si="420"/>
        <v>-9493.970231495834</v>
      </c>
      <c r="S879" s="41">
        <f t="shared" si="421"/>
        <v>-12808.144266054609</v>
      </c>
      <c r="U879" s="41">
        <v>873</v>
      </c>
      <c r="V879" s="41">
        <f t="shared" si="443"/>
        <v>436.5</v>
      </c>
      <c r="W879" s="57">
        <f t="shared" si="444"/>
        <v>304425.61714923813</v>
      </c>
      <c r="X879" s="57">
        <f t="shared" si="445"/>
        <v>506322.46473467548</v>
      </c>
      <c r="Y879" s="57">
        <f t="shared" si="446"/>
        <v>443.66790675182904</v>
      </c>
      <c r="Z879" s="57">
        <f t="shared" si="447"/>
        <v>388.56975982438996</v>
      </c>
      <c r="AA879" s="57">
        <f t="shared" si="422"/>
        <v>-4.8237838158949344</v>
      </c>
      <c r="AB879" s="57">
        <f t="shared" si="423"/>
        <v>-8.0371670041100796</v>
      </c>
      <c r="AC879" s="57">
        <f t="shared" si="424"/>
        <v>-0.78622767840617025</v>
      </c>
      <c r="AD879" s="57">
        <f t="shared" si="425"/>
        <v>-1.3788773047802039</v>
      </c>
      <c r="AE879" s="57">
        <f t="shared" si="426"/>
        <v>-0.27942553296955408</v>
      </c>
      <c r="AF879" s="57">
        <f t="shared" si="427"/>
        <v>-0.42747909506003412</v>
      </c>
      <c r="AG879" s="57">
        <f t="shared" si="428"/>
        <v>-0.72686514603244623</v>
      </c>
      <c r="AH879" s="57">
        <f t="shared" si="429"/>
        <v>-1.2246275306824501</v>
      </c>
      <c r="AJ879" s="57">
        <f t="shared" si="430"/>
        <v>574214.05678954045</v>
      </c>
      <c r="AK879" s="57">
        <f t="shared" si="431"/>
        <v>592948.53913553676</v>
      </c>
      <c r="AL879" s="57">
        <f t="shared" si="432"/>
        <v>606235.37078037928</v>
      </c>
      <c r="AN879" s="41">
        <v>874</v>
      </c>
      <c r="AO879" s="57">
        <f t="shared" si="433"/>
        <v>-1740.9553472437492</v>
      </c>
      <c r="AP879" s="57">
        <f t="shared" si="434"/>
        <v>18287.783600918086</v>
      </c>
      <c r="AR879" s="41">
        <v>874</v>
      </c>
      <c r="AS879" s="57">
        <f t="shared" si="435"/>
        <v>11854.220837952917</v>
      </c>
      <c r="AT879" s="57">
        <f t="shared" si="436"/>
        <v>-3465.7009862382265</v>
      </c>
      <c r="AV879" s="57">
        <f t="shared" si="437"/>
        <v>-2.7750546865182271</v>
      </c>
      <c r="AW879" s="57">
        <f t="shared" si="438"/>
        <v>-4.5535406133072627</v>
      </c>
      <c r="AX879" s="57">
        <f t="shared" si="439"/>
        <v>-0.25621077196853631</v>
      </c>
      <c r="AY879" s="57">
        <f t="shared" si="440"/>
        <v>-0.45264246028012911</v>
      </c>
      <c r="BA879" s="57">
        <f t="shared" si="441"/>
        <v>575372.45724674605</v>
      </c>
      <c r="BB879" s="57">
        <f t="shared" si="442"/>
        <v>587552.42387770023</v>
      </c>
    </row>
    <row r="880" spans="9:54" x14ac:dyDescent="0.25">
      <c r="I880" s="41">
        <v>875</v>
      </c>
      <c r="J880" s="57">
        <f t="shared" si="416"/>
        <v>15468.461064816755</v>
      </c>
      <c r="K880" s="57">
        <f t="shared" si="417"/>
        <v>9613.091308703506</v>
      </c>
      <c r="M880" s="41">
        <v>875</v>
      </c>
      <c r="N880" s="57">
        <f t="shared" si="418"/>
        <v>-23172.077254628271</v>
      </c>
      <c r="O880" s="57">
        <f t="shared" si="419"/>
        <v>11479.163916092453</v>
      </c>
      <c r="Q880" s="41">
        <v>875</v>
      </c>
      <c r="R880" s="57">
        <f t="shared" si="420"/>
        <v>-9531.5389351832455</v>
      </c>
      <c r="S880" s="41">
        <f t="shared" si="421"/>
        <v>-12886.908691296494</v>
      </c>
      <c r="U880" s="41">
        <v>874</v>
      </c>
      <c r="V880" s="41">
        <f t="shared" si="443"/>
        <v>437</v>
      </c>
      <c r="W880" s="57">
        <f t="shared" si="444"/>
        <v>304646.84812963707</v>
      </c>
      <c r="X880" s="57">
        <f t="shared" si="445"/>
        <v>506515.74496871216</v>
      </c>
      <c r="Y880" s="57">
        <f t="shared" si="446"/>
        <v>441.25601484388159</v>
      </c>
      <c r="Z880" s="57">
        <f t="shared" si="447"/>
        <v>384.55117632233492</v>
      </c>
      <c r="AA880" s="57">
        <f t="shared" si="422"/>
        <v>-4.8203964556582566</v>
      </c>
      <c r="AB880" s="57">
        <f t="shared" si="423"/>
        <v>-8.0287014521042188</v>
      </c>
      <c r="AC880" s="57">
        <f t="shared" si="424"/>
        <v>-0.7856999253955339</v>
      </c>
      <c r="AD880" s="57">
        <f t="shared" si="425"/>
        <v>-1.3774142807811802</v>
      </c>
      <c r="AE880" s="57">
        <f t="shared" si="426"/>
        <v>-0.279216388866667</v>
      </c>
      <c r="AF880" s="57">
        <f t="shared" si="427"/>
        <v>-0.42703428086339318</v>
      </c>
      <c r="AG880" s="57">
        <f t="shared" si="428"/>
        <v>-0.72638128978442817</v>
      </c>
      <c r="AH880" s="57">
        <f t="shared" si="429"/>
        <v>-1.2233913626489203</v>
      </c>
      <c r="AJ880" s="57">
        <f t="shared" si="430"/>
        <v>574491.5507444957</v>
      </c>
      <c r="AK880" s="57">
        <f t="shared" si="431"/>
        <v>593231.37223375402</v>
      </c>
      <c r="AL880" s="57">
        <f t="shared" si="432"/>
        <v>606514.50337719813</v>
      </c>
      <c r="AN880" s="41">
        <v>875</v>
      </c>
      <c r="AO880" s="57">
        <f t="shared" si="433"/>
        <v>-1797.3084027748691</v>
      </c>
      <c r="AP880" s="57">
        <f t="shared" si="434"/>
        <v>18169.636963055258</v>
      </c>
      <c r="AR880" s="41">
        <v>875</v>
      </c>
      <c r="AS880" s="57">
        <f t="shared" si="435"/>
        <v>11827.922745371729</v>
      </c>
      <c r="AT880" s="57">
        <f t="shared" si="436"/>
        <v>-3520.8360839075458</v>
      </c>
      <c r="AV880" s="57">
        <f t="shared" si="437"/>
        <v>-2.7730547381583066</v>
      </c>
      <c r="AW880" s="57">
        <f t="shared" si="438"/>
        <v>-4.548688143968791</v>
      </c>
      <c r="AX880" s="57">
        <f t="shared" si="439"/>
        <v>-0.25604411345332095</v>
      </c>
      <c r="AY880" s="57">
        <f t="shared" si="440"/>
        <v>-0.45217338384193462</v>
      </c>
      <c r="BA880" s="57">
        <f t="shared" si="441"/>
        <v>575652.63931139396</v>
      </c>
      <c r="BB880" s="57">
        <f t="shared" si="442"/>
        <v>587829.61305324652</v>
      </c>
    </row>
    <row r="881" spans="9:54" x14ac:dyDescent="0.25">
      <c r="I881" s="41">
        <v>876</v>
      </c>
      <c r="J881" s="57">
        <f t="shared" si="416"/>
        <v>15432.272711786994</v>
      </c>
      <c r="K881" s="57">
        <f t="shared" si="417"/>
        <v>9533.6832153789983</v>
      </c>
      <c r="M881" s="41">
        <v>876</v>
      </c>
      <c r="N881" s="57">
        <f t="shared" si="418"/>
        <v>-23197.409101749105</v>
      </c>
      <c r="O881" s="57">
        <f t="shared" si="419"/>
        <v>11423.578250765298</v>
      </c>
      <c r="Q881" s="41">
        <v>876</v>
      </c>
      <c r="R881" s="57">
        <f t="shared" si="420"/>
        <v>-9567.7272882130055</v>
      </c>
      <c r="S881" s="41">
        <f t="shared" si="421"/>
        <v>-12966.316784621002</v>
      </c>
      <c r="U881" s="41">
        <v>875</v>
      </c>
      <c r="V881" s="41">
        <f t="shared" si="443"/>
        <v>437.5</v>
      </c>
      <c r="W881" s="57">
        <f t="shared" si="444"/>
        <v>304866.87358750211</v>
      </c>
      <c r="X881" s="57">
        <f t="shared" si="445"/>
        <v>506707.01696919184</v>
      </c>
      <c r="Y881" s="57">
        <f t="shared" si="446"/>
        <v>438.84581661605245</v>
      </c>
      <c r="Z881" s="57">
        <f t="shared" si="447"/>
        <v>380.53682559628282</v>
      </c>
      <c r="AA881" s="57">
        <f t="shared" si="422"/>
        <v>-4.8170505858896604</v>
      </c>
      <c r="AB881" s="57">
        <f t="shared" si="423"/>
        <v>-8.0203130941940763</v>
      </c>
      <c r="AC881" s="57">
        <f t="shared" si="424"/>
        <v>-0.78517880633777004</v>
      </c>
      <c r="AD881" s="57">
        <f t="shared" si="425"/>
        <v>-1.3759647261299028</v>
      </c>
      <c r="AE881" s="57">
        <f t="shared" si="426"/>
        <v>-0.27900971197183977</v>
      </c>
      <c r="AF881" s="57">
        <f t="shared" si="427"/>
        <v>-0.42659345413880162</v>
      </c>
      <c r="AG881" s="57">
        <f t="shared" si="428"/>
        <v>-0.72590337608526401</v>
      </c>
      <c r="AH881" s="57">
        <f t="shared" si="429"/>
        <v>-1.2221664115327457</v>
      </c>
      <c r="AJ881" s="57">
        <f t="shared" si="430"/>
        <v>574766.71916421608</v>
      </c>
      <c r="AK881" s="57">
        <f t="shared" si="431"/>
        <v>593511.87541695498</v>
      </c>
      <c r="AL881" s="57">
        <f t="shared" si="432"/>
        <v>606791.30753644253</v>
      </c>
      <c r="AN881" s="41">
        <v>876</v>
      </c>
      <c r="AO881" s="57">
        <f t="shared" si="433"/>
        <v>-1851.5909323195083</v>
      </c>
      <c r="AP881" s="57">
        <f t="shared" si="434"/>
        <v>18050.524823068496</v>
      </c>
      <c r="AR881" s="41">
        <v>876</v>
      </c>
      <c r="AS881" s="57">
        <f t="shared" si="435"/>
        <v>11802.590898250895</v>
      </c>
      <c r="AT881" s="57">
        <f t="shared" si="436"/>
        <v>-3576.4217492347011</v>
      </c>
      <c r="AV881" s="57">
        <f t="shared" si="437"/>
        <v>-2.7710791360823865</v>
      </c>
      <c r="AW881" s="57">
        <f t="shared" si="438"/>
        <v>-4.5438798873895498</v>
      </c>
      <c r="AX881" s="57">
        <f t="shared" si="439"/>
        <v>-0.25587955541239998</v>
      </c>
      <c r="AY881" s="57">
        <f t="shared" si="440"/>
        <v>-0.45170861500307574</v>
      </c>
      <c r="BA881" s="57">
        <f t="shared" si="441"/>
        <v>575930.49269150884</v>
      </c>
      <c r="BB881" s="57">
        <f t="shared" si="442"/>
        <v>588104.47678869253</v>
      </c>
    </row>
    <row r="882" spans="9:54" x14ac:dyDescent="0.25">
      <c r="I882" s="41">
        <v>877</v>
      </c>
      <c r="J882" s="57">
        <f t="shared" si="416"/>
        <v>15397.475732737799</v>
      </c>
      <c r="K882" s="57">
        <f t="shared" si="417"/>
        <v>9453.6556424463706</v>
      </c>
      <c r="M882" s="41">
        <v>877</v>
      </c>
      <c r="N882" s="57">
        <f t="shared" si="418"/>
        <v>-23221.766987083542</v>
      </c>
      <c r="O882" s="57">
        <f t="shared" si="419"/>
        <v>11367.55894971246</v>
      </c>
      <c r="Q882" s="41">
        <v>877</v>
      </c>
      <c r="R882" s="57">
        <f t="shared" si="420"/>
        <v>-9602.5242672622007</v>
      </c>
      <c r="S882" s="41">
        <f t="shared" si="421"/>
        <v>-13046.344357553629</v>
      </c>
      <c r="U882" s="41">
        <v>876</v>
      </c>
      <c r="V882" s="41">
        <f t="shared" si="443"/>
        <v>438</v>
      </c>
      <c r="W882" s="57">
        <f t="shared" si="444"/>
        <v>305085.6943644869</v>
      </c>
      <c r="X882" s="57">
        <f t="shared" si="445"/>
        <v>506896.28284285316</v>
      </c>
      <c r="Y882" s="57">
        <f t="shared" si="446"/>
        <v>436.43729132310762</v>
      </c>
      <c r="Z882" s="57">
        <f t="shared" si="447"/>
        <v>376.52666904918578</v>
      </c>
      <c r="AA882" s="57">
        <f t="shared" si="422"/>
        <v>-4.8137460428247891</v>
      </c>
      <c r="AB882" s="57">
        <f t="shared" si="423"/>
        <v>-8.0120015446740958</v>
      </c>
      <c r="AC882" s="57">
        <f t="shared" si="424"/>
        <v>-0.78466429605792487</v>
      </c>
      <c r="AD882" s="57">
        <f t="shared" si="425"/>
        <v>-1.3745285732571135</v>
      </c>
      <c r="AE882" s="57">
        <f t="shared" si="426"/>
        <v>-0.27880549204158217</v>
      </c>
      <c r="AF882" s="57">
        <f t="shared" si="427"/>
        <v>-0.42615659511705967</v>
      </c>
      <c r="AG882" s="57">
        <f t="shared" si="428"/>
        <v>-0.72543138234841542</v>
      </c>
      <c r="AH882" s="57">
        <f t="shared" si="429"/>
        <v>-1.2209526230519019</v>
      </c>
      <c r="AJ882" s="57">
        <f t="shared" si="430"/>
        <v>575039.56424627046</v>
      </c>
      <c r="AK882" s="57">
        <f t="shared" si="431"/>
        <v>593790.05093002808</v>
      </c>
      <c r="AL882" s="57">
        <f t="shared" si="432"/>
        <v>607065.78547525918</v>
      </c>
      <c r="AN882" s="41">
        <v>877</v>
      </c>
      <c r="AO882" s="57">
        <f t="shared" si="433"/>
        <v>-1903.7864008933011</v>
      </c>
      <c r="AP882" s="57">
        <f t="shared" si="434"/>
        <v>17930.483463669556</v>
      </c>
      <c r="AR882" s="41">
        <v>877</v>
      </c>
      <c r="AS882" s="57">
        <f t="shared" si="435"/>
        <v>11778.233012916458</v>
      </c>
      <c r="AT882" s="57">
        <f t="shared" si="436"/>
        <v>-3632.4410502875403</v>
      </c>
      <c r="AV882" s="57">
        <f t="shared" si="437"/>
        <v>-2.7691277823257345</v>
      </c>
      <c r="AW882" s="57">
        <f t="shared" si="438"/>
        <v>-4.539115620714842</v>
      </c>
      <c r="AX882" s="57">
        <f t="shared" si="439"/>
        <v>-0.25571709005113125</v>
      </c>
      <c r="AY882" s="57">
        <f t="shared" si="440"/>
        <v>-0.45124813253317891</v>
      </c>
      <c r="BA882" s="57">
        <f t="shared" si="441"/>
        <v>576206.01961176388</v>
      </c>
      <c r="BB882" s="57">
        <f t="shared" si="442"/>
        <v>588377.01727995533</v>
      </c>
    </row>
    <row r="883" spans="9:54" x14ac:dyDescent="0.25">
      <c r="I883" s="41">
        <v>878</v>
      </c>
      <c r="J883" s="57">
        <f t="shared" si="416"/>
        <v>15364.080727166067</v>
      </c>
      <c r="K883" s="57">
        <f t="shared" si="417"/>
        <v>9373.0329670795672</v>
      </c>
      <c r="M883" s="41">
        <v>878</v>
      </c>
      <c r="N883" s="57">
        <f t="shared" si="418"/>
        <v>-23245.143490983755</v>
      </c>
      <c r="O883" s="57">
        <f t="shared" si="419"/>
        <v>11311.123076955697</v>
      </c>
      <c r="Q883" s="41">
        <v>878</v>
      </c>
      <c r="R883" s="57">
        <f t="shared" si="420"/>
        <v>-9635.9192728339331</v>
      </c>
      <c r="S883" s="41">
        <f t="shared" si="421"/>
        <v>-13126.967032920433</v>
      </c>
      <c r="U883" s="41">
        <v>877</v>
      </c>
      <c r="V883" s="41">
        <f t="shared" si="443"/>
        <v>438.5</v>
      </c>
      <c r="W883" s="57">
        <f t="shared" si="444"/>
        <v>305303.31129189307</v>
      </c>
      <c r="X883" s="57">
        <f t="shared" si="445"/>
        <v>507083.54467718466</v>
      </c>
      <c r="Y883" s="57">
        <f t="shared" si="446"/>
        <v>434.03041830169525</v>
      </c>
      <c r="Z883" s="57">
        <f t="shared" si="447"/>
        <v>372.52066827684871</v>
      </c>
      <c r="AA883" s="57">
        <f t="shared" si="422"/>
        <v>-4.8104826649041348</v>
      </c>
      <c r="AB883" s="57">
        <f t="shared" si="423"/>
        <v>-8.0037664223803162</v>
      </c>
      <c r="AC883" s="57">
        <f t="shared" si="424"/>
        <v>-0.78415636972464609</v>
      </c>
      <c r="AD883" s="57">
        <f t="shared" si="425"/>
        <v>-1.3731057553952875</v>
      </c>
      <c r="AE883" s="57">
        <f t="shared" si="426"/>
        <v>-0.27860371896763259</v>
      </c>
      <c r="AF883" s="57">
        <f t="shared" si="427"/>
        <v>-0.42572368425850782</v>
      </c>
      <c r="AG883" s="57">
        <f t="shared" si="428"/>
        <v>-0.72496528628980927</v>
      </c>
      <c r="AH883" s="57">
        <f t="shared" si="429"/>
        <v>-1.2197499435578276</v>
      </c>
      <c r="AJ883" s="57">
        <f t="shared" si="430"/>
        <v>575310.08816666808</v>
      </c>
      <c r="AK883" s="57">
        <f t="shared" si="431"/>
        <v>594065.90099609736</v>
      </c>
      <c r="AL883" s="57">
        <f t="shared" si="432"/>
        <v>607337.93938910763</v>
      </c>
      <c r="AN883" s="41">
        <v>878</v>
      </c>
      <c r="AO883" s="57">
        <f t="shared" si="433"/>
        <v>-1953.8789092509005</v>
      </c>
      <c r="AP883" s="57">
        <f t="shared" si="434"/>
        <v>17809.54945061935</v>
      </c>
      <c r="AR883" s="41">
        <v>878</v>
      </c>
      <c r="AS883" s="57">
        <f t="shared" si="435"/>
        <v>11754.856509016246</v>
      </c>
      <c r="AT883" s="57">
        <f t="shared" si="436"/>
        <v>-3688.8769230443027</v>
      </c>
      <c r="AV883" s="57">
        <f t="shared" si="437"/>
        <v>-2.7672005802410347</v>
      </c>
      <c r="AW883" s="57">
        <f t="shared" si="438"/>
        <v>-4.5343951237161422</v>
      </c>
      <c r="AX883" s="57">
        <f t="shared" si="439"/>
        <v>-0.2555567096810118</v>
      </c>
      <c r="AY883" s="57">
        <f t="shared" si="440"/>
        <v>-0.45079191545255121</v>
      </c>
      <c r="BA883" s="57">
        <f t="shared" si="441"/>
        <v>576479.22227512975</v>
      </c>
      <c r="BB883" s="57">
        <f t="shared" si="442"/>
        <v>588647.23670139478</v>
      </c>
    </row>
    <row r="884" spans="9:54" x14ac:dyDescent="0.25">
      <c r="I884" s="41">
        <v>879</v>
      </c>
      <c r="J884" s="57">
        <f t="shared" si="416"/>
        <v>15332.097867513992</v>
      </c>
      <c r="K884" s="57">
        <f t="shared" si="417"/>
        <v>9291.8397477265062</v>
      </c>
      <c r="M884" s="41">
        <v>879</v>
      </c>
      <c r="N884" s="57">
        <f t="shared" si="418"/>
        <v>-23267.531492740207</v>
      </c>
      <c r="O884" s="57">
        <f t="shared" si="419"/>
        <v>11254.287823408555</v>
      </c>
      <c r="Q884" s="41">
        <v>879</v>
      </c>
      <c r="R884" s="57">
        <f t="shared" si="420"/>
        <v>-9667.9021324860078</v>
      </c>
      <c r="S884" s="41">
        <f t="shared" si="421"/>
        <v>-13208.160252273494</v>
      </c>
      <c r="U884" s="41">
        <v>878</v>
      </c>
      <c r="V884" s="41">
        <f t="shared" si="443"/>
        <v>439</v>
      </c>
      <c r="W884" s="57">
        <f t="shared" si="444"/>
        <v>305519.7251907108</v>
      </c>
      <c r="X884" s="57">
        <f t="shared" si="445"/>
        <v>507268.8045405203</v>
      </c>
      <c r="Y884" s="57">
        <f t="shared" si="446"/>
        <v>431.62517696924317</v>
      </c>
      <c r="Z884" s="57">
        <f t="shared" si="447"/>
        <v>368.51878506565856</v>
      </c>
      <c r="AA884" s="57">
        <f t="shared" si="422"/>
        <v>-4.8072602927539601</v>
      </c>
      <c r="AB884" s="57">
        <f t="shared" si="423"/>
        <v>-7.9956073506453444</v>
      </c>
      <c r="AC884" s="57">
        <f t="shared" si="424"/>
        <v>-0.78365500284728207</v>
      </c>
      <c r="AD884" s="57">
        <f t="shared" si="425"/>
        <v>-1.3716962065706211</v>
      </c>
      <c r="AE884" s="57">
        <f t="shared" si="426"/>
        <v>-0.27840438277573837</v>
      </c>
      <c r="AF884" s="57">
        <f t="shared" si="427"/>
        <v>-0.42529470225076083</v>
      </c>
      <c r="AG884" s="57">
        <f t="shared" si="428"/>
        <v>-0.72450506592529906</v>
      </c>
      <c r="AH884" s="57">
        <f t="shared" si="429"/>
        <v>-1.218558320029314</v>
      </c>
      <c r="AJ884" s="57">
        <f t="shared" si="430"/>
        <v>575578.29307995958</v>
      </c>
      <c r="AK884" s="57">
        <f t="shared" si="431"/>
        <v>594339.42781662568</v>
      </c>
      <c r="AL884" s="57">
        <f t="shared" si="432"/>
        <v>607607.77145186241</v>
      </c>
      <c r="AN884" s="41">
        <v>879</v>
      </c>
      <c r="AO884" s="57">
        <f t="shared" si="433"/>
        <v>-2001.8531987290107</v>
      </c>
      <c r="AP884" s="57">
        <f t="shared" si="434"/>
        <v>17687.759621589757</v>
      </c>
      <c r="AR884" s="41">
        <v>879</v>
      </c>
      <c r="AS884" s="57">
        <f t="shared" si="435"/>
        <v>11732.468507259795</v>
      </c>
      <c r="AT884" s="57">
        <f t="shared" si="436"/>
        <v>-3745.7121765914462</v>
      </c>
      <c r="AV884" s="57">
        <f t="shared" si="437"/>
        <v>-2.7652974344868322</v>
      </c>
      <c r="AW884" s="57">
        <f t="shared" si="438"/>
        <v>-4.5297181787649192</v>
      </c>
      <c r="AX884" s="57">
        <f t="shared" si="439"/>
        <v>-0.25539840671880809</v>
      </c>
      <c r="AY884" s="57">
        <f t="shared" si="440"/>
        <v>-0.45033994302972968</v>
      </c>
      <c r="BA884" s="57">
        <f t="shared" si="441"/>
        <v>576750.10286297591</v>
      </c>
      <c r="BB884" s="57">
        <f t="shared" si="442"/>
        <v>588915.13720591343</v>
      </c>
    </row>
    <row r="885" spans="9:54" x14ac:dyDescent="0.25">
      <c r="I885" s="41">
        <v>880</v>
      </c>
      <c r="J885" s="57">
        <f t="shared" si="416"/>
        <v>15301.536896070458</v>
      </c>
      <c r="K885" s="57">
        <f t="shared" si="417"/>
        <v>9210.1007166283453</v>
      </c>
      <c r="M885" s="41">
        <v>880</v>
      </c>
      <c r="N885" s="57">
        <f t="shared" si="418"/>
        <v>-23288.924172750678</v>
      </c>
      <c r="O885" s="57">
        <f t="shared" si="419"/>
        <v>11197.070501639841</v>
      </c>
      <c r="Q885" s="41">
        <v>880</v>
      </c>
      <c r="R885" s="57">
        <f t="shared" si="420"/>
        <v>-9698.4631039295418</v>
      </c>
      <c r="S885" s="41">
        <f t="shared" si="421"/>
        <v>-13289.899283371655</v>
      </c>
      <c r="U885" s="41">
        <v>879</v>
      </c>
      <c r="V885" s="41">
        <f t="shared" si="443"/>
        <v>439.5</v>
      </c>
      <c r="W885" s="57">
        <f t="shared" si="444"/>
        <v>305734.93687165884</v>
      </c>
      <c r="X885" s="57">
        <f t="shared" si="445"/>
        <v>507452.0644821343</v>
      </c>
      <c r="Y885" s="57">
        <f t="shared" si="446"/>
        <v>429.22154682286617</v>
      </c>
      <c r="Z885" s="57">
        <f t="shared" si="447"/>
        <v>364.52098139033586</v>
      </c>
      <c r="AA885" s="57">
        <f t="shared" si="422"/>
        <v>-4.8040787691674955</v>
      </c>
      <c r="AB885" s="57">
        <f t="shared" si="423"/>
        <v>-7.9875239572539991</v>
      </c>
      <c r="AC885" s="57">
        <f t="shared" si="424"/>
        <v>-0.78316017127304816</v>
      </c>
      <c r="AD885" s="57">
        <f t="shared" si="425"/>
        <v>-1.3702998615951825</v>
      </c>
      <c r="AE885" s="57">
        <f t="shared" si="426"/>
        <v>-0.2782074736244517</v>
      </c>
      <c r="AF885" s="57">
        <f t="shared" si="427"/>
        <v>-0.4248696300064696</v>
      </c>
      <c r="AG885" s="57">
        <f t="shared" si="428"/>
        <v>-0.72405069956814971</v>
      </c>
      <c r="AH885" s="57">
        <f t="shared" si="429"/>
        <v>-1.2173777000664494</v>
      </c>
      <c r="AJ885" s="57">
        <f t="shared" si="430"/>
        <v>575844.18111933628</v>
      </c>
      <c r="AK885" s="57">
        <f t="shared" si="431"/>
        <v>594610.63357151719</v>
      </c>
      <c r="AL885" s="57">
        <f t="shared" si="432"/>
        <v>607875.28381591407</v>
      </c>
      <c r="AN885" s="41">
        <v>880</v>
      </c>
      <c r="AO885" s="57">
        <f t="shared" si="433"/>
        <v>-2047.6946558943127</v>
      </c>
      <c r="AP885" s="57">
        <f t="shared" si="434"/>
        <v>17565.151074942518</v>
      </c>
      <c r="AR885" s="41">
        <v>880</v>
      </c>
      <c r="AS885" s="57">
        <f t="shared" si="435"/>
        <v>11711.07582724932</v>
      </c>
      <c r="AT885" s="57">
        <f t="shared" si="436"/>
        <v>-3802.9294983601585</v>
      </c>
      <c r="AV885" s="57">
        <f t="shared" si="437"/>
        <v>-2.7634182510161587</v>
      </c>
      <c r="AW885" s="57">
        <f t="shared" si="438"/>
        <v>-4.5250845708068521</v>
      </c>
      <c r="AX885" s="57">
        <f t="shared" si="439"/>
        <v>-0.25524217368568725</v>
      </c>
      <c r="AY885" s="57">
        <f t="shared" si="440"/>
        <v>-0.4498921947790458</v>
      </c>
      <c r="BA885" s="57">
        <f t="shared" si="441"/>
        <v>577018.66353517259</v>
      </c>
      <c r="BB885" s="57">
        <f t="shared" si="442"/>
        <v>589180.72092505626</v>
      </c>
    </row>
    <row r="886" spans="9:54" x14ac:dyDescent="0.25">
      <c r="I886" s="41">
        <v>881</v>
      </c>
      <c r="J886" s="57">
        <f t="shared" si="416"/>
        <v>15272.407122003415</v>
      </c>
      <c r="K886" s="57">
        <f t="shared" si="417"/>
        <v>9127.840772285781</v>
      </c>
      <c r="M886" s="41">
        <v>881</v>
      </c>
      <c r="N886" s="57">
        <f t="shared" si="418"/>
        <v>-23309.315014597611</v>
      </c>
      <c r="O886" s="57">
        <f t="shared" si="419"/>
        <v>11139.488540600047</v>
      </c>
      <c r="Q886" s="41">
        <v>881</v>
      </c>
      <c r="R886" s="57">
        <f t="shared" si="420"/>
        <v>-9727.5928779965852</v>
      </c>
      <c r="S886" s="41">
        <f t="shared" si="421"/>
        <v>-13372.159227714219</v>
      </c>
      <c r="U886" s="41">
        <v>880</v>
      </c>
      <c r="V886" s="41">
        <f t="shared" si="443"/>
        <v>440</v>
      </c>
      <c r="W886" s="57">
        <f t="shared" si="444"/>
        <v>305948.94713522412</v>
      </c>
      <c r="X886" s="57">
        <f t="shared" si="445"/>
        <v>507633.32653233485</v>
      </c>
      <c r="Y886" s="57">
        <f t="shared" si="446"/>
        <v>426.81950743828241</v>
      </c>
      <c r="Z886" s="57">
        <f t="shared" si="447"/>
        <v>360.52721941170887</v>
      </c>
      <c r="AA886" s="57">
        <f t="shared" si="422"/>
        <v>-4.8009379390865217</v>
      </c>
      <c r="AB886" s="57">
        <f t="shared" si="423"/>
        <v>-7.9795158743997323</v>
      </c>
      <c r="AC886" s="57">
        <f t="shared" si="424"/>
        <v>-0.78267185118424654</v>
      </c>
      <c r="AD886" s="57">
        <f t="shared" si="425"/>
        <v>-1.3689166560591921</v>
      </c>
      <c r="AE886" s="57">
        <f t="shared" si="426"/>
        <v>-0.27801298180396872</v>
      </c>
      <c r="AF886" s="57">
        <f t="shared" si="427"/>
        <v>-0.42444844866115417</v>
      </c>
      <c r="AG886" s="57">
        <f t="shared" si="428"/>
        <v>-0.72360216582657999</v>
      </c>
      <c r="AH886" s="57">
        <f t="shared" si="429"/>
        <v>-1.2162080318846908</v>
      </c>
      <c r="AJ886" s="57">
        <f t="shared" si="430"/>
        <v>576107.7543967294</v>
      </c>
      <c r="AK886" s="57">
        <f t="shared" si="431"/>
        <v>594879.52041921776</v>
      </c>
      <c r="AL886" s="57">
        <f t="shared" si="432"/>
        <v>608140.47861226811</v>
      </c>
      <c r="AN886" s="41">
        <v>881</v>
      </c>
      <c r="AO886" s="57">
        <f t="shared" si="433"/>
        <v>-2091.3893169948769</v>
      </c>
      <c r="AP886" s="57">
        <f t="shared" si="434"/>
        <v>17441.761158428671</v>
      </c>
      <c r="AR886" s="41">
        <v>881</v>
      </c>
      <c r="AS886" s="57">
        <f t="shared" si="435"/>
        <v>11690.684985402391</v>
      </c>
      <c r="AT886" s="57">
        <f t="shared" si="436"/>
        <v>-3860.5114593999533</v>
      </c>
      <c r="AV886" s="57">
        <f t="shared" si="437"/>
        <v>-2.7615629370653525</v>
      </c>
      <c r="AW886" s="57">
        <f t="shared" si="438"/>
        <v>-4.5204940873364468</v>
      </c>
      <c r="AX886" s="57">
        <f t="shared" si="439"/>
        <v>-0.25508800320637448</v>
      </c>
      <c r="AY886" s="57">
        <f t="shared" si="440"/>
        <v>-0.44944865045824806</v>
      </c>
      <c r="BA886" s="57">
        <f t="shared" si="441"/>
        <v>577284.90643019066</v>
      </c>
      <c r="BB886" s="57">
        <f t="shared" si="442"/>
        <v>589443.98996910884</v>
      </c>
    </row>
    <row r="887" spans="9:54" x14ac:dyDescent="0.25">
      <c r="I887" s="41">
        <v>882</v>
      </c>
      <c r="J887" s="57">
        <f t="shared" si="416"/>
        <v>15244.717418524233</v>
      </c>
      <c r="K887" s="57">
        <f t="shared" si="417"/>
        <v>9045.0849718747395</v>
      </c>
      <c r="M887" s="41">
        <v>882</v>
      </c>
      <c r="N887" s="57">
        <f t="shared" si="418"/>
        <v>-23328.697807033037</v>
      </c>
      <c r="O887" s="57">
        <f t="shared" si="419"/>
        <v>11081.559480312319</v>
      </c>
      <c r="Q887" s="41">
        <v>882</v>
      </c>
      <c r="R887" s="57">
        <f t="shared" si="420"/>
        <v>-9755.2825814757671</v>
      </c>
      <c r="S887" s="41">
        <f t="shared" si="421"/>
        <v>-13454.915028125261</v>
      </c>
      <c r="U887" s="41">
        <v>881</v>
      </c>
      <c r="V887" s="41">
        <f t="shared" si="443"/>
        <v>440.5</v>
      </c>
      <c r="W887" s="57">
        <f t="shared" si="444"/>
        <v>306161.75677170092</v>
      </c>
      <c r="X887" s="57">
        <f t="shared" si="445"/>
        <v>507812.5927025564</v>
      </c>
      <c r="Y887" s="57">
        <f t="shared" si="446"/>
        <v>424.41903846873913</v>
      </c>
      <c r="Z887" s="57">
        <f t="shared" si="447"/>
        <v>356.53746147450903</v>
      </c>
      <c r="AA887" s="57">
        <f t="shared" si="422"/>
        <v>-4.7978376495830464</v>
      </c>
      <c r="AB887" s="57">
        <f t="shared" si="423"/>
        <v>-7.9715827386413816</v>
      </c>
      <c r="AC887" s="57">
        <f t="shared" si="424"/>
        <v>-0.78219001909552499</v>
      </c>
      <c r="AD887" s="57">
        <f t="shared" si="425"/>
        <v>-1.3675465263234101</v>
      </c>
      <c r="AE887" s="57">
        <f t="shared" si="426"/>
        <v>-0.27782089773495294</v>
      </c>
      <c r="AF887" s="57">
        <f t="shared" si="427"/>
        <v>-0.42403113957101546</v>
      </c>
      <c r="AG887" s="57">
        <f t="shared" si="428"/>
        <v>-0.72315944360132656</v>
      </c>
      <c r="AH887" s="57">
        <f t="shared" si="429"/>
        <v>-1.2150492643089887</v>
      </c>
      <c r="AJ887" s="57">
        <f t="shared" si="430"/>
        <v>576369.01500290609</v>
      </c>
      <c r="AK887" s="57">
        <f t="shared" si="431"/>
        <v>595146.09049681528</v>
      </c>
      <c r="AL887" s="57">
        <f t="shared" si="432"/>
        <v>608403.35795064468</v>
      </c>
      <c r="AN887" s="41">
        <v>882</v>
      </c>
      <c r="AO887" s="57">
        <f t="shared" si="433"/>
        <v>-2132.9238722136506</v>
      </c>
      <c r="AP887" s="57">
        <f t="shared" si="434"/>
        <v>17317.627457812108</v>
      </c>
      <c r="AR887" s="41">
        <v>882</v>
      </c>
      <c r="AS887" s="57">
        <f t="shared" si="435"/>
        <v>11671.302192966963</v>
      </c>
      <c r="AT887" s="57">
        <f t="shared" si="436"/>
        <v>-3918.4405196876819</v>
      </c>
      <c r="AV887" s="57">
        <f t="shared" si="437"/>
        <v>-2.759731401142917</v>
      </c>
      <c r="AW887" s="57">
        <f t="shared" si="438"/>
        <v>-4.5159465183718073</v>
      </c>
      <c r="AX887" s="57">
        <f t="shared" si="439"/>
        <v>-0.25493588800832434</v>
      </c>
      <c r="AY887" s="57">
        <f t="shared" si="440"/>
        <v>-0.44900929006615997</v>
      </c>
      <c r="BA887" s="57">
        <f t="shared" si="441"/>
        <v>577548.83366520004</v>
      </c>
      <c r="BB887" s="57">
        <f t="shared" si="442"/>
        <v>589704.9464271951</v>
      </c>
    </row>
    <row r="888" spans="9:54" x14ac:dyDescent="0.25">
      <c r="I888" s="41">
        <v>883</v>
      </c>
      <c r="J888" s="57">
        <f t="shared" si="416"/>
        <v>15218.476220184824</v>
      </c>
      <c r="K888" s="57">
        <f t="shared" si="417"/>
        <v>8961.8585236136914</v>
      </c>
      <c r="M888" s="41">
        <v>883</v>
      </c>
      <c r="N888" s="57">
        <f t="shared" si="418"/>
        <v>-23347.066645870622</v>
      </c>
      <c r="O888" s="57">
        <f t="shared" si="419"/>
        <v>11023.300966529585</v>
      </c>
      <c r="Q888" s="41">
        <v>883</v>
      </c>
      <c r="R888" s="57">
        <f t="shared" si="420"/>
        <v>-9781.5237798151757</v>
      </c>
      <c r="S888" s="41">
        <f t="shared" si="421"/>
        <v>-13538.141476386309</v>
      </c>
      <c r="U888" s="41">
        <v>882</v>
      </c>
      <c r="V888" s="41">
        <f t="shared" si="443"/>
        <v>441</v>
      </c>
      <c r="W888" s="57">
        <f t="shared" si="444"/>
        <v>306373.36656122911</v>
      </c>
      <c r="X888" s="57">
        <f t="shared" si="445"/>
        <v>507989.86498545134</v>
      </c>
      <c r="Y888" s="57">
        <f t="shared" si="446"/>
        <v>422.02011964394762</v>
      </c>
      <c r="Z888" s="57">
        <f t="shared" si="447"/>
        <v>352.55167010518835</v>
      </c>
      <c r="AA888" s="57">
        <f t="shared" si="422"/>
        <v>-4.7947777498414421</v>
      </c>
      <c r="AB888" s="57">
        <f t="shared" si="423"/>
        <v>-7.9637241908608729</v>
      </c>
      <c r="AC888" s="57">
        <f t="shared" si="424"/>
        <v>-0.78171465185114863</v>
      </c>
      <c r="AD888" s="57">
        <f t="shared" si="425"/>
        <v>-1.3661894095115856</v>
      </c>
      <c r="AE888" s="57">
        <f t="shared" si="426"/>
        <v>-0.27763121196739543</v>
      </c>
      <c r="AF888" s="57">
        <f t="shared" si="427"/>
        <v>-0.42361768431080826</v>
      </c>
      <c r="AG888" s="57">
        <f t="shared" si="428"/>
        <v>-0.72272251208324922</v>
      </c>
      <c r="AH888" s="57">
        <f t="shared" si="429"/>
        <v>-1.2139013467680082</v>
      </c>
      <c r="AJ888" s="57">
        <f t="shared" si="430"/>
        <v>576627.9650075665</v>
      </c>
      <c r="AK888" s="57">
        <f t="shared" si="431"/>
        <v>595410.34592013806</v>
      </c>
      <c r="AL888" s="57">
        <f t="shared" si="432"/>
        <v>608663.92391957506</v>
      </c>
      <c r="AN888" s="41">
        <v>883</v>
      </c>
      <c r="AO888" s="57">
        <f t="shared" si="433"/>
        <v>-2172.2856697227626</v>
      </c>
      <c r="AP888" s="57">
        <f t="shared" si="434"/>
        <v>17192.787785420536</v>
      </c>
      <c r="AR888" s="41">
        <v>883</v>
      </c>
      <c r="AS888" s="57">
        <f t="shared" si="435"/>
        <v>11652.933354129378</v>
      </c>
      <c r="AT888" s="57">
        <f t="shared" si="436"/>
        <v>-3976.699033470416</v>
      </c>
      <c r="AV888" s="57">
        <f t="shared" si="437"/>
        <v>-2.7579235530187551</v>
      </c>
      <c r="AW888" s="57">
        <f t="shared" si="438"/>
        <v>-4.511441656430117</v>
      </c>
      <c r="AX888" s="57">
        <f t="shared" si="439"/>
        <v>-0.25478582092089358</v>
      </c>
      <c r="AY888" s="57">
        <f t="shared" si="440"/>
        <v>-0.44857409384035374</v>
      </c>
      <c r="BA888" s="57">
        <f t="shared" si="441"/>
        <v>577810.44733616791</v>
      </c>
      <c r="BB888" s="57">
        <f t="shared" si="442"/>
        <v>589963.59236737317</v>
      </c>
    </row>
    <row r="889" spans="9:54" x14ac:dyDescent="0.25">
      <c r="I889" s="41">
        <v>884</v>
      </c>
      <c r="J889" s="57">
        <f t="shared" si="416"/>
        <v>15193.691520308405</v>
      </c>
      <c r="K889" s="57">
        <f t="shared" si="417"/>
        <v>8878.1867790849919</v>
      </c>
      <c r="M889" s="41">
        <v>884</v>
      </c>
      <c r="N889" s="57">
        <f t="shared" si="418"/>
        <v>-23364.415935784116</v>
      </c>
      <c r="O889" s="57">
        <f t="shared" si="419"/>
        <v>10964.730745359495</v>
      </c>
      <c r="Q889" s="41">
        <v>884</v>
      </c>
      <c r="R889" s="57">
        <f t="shared" si="420"/>
        <v>-9806.3084796915955</v>
      </c>
      <c r="S889" s="41">
        <f t="shared" si="421"/>
        <v>-13621.813220915008</v>
      </c>
      <c r="U889" s="41">
        <v>883</v>
      </c>
      <c r="V889" s="41">
        <f t="shared" si="443"/>
        <v>441.5</v>
      </c>
      <c r="W889" s="57">
        <f t="shared" si="444"/>
        <v>306583.77727383235</v>
      </c>
      <c r="X889" s="57">
        <f t="shared" si="445"/>
        <v>508165.14535498008</v>
      </c>
      <c r="Y889" s="57">
        <f t="shared" si="446"/>
        <v>419.62273076902693</v>
      </c>
      <c r="Z889" s="57">
        <f t="shared" si="447"/>
        <v>348.56980800975793</v>
      </c>
      <c r="AA889" s="57">
        <f t="shared" si="422"/>
        <v>-4.7917580911409328</v>
      </c>
      <c r="AB889" s="57">
        <f t="shared" si="423"/>
        <v>-7.9559398762216205</v>
      </c>
      <c r="AC889" s="57">
        <f t="shared" si="424"/>
        <v>-0.78124572662238401</v>
      </c>
      <c r="AD889" s="57">
        <f t="shared" si="425"/>
        <v>-1.3648452435031384</v>
      </c>
      <c r="AE889" s="57">
        <f t="shared" si="426"/>
        <v>-0.27744391517950578</v>
      </c>
      <c r="AF889" s="57">
        <f t="shared" si="427"/>
        <v>-0.42320806467176481</v>
      </c>
      <c r="AG889" s="57">
        <f t="shared" si="428"/>
        <v>-0.72229135075100559</v>
      </c>
      <c r="AH889" s="57">
        <f t="shared" si="429"/>
        <v>-1.2127642292884864</v>
      </c>
      <c r="AJ889" s="57">
        <f t="shared" si="430"/>
        <v>576884.60645943822</v>
      </c>
      <c r="AK889" s="57">
        <f t="shared" si="431"/>
        <v>595672.28878385178</v>
      </c>
      <c r="AL889" s="57">
        <f t="shared" si="432"/>
        <v>608922.17858649767</v>
      </c>
      <c r="AN889" s="41">
        <v>884</v>
      </c>
      <c r="AO889" s="57">
        <f t="shared" si="433"/>
        <v>-2209.4627195373932</v>
      </c>
      <c r="AP889" s="57">
        <f t="shared" si="434"/>
        <v>17067.280168627487</v>
      </c>
      <c r="AR889" s="41">
        <v>884</v>
      </c>
      <c r="AS889" s="57">
        <f t="shared" si="435"/>
        <v>11635.584064215884</v>
      </c>
      <c r="AT889" s="57">
        <f t="shared" si="436"/>
        <v>-4035.2692546405056</v>
      </c>
      <c r="AV889" s="57">
        <f t="shared" si="437"/>
        <v>-2.7561393037135127</v>
      </c>
      <c r="AW889" s="57">
        <f t="shared" si="438"/>
        <v>-4.5069792965033768</v>
      </c>
      <c r="AX889" s="57">
        <f t="shared" si="439"/>
        <v>-0.25463779487452431</v>
      </c>
      <c r="AY889" s="57">
        <f t="shared" si="440"/>
        <v>-0.44814304225485357</v>
      </c>
      <c r="BA889" s="57">
        <f t="shared" si="441"/>
        <v>578069.74951795489</v>
      </c>
      <c r="BB889" s="57">
        <f t="shared" si="442"/>
        <v>590219.92983672943</v>
      </c>
    </row>
    <row r="890" spans="9:54" x14ac:dyDescent="0.25">
      <c r="I890" s="41">
        <v>885</v>
      </c>
      <c r="J890" s="57">
        <f t="shared" si="416"/>
        <v>15170.370868554659</v>
      </c>
      <c r="K890" s="57">
        <f t="shared" si="417"/>
        <v>8794.0952255126049</v>
      </c>
      <c r="M890" s="41">
        <v>885</v>
      </c>
      <c r="N890" s="57">
        <f t="shared" si="418"/>
        <v>-23380.740392011739</v>
      </c>
      <c r="O890" s="57">
        <f t="shared" si="419"/>
        <v>10905.866657858824</v>
      </c>
      <c r="Q890" s="41">
        <v>885</v>
      </c>
      <c r="R890" s="57">
        <f t="shared" si="420"/>
        <v>-9829.629131445341</v>
      </c>
      <c r="S890" s="41">
        <f t="shared" si="421"/>
        <v>-13705.904774487395</v>
      </c>
      <c r="U890" s="41">
        <v>884</v>
      </c>
      <c r="V890" s="41">
        <f t="shared" si="443"/>
        <v>442</v>
      </c>
      <c r="W890" s="57">
        <f t="shared" si="444"/>
        <v>306792.98966945545</v>
      </c>
      <c r="X890" s="57">
        <f t="shared" si="445"/>
        <v>508338.43576650042</v>
      </c>
      <c r="Y890" s="57">
        <f t="shared" si="446"/>
        <v>417.22685172345649</v>
      </c>
      <c r="Z890" s="57">
        <f t="shared" si="447"/>
        <v>344.59183807164715</v>
      </c>
      <c r="AA890" s="57">
        <f t="shared" si="422"/>
        <v>-4.7887785268380938</v>
      </c>
      <c r="AB890" s="57">
        <f t="shared" si="423"/>
        <v>-7.9482294441271435</v>
      </c>
      <c r="AC890" s="57">
        <f t="shared" si="424"/>
        <v>-0.78078322090484797</v>
      </c>
      <c r="AD890" s="57">
        <f t="shared" si="425"/>
        <v>-1.3635139669258169</v>
      </c>
      <c r="AE890" s="57">
        <f t="shared" si="426"/>
        <v>-0.27725899817659311</v>
      </c>
      <c r="AF890" s="57">
        <f t="shared" si="427"/>
        <v>-0.42280226265950627</v>
      </c>
      <c r="AG890" s="57">
        <f t="shared" si="428"/>
        <v>-0.72186593936868648</v>
      </c>
      <c r="AH890" s="57">
        <f t="shared" si="429"/>
        <v>-1.2116378624895452</v>
      </c>
      <c r="AJ890" s="57">
        <f t="shared" si="430"/>
        <v>577138.94138636964</v>
      </c>
      <c r="AK890" s="57">
        <f t="shared" si="431"/>
        <v>595931.92116155627</v>
      </c>
      <c r="AL890" s="57">
        <f t="shared" si="432"/>
        <v>609178.12399785395</v>
      </c>
      <c r="AN890" s="41">
        <v>885</v>
      </c>
      <c r="AO890" s="57">
        <f t="shared" si="433"/>
        <v>-2244.4436971680116</v>
      </c>
      <c r="AP890" s="57">
        <f t="shared" si="434"/>
        <v>16941.142838268908</v>
      </c>
      <c r="AR890" s="41">
        <v>885</v>
      </c>
      <c r="AS890" s="57">
        <f t="shared" si="435"/>
        <v>11619.259607988261</v>
      </c>
      <c r="AT890" s="57">
        <f t="shared" si="436"/>
        <v>-4094.1333421411764</v>
      </c>
      <c r="AV890" s="57">
        <f t="shared" si="437"/>
        <v>-2.7543785654879946</v>
      </c>
      <c r="AW890" s="57">
        <f t="shared" si="438"/>
        <v>-4.5025592360343465</v>
      </c>
      <c r="AX890" s="57">
        <f t="shared" si="439"/>
        <v>-0.25449180289997186</v>
      </c>
      <c r="AY890" s="57">
        <f t="shared" si="440"/>
        <v>-0.44771611601792843</v>
      </c>
      <c r="BA890" s="57">
        <f t="shared" si="441"/>
        <v>578326.74226441013</v>
      </c>
      <c r="BB890" s="57">
        <f t="shared" si="442"/>
        <v>590473.960861473</v>
      </c>
    </row>
    <row r="891" spans="9:54" x14ac:dyDescent="0.25">
      <c r="I891" s="41">
        <v>886</v>
      </c>
      <c r="J891" s="57">
        <f t="shared" si="416"/>
        <v>15148.521368620019</v>
      </c>
      <c r="K891" s="57">
        <f t="shared" si="417"/>
        <v>8709.609477998345</v>
      </c>
      <c r="M891" s="41">
        <v>886</v>
      </c>
      <c r="N891" s="57">
        <f t="shared" si="418"/>
        <v>-23396.035041965988</v>
      </c>
      <c r="O891" s="57">
        <f t="shared" si="419"/>
        <v>10846.726634598841</v>
      </c>
      <c r="Q891" s="41">
        <v>886</v>
      </c>
      <c r="R891" s="57">
        <f t="shared" si="420"/>
        <v>-9851.4786313799814</v>
      </c>
      <c r="S891" s="41">
        <f t="shared" si="421"/>
        <v>-13790.390522001655</v>
      </c>
      <c r="U891" s="41">
        <v>885</v>
      </c>
      <c r="V891" s="41">
        <f t="shared" si="443"/>
        <v>442.5</v>
      </c>
      <c r="W891" s="57">
        <f t="shared" si="444"/>
        <v>307001.00449800136</v>
      </c>
      <c r="X891" s="57">
        <f t="shared" si="445"/>
        <v>508509.73815685575</v>
      </c>
      <c r="Y891" s="57">
        <f t="shared" si="446"/>
        <v>414.83246246003745</v>
      </c>
      <c r="Z891" s="57">
        <f t="shared" si="447"/>
        <v>340.61772334958357</v>
      </c>
      <c r="AA891" s="57">
        <f t="shared" si="422"/>
        <v>-4.7858389123499387</v>
      </c>
      <c r="AB891" s="57">
        <f t="shared" si="423"/>
        <v>-7.940592548180784</v>
      </c>
      <c r="AC891" s="57">
        <f t="shared" si="424"/>
        <v>-0.78032711251596587</v>
      </c>
      <c r="AD891" s="57">
        <f t="shared" si="425"/>
        <v>-1.3621955191485817</v>
      </c>
      <c r="AE891" s="57">
        <f t="shared" si="426"/>
        <v>-0.27707645188999247</v>
      </c>
      <c r="AF891" s="57">
        <f t="shared" si="427"/>
        <v>-0.42240026049202856</v>
      </c>
      <c r="AG891" s="57">
        <f t="shared" si="428"/>
        <v>-0.7214462579835943</v>
      </c>
      <c r="AH891" s="57">
        <f t="shared" si="429"/>
        <v>-1.2105221975772653</v>
      </c>
      <c r="AJ891" s="57">
        <f t="shared" si="430"/>
        <v>577390.97179542307</v>
      </c>
      <c r="AK891" s="57">
        <f t="shared" si="431"/>
        <v>596189.24510587985</v>
      </c>
      <c r="AL891" s="57">
        <f t="shared" si="432"/>
        <v>609431.76217918075</v>
      </c>
      <c r="AN891" s="41">
        <v>886</v>
      </c>
      <c r="AO891" s="57">
        <f t="shared" si="433"/>
        <v>-2277.2179470699712</v>
      </c>
      <c r="AP891" s="57">
        <f t="shared" si="434"/>
        <v>16814.414216997517</v>
      </c>
      <c r="AR891" s="41">
        <v>886</v>
      </c>
      <c r="AS891" s="57">
        <f t="shared" si="435"/>
        <v>11603.964958034014</v>
      </c>
      <c r="AT891" s="57">
        <f t="shared" si="436"/>
        <v>-4153.2733654011581</v>
      </c>
      <c r="AV891" s="57">
        <f t="shared" si="437"/>
        <v>-2.7526412518328804</v>
      </c>
      <c r="AW891" s="57">
        <f t="shared" si="438"/>
        <v>-4.4981812748930592</v>
      </c>
      <c r="AX891" s="57">
        <f t="shared" si="439"/>
        <v>-0.2543478381275055</v>
      </c>
      <c r="AY891" s="57">
        <f t="shared" si="440"/>
        <v>-0.44729329606984847</v>
      </c>
      <c r="BA891" s="57">
        <f t="shared" si="441"/>
        <v>578581.42760846566</v>
      </c>
      <c r="BB891" s="57">
        <f t="shared" si="442"/>
        <v>590725.68744702847</v>
      </c>
    </row>
    <row r="892" spans="9:54" x14ac:dyDescent="0.25">
      <c r="I892" s="41">
        <v>887</v>
      </c>
      <c r="J892" s="57">
        <f t="shared" si="416"/>
        <v>15128.149676073823</v>
      </c>
      <c r="K892" s="57">
        <f t="shared" si="417"/>
        <v>8624.7552717193194</v>
      </c>
      <c r="M892" s="41">
        <v>887</v>
      </c>
      <c r="N892" s="57">
        <f t="shared" si="418"/>
        <v>-23410.295226748323</v>
      </c>
      <c r="O892" s="57">
        <f t="shared" si="419"/>
        <v>10787.328690203523</v>
      </c>
      <c r="Q892" s="41">
        <v>887</v>
      </c>
      <c r="R892" s="57">
        <f t="shared" si="420"/>
        <v>-9871.8503239261772</v>
      </c>
      <c r="S892" s="41">
        <f t="shared" si="421"/>
        <v>-13875.244728280681</v>
      </c>
      <c r="U892" s="41">
        <v>886</v>
      </c>
      <c r="V892" s="41">
        <f t="shared" si="443"/>
        <v>443</v>
      </c>
      <c r="W892" s="57">
        <f t="shared" si="444"/>
        <v>307207.82249936735</v>
      </c>
      <c r="X892" s="57">
        <f t="shared" si="445"/>
        <v>508679.054444462</v>
      </c>
      <c r="Y892" s="57">
        <f t="shared" si="446"/>
        <v>412.43954300386247</v>
      </c>
      <c r="Z892" s="57">
        <f t="shared" si="447"/>
        <v>336.64742707549317</v>
      </c>
      <c r="AA892" s="57">
        <f t="shared" si="422"/>
        <v>-4.7829391051370251</v>
      </c>
      <c r="AB892" s="57">
        <f t="shared" si="423"/>
        <v>-7.9330288461456444</v>
      </c>
      <c r="AC892" s="57">
        <f t="shared" si="424"/>
        <v>-0.77987737959241465</v>
      </c>
      <c r="AD892" s="57">
        <f t="shared" si="425"/>
        <v>-1.3608898402745007</v>
      </c>
      <c r="AE892" s="57">
        <f t="shared" si="426"/>
        <v>-0.27689626737597473</v>
      </c>
      <c r="AF892" s="57">
        <f t="shared" si="427"/>
        <v>-0.42200204059766627</v>
      </c>
      <c r="AG892" s="57">
        <f t="shared" si="428"/>
        <v>-0.72103228692396493</v>
      </c>
      <c r="AH892" s="57">
        <f t="shared" si="429"/>
        <v>-1.2094171863391896</v>
      </c>
      <c r="AJ892" s="57">
        <f t="shared" si="430"/>
        <v>577640.69967296545</v>
      </c>
      <c r="AK892" s="57">
        <f t="shared" si="431"/>
        <v>596444.26264857326</v>
      </c>
      <c r="AL892" s="57">
        <f t="shared" si="432"/>
        <v>609683.09513520403</v>
      </c>
      <c r="AN892" s="41">
        <v>887</v>
      </c>
      <c r="AO892" s="57">
        <f t="shared" si="433"/>
        <v>-2307.7754858892658</v>
      </c>
      <c r="AP892" s="57">
        <f t="shared" si="434"/>
        <v>16687.13290757898</v>
      </c>
      <c r="AR892" s="41">
        <v>887</v>
      </c>
      <c r="AS892" s="57">
        <f t="shared" si="435"/>
        <v>11589.704773251677</v>
      </c>
      <c r="AT892" s="57">
        <f t="shared" si="436"/>
        <v>-4212.6713097964766</v>
      </c>
      <c r="AV892" s="57">
        <f t="shared" si="437"/>
        <v>-2.7509272774585276</v>
      </c>
      <c r="AW892" s="57">
        <f t="shared" si="438"/>
        <v>-4.4938452153535744</v>
      </c>
      <c r="AX892" s="57">
        <f t="shared" si="439"/>
        <v>-0.25420589378614333</v>
      </c>
      <c r="AY892" s="57">
        <f t="shared" si="440"/>
        <v>-0.4468745635807137</v>
      </c>
      <c r="BA892" s="57">
        <f t="shared" si="441"/>
        <v>578833.80756222864</v>
      </c>
      <c r="BB892" s="57">
        <f t="shared" si="442"/>
        <v>590975.11157812586</v>
      </c>
    </row>
    <row r="893" spans="9:54" x14ac:dyDescent="0.25">
      <c r="I893" s="41">
        <v>888</v>
      </c>
      <c r="J893" s="57">
        <f t="shared" si="416"/>
        <v>15109.261996330972</v>
      </c>
      <c r="K893" s="57">
        <f t="shared" si="417"/>
        <v>8539.5584540887976</v>
      </c>
      <c r="M893" s="41">
        <v>888</v>
      </c>
      <c r="N893" s="57">
        <f t="shared" si="418"/>
        <v>-23423.516602568321</v>
      </c>
      <c r="O893" s="57">
        <f t="shared" si="419"/>
        <v>10727.690917862157</v>
      </c>
      <c r="Q893" s="41">
        <v>888</v>
      </c>
      <c r="R893" s="57">
        <f t="shared" si="420"/>
        <v>-9890.7380036690283</v>
      </c>
      <c r="S893" s="41">
        <f t="shared" si="421"/>
        <v>-13960.441545911202</v>
      </c>
      <c r="U893" s="41">
        <v>887</v>
      </c>
      <c r="V893" s="41">
        <f t="shared" si="443"/>
        <v>443.5</v>
      </c>
      <c r="W893" s="57">
        <f t="shared" si="444"/>
        <v>307413.44440348115</v>
      </c>
      <c r="X893" s="57">
        <f t="shared" si="445"/>
        <v>508846.38652939402</v>
      </c>
      <c r="Y893" s="57">
        <f t="shared" si="446"/>
        <v>410.04807345129393</v>
      </c>
      <c r="Z893" s="57">
        <f t="shared" si="447"/>
        <v>332.68091265242037</v>
      </c>
      <c r="AA893" s="57">
        <f t="shared" si="422"/>
        <v>-4.7800789646870134</v>
      </c>
      <c r="AB893" s="57">
        <f t="shared" si="423"/>
        <v>-7.9255379999053819</v>
      </c>
      <c r="AC893" s="57">
        <f t="shared" si="424"/>
        <v>-0.77943400058766199</v>
      </c>
      <c r="AD893" s="57">
        <f t="shared" si="425"/>
        <v>-1.3595968711338438</v>
      </c>
      <c r="AE893" s="57">
        <f t="shared" si="426"/>
        <v>-0.27671843581471472</v>
      </c>
      <c r="AF893" s="57">
        <f t="shared" si="427"/>
        <v>-0.42160758561314843</v>
      </c>
      <c r="AG893" s="57">
        <f t="shared" si="428"/>
        <v>-0.72062400679676974</v>
      </c>
      <c r="AH893" s="57">
        <f t="shared" si="429"/>
        <v>-1.2083227811389765</v>
      </c>
      <c r="AJ893" s="57">
        <f t="shared" si="430"/>
        <v>577888.12698475947</v>
      </c>
      <c r="AK893" s="57">
        <f t="shared" si="431"/>
        <v>596696.9758006027</v>
      </c>
      <c r="AL893" s="57">
        <f t="shared" si="432"/>
        <v>609932.12484992982</v>
      </c>
      <c r="AN893" s="41">
        <v>888</v>
      </c>
      <c r="AO893" s="57">
        <f t="shared" si="433"/>
        <v>-2336.1070055035425</v>
      </c>
      <c r="AP893" s="57">
        <f t="shared" si="434"/>
        <v>16559.337681133195</v>
      </c>
      <c r="AR893" s="41">
        <v>888</v>
      </c>
      <c r="AS893" s="57">
        <f t="shared" si="435"/>
        <v>11576.483397431681</v>
      </c>
      <c r="AT893" s="57">
        <f t="shared" si="436"/>
        <v>-4272.3090821378428</v>
      </c>
      <c r="AV893" s="57">
        <f t="shared" si="437"/>
        <v>-2.7492365582849652</v>
      </c>
      <c r="AW893" s="57">
        <f t="shared" si="438"/>
        <v>-4.4895508620710949</v>
      </c>
      <c r="AX893" s="57">
        <f t="shared" si="439"/>
        <v>-0.25406596320290231</v>
      </c>
      <c r="AY893" s="57">
        <f t="shared" si="440"/>
        <v>-0.44645989994831836</v>
      </c>
      <c r="BA893" s="57">
        <f t="shared" si="441"/>
        <v>579083.88411707419</v>
      </c>
      <c r="BB893" s="57">
        <f t="shared" si="442"/>
        <v>591222.23521889222</v>
      </c>
    </row>
    <row r="894" spans="9:54" x14ac:dyDescent="0.25">
      <c r="I894" s="41">
        <v>889</v>
      </c>
      <c r="J894" s="57">
        <f t="shared" si="416"/>
        <v>15091.86408276168</v>
      </c>
      <c r="K894" s="57">
        <f t="shared" si="417"/>
        <v>8454.0449768827293</v>
      </c>
      <c r="M894" s="41">
        <v>889</v>
      </c>
      <c r="N894" s="57">
        <f t="shared" si="418"/>
        <v>-23435.695142066823</v>
      </c>
      <c r="O894" s="57">
        <f t="shared" si="419"/>
        <v>10667.83148381791</v>
      </c>
      <c r="Q894" s="41">
        <v>889</v>
      </c>
      <c r="R894" s="57">
        <f t="shared" si="420"/>
        <v>-9908.13591723832</v>
      </c>
      <c r="S894" s="41">
        <f t="shared" si="421"/>
        <v>-14045.955023117271</v>
      </c>
      <c r="U894" s="41">
        <v>888</v>
      </c>
      <c r="V894" s="41">
        <f t="shared" si="443"/>
        <v>444</v>
      </c>
      <c r="W894" s="57">
        <f t="shared" si="444"/>
        <v>307617.87093033618</v>
      </c>
      <c r="X894" s="57">
        <f t="shared" si="445"/>
        <v>509011.73629347025</v>
      </c>
      <c r="Y894" s="57">
        <f t="shared" si="446"/>
        <v>407.65803396895041</v>
      </c>
      <c r="Z894" s="57">
        <f t="shared" si="447"/>
        <v>328.71814365246769</v>
      </c>
      <c r="AA894" s="57">
        <f t="shared" si="422"/>
        <v>-4.7772583524984604</v>
      </c>
      <c r="AB894" s="57">
        <f t="shared" si="423"/>
        <v>-7.9181196754255634</v>
      </c>
      <c r="AC894" s="57">
        <f t="shared" si="424"/>
        <v>-0.77899695426949911</v>
      </c>
      <c r="AD894" s="57">
        <f t="shared" si="425"/>
        <v>-1.3583165532772026</v>
      </c>
      <c r="AE894" s="57">
        <f t="shared" si="426"/>
        <v>-0.27654294850924177</v>
      </c>
      <c r="AF894" s="57">
        <f t="shared" si="427"/>
        <v>-0.42121687838163152</v>
      </c>
      <c r="AG894" s="57">
        <f t="shared" si="428"/>
        <v>-0.72022139848556066</v>
      </c>
      <c r="AH894" s="57">
        <f t="shared" si="429"/>
        <v>-1.2072389349111485</v>
      </c>
      <c r="AJ894" s="57">
        <f t="shared" si="430"/>
        <v>578133.25567605149</v>
      </c>
      <c r="AK894" s="57">
        <f t="shared" si="431"/>
        <v>596947.3865522407</v>
      </c>
      <c r="AL894" s="57">
        <f t="shared" si="432"/>
        <v>610178.85328673408</v>
      </c>
      <c r="AN894" s="41">
        <v>889</v>
      </c>
      <c r="AO894" s="57">
        <f t="shared" si="433"/>
        <v>-2362.2038758574781</v>
      </c>
      <c r="AP894" s="57">
        <f t="shared" si="434"/>
        <v>16431.067465324093</v>
      </c>
      <c r="AR894" s="41">
        <v>889</v>
      </c>
      <c r="AS894" s="57">
        <f t="shared" si="435"/>
        <v>11564.304857933177</v>
      </c>
      <c r="AT894" s="57">
        <f t="shared" si="436"/>
        <v>-4332.1685161820897</v>
      </c>
      <c r="AV894" s="57">
        <f t="shared" si="437"/>
        <v>-2.7475690114321178</v>
      </c>
      <c r="AW894" s="57">
        <f t="shared" si="438"/>
        <v>-4.4852980220595668</v>
      </c>
      <c r="AX894" s="57">
        <f t="shared" si="439"/>
        <v>-0.25392803980204098</v>
      </c>
      <c r="AY894" s="57">
        <f t="shared" si="440"/>
        <v>-0.44604928679601397</v>
      </c>
      <c r="BA894" s="57">
        <f t="shared" si="441"/>
        <v>579331.65924373479</v>
      </c>
      <c r="BB894" s="57">
        <f t="shared" si="442"/>
        <v>591467.06031293992</v>
      </c>
    </row>
    <row r="895" spans="9:54" x14ac:dyDescent="0.25">
      <c r="I895" s="41">
        <v>890</v>
      </c>
      <c r="J895" s="57">
        <f t="shared" si="416"/>
        <v>15075.961234938961</v>
      </c>
      <c r="K895" s="57">
        <f t="shared" si="417"/>
        <v>8368.2408883346616</v>
      </c>
      <c r="M895" s="41">
        <v>890</v>
      </c>
      <c r="N895" s="57">
        <f t="shared" si="418"/>
        <v>-23446.827135542728</v>
      </c>
      <c r="O895" s="57">
        <f t="shared" si="419"/>
        <v>10607.768621834264</v>
      </c>
      <c r="Q895" s="41">
        <v>890</v>
      </c>
      <c r="R895" s="57">
        <f t="shared" si="420"/>
        <v>-9924.0387650610392</v>
      </c>
      <c r="S895" s="41">
        <f t="shared" si="421"/>
        <v>-14131.759111665338</v>
      </c>
      <c r="U895" s="41">
        <v>889</v>
      </c>
      <c r="V895" s="41">
        <f t="shared" si="443"/>
        <v>444.5</v>
      </c>
      <c r="W895" s="57">
        <f t="shared" si="444"/>
        <v>307821.10279002663</v>
      </c>
      <c r="X895" s="57">
        <f t="shared" si="445"/>
        <v>509175.10560033703</v>
      </c>
      <c r="Y895" s="57">
        <f t="shared" si="446"/>
        <v>405.26940479270115</v>
      </c>
      <c r="Z895" s="57">
        <f t="shared" si="447"/>
        <v>324.75908381475489</v>
      </c>
      <c r="AA895" s="57">
        <f t="shared" si="422"/>
        <v>-4.7744771320647583</v>
      </c>
      <c r="AB895" s="57">
        <f t="shared" si="423"/>
        <v>-7.9107735427154084</v>
      </c>
      <c r="AC895" s="57">
        <f t="shared" si="424"/>
        <v>-0.77856621971763773</v>
      </c>
      <c r="AD895" s="57">
        <f t="shared" si="425"/>
        <v>-1.3570488289687543</v>
      </c>
      <c r="AE895" s="57">
        <f t="shared" si="426"/>
        <v>-0.27636979688443181</v>
      </c>
      <c r="AF895" s="57">
        <f t="shared" si="427"/>
        <v>-0.42082990195079972</v>
      </c>
      <c r="AG895" s="57">
        <f t="shared" si="428"/>
        <v>-0.71982444314832006</v>
      </c>
      <c r="AH895" s="57">
        <f t="shared" si="429"/>
        <v>-1.2061656011558695</v>
      </c>
      <c r="AJ895" s="57">
        <f t="shared" si="430"/>
        <v>578376.08767166059</v>
      </c>
      <c r="AK895" s="57">
        <f t="shared" si="431"/>
        <v>597195.49687315698</v>
      </c>
      <c r="AL895" s="57">
        <f t="shared" si="432"/>
        <v>610423.28238845291</v>
      </c>
      <c r="AN895" s="41">
        <v>890</v>
      </c>
      <c r="AO895" s="57">
        <f t="shared" si="433"/>
        <v>-2386.0581475915578</v>
      </c>
      <c r="AP895" s="57">
        <f t="shared" si="434"/>
        <v>16302.361332501994</v>
      </c>
      <c r="AR895" s="41">
        <v>890</v>
      </c>
      <c r="AS895" s="57">
        <f t="shared" si="435"/>
        <v>11553.172864457272</v>
      </c>
      <c r="AT895" s="57">
        <f t="shared" si="436"/>
        <v>-4392.2313781657358</v>
      </c>
      <c r="AV895" s="57">
        <f t="shared" si="437"/>
        <v>-2.7459245552100229</v>
      </c>
      <c r="AW895" s="57">
        <f t="shared" si="438"/>
        <v>-4.4810865046693271</v>
      </c>
      <c r="AX895" s="57">
        <f t="shared" si="439"/>
        <v>-0.25379211710434524</v>
      </c>
      <c r="AY895" s="57">
        <f t="shared" si="440"/>
        <v>-0.44564270597065853</v>
      </c>
      <c r="BA895" s="57">
        <f t="shared" si="441"/>
        <v>579577.13489239046</v>
      </c>
      <c r="BB895" s="57">
        <f t="shared" si="442"/>
        <v>591709.58878345473</v>
      </c>
    </row>
    <row r="896" spans="9:54" x14ac:dyDescent="0.25">
      <c r="I896" s="41">
        <v>891</v>
      </c>
      <c r="J896" s="57">
        <f t="shared" si="416"/>
        <v>15061.558297024312</v>
      </c>
      <c r="K896" s="57">
        <f t="shared" si="417"/>
        <v>8282.1723252011525</v>
      </c>
      <c r="M896" s="41">
        <v>891</v>
      </c>
      <c r="N896" s="57">
        <f t="shared" si="418"/>
        <v>-23456.909192082981</v>
      </c>
      <c r="O896" s="57">
        <f t="shared" si="419"/>
        <v>10547.520627640806</v>
      </c>
      <c r="Q896" s="41">
        <v>891</v>
      </c>
      <c r="R896" s="57">
        <f t="shared" si="420"/>
        <v>-9938.4417029756878</v>
      </c>
      <c r="S896" s="41">
        <f t="shared" si="421"/>
        <v>-14217.827674798848</v>
      </c>
      <c r="U896" s="41">
        <v>890</v>
      </c>
      <c r="V896" s="41">
        <f t="shared" si="443"/>
        <v>445</v>
      </c>
      <c r="W896" s="57">
        <f t="shared" si="444"/>
        <v>308023.14068278146</v>
      </c>
      <c r="X896" s="57">
        <f t="shared" si="445"/>
        <v>509336.49629555159</v>
      </c>
      <c r="Y896" s="57">
        <f t="shared" si="446"/>
        <v>402.8821662266688</v>
      </c>
      <c r="Z896" s="57">
        <f t="shared" si="447"/>
        <v>320.80369704339716</v>
      </c>
      <c r="AA896" s="57">
        <f t="shared" si="422"/>
        <v>-4.7717351688584797</v>
      </c>
      <c r="AB896" s="57">
        <f t="shared" si="423"/>
        <v>-7.9034992757903462</v>
      </c>
      <c r="AC896" s="57">
        <f t="shared" si="424"/>
        <v>-0.77814177632135095</v>
      </c>
      <c r="AD896" s="57">
        <f t="shared" si="425"/>
        <v>-1.3557936411796385</v>
      </c>
      <c r="AE896" s="57">
        <f t="shared" si="426"/>
        <v>-0.27619897248599218</v>
      </c>
      <c r="AF896" s="57">
        <f t="shared" si="427"/>
        <v>-0.42044663957095713</v>
      </c>
      <c r="AG896" s="57">
        <f t="shared" si="428"/>
        <v>-0.71943312221536504</v>
      </c>
      <c r="AH896" s="57">
        <f t="shared" si="429"/>
        <v>-1.2051027339338298</v>
      </c>
      <c r="AJ896" s="57">
        <f t="shared" si="430"/>
        <v>578616.6248760646</v>
      </c>
      <c r="AK896" s="57">
        <f t="shared" si="431"/>
        <v>597441.30871250713</v>
      </c>
      <c r="AL896" s="57">
        <f t="shared" si="432"/>
        <v>610665.4140774695</v>
      </c>
      <c r="AN896" s="41">
        <v>891</v>
      </c>
      <c r="AO896" s="57">
        <f t="shared" si="433"/>
        <v>-2407.6625544635335</v>
      </c>
      <c r="AP896" s="57">
        <f t="shared" si="434"/>
        <v>16173.25848780173</v>
      </c>
      <c r="AR896" s="41">
        <v>891</v>
      </c>
      <c r="AS896" s="57">
        <f t="shared" si="435"/>
        <v>11543.090807917019</v>
      </c>
      <c r="AT896" s="57">
        <f t="shared" si="436"/>
        <v>-4452.4793723591929</v>
      </c>
      <c r="AV896" s="57">
        <f t="shared" si="437"/>
        <v>-2.7443031091093775</v>
      </c>
      <c r="AW896" s="57">
        <f t="shared" si="438"/>
        <v>-4.4769161215653792</v>
      </c>
      <c r="AX896" s="57">
        <f t="shared" si="439"/>
        <v>-0.25365818872639412</v>
      </c>
      <c r="AY896" s="57">
        <f t="shared" si="440"/>
        <v>-0.44524013954054148</v>
      </c>
      <c r="BA896" s="57">
        <f t="shared" si="441"/>
        <v>579820.31299275695</v>
      </c>
      <c r="BB896" s="57">
        <f t="shared" si="442"/>
        <v>591949.8225332828</v>
      </c>
    </row>
    <row r="897" spans="9:54" x14ac:dyDescent="0.25">
      <c r="I897" s="41">
        <v>892</v>
      </c>
      <c r="J897" s="57">
        <f t="shared" si="416"/>
        <v>15048.659656292148</v>
      </c>
      <c r="K897" s="57">
        <f t="shared" si="417"/>
        <v>8195.8655048003311</v>
      </c>
      <c r="M897" s="41">
        <v>892</v>
      </c>
      <c r="N897" s="57">
        <f t="shared" si="418"/>
        <v>-23465.938240595497</v>
      </c>
      <c r="O897" s="57">
        <f t="shared" si="419"/>
        <v>10487.105853360232</v>
      </c>
      <c r="Q897" s="41">
        <v>892</v>
      </c>
      <c r="R897" s="57">
        <f t="shared" si="420"/>
        <v>-9951.3403437078523</v>
      </c>
      <c r="S897" s="41">
        <f t="shared" si="421"/>
        <v>-14304.134495199669</v>
      </c>
      <c r="U897" s="41">
        <v>891</v>
      </c>
      <c r="V897" s="41">
        <f t="shared" si="443"/>
        <v>445.5</v>
      </c>
      <c r="W897" s="57">
        <f t="shared" si="444"/>
        <v>308223.98529899865</v>
      </c>
      <c r="X897" s="57">
        <f t="shared" si="445"/>
        <v>509495.91020666383</v>
      </c>
      <c r="Y897" s="57">
        <f t="shared" si="446"/>
        <v>400.49629864223954</v>
      </c>
      <c r="Z897" s="57">
        <f t="shared" si="447"/>
        <v>316.85194740550202</v>
      </c>
      <c r="AA897" s="57">
        <f t="shared" si="422"/>
        <v>-4.7690323303159161</v>
      </c>
      <c r="AB897" s="57">
        <f t="shared" si="423"/>
        <v>-7.8962965526350075</v>
      </c>
      <c r="AC897" s="57">
        <f t="shared" si="424"/>
        <v>-0.77772360377715144</v>
      </c>
      <c r="AD897" s="57">
        <f t="shared" si="425"/>
        <v>-1.3545509335814261</v>
      </c>
      <c r="AE897" s="57">
        <f t="shared" si="426"/>
        <v>-0.27603046697948375</v>
      </c>
      <c r="AF897" s="57">
        <f t="shared" si="427"/>
        <v>-0.42006707469318011</v>
      </c>
      <c r="AG897" s="57">
        <f t="shared" si="428"/>
        <v>-0.71904741738729627</v>
      </c>
      <c r="AH897" s="57">
        <f t="shared" si="429"/>
        <v>-1.2040502878612296</v>
      </c>
      <c r="AJ897" s="57">
        <f t="shared" si="430"/>
        <v>578854.8691734866</v>
      </c>
      <c r="AK897" s="57">
        <f t="shared" si="431"/>
        <v>597684.82399902109</v>
      </c>
      <c r="AL897" s="57">
        <f t="shared" si="432"/>
        <v>610905.25025580206</v>
      </c>
      <c r="AN897" s="41">
        <v>892</v>
      </c>
      <c r="AO897" s="57">
        <f t="shared" si="433"/>
        <v>-2427.0105155617766</v>
      </c>
      <c r="AP897" s="57">
        <f t="shared" si="434"/>
        <v>16043.798257200497</v>
      </c>
      <c r="AR897" s="41">
        <v>892</v>
      </c>
      <c r="AS897" s="57">
        <f t="shared" si="435"/>
        <v>11534.061759404503</v>
      </c>
      <c r="AT897" s="57">
        <f t="shared" si="436"/>
        <v>-4512.8941466397682</v>
      </c>
      <c r="AV897" s="57">
        <f t="shared" si="437"/>
        <v>-2.7427045937921317</v>
      </c>
      <c r="AW897" s="57">
        <f t="shared" si="438"/>
        <v>-4.472786686705807</v>
      </c>
      <c r="AX897" s="57">
        <f t="shared" si="439"/>
        <v>-0.25352624837985277</v>
      </c>
      <c r="AY897" s="57">
        <f t="shared" si="440"/>
        <v>-0.44484156979336476</v>
      </c>
      <c r="BA897" s="57">
        <f t="shared" si="441"/>
        <v>580061.19545417302</v>
      </c>
      <c r="BB897" s="57">
        <f t="shared" si="442"/>
        <v>592187.76344501658</v>
      </c>
    </row>
    <row r="898" spans="9:54" x14ac:dyDescent="0.25">
      <c r="I898" s="41">
        <v>893</v>
      </c>
      <c r="J898" s="57">
        <f t="shared" si="416"/>
        <v>15037.26924179339</v>
      </c>
      <c r="K898" s="57">
        <f t="shared" si="417"/>
        <v>8109.3467170257463</v>
      </c>
      <c r="M898" s="41">
        <v>893</v>
      </c>
      <c r="N898" s="57">
        <f t="shared" si="418"/>
        <v>-23473.911530744626</v>
      </c>
      <c r="O898" s="57">
        <f t="shared" si="419"/>
        <v>10426.542701918022</v>
      </c>
      <c r="Q898" s="41">
        <v>893</v>
      </c>
      <c r="R898" s="57">
        <f t="shared" si="420"/>
        <v>-9962.7307582066096</v>
      </c>
      <c r="S898" s="41">
        <f t="shared" si="421"/>
        <v>-14390.653282974254</v>
      </c>
      <c r="U898" s="41">
        <v>892</v>
      </c>
      <c r="V898" s="41">
        <f t="shared" si="443"/>
        <v>446</v>
      </c>
      <c r="W898" s="57">
        <f t="shared" si="444"/>
        <v>308423.6373192785</v>
      </c>
      <c r="X898" s="57">
        <f t="shared" si="445"/>
        <v>509653.34914329747</v>
      </c>
      <c r="Y898" s="57">
        <f t="shared" si="446"/>
        <v>398.11178247708159</v>
      </c>
      <c r="Z898" s="57">
        <f t="shared" si="447"/>
        <v>312.90379912918451</v>
      </c>
      <c r="AA898" s="57">
        <f t="shared" si="422"/>
        <v>-4.76636848582186</v>
      </c>
      <c r="AB898" s="57">
        <f t="shared" si="423"/>
        <v>-7.8891650551667833</v>
      </c>
      <c r="AC898" s="57">
        <f t="shared" si="424"/>
        <v>-0.77731168208645585</v>
      </c>
      <c r="AD898" s="57">
        <f t="shared" si="425"/>
        <v>-1.3533206505396009</v>
      </c>
      <c r="AE898" s="57">
        <f t="shared" si="426"/>
        <v>-0.27586427214934733</v>
      </c>
      <c r="AF898" s="57">
        <f t="shared" si="427"/>
        <v>-0.41969119096747931</v>
      </c>
      <c r="AG898" s="57">
        <f t="shared" si="428"/>
        <v>-0.71866731063293021</v>
      </c>
      <c r="AH898" s="57">
        <f t="shared" si="429"/>
        <v>-1.2030082181047457</v>
      </c>
      <c r="AJ898" s="57">
        <f t="shared" si="430"/>
        <v>579090.82242797897</v>
      </c>
      <c r="AK898" s="57">
        <f t="shared" si="431"/>
        <v>597926.04464109009</v>
      </c>
      <c r="AL898" s="57">
        <f t="shared" si="432"/>
        <v>611142.79280518834</v>
      </c>
      <c r="AN898" s="41">
        <v>893</v>
      </c>
      <c r="AO898" s="57">
        <f t="shared" si="433"/>
        <v>-2444.0961373099135</v>
      </c>
      <c r="AP898" s="57">
        <f t="shared" si="434"/>
        <v>15914.020075538619</v>
      </c>
      <c r="AR898" s="41">
        <v>893</v>
      </c>
      <c r="AS898" s="57">
        <f t="shared" si="435"/>
        <v>11526.088469255374</v>
      </c>
      <c r="AT898" s="57">
        <f t="shared" si="436"/>
        <v>-4573.4572980819776</v>
      </c>
      <c r="AV898" s="57">
        <f t="shared" si="437"/>
        <v>-2.7411289310823381</v>
      </c>
      <c r="AW898" s="57">
        <f t="shared" si="438"/>
        <v>-4.4686980163206815</v>
      </c>
      <c r="AX898" s="57">
        <f t="shared" si="439"/>
        <v>-0.25339628987078855</v>
      </c>
      <c r="AY898" s="57">
        <f t="shared" si="440"/>
        <v>-0.44444697923427606</v>
      </c>
      <c r="BA898" s="57">
        <f t="shared" si="441"/>
        <v>580299.78416568623</v>
      </c>
      <c r="BB898" s="57">
        <f t="shared" si="442"/>
        <v>592423.41338107863</v>
      </c>
    </row>
    <row r="899" spans="9:54" x14ac:dyDescent="0.25">
      <c r="I899" s="41">
        <v>894</v>
      </c>
      <c r="J899" s="57">
        <f t="shared" si="416"/>
        <v>15027.390523158634</v>
      </c>
      <c r="K899" s="57">
        <f t="shared" si="417"/>
        <v>8022.6423163382733</v>
      </c>
      <c r="M899" s="41">
        <v>894</v>
      </c>
      <c r="N899" s="57">
        <f t="shared" si="418"/>
        <v>-23480.826633788958</v>
      </c>
      <c r="O899" s="57">
        <f t="shared" si="419"/>
        <v>10365.849621436791</v>
      </c>
      <c r="Q899" s="41">
        <v>894</v>
      </c>
      <c r="R899" s="57">
        <f t="shared" si="420"/>
        <v>-9972.6094768413659</v>
      </c>
      <c r="S899" s="41">
        <f t="shared" si="421"/>
        <v>-14477.357683661727</v>
      </c>
      <c r="U899" s="41">
        <v>893</v>
      </c>
      <c r="V899" s="41">
        <f t="shared" si="443"/>
        <v>446.5</v>
      </c>
      <c r="W899" s="57">
        <f t="shared" si="444"/>
        <v>308622.09741445631</v>
      </c>
      <c r="X899" s="57">
        <f t="shared" si="445"/>
        <v>509808.81489723019</v>
      </c>
      <c r="Y899" s="57">
        <f t="shared" si="446"/>
        <v>395.72859823417065</v>
      </c>
      <c r="Z899" s="57">
        <f t="shared" si="447"/>
        <v>308.9592166016011</v>
      </c>
      <c r="AA899" s="57">
        <f t="shared" si="422"/>
        <v>-4.7637435066947775</v>
      </c>
      <c r="AB899" s="57">
        <f t="shared" si="423"/>
        <v>-7.8821044692001712</v>
      </c>
      <c r="AC899" s="57">
        <f t="shared" si="424"/>
        <v>-0.77690599155341922</v>
      </c>
      <c r="AD899" s="57">
        <f t="shared" si="425"/>
        <v>-1.3521027371073673</v>
      </c>
      <c r="AE899" s="57">
        <f t="shared" si="426"/>
        <v>-0.27570037989795654</v>
      </c>
      <c r="AF899" s="57">
        <f t="shared" si="427"/>
        <v>-0.41931897224100673</v>
      </c>
      <c r="AG899" s="57">
        <f t="shared" si="428"/>
        <v>-0.71829278418736542</v>
      </c>
      <c r="AH899" s="57">
        <f t="shared" si="429"/>
        <v>-1.2019764803767523</v>
      </c>
      <c r="AJ899" s="57">
        <f t="shared" si="430"/>
        <v>579324.48648350756</v>
      </c>
      <c r="AK899" s="57">
        <f t="shared" si="431"/>
        <v>598164.97252685239</v>
      </c>
      <c r="AL899" s="57">
        <f t="shared" si="432"/>
        <v>611378.04358717194</v>
      </c>
      <c r="AN899" s="41">
        <v>894</v>
      </c>
      <c r="AO899" s="57">
        <f t="shared" si="433"/>
        <v>-2458.9142152620489</v>
      </c>
      <c r="AP899" s="57">
        <f t="shared" si="434"/>
        <v>15783.963474507411</v>
      </c>
      <c r="AR899" s="41">
        <v>894</v>
      </c>
      <c r="AS899" s="57">
        <f t="shared" si="435"/>
        <v>11519.173366211044</v>
      </c>
      <c r="AT899" s="57">
        <f t="shared" si="436"/>
        <v>-4634.1503785632085</v>
      </c>
      <c r="AV899" s="57">
        <f t="shared" si="437"/>
        <v>-2.7395760439570629</v>
      </c>
      <c r="AW899" s="57">
        <f t="shared" si="438"/>
        <v>-4.4646499288911574</v>
      </c>
      <c r="AX899" s="57">
        <f t="shared" si="439"/>
        <v>-0.2532683070989733</v>
      </c>
      <c r="AY899" s="57">
        <f t="shared" si="440"/>
        <v>-0.44405635058388754</v>
      </c>
      <c r="BA899" s="57">
        <f t="shared" si="441"/>
        <v>580536.08099613839</v>
      </c>
      <c r="BB899" s="57">
        <f t="shared" si="442"/>
        <v>592656.77418380626</v>
      </c>
    </row>
    <row r="900" spans="9:54" x14ac:dyDescent="0.25">
      <c r="I900" s="41">
        <v>895</v>
      </c>
      <c r="J900" s="57">
        <f t="shared" si="416"/>
        <v>15019.026509541272</v>
      </c>
      <c r="K900" s="57">
        <f t="shared" si="417"/>
        <v>7935.7787137382929</v>
      </c>
      <c r="M900" s="41">
        <v>895</v>
      </c>
      <c r="N900" s="57">
        <f t="shared" si="418"/>
        <v>-23486.681443321108</v>
      </c>
      <c r="O900" s="57">
        <f t="shared" si="419"/>
        <v>10305.045099616806</v>
      </c>
      <c r="Q900" s="41">
        <v>895</v>
      </c>
      <c r="R900" s="57">
        <f t="shared" si="420"/>
        <v>-9980.9734904587276</v>
      </c>
      <c r="S900" s="41">
        <f t="shared" si="421"/>
        <v>-14564.221286261707</v>
      </c>
      <c r="U900" s="41">
        <v>894</v>
      </c>
      <c r="V900" s="41">
        <f t="shared" si="443"/>
        <v>447</v>
      </c>
      <c r="W900" s="57">
        <f t="shared" si="444"/>
        <v>308819.36624563503</v>
      </c>
      <c r="X900" s="57">
        <f t="shared" si="445"/>
        <v>509962.30924247234</v>
      </c>
      <c r="Y900" s="57">
        <f t="shared" si="446"/>
        <v>393.34672648082324</v>
      </c>
      <c r="Z900" s="57">
        <f t="shared" si="447"/>
        <v>305.01816436700102</v>
      </c>
      <c r="AA900" s="57">
        <f t="shared" si="422"/>
        <v>-4.7611572661718933</v>
      </c>
      <c r="AB900" s="57">
        <f t="shared" si="423"/>
        <v>-7.8751144844110765</v>
      </c>
      <c r="AC900" s="57">
        <f t="shared" si="424"/>
        <v>-0.77650651278263372</v>
      </c>
      <c r="AD900" s="57">
        <f t="shared" si="425"/>
        <v>-1.3508971390192506</v>
      </c>
      <c r="AE900" s="57">
        <f t="shared" si="426"/>
        <v>-0.27553878224466916</v>
      </c>
      <c r="AF900" s="57">
        <f t="shared" si="427"/>
        <v>-0.41895040255626131</v>
      </c>
      <c r="AG900" s="57">
        <f t="shared" si="428"/>
        <v>-0.71792382054993109</v>
      </c>
      <c r="AH900" s="57">
        <f t="shared" si="429"/>
        <v>-1.2009550309303523</v>
      </c>
      <c r="AJ900" s="57">
        <f t="shared" si="430"/>
        <v>579555.86316403374</v>
      </c>
      <c r="AK900" s="57">
        <f t="shared" si="431"/>
        <v>598401.60952427809</v>
      </c>
      <c r="AL900" s="57">
        <f t="shared" si="432"/>
        <v>611611.00444318459</v>
      </c>
      <c r="AN900" s="41">
        <v>895</v>
      </c>
      <c r="AO900" s="57">
        <f t="shared" si="433"/>
        <v>-2471.4602356880905</v>
      </c>
      <c r="AP900" s="57">
        <f t="shared" si="434"/>
        <v>15653.66807060744</v>
      </c>
      <c r="AR900" s="41">
        <v>895</v>
      </c>
      <c r="AS900" s="57">
        <f t="shared" si="435"/>
        <v>11513.318556678891</v>
      </c>
      <c r="AT900" s="57">
        <f t="shared" si="436"/>
        <v>-4694.9549003831944</v>
      </c>
      <c r="AV900" s="57">
        <f t="shared" si="437"/>
        <v>-2.7380458565374397</v>
      </c>
      <c r="AW900" s="57">
        <f t="shared" si="438"/>
        <v>-4.4606422451288514</v>
      </c>
      <c r="AX900" s="57">
        <f t="shared" si="439"/>
        <v>-0.25314229405721905</v>
      </c>
      <c r="AY900" s="57">
        <f t="shared" si="440"/>
        <v>-0.44366966677636116</v>
      </c>
      <c r="BA900" s="57">
        <f t="shared" si="441"/>
        <v>580770.0877942493</v>
      </c>
      <c r="BB900" s="57">
        <f t="shared" si="442"/>
        <v>592887.84767553327</v>
      </c>
    </row>
    <row r="901" spans="9:54" x14ac:dyDescent="0.25">
      <c r="I901" s="41">
        <v>896</v>
      </c>
      <c r="J901" s="57">
        <f t="shared" si="416"/>
        <v>15012.179748700877</v>
      </c>
      <c r="K901" s="57">
        <f t="shared" si="417"/>
        <v>7848.7823687206255</v>
      </c>
      <c r="M901" s="41">
        <v>896</v>
      </c>
      <c r="N901" s="57">
        <f t="shared" si="418"/>
        <v>-23491.474175909385</v>
      </c>
      <c r="O901" s="57">
        <f t="shared" si="419"/>
        <v>10244.147658104437</v>
      </c>
      <c r="Q901" s="41">
        <v>896</v>
      </c>
      <c r="R901" s="57">
        <f t="shared" si="420"/>
        <v>-9987.8202512991229</v>
      </c>
      <c r="S901" s="41">
        <f t="shared" si="421"/>
        <v>-14651.217631279374</v>
      </c>
      <c r="U901" s="41">
        <v>895</v>
      </c>
      <c r="V901" s="41">
        <f t="shared" si="443"/>
        <v>447.5</v>
      </c>
      <c r="W901" s="57">
        <f t="shared" si="444"/>
        <v>309015.44446421717</v>
      </c>
      <c r="X901" s="57">
        <f t="shared" si="445"/>
        <v>510113.83393534529</v>
      </c>
      <c r="Y901" s="57">
        <f t="shared" si="446"/>
        <v>390.96614784773726</v>
      </c>
      <c r="Z901" s="57">
        <f t="shared" si="447"/>
        <v>301.08060712479551</v>
      </c>
      <c r="AA901" s="57">
        <f t="shared" si="422"/>
        <v>-4.758609639394936</v>
      </c>
      <c r="AB901" s="57">
        <f t="shared" si="423"/>
        <v>-7.8681947943023642</v>
      </c>
      <c r="AC901" s="57">
        <f t="shared" si="424"/>
        <v>-0.77611322667700811</v>
      </c>
      <c r="AD901" s="57">
        <f t="shared" si="425"/>
        <v>-1.3497038026850463</v>
      </c>
      <c r="AE901" s="57">
        <f t="shared" si="426"/>
        <v>-0.27537947132490531</v>
      </c>
      <c r="AF901" s="57">
        <f t="shared" si="427"/>
        <v>-0.41858546614934078</v>
      </c>
      <c r="AG901" s="57">
        <f t="shared" si="428"/>
        <v>-0.71756040248234643</v>
      </c>
      <c r="AH901" s="57">
        <f t="shared" si="429"/>
        <v>-1.1999438265547853</v>
      </c>
      <c r="AJ901" s="57">
        <f t="shared" si="430"/>
        <v>579784.95427359606</v>
      </c>
      <c r="AK901" s="57">
        <f t="shared" si="431"/>
        <v>598635.95748125296</v>
      </c>
      <c r="AL901" s="57">
        <f t="shared" si="432"/>
        <v>611841.67719462956</v>
      </c>
      <c r="AN901" s="41">
        <v>896</v>
      </c>
      <c r="AO901" s="57">
        <f t="shared" si="433"/>
        <v>-2481.7303769486825</v>
      </c>
      <c r="AP901" s="57">
        <f t="shared" si="434"/>
        <v>15523.173553080938</v>
      </c>
      <c r="AR901" s="41">
        <v>896</v>
      </c>
      <c r="AS901" s="57">
        <f t="shared" si="435"/>
        <v>11508.525824090615</v>
      </c>
      <c r="AT901" s="57">
        <f t="shared" si="436"/>
        <v>-4755.8523418955619</v>
      </c>
      <c r="AV901" s="57">
        <f t="shared" si="437"/>
        <v>-2.736538294079967</v>
      </c>
      <c r="AW901" s="57">
        <f t="shared" si="438"/>
        <v>-4.4566747879556967</v>
      </c>
      <c r="AX901" s="57">
        <f t="shared" si="439"/>
        <v>-0.25301824483070834</v>
      </c>
      <c r="AY901" s="57">
        <f t="shared" si="440"/>
        <v>-0.44328691095749595</v>
      </c>
      <c r="BA901" s="57">
        <f t="shared" si="441"/>
        <v>581001.8063886998</v>
      </c>
      <c r="BB901" s="57">
        <f t="shared" si="442"/>
        <v>593116.63565867185</v>
      </c>
    </row>
    <row r="902" spans="9:54" x14ac:dyDescent="0.25">
      <c r="I902" s="41">
        <v>897</v>
      </c>
      <c r="J902" s="57">
        <f t="shared" si="416"/>
        <v>15006.85232622713</v>
      </c>
      <c r="K902" s="57">
        <f t="shared" si="417"/>
        <v>7761.6797812147233</v>
      </c>
      <c r="M902" s="41">
        <v>897</v>
      </c>
      <c r="N902" s="57">
        <f t="shared" si="418"/>
        <v>-23495.203371641008</v>
      </c>
      <c r="O902" s="57">
        <f t="shared" si="419"/>
        <v>10183.175846850307</v>
      </c>
      <c r="Q902" s="41">
        <v>897</v>
      </c>
      <c r="R902" s="57">
        <f t="shared" si="420"/>
        <v>-9993.1476737728699</v>
      </c>
      <c r="S902" s="41">
        <f t="shared" si="421"/>
        <v>-14738.320218785277</v>
      </c>
      <c r="U902" s="41">
        <v>896</v>
      </c>
      <c r="V902" s="41">
        <f t="shared" si="443"/>
        <v>448</v>
      </c>
      <c r="W902" s="57">
        <f t="shared" si="444"/>
        <v>309210.33271193609</v>
      </c>
      <c r="X902" s="57">
        <f t="shared" si="445"/>
        <v>510263.39071455842</v>
      </c>
      <c r="Y902" s="57">
        <f t="shared" si="446"/>
        <v>388.58684302803977</v>
      </c>
      <c r="Z902" s="57">
        <f t="shared" si="447"/>
        <v>297.14650972764434</v>
      </c>
      <c r="AA902" s="57">
        <f t="shared" si="422"/>
        <v>-4.7561005033958557</v>
      </c>
      <c r="AB902" s="57">
        <f t="shared" si="423"/>
        <v>-7.8613450961694795</v>
      </c>
      <c r="AC902" s="57">
        <f t="shared" si="424"/>
        <v>-0.77572611443561545</v>
      </c>
      <c r="AD902" s="57">
        <f t="shared" si="425"/>
        <v>-1.3485226751837398</v>
      </c>
      <c r="AE902" s="57">
        <f t="shared" si="426"/>
        <v>-0.27522243938924879</v>
      </c>
      <c r="AF902" s="57">
        <f t="shared" si="427"/>
        <v>-0.41822414744823011</v>
      </c>
      <c r="AG902" s="57">
        <f t="shared" si="428"/>
        <v>-0.7172025130067432</v>
      </c>
      <c r="AH902" s="57">
        <f t="shared" si="429"/>
        <v>-1.1989428245706235</v>
      </c>
      <c r="AJ902" s="57">
        <f t="shared" si="430"/>
        <v>580011.76159639086</v>
      </c>
      <c r="AK902" s="57">
        <f t="shared" si="431"/>
        <v>598868.0182256609</v>
      </c>
      <c r="AL902" s="57">
        <f t="shared" si="432"/>
        <v>612070.06364296272</v>
      </c>
      <c r="AN902" s="41">
        <v>897</v>
      </c>
      <c r="AO902" s="57">
        <f t="shared" si="433"/>
        <v>-2489.7215106593039</v>
      </c>
      <c r="AP902" s="57">
        <f t="shared" si="434"/>
        <v>15392.519671822085</v>
      </c>
      <c r="AR902" s="41">
        <v>897</v>
      </c>
      <c r="AS902" s="57">
        <f t="shared" si="435"/>
        <v>11504.796628358992</v>
      </c>
      <c r="AT902" s="57">
        <f t="shared" si="436"/>
        <v>-4816.8241531496933</v>
      </c>
      <c r="AV902" s="57">
        <f t="shared" si="437"/>
        <v>-2.7350532829679004</v>
      </c>
      <c r="AW902" s="57">
        <f t="shared" si="438"/>
        <v>-4.4527473824840218</v>
      </c>
      <c r="AX902" s="57">
        <f t="shared" si="439"/>
        <v>-0.25289615359634798</v>
      </c>
      <c r="AY902" s="57">
        <f t="shared" si="440"/>
        <v>-0.44290806648286507</v>
      </c>
      <c r="BA902" s="57">
        <f t="shared" si="441"/>
        <v>581231.23858821299</v>
      </c>
      <c r="BB902" s="57">
        <f t="shared" si="442"/>
        <v>593343.13991579262</v>
      </c>
    </row>
    <row r="903" spans="9:54" x14ac:dyDescent="0.25">
      <c r="I903" s="41">
        <v>898</v>
      </c>
      <c r="J903" s="57">
        <f t="shared" ref="J903:J966" si="448">$F$8*COS(I903*PI()/180)+$E$7</f>
        <v>15003.045864904521</v>
      </c>
      <c r="K903" s="57">
        <f t="shared" ref="K903:K966" si="449">$F$8*SIN(I903*PI()/180)+$G$7</f>
        <v>7674.4974835125058</v>
      </c>
      <c r="M903" s="41">
        <v>898</v>
      </c>
      <c r="N903" s="57">
        <f t="shared" ref="N903:N966" si="450">$F$19*COS(M903*PI()/180)+$E$18</f>
        <v>-23497.867894566836</v>
      </c>
      <c r="O903" s="57">
        <f t="shared" ref="O903:O966" si="451">$F$19*SIN(M903*PI()/180)+$G$18</f>
        <v>10122.148238458754</v>
      </c>
      <c r="Q903" s="41">
        <v>898</v>
      </c>
      <c r="R903" s="57">
        <f t="shared" ref="R903:R966" si="452">$F$30*COS(Q903*PI()/180)+$E$29</f>
        <v>-9996.9541350954787</v>
      </c>
      <c r="S903" s="41">
        <f t="shared" ref="S903:S966" si="453">$F$30*SIN(Q903*PI()/180)+$G$29</f>
        <v>-14825.502516487493</v>
      </c>
      <c r="U903" s="41">
        <v>897</v>
      </c>
      <c r="V903" s="41">
        <f t="shared" si="443"/>
        <v>448.5</v>
      </c>
      <c r="W903" s="57">
        <f t="shared" si="444"/>
        <v>309404.03162088722</v>
      </c>
      <c r="X903" s="57">
        <f t="shared" si="445"/>
        <v>510410.98130128527</v>
      </c>
      <c r="Y903" s="57">
        <f t="shared" si="446"/>
        <v>386.20879277634185</v>
      </c>
      <c r="Z903" s="57">
        <f t="shared" si="447"/>
        <v>293.21583717955963</v>
      </c>
      <c r="AA903" s="57">
        <f t="shared" ref="AA903:AA966" si="454">AC903+AE903+AG903+AV903+AX903</f>
        <v>-4.7536297370828269</v>
      </c>
      <c r="AB903" s="57">
        <f t="shared" ref="AB903:AB966" si="455">AD903+AF903+AH903+AW903+AY903</f>
        <v>-7.8545650910666698</v>
      </c>
      <c r="AC903" s="57">
        <f t="shared" ref="AC903:AC966" si="456">(($E$7-W903)/(AJ903^2+$F$12^2)^(3/2))*$E$11</f>
        <v>-0.7753451575515885</v>
      </c>
      <c r="AD903" s="57">
        <f t="shared" ref="AD903:AD966" si="457">(($G$7-X903)/(AJ903^2+$F$12^2)^(3/2))*$E$11</f>
        <v>-1.3473537042575412</v>
      </c>
      <c r="AE903" s="57">
        <f t="shared" ref="AE903:AE966" si="458">(($E$18-W903)/(AK903^2+$F$23^2)^(3/2))*$E$22</f>
        <v>-0.27506767880254329</v>
      </c>
      <c r="AF903" s="57">
        <f t="shared" ref="AF903:AF966" si="459">(($G$18-X903)/(AK903^2+$F$23^2)^(3/2))*$E$22</f>
        <v>-0.4178664310710864</v>
      </c>
      <c r="AG903" s="57">
        <f t="shared" ref="AG903:AG966" si="460">(($E$29-W903)/(AL903^2+$F$34^2)^(3/2))*$E$33</f>
        <v>-0.71685013540385623</v>
      </c>
      <c r="AH903" s="57">
        <f t="shared" ref="AH903:AH966" si="461">(($G$29-X903)/(AL903^2+$F$34^2)^(3/2))*$E$33</f>
        <v>-1.1979519828252656</v>
      </c>
      <c r="AJ903" s="57">
        <f t="shared" ref="AJ903:AJ966" si="462">SQRT(($E$7-W903)^2+($G$7-X903)^2)</f>
        <v>580236.28689685138</v>
      </c>
      <c r="AK903" s="57">
        <f t="shared" ref="AK903:AK966" si="463">SQRT(($E$18-W903)^2+($G$18-X903)^2)</f>
        <v>599097.79356546607</v>
      </c>
      <c r="AL903" s="57">
        <f t="shared" ref="AL903:AL966" si="464">SQRT(($E$29-W903)^2+($G$29-X903)^2)</f>
        <v>612296.16556977353</v>
      </c>
      <c r="AN903" s="41">
        <v>898</v>
      </c>
      <c r="AO903" s="57">
        <f t="shared" ref="AO903:AO966" si="465">$F$41*COS(AN903*PI()/180)+$E$40</f>
        <v>-2495.4312026432181</v>
      </c>
      <c r="AP903" s="57">
        <f t="shared" ref="AP903:AP966" si="466">$F$41*SIN(AN903*PI()/180)+$G$40</f>
        <v>15261.746225268758</v>
      </c>
      <c r="AR903" s="41">
        <v>898</v>
      </c>
      <c r="AS903" s="57">
        <f t="shared" ref="AS903:AS966" si="467">$F$52*COS(AR903*PI()/180)+$E$51</f>
        <v>11502.132105433164</v>
      </c>
      <c r="AT903" s="57">
        <f t="shared" ref="AT903:AT966" si="468">$F$52*SIN(AR903*PI()/180)+$G$51</f>
        <v>-4877.8517615412457</v>
      </c>
      <c r="AV903" s="57">
        <f t="shared" ref="AV903:AV966" si="469">(($E$40-W903)/(BA903^2+$F$45^2)^(3/2))*$E$44</f>
        <v>-2.7335907507027009</v>
      </c>
      <c r="AW903" s="57">
        <f t="shared" ref="AW903:AW966" si="470">(($G$40-X903)/(BA903^2+$F$45^2)^(3/2))*$E$44</f>
        <v>-4.4488598559967887</v>
      </c>
      <c r="AX903" s="57">
        <f t="shared" ref="AX903:AX966" si="471">(($E$51-W903)/(BB903^2+$F$56^2)^(3/2))*$E$55</f>
        <v>-0.25277601462213833</v>
      </c>
      <c r="AY903" s="57">
        <f t="shared" ref="AY903:AY966" si="472">(($G$51-X903)/(BB903^2+$F$56^2)^(3/2))*$E$55</f>
        <v>-0.44253311691598807</v>
      </c>
      <c r="BA903" s="57">
        <f t="shared" ref="BA903:BA966" si="473">SQRT(($E$40-W903)^2+($G$40-X903)^2)</f>
        <v>581458.38618163601</v>
      </c>
      <c r="BB903" s="57">
        <f t="shared" ref="BB903:BB966" si="474">SQRT(($E$51-W903)^2+($G$51-X903)^2)</f>
        <v>593567.36220970424</v>
      </c>
    </row>
    <row r="904" spans="9:54" x14ac:dyDescent="0.25">
      <c r="I904" s="41">
        <v>899</v>
      </c>
      <c r="J904" s="57">
        <f t="shared" si="448"/>
        <v>15000.761524218044</v>
      </c>
      <c r="K904" s="57">
        <f t="shared" si="449"/>
        <v>7587.2620321864151</v>
      </c>
      <c r="M904" s="41">
        <v>899</v>
      </c>
      <c r="N904" s="57">
        <f t="shared" si="450"/>
        <v>-23499.46693304737</v>
      </c>
      <c r="O904" s="57">
        <f t="shared" si="451"/>
        <v>10061.08342253049</v>
      </c>
      <c r="Q904" s="41">
        <v>899</v>
      </c>
      <c r="R904" s="57">
        <f t="shared" si="452"/>
        <v>-9999.2384757819564</v>
      </c>
      <c r="S904" s="41">
        <f t="shared" si="453"/>
        <v>-14912.737967813584</v>
      </c>
      <c r="U904" s="41">
        <v>898</v>
      </c>
      <c r="V904" s="41">
        <f t="shared" ref="V904:V967" si="475">V903+0.5</f>
        <v>449</v>
      </c>
      <c r="W904" s="57">
        <f t="shared" ref="W904:W967" si="476">W903+Y903*$F$3+((1/2)*AA903)*$F$3^2</f>
        <v>309596.54181355826</v>
      </c>
      <c r="X904" s="57">
        <f t="shared" ref="X904:X967" si="477">X903+Z903*$F$3+((1/2)*AB903)*$F$3^2</f>
        <v>510556.60739923868</v>
      </c>
      <c r="Y904" s="57">
        <f t="shared" ref="Y904:Y967" si="478">Y903+AA903*$F$3</f>
        <v>383.83197790780042</v>
      </c>
      <c r="Z904" s="57">
        <f t="shared" ref="Z904:Z967" si="479">Z903+AB903*$F$3</f>
        <v>289.2885546340263</v>
      </c>
      <c r="AA904" s="57">
        <f t="shared" si="454"/>
        <v>-4.7511972212265805</v>
      </c>
      <c r="AB904" s="57">
        <f t="shared" si="455"/>
        <v>-7.8478544837738662</v>
      </c>
      <c r="AC904" s="57">
        <f t="shared" si="456"/>
        <v>-0.77497033781004887</v>
      </c>
      <c r="AD904" s="57">
        <f t="shared" si="457"/>
        <v>-1.3461968383060059</v>
      </c>
      <c r="AE904" s="57">
        <f t="shared" si="458"/>
        <v>-0.27491518204301563</v>
      </c>
      <c r="AF904" s="57">
        <f t="shared" si="459"/>
        <v>-0.41751230182456744</v>
      </c>
      <c r="AG904" s="57">
        <f t="shared" si="460"/>
        <v>-0.71650325321114705</v>
      </c>
      <c r="AH904" s="57">
        <f t="shared" si="461"/>
        <v>-1.1969712596883328</v>
      </c>
      <c r="AJ904" s="57">
        <f t="shared" si="462"/>
        <v>580458.53191972617</v>
      </c>
      <c r="AK904" s="57">
        <f t="shared" si="463"/>
        <v>599325.28528879222</v>
      </c>
      <c r="AL904" s="57">
        <f t="shared" si="464"/>
        <v>612519.98473686352</v>
      </c>
      <c r="AN904" s="41">
        <v>899</v>
      </c>
      <c r="AO904" s="57">
        <f t="shared" si="465"/>
        <v>-2498.8577136729346</v>
      </c>
      <c r="AP904" s="57">
        <f t="shared" si="466"/>
        <v>15130.893048279622</v>
      </c>
      <c r="AR904" s="41">
        <v>899</v>
      </c>
      <c r="AS904" s="57">
        <f t="shared" si="467"/>
        <v>11500.53306695263</v>
      </c>
      <c r="AT904" s="57">
        <f t="shared" si="468"/>
        <v>-4938.9165774695093</v>
      </c>
      <c r="AV904" s="57">
        <f t="shared" si="469"/>
        <v>-2.7321506258958439</v>
      </c>
      <c r="AW904" s="57">
        <f t="shared" si="470"/>
        <v>-4.4450120379284765</v>
      </c>
      <c r="AX904" s="57">
        <f t="shared" si="471"/>
        <v>-0.25265782226652522</v>
      </c>
      <c r="AY904" s="57">
        <f t="shared" si="472"/>
        <v>-0.44216204602648401</v>
      </c>
      <c r="BA904" s="57">
        <f t="shared" si="473"/>
        <v>581683.25093801855</v>
      </c>
      <c r="BB904" s="57">
        <f t="shared" si="474"/>
        <v>593789.3042835315</v>
      </c>
    </row>
    <row r="905" spans="9:54" x14ac:dyDescent="0.25">
      <c r="I905" s="41">
        <v>900</v>
      </c>
      <c r="J905" s="57">
        <f t="shared" si="448"/>
        <v>15000</v>
      </c>
      <c r="K905" s="57">
        <f t="shared" si="449"/>
        <v>7500.0000000000027</v>
      </c>
      <c r="M905" s="41">
        <v>900</v>
      </c>
      <c r="N905" s="57">
        <f t="shared" si="450"/>
        <v>-23500</v>
      </c>
      <c r="O905" s="57">
        <f t="shared" si="451"/>
        <v>10000.000000000002</v>
      </c>
      <c r="Q905" s="41">
        <v>900</v>
      </c>
      <c r="R905" s="57">
        <f t="shared" si="452"/>
        <v>-10000</v>
      </c>
      <c r="S905" s="41">
        <f t="shared" si="453"/>
        <v>-14999.999999999996</v>
      </c>
      <c r="U905" s="41">
        <v>899</v>
      </c>
      <c r="V905" s="41">
        <f t="shared" si="475"/>
        <v>449.5</v>
      </c>
      <c r="W905" s="57">
        <f t="shared" si="476"/>
        <v>309787.86390285951</v>
      </c>
      <c r="X905" s="57">
        <f t="shared" si="477"/>
        <v>510700.27069474524</v>
      </c>
      <c r="Y905" s="57">
        <f t="shared" si="478"/>
        <v>381.45637929718714</v>
      </c>
      <c r="Z905" s="57">
        <f t="shared" si="479"/>
        <v>285.36462739213937</v>
      </c>
      <c r="AA905" s="57">
        <f t="shared" si="454"/>
        <v>-4.7488028384469345</v>
      </c>
      <c r="AB905" s="57">
        <f t="shared" si="455"/>
        <v>-7.841212982764036</v>
      </c>
      <c r="AC905" s="57">
        <f t="shared" si="456"/>
        <v>-0.77460163728610654</v>
      </c>
      <c r="AD905" s="57">
        <f t="shared" si="457"/>
        <v>-1.3450520263803065</v>
      </c>
      <c r="AE905" s="57">
        <f t="shared" si="458"/>
        <v>-0.27476494170142368</v>
      </c>
      <c r="AF905" s="57">
        <f t="shared" si="459"/>
        <v>-0.41716174470220058</v>
      </c>
      <c r="AG905" s="57">
        <f t="shared" si="460"/>
        <v>-0.71616185022101697</v>
      </c>
      <c r="AH905" s="57">
        <f t="shared" si="461"/>
        <v>-1.1960006140472375</v>
      </c>
      <c r="AJ905" s="57">
        <f t="shared" si="462"/>
        <v>580678.49839015654</v>
      </c>
      <c r="AK905" s="57">
        <f t="shared" si="463"/>
        <v>599550.49516400381</v>
      </c>
      <c r="AL905" s="57">
        <f t="shared" si="464"/>
        <v>612741.52288632572</v>
      </c>
      <c r="AN905" s="41">
        <v>900</v>
      </c>
      <c r="AO905" s="57">
        <f t="shared" si="465"/>
        <v>-2500</v>
      </c>
      <c r="AP905" s="57">
        <f t="shared" si="466"/>
        <v>15000.000000000005</v>
      </c>
      <c r="AR905" s="41">
        <v>900</v>
      </c>
      <c r="AS905" s="57">
        <f t="shared" si="467"/>
        <v>11500</v>
      </c>
      <c r="AT905" s="57">
        <f t="shared" si="468"/>
        <v>-4999.9999999999982</v>
      </c>
      <c r="AV905" s="57">
        <f t="shared" si="469"/>
        <v>-2.7307328382605855</v>
      </c>
      <c r="AW905" s="57">
        <f t="shared" si="470"/>
        <v>-4.4412037598459726</v>
      </c>
      <c r="AX905" s="57">
        <f t="shared" si="471"/>
        <v>-0.25254157097780211</v>
      </c>
      <c r="AY905" s="57">
        <f t="shared" si="472"/>
        <v>-0.44179483778831868</v>
      </c>
      <c r="BA905" s="57">
        <f t="shared" si="473"/>
        <v>581905.83460669278</v>
      </c>
      <c r="BB905" s="57">
        <f t="shared" si="474"/>
        <v>594008.96786079276</v>
      </c>
    </row>
    <row r="906" spans="9:54" x14ac:dyDescent="0.25">
      <c r="I906" s="41">
        <v>901</v>
      </c>
      <c r="J906" s="57">
        <f t="shared" si="448"/>
        <v>15000.761524218044</v>
      </c>
      <c r="K906" s="57">
        <f t="shared" si="449"/>
        <v>7412.7379678135912</v>
      </c>
      <c r="M906" s="41">
        <v>901</v>
      </c>
      <c r="N906" s="57">
        <f t="shared" si="450"/>
        <v>-23499.46693304737</v>
      </c>
      <c r="O906" s="57">
        <f t="shared" si="451"/>
        <v>9938.9165774695139</v>
      </c>
      <c r="Q906" s="41">
        <v>901</v>
      </c>
      <c r="R906" s="57">
        <f t="shared" si="452"/>
        <v>-9999.2384757819564</v>
      </c>
      <c r="S906" s="41">
        <f t="shared" si="453"/>
        <v>-15087.262032186409</v>
      </c>
      <c r="U906" s="41">
        <v>900</v>
      </c>
      <c r="V906" s="41">
        <f t="shared" si="475"/>
        <v>450</v>
      </c>
      <c r="W906" s="57">
        <f t="shared" si="476"/>
        <v>309977.9984921533</v>
      </c>
      <c r="X906" s="57">
        <f t="shared" si="477"/>
        <v>510841.97285681847</v>
      </c>
      <c r="Y906" s="57">
        <f t="shared" si="478"/>
        <v>379.08197787796365</v>
      </c>
      <c r="Z906" s="57">
        <f t="shared" si="479"/>
        <v>281.44402090075732</v>
      </c>
      <c r="AA906" s="57">
        <f t="shared" si="454"/>
        <v>-4.7464464731993488</v>
      </c>
      <c r="AB906" s="57">
        <f t="shared" si="455"/>
        <v>-7.8346403001706619</v>
      </c>
      <c r="AC906" s="57">
        <f t="shared" si="456"/>
        <v>-0.77423903834280394</v>
      </c>
      <c r="AD906" s="57">
        <f t="shared" si="457"/>
        <v>-1.3439192181774375</v>
      </c>
      <c r="AE906" s="57">
        <f t="shared" si="458"/>
        <v>-0.27461695048019119</v>
      </c>
      <c r="AF906" s="57">
        <f t="shared" si="459"/>
        <v>-0.41681474488273434</v>
      </c>
      <c r="AG906" s="57">
        <f t="shared" si="460"/>
        <v>-0.71582591047903177</v>
      </c>
      <c r="AH906" s="57">
        <f t="shared" si="461"/>
        <v>-1.1950400053027816</v>
      </c>
      <c r="AJ906" s="57">
        <f t="shared" si="462"/>
        <v>580896.18801375292</v>
      </c>
      <c r="AK906" s="57">
        <f t="shared" si="463"/>
        <v>599773.42493978306</v>
      </c>
      <c r="AL906" s="57">
        <f t="shared" si="464"/>
        <v>612960.78174062155</v>
      </c>
      <c r="AN906" s="41">
        <v>901</v>
      </c>
      <c r="AO906" s="57">
        <f t="shared" si="465"/>
        <v>-2498.8577136729346</v>
      </c>
      <c r="AP906" s="57">
        <f t="shared" si="466"/>
        <v>14869.106951720387</v>
      </c>
      <c r="AR906" s="41">
        <v>901</v>
      </c>
      <c r="AS906" s="57">
        <f t="shared" si="467"/>
        <v>11500.53306695263</v>
      </c>
      <c r="AT906" s="57">
        <f t="shared" si="468"/>
        <v>-5061.0834225304861</v>
      </c>
      <c r="AV906" s="57">
        <f t="shared" si="469"/>
        <v>-2.7293373186038341</v>
      </c>
      <c r="AW906" s="57">
        <f t="shared" si="470"/>
        <v>-4.4374348554296885</v>
      </c>
      <c r="AX906" s="57">
        <f t="shared" si="471"/>
        <v>-0.25242725529348758</v>
      </c>
      <c r="AY906" s="57">
        <f t="shared" si="472"/>
        <v>-0.44143147637801938</v>
      </c>
      <c r="BA906" s="57">
        <f t="shared" si="473"/>
        <v>582126.13891734998</v>
      </c>
      <c r="BB906" s="57">
        <f t="shared" si="474"/>
        <v>594226.35464547633</v>
      </c>
    </row>
    <row r="907" spans="9:54" x14ac:dyDescent="0.25">
      <c r="I907" s="41">
        <v>902</v>
      </c>
      <c r="J907" s="57">
        <f t="shared" si="448"/>
        <v>15003.045864904521</v>
      </c>
      <c r="K907" s="57">
        <f t="shared" si="449"/>
        <v>7325.5025164874914</v>
      </c>
      <c r="M907" s="41">
        <v>902</v>
      </c>
      <c r="N907" s="57">
        <f t="shared" si="450"/>
        <v>-23497.867894566836</v>
      </c>
      <c r="O907" s="57">
        <f t="shared" si="451"/>
        <v>9877.8517615412438</v>
      </c>
      <c r="Q907" s="41">
        <v>902</v>
      </c>
      <c r="R907" s="57">
        <f t="shared" si="452"/>
        <v>-9996.9541350954787</v>
      </c>
      <c r="S907" s="41">
        <f t="shared" si="453"/>
        <v>-15174.497483512509</v>
      </c>
      <c r="U907" s="41">
        <v>901</v>
      </c>
      <c r="V907" s="41">
        <f t="shared" si="475"/>
        <v>450.5</v>
      </c>
      <c r="W907" s="57">
        <f t="shared" si="476"/>
        <v>310166.94617528317</v>
      </c>
      <c r="X907" s="57">
        <f t="shared" si="477"/>
        <v>510981.7155372313</v>
      </c>
      <c r="Y907" s="57">
        <f t="shared" si="478"/>
        <v>376.70875464136395</v>
      </c>
      <c r="Z907" s="57">
        <f t="shared" si="479"/>
        <v>277.52670075067198</v>
      </c>
      <c r="AA907" s="57">
        <f t="shared" si="454"/>
        <v>-4.744128011762113</v>
      </c>
      <c r="AB907" s="57">
        <f t="shared" si="455"/>
        <v>-7.8281361517564125</v>
      </c>
      <c r="AC907" s="57">
        <f t="shared" si="456"/>
        <v>-0.77388252362923304</v>
      </c>
      <c r="AD907" s="57">
        <f t="shared" si="457"/>
        <v>-1.3427983640347452</v>
      </c>
      <c r="AE907" s="57">
        <f t="shared" si="458"/>
        <v>-0.27447120119258234</v>
      </c>
      <c r="AF907" s="57">
        <f t="shared" si="459"/>
        <v>-0.4164712877285543</v>
      </c>
      <c r="AG907" s="57">
        <f t="shared" si="460"/>
        <v>-0.71549541828216701</v>
      </c>
      <c r="AH907" s="57">
        <f t="shared" si="461"/>
        <v>-1.1940893933648085</v>
      </c>
      <c r="AJ907" s="57">
        <f t="shared" si="462"/>
        <v>581111.60247666982</v>
      </c>
      <c r="AK907" s="57">
        <f t="shared" si="463"/>
        <v>599994.07634520833</v>
      </c>
      <c r="AL907" s="57">
        <f t="shared" si="464"/>
        <v>613177.7630026571</v>
      </c>
      <c r="AN907" s="41">
        <v>902</v>
      </c>
      <c r="AO907" s="57">
        <f t="shared" si="465"/>
        <v>-2495.4312026432171</v>
      </c>
      <c r="AP907" s="57">
        <f t="shared" si="466"/>
        <v>14738.253774731236</v>
      </c>
      <c r="AR907" s="41">
        <v>902</v>
      </c>
      <c r="AS907" s="57">
        <f t="shared" si="467"/>
        <v>11502.132105433166</v>
      </c>
      <c r="AT907" s="57">
        <f t="shared" si="468"/>
        <v>-5122.1482384587562</v>
      </c>
      <c r="AV907" s="57">
        <f t="shared" si="469"/>
        <v>-2.7279639988183866</v>
      </c>
      <c r="AW907" s="57">
        <f t="shared" si="470"/>
        <v>-4.4337051604553368</v>
      </c>
      <c r="AX907" s="57">
        <f t="shared" si="471"/>
        <v>-0.25231486983974305</v>
      </c>
      <c r="AY907" s="57">
        <f t="shared" si="472"/>
        <v>-0.44107194617296797</v>
      </c>
      <c r="BA907" s="57">
        <f t="shared" si="473"/>
        <v>582344.16558011749</v>
      </c>
      <c r="BB907" s="57">
        <f t="shared" si="474"/>
        <v>594441.46632211551</v>
      </c>
    </row>
    <row r="908" spans="9:54" x14ac:dyDescent="0.25">
      <c r="I908" s="41">
        <v>903</v>
      </c>
      <c r="J908" s="57">
        <f t="shared" si="448"/>
        <v>15006.85232622713</v>
      </c>
      <c r="K908" s="57">
        <f t="shared" si="449"/>
        <v>7238.3202187852821</v>
      </c>
      <c r="M908" s="41">
        <v>903</v>
      </c>
      <c r="N908" s="57">
        <f t="shared" si="450"/>
        <v>-23495.203371641008</v>
      </c>
      <c r="O908" s="57">
        <f t="shared" si="451"/>
        <v>9816.8241531496969</v>
      </c>
      <c r="Q908" s="41">
        <v>903</v>
      </c>
      <c r="R908" s="57">
        <f t="shared" si="452"/>
        <v>-9993.1476737728699</v>
      </c>
      <c r="S908" s="41">
        <f t="shared" si="453"/>
        <v>-15261.679781214718</v>
      </c>
      <c r="U908" s="41">
        <v>902</v>
      </c>
      <c r="V908" s="41">
        <f t="shared" si="475"/>
        <v>451</v>
      </c>
      <c r="W908" s="57">
        <f t="shared" si="476"/>
        <v>310354.70753660239</v>
      </c>
      <c r="X908" s="57">
        <f t="shared" si="477"/>
        <v>511119.50037058769</v>
      </c>
      <c r="Y908" s="57">
        <f t="shared" si="478"/>
        <v>374.33669063548291</v>
      </c>
      <c r="Z908" s="57">
        <f t="shared" si="479"/>
        <v>273.61263267479376</v>
      </c>
      <c r="AA908" s="57">
        <f t="shared" si="454"/>
        <v>-4.7418473422234122</v>
      </c>
      <c r="AB908" s="57">
        <f t="shared" si="455"/>
        <v>-7.8217002568817202</v>
      </c>
      <c r="AC908" s="57">
        <f t="shared" si="456"/>
        <v>-0.77353207607856023</v>
      </c>
      <c r="AD908" s="57">
        <f t="shared" si="457"/>
        <v>-1.3416894149243261</v>
      </c>
      <c r="AE908" s="57">
        <f t="shared" si="458"/>
        <v>-0.27432768676188168</v>
      </c>
      <c r="AF908" s="57">
        <f t="shared" si="459"/>
        <v>-0.4161313587841089</v>
      </c>
      <c r="AG908" s="57">
        <f t="shared" si="460"/>
        <v>-0.71517035817710606</v>
      </c>
      <c r="AH908" s="57">
        <f t="shared" si="461"/>
        <v>-1.1931487386479596</v>
      </c>
      <c r="AJ908" s="57">
        <f t="shared" si="462"/>
        <v>581324.74344568048</v>
      </c>
      <c r="AK908" s="57">
        <f t="shared" si="463"/>
        <v>600212.45108983002</v>
      </c>
      <c r="AL908" s="57">
        <f t="shared" si="464"/>
        <v>613392.46835585847</v>
      </c>
      <c r="AN908" s="41">
        <v>903</v>
      </c>
      <c r="AO908" s="57">
        <f t="shared" si="465"/>
        <v>-2489.7215106593048</v>
      </c>
      <c r="AP908" s="57">
        <f t="shared" si="466"/>
        <v>14607.480328177924</v>
      </c>
      <c r="AR908" s="41">
        <v>903</v>
      </c>
      <c r="AS908" s="57">
        <f t="shared" si="467"/>
        <v>11504.796628358992</v>
      </c>
      <c r="AT908" s="57">
        <f t="shared" si="468"/>
        <v>-5183.1758468503022</v>
      </c>
      <c r="AV908" s="57">
        <f t="shared" si="469"/>
        <v>-2.7266128118750892</v>
      </c>
      <c r="AW908" s="57">
        <f t="shared" si="470"/>
        <v>-4.4300145127756494</v>
      </c>
      <c r="AX908" s="57">
        <f t="shared" si="471"/>
        <v>-0.25220440933077581</v>
      </c>
      <c r="AY908" s="57">
        <f t="shared" si="472"/>
        <v>-0.4407162317496765</v>
      </c>
      <c r="BA908" s="57">
        <f t="shared" si="473"/>
        <v>582559.91628563451</v>
      </c>
      <c r="BB908" s="57">
        <f t="shared" si="474"/>
        <v>594654.30455586291</v>
      </c>
    </row>
    <row r="909" spans="9:54" x14ac:dyDescent="0.25">
      <c r="I909" s="41">
        <v>904</v>
      </c>
      <c r="J909" s="57">
        <f t="shared" si="448"/>
        <v>15012.179748700877</v>
      </c>
      <c r="K909" s="57">
        <f t="shared" si="449"/>
        <v>7151.2176312793808</v>
      </c>
      <c r="M909" s="41">
        <v>904</v>
      </c>
      <c r="N909" s="57">
        <f t="shared" si="450"/>
        <v>-23491.474175909385</v>
      </c>
      <c r="O909" s="57">
        <f t="shared" si="451"/>
        <v>9755.8523418955665</v>
      </c>
      <c r="Q909" s="41">
        <v>904</v>
      </c>
      <c r="R909" s="57">
        <f t="shared" si="452"/>
        <v>-9987.8202512991229</v>
      </c>
      <c r="S909" s="41">
        <f t="shared" si="453"/>
        <v>-15348.78236872062</v>
      </c>
      <c r="U909" s="41">
        <v>903</v>
      </c>
      <c r="V909" s="41">
        <f t="shared" si="475"/>
        <v>451.5</v>
      </c>
      <c r="W909" s="57">
        <f t="shared" si="476"/>
        <v>310541.28315100237</v>
      </c>
      <c r="X909" s="57">
        <f t="shared" si="477"/>
        <v>511255.32897439296</v>
      </c>
      <c r="Y909" s="57">
        <f t="shared" si="478"/>
        <v>371.9657669643712</v>
      </c>
      <c r="Z909" s="57">
        <f t="shared" si="479"/>
        <v>269.70178254635289</v>
      </c>
      <c r="AA909" s="57">
        <f t="shared" si="454"/>
        <v>-4.7396043544687032</v>
      </c>
      <c r="AB909" s="57">
        <f t="shared" si="455"/>
        <v>-7.8153323384739481</v>
      </c>
      <c r="AC909" s="57">
        <f t="shared" si="456"/>
        <v>-0.77318767890612383</v>
      </c>
      <c r="AD909" s="57">
        <f t="shared" si="457"/>
        <v>-1.3405923224475782</v>
      </c>
      <c r="AE909" s="57">
        <f t="shared" si="458"/>
        <v>-0.27418640022058366</v>
      </c>
      <c r="AF909" s="57">
        <f t="shared" si="459"/>
        <v>-0.41579494377435211</v>
      </c>
      <c r="AG909" s="57">
        <f t="shared" si="460"/>
        <v>-0.7148507149585539</v>
      </c>
      <c r="AH909" s="57">
        <f t="shared" si="461"/>
        <v>-1.1922180020674695</v>
      </c>
      <c r="AJ909" s="57">
        <f t="shared" si="462"/>
        <v>581535.61256825004</v>
      </c>
      <c r="AK909" s="57">
        <f t="shared" si="463"/>
        <v>600428.55086374597</v>
      </c>
      <c r="AL909" s="57">
        <f t="shared" si="464"/>
        <v>613604.89946424612</v>
      </c>
      <c r="AN909" s="41">
        <v>904</v>
      </c>
      <c r="AO909" s="57">
        <f t="shared" si="465"/>
        <v>-2481.7303769486825</v>
      </c>
      <c r="AP909" s="57">
        <f t="shared" si="466"/>
        <v>14476.826446919071</v>
      </c>
      <c r="AR909" s="41">
        <v>904</v>
      </c>
      <c r="AS909" s="57">
        <f t="shared" si="467"/>
        <v>11508.525824090615</v>
      </c>
      <c r="AT909" s="57">
        <f t="shared" si="468"/>
        <v>-5244.1476581044335</v>
      </c>
      <c r="AV909" s="57">
        <f t="shared" si="469"/>
        <v>-2.7252836918151737</v>
      </c>
      <c r="AW909" s="57">
        <f t="shared" si="470"/>
        <v>-4.4263627523024303</v>
      </c>
      <c r="AX909" s="57">
        <f t="shared" si="471"/>
        <v>-0.25209586856826877</v>
      </c>
      <c r="AY909" s="57">
        <f t="shared" si="472"/>
        <v>-0.44036431788211761</v>
      </c>
      <c r="BA909" s="57">
        <f t="shared" si="473"/>
        <v>582773.39270512678</v>
      </c>
      <c r="BB909" s="57">
        <f t="shared" si="474"/>
        <v>594864.8709925639</v>
      </c>
    </row>
    <row r="910" spans="9:54" x14ac:dyDescent="0.25">
      <c r="I910" s="41">
        <v>905</v>
      </c>
      <c r="J910" s="57">
        <f t="shared" si="448"/>
        <v>15019.026509541272</v>
      </c>
      <c r="K910" s="57">
        <f t="shared" si="449"/>
        <v>7064.2212862617216</v>
      </c>
      <c r="M910" s="41">
        <v>905</v>
      </c>
      <c r="N910" s="57">
        <f t="shared" si="450"/>
        <v>-23486.681443321111</v>
      </c>
      <c r="O910" s="57">
        <f t="shared" si="451"/>
        <v>9694.9549003832053</v>
      </c>
      <c r="Q910" s="41">
        <v>905</v>
      </c>
      <c r="R910" s="57">
        <f t="shared" si="452"/>
        <v>-9980.9734904587276</v>
      </c>
      <c r="S910" s="41">
        <f t="shared" si="453"/>
        <v>-15435.778713738278</v>
      </c>
      <c r="U910" s="41">
        <v>904</v>
      </c>
      <c r="V910" s="41">
        <f t="shared" si="475"/>
        <v>452</v>
      </c>
      <c r="W910" s="57">
        <f t="shared" si="476"/>
        <v>310726.67358394025</v>
      </c>
      <c r="X910" s="57">
        <f t="shared" si="477"/>
        <v>511389.20294912381</v>
      </c>
      <c r="Y910" s="57">
        <f t="shared" si="478"/>
        <v>369.59596478713684</v>
      </c>
      <c r="Z910" s="57">
        <f t="shared" si="479"/>
        <v>265.79411637711593</v>
      </c>
      <c r="AA910" s="57">
        <f t="shared" si="454"/>
        <v>-4.7373989401684984</v>
      </c>
      <c r="AB910" s="57">
        <f t="shared" si="455"/>
        <v>-7.8090321229974098</v>
      </c>
      <c r="AC910" s="57">
        <f t="shared" si="456"/>
        <v>-0.77284931560764247</v>
      </c>
      <c r="AD910" s="57">
        <f t="shared" si="457"/>
        <v>-1.339507038829969</v>
      </c>
      <c r="AE910" s="57">
        <f t="shared" si="458"/>
        <v>-0.27404733470960441</v>
      </c>
      <c r="AF910" s="57">
        <f t="shared" si="459"/>
        <v>-0.41546202860322456</v>
      </c>
      <c r="AG910" s="57">
        <f t="shared" si="460"/>
        <v>-0.71453647366756146</v>
      </c>
      <c r="AH910" s="57">
        <f t="shared" si="461"/>
        <v>-1.1912971450349998</v>
      </c>
      <c r="AJ910" s="57">
        <f t="shared" si="462"/>
        <v>581744.2114726078</v>
      </c>
      <c r="AK910" s="57">
        <f t="shared" si="463"/>
        <v>600642.37733767659</v>
      </c>
      <c r="AL910" s="57">
        <f t="shared" si="464"/>
        <v>613815.05797250837</v>
      </c>
      <c r="AN910" s="41">
        <v>905</v>
      </c>
      <c r="AO910" s="57">
        <f t="shared" si="465"/>
        <v>-2471.4602356880932</v>
      </c>
      <c r="AP910" s="57">
        <f t="shared" si="466"/>
        <v>14346.331929392582</v>
      </c>
      <c r="AR910" s="41">
        <v>905</v>
      </c>
      <c r="AS910" s="57">
        <f t="shared" si="467"/>
        <v>11513.318556678889</v>
      </c>
      <c r="AT910" s="57">
        <f t="shared" si="468"/>
        <v>-5305.0450996167947</v>
      </c>
      <c r="AV910" s="57">
        <f t="shared" si="469"/>
        <v>-2.7239765737428763</v>
      </c>
      <c r="AW910" s="57">
        <f t="shared" si="470"/>
        <v>-4.4227497209891462</v>
      </c>
      <c r="AX910" s="57">
        <f t="shared" si="471"/>
        <v>-0.251989242440814</v>
      </c>
      <c r="AY910" s="57">
        <f t="shared" si="472"/>
        <v>-0.44001618954006999</v>
      </c>
      <c r="BA910" s="57">
        <f t="shared" si="473"/>
        <v>582984.59649047989</v>
      </c>
      <c r="BB910" s="57">
        <f t="shared" si="474"/>
        <v>595073.16725882853</v>
      </c>
    </row>
    <row r="911" spans="9:54" x14ac:dyDescent="0.25">
      <c r="I911" s="41">
        <v>906</v>
      </c>
      <c r="J911" s="57">
        <f t="shared" si="448"/>
        <v>15027.390523158632</v>
      </c>
      <c r="K911" s="57">
        <f t="shared" si="449"/>
        <v>6977.3576836617331</v>
      </c>
      <c r="M911" s="41">
        <v>906</v>
      </c>
      <c r="N911" s="57">
        <f t="shared" si="450"/>
        <v>-23480.826633788958</v>
      </c>
      <c r="O911" s="57">
        <f t="shared" si="451"/>
        <v>9634.1503785632121</v>
      </c>
      <c r="Q911" s="41">
        <v>906</v>
      </c>
      <c r="R911" s="57">
        <f t="shared" si="452"/>
        <v>-9972.6094768413677</v>
      </c>
      <c r="S911" s="41">
        <f t="shared" si="453"/>
        <v>-15522.642316338268</v>
      </c>
      <c r="U911" s="41">
        <v>905</v>
      </c>
      <c r="V911" s="41">
        <f t="shared" si="475"/>
        <v>452.5</v>
      </c>
      <c r="W911" s="57">
        <f t="shared" si="476"/>
        <v>310910.87939146633</v>
      </c>
      <c r="X911" s="57">
        <f t="shared" si="477"/>
        <v>511521.12387829699</v>
      </c>
      <c r="Y911" s="57">
        <f t="shared" si="478"/>
        <v>367.22726531705257</v>
      </c>
      <c r="Z911" s="57">
        <f t="shared" si="479"/>
        <v>261.8896003156172</v>
      </c>
      <c r="AA911" s="57">
        <f t="shared" si="454"/>
        <v>-4.7352309927660574</v>
      </c>
      <c r="AB911" s="57">
        <f t="shared" si="455"/>
        <v>-7.8027993404232801</v>
      </c>
      <c r="AC911" s="57">
        <f t="shared" si="456"/>
        <v>-0.772516969957314</v>
      </c>
      <c r="AD911" s="57">
        <f t="shared" si="457"/>
        <v>-1.3384335169156405</v>
      </c>
      <c r="AE911" s="57">
        <f t="shared" si="458"/>
        <v>-0.27391048347749769</v>
      </c>
      <c r="AF911" s="57">
        <f t="shared" si="459"/>
        <v>-0.41513259935214136</v>
      </c>
      <c r="AG911" s="57">
        <f t="shared" si="460"/>
        <v>-0.71422761958994241</v>
      </c>
      <c r="AH911" s="57">
        <f t="shared" si="461"/>
        <v>-1.1903861294546336</v>
      </c>
      <c r="AJ911" s="57">
        <f t="shared" si="462"/>
        <v>581950.54176781885</v>
      </c>
      <c r="AK911" s="57">
        <f t="shared" si="463"/>
        <v>600853.93216303713</v>
      </c>
      <c r="AL911" s="57">
        <f t="shared" si="464"/>
        <v>614022.94550607342</v>
      </c>
      <c r="AN911" s="41">
        <v>906</v>
      </c>
      <c r="AO911" s="57">
        <f t="shared" si="465"/>
        <v>-2458.9142152620498</v>
      </c>
      <c r="AP911" s="57">
        <f t="shared" si="466"/>
        <v>14216.0365254926</v>
      </c>
      <c r="AR911" s="41">
        <v>906</v>
      </c>
      <c r="AS911" s="57">
        <f t="shared" si="467"/>
        <v>11519.173366211044</v>
      </c>
      <c r="AT911" s="57">
        <f t="shared" si="468"/>
        <v>-5365.8496214367869</v>
      </c>
      <c r="AV911" s="57">
        <f t="shared" si="469"/>
        <v>-2.7226913938179438</v>
      </c>
      <c r="AW911" s="57">
        <f t="shared" si="470"/>
        <v>-4.4191752628133694</v>
      </c>
      <c r="AX911" s="57">
        <f t="shared" si="471"/>
        <v>-0.25188452592335964</v>
      </c>
      <c r="AY911" s="57">
        <f t="shared" si="472"/>
        <v>-0.43967183188749548</v>
      </c>
      <c r="BA911" s="57">
        <f t="shared" si="473"/>
        <v>583193.52927431173</v>
      </c>
      <c r="BB911" s="57">
        <f t="shared" si="474"/>
        <v>595279.1949621035</v>
      </c>
    </row>
    <row r="912" spans="9:54" x14ac:dyDescent="0.25">
      <c r="I912" s="41">
        <v>907</v>
      </c>
      <c r="J912" s="57">
        <f t="shared" si="448"/>
        <v>15037.269241793389</v>
      </c>
      <c r="K912" s="57">
        <f t="shared" si="449"/>
        <v>6890.6532829742682</v>
      </c>
      <c r="M912" s="41">
        <v>907</v>
      </c>
      <c r="N912" s="57">
        <f t="shared" si="450"/>
        <v>-23473.911530744626</v>
      </c>
      <c r="O912" s="57">
        <f t="shared" si="451"/>
        <v>9573.4572980819885</v>
      </c>
      <c r="Q912" s="41">
        <v>907</v>
      </c>
      <c r="R912" s="57">
        <f t="shared" si="452"/>
        <v>-9962.7307582066114</v>
      </c>
      <c r="S912" s="41">
        <f t="shared" si="453"/>
        <v>-15609.346717025732</v>
      </c>
      <c r="U912" s="41">
        <v>906</v>
      </c>
      <c r="V912" s="41">
        <f t="shared" si="475"/>
        <v>453</v>
      </c>
      <c r="W912" s="57">
        <f t="shared" si="476"/>
        <v>311093.90112025081</v>
      </c>
      <c r="X912" s="57">
        <f t="shared" si="477"/>
        <v>511651.09332853724</v>
      </c>
      <c r="Y912" s="57">
        <f t="shared" si="478"/>
        <v>364.85964982066952</v>
      </c>
      <c r="Z912" s="57">
        <f t="shared" si="479"/>
        <v>257.98820064540558</v>
      </c>
      <c r="AA912" s="57">
        <f t="shared" si="454"/>
        <v>-4.7331004074655025</v>
      </c>
      <c r="AB912" s="57">
        <f t="shared" si="455"/>
        <v>-7.7966337242003538</v>
      </c>
      <c r="AC912" s="57">
        <f t="shared" si="456"/>
        <v>-0.77219062600606281</v>
      </c>
      <c r="AD912" s="57">
        <f t="shared" si="457"/>
        <v>-1.3373717101622962</v>
      </c>
      <c r="AE912" s="57">
        <f t="shared" si="458"/>
        <v>-0.27377583987968723</v>
      </c>
      <c r="AF912" s="57">
        <f t="shared" si="459"/>
        <v>-0.41480664227850822</v>
      </c>
      <c r="AG912" s="57">
        <f t="shared" si="460"/>
        <v>-0.71392413825461332</v>
      </c>
      <c r="AH912" s="57">
        <f t="shared" si="461"/>
        <v>-1.1894849177187676</v>
      </c>
      <c r="AJ912" s="57">
        <f t="shared" si="462"/>
        <v>582154.6050438541</v>
      </c>
      <c r="AK912" s="57">
        <f t="shared" si="463"/>
        <v>601063.21697201137</v>
      </c>
      <c r="AL912" s="57">
        <f t="shared" si="464"/>
        <v>614228.56367118133</v>
      </c>
      <c r="AN912" s="41">
        <v>907</v>
      </c>
      <c r="AO912" s="57">
        <f t="shared" si="465"/>
        <v>-2444.0961373099162</v>
      </c>
      <c r="AP912" s="57">
        <f t="shared" si="466"/>
        <v>14085.979924461402</v>
      </c>
      <c r="AR912" s="41">
        <v>907</v>
      </c>
      <c r="AS912" s="57">
        <f t="shared" si="467"/>
        <v>11526.088469255372</v>
      </c>
      <c r="AT912" s="57">
        <f t="shared" si="468"/>
        <v>-5426.5427019180124</v>
      </c>
      <c r="AV912" s="57">
        <f t="shared" si="469"/>
        <v>-2.721428089248481</v>
      </c>
      <c r="AW912" s="57">
        <f t="shared" si="470"/>
        <v>-4.4156392237598547</v>
      </c>
      <c r="AX912" s="57">
        <f t="shared" si="471"/>
        <v>-0.25178171407665884</v>
      </c>
      <c r="AY912" s="57">
        <f t="shared" si="472"/>
        <v>-0.43933123028092697</v>
      </c>
      <c r="BA912" s="57">
        <f t="shared" si="473"/>
        <v>583400.19267004472</v>
      </c>
      <c r="BB912" s="57">
        <f t="shared" si="474"/>
        <v>595482.95569074166</v>
      </c>
    </row>
    <row r="913" spans="9:54" x14ac:dyDescent="0.25">
      <c r="I913" s="41">
        <v>908</v>
      </c>
      <c r="J913" s="57">
        <f t="shared" si="448"/>
        <v>15048.659656292148</v>
      </c>
      <c r="K913" s="57">
        <f t="shared" si="449"/>
        <v>6804.1344951996834</v>
      </c>
      <c r="M913" s="41">
        <v>908</v>
      </c>
      <c r="N913" s="57">
        <f t="shared" si="450"/>
        <v>-23465.938240595497</v>
      </c>
      <c r="O913" s="57">
        <f t="shared" si="451"/>
        <v>9512.8941466397791</v>
      </c>
      <c r="Q913" s="41">
        <v>908</v>
      </c>
      <c r="R913" s="57">
        <f t="shared" si="452"/>
        <v>-9951.3403437078523</v>
      </c>
      <c r="S913" s="41">
        <f t="shared" si="453"/>
        <v>-15695.865504800317</v>
      </c>
      <c r="U913" s="41">
        <v>907</v>
      </c>
      <c r="V913" s="41">
        <f t="shared" si="475"/>
        <v>453.5</v>
      </c>
      <c r="W913" s="57">
        <f t="shared" si="476"/>
        <v>311275.73930761026</v>
      </c>
      <c r="X913" s="57">
        <f t="shared" si="477"/>
        <v>511779.11284964444</v>
      </c>
      <c r="Y913" s="57">
        <f t="shared" si="478"/>
        <v>362.49309961693677</v>
      </c>
      <c r="Z913" s="57">
        <f t="shared" si="479"/>
        <v>254.0898837833054</v>
      </c>
      <c r="AA913" s="57">
        <f t="shared" si="454"/>
        <v>-4.7310070812201213</v>
      </c>
      <c r="AB913" s="57">
        <f t="shared" si="455"/>
        <v>-7.7905350112261891</v>
      </c>
      <c r="AC913" s="57">
        <f t="shared" si="456"/>
        <v>-0.77187026807978842</v>
      </c>
      <c r="AD913" s="57">
        <f t="shared" si="457"/>
        <v>-1.3363215726361155</v>
      </c>
      <c r="AE913" s="57">
        <f t="shared" si="458"/>
        <v>-0.27364339737772347</v>
      </c>
      <c r="AF913" s="57">
        <f t="shared" si="459"/>
        <v>-0.41448414381427795</v>
      </c>
      <c r="AG913" s="57">
        <f t="shared" si="460"/>
        <v>-0.71362601543209159</v>
      </c>
      <c r="AH913" s="57">
        <f t="shared" si="461"/>
        <v>-1.1885934727042728</v>
      </c>
      <c r="AJ913" s="57">
        <f t="shared" si="462"/>
        <v>582356.40287166019</v>
      </c>
      <c r="AK913" s="57">
        <f t="shared" si="463"/>
        <v>601270.23337762197</v>
      </c>
      <c r="AL913" s="57">
        <f t="shared" si="464"/>
        <v>614431.91405495349</v>
      </c>
      <c r="AN913" s="41">
        <v>908</v>
      </c>
      <c r="AO913" s="57">
        <f t="shared" si="465"/>
        <v>-2427.0105155617794</v>
      </c>
      <c r="AP913" s="57">
        <f t="shared" si="466"/>
        <v>13956.201742799525</v>
      </c>
      <c r="AR913" s="41">
        <v>908</v>
      </c>
      <c r="AS913" s="57">
        <f t="shared" si="467"/>
        <v>11534.061759404503</v>
      </c>
      <c r="AT913" s="57">
        <f t="shared" si="468"/>
        <v>-5487.1058533602218</v>
      </c>
      <c r="AV913" s="57">
        <f t="shared" si="469"/>
        <v>-2.7201865982837741</v>
      </c>
      <c r="AW913" s="57">
        <f t="shared" si="470"/>
        <v>-4.4121414518036159</v>
      </c>
      <c r="AX913" s="57">
        <f t="shared" si="471"/>
        <v>-0.25168080204674331</v>
      </c>
      <c r="AY913" s="57">
        <f t="shared" si="472"/>
        <v>-0.43899437026790705</v>
      </c>
      <c r="BA913" s="57">
        <f t="shared" si="473"/>
        <v>583604.58827197633</v>
      </c>
      <c r="BB913" s="57">
        <f t="shared" si="474"/>
        <v>595684.45101407217</v>
      </c>
    </row>
    <row r="914" spans="9:54" x14ac:dyDescent="0.25">
      <c r="I914" s="41">
        <v>909</v>
      </c>
      <c r="J914" s="57">
        <f t="shared" si="448"/>
        <v>15061.558297024312</v>
      </c>
      <c r="K914" s="57">
        <f t="shared" si="449"/>
        <v>6717.8276747988439</v>
      </c>
      <c r="M914" s="41">
        <v>909</v>
      </c>
      <c r="N914" s="57">
        <f t="shared" si="450"/>
        <v>-23456.909192082981</v>
      </c>
      <c r="O914" s="57">
        <f t="shared" si="451"/>
        <v>9452.4793723591902</v>
      </c>
      <c r="Q914" s="41">
        <v>909</v>
      </c>
      <c r="R914" s="57">
        <f t="shared" si="452"/>
        <v>-9938.4417029756878</v>
      </c>
      <c r="S914" s="41">
        <f t="shared" si="453"/>
        <v>-15782.172325201156</v>
      </c>
      <c r="U914" s="41">
        <v>908</v>
      </c>
      <c r="V914" s="41">
        <f t="shared" si="475"/>
        <v>454</v>
      </c>
      <c r="W914" s="57">
        <f t="shared" si="476"/>
        <v>311456.39448153361</v>
      </c>
      <c r="X914" s="57">
        <f t="shared" si="477"/>
        <v>511905.18397465965</v>
      </c>
      <c r="Y914" s="57">
        <f t="shared" si="478"/>
        <v>360.12759607632671</v>
      </c>
      <c r="Z914" s="57">
        <f t="shared" si="479"/>
        <v>250.19461627769229</v>
      </c>
      <c r="AA914" s="57">
        <f t="shared" si="454"/>
        <v>-4.7289509127209124</v>
      </c>
      <c r="AB914" s="57">
        <f t="shared" si="455"/>
        <v>-7.7845029418187819</v>
      </c>
      <c r="AC914" s="57">
        <f t="shared" si="456"/>
        <v>-0.77155588077761983</v>
      </c>
      <c r="AD914" s="57">
        <f t="shared" si="457"/>
        <v>-1.3352830590067006</v>
      </c>
      <c r="AE914" s="57">
        <f t="shared" si="458"/>
        <v>-0.27351314953853967</v>
      </c>
      <c r="AF914" s="57">
        <f t="shared" si="459"/>
        <v>-0.41416509056450707</v>
      </c>
      <c r="AG914" s="57">
        <f t="shared" si="460"/>
        <v>-0.71333323713290631</v>
      </c>
      <c r="AH914" s="57">
        <f t="shared" si="461"/>
        <v>-1.1877117577685294</v>
      </c>
      <c r="AJ914" s="57">
        <f t="shared" si="462"/>
        <v>582555.93680322717</v>
      </c>
      <c r="AK914" s="57">
        <f t="shared" si="463"/>
        <v>601474.98297380167</v>
      </c>
      <c r="AL914" s="57">
        <f t="shared" si="464"/>
        <v>614632.99822546297</v>
      </c>
      <c r="AN914" s="41">
        <v>909</v>
      </c>
      <c r="AO914" s="57">
        <f t="shared" si="465"/>
        <v>-2407.6625544635326</v>
      </c>
      <c r="AP914" s="57">
        <f t="shared" si="466"/>
        <v>13826.741512198267</v>
      </c>
      <c r="AR914" s="41">
        <v>909</v>
      </c>
      <c r="AS914" s="57">
        <f t="shared" si="467"/>
        <v>11543.090807917019</v>
      </c>
      <c r="AT914" s="57">
        <f t="shared" si="468"/>
        <v>-5547.5206276408089</v>
      </c>
      <c r="AV914" s="57">
        <f t="shared" si="469"/>
        <v>-2.7189668602074586</v>
      </c>
      <c r="AW914" s="57">
        <f t="shared" si="470"/>
        <v>-4.4086817968936272</v>
      </c>
      <c r="AX914" s="57">
        <f t="shared" si="471"/>
        <v>-0.25158178506438716</v>
      </c>
      <c r="AY914" s="57">
        <f t="shared" si="472"/>
        <v>-0.4386612375854177</v>
      </c>
      <c r="BA914" s="57">
        <f t="shared" si="473"/>
        <v>583806.71765534848</v>
      </c>
      <c r="BB914" s="57">
        <f t="shared" si="474"/>
        <v>595883.68248246855</v>
      </c>
    </row>
    <row r="915" spans="9:54" x14ac:dyDescent="0.25">
      <c r="I915" s="41">
        <v>910</v>
      </c>
      <c r="J915" s="57">
        <f t="shared" si="448"/>
        <v>15075.961234938959</v>
      </c>
      <c r="K915" s="57">
        <f t="shared" si="449"/>
        <v>6631.7591116653521</v>
      </c>
      <c r="M915" s="41">
        <v>910</v>
      </c>
      <c r="N915" s="57">
        <f t="shared" si="450"/>
        <v>-23446.827135542728</v>
      </c>
      <c r="O915" s="57">
        <f t="shared" si="451"/>
        <v>9392.2313781657467</v>
      </c>
      <c r="Q915" s="41">
        <v>910</v>
      </c>
      <c r="R915" s="57">
        <f t="shared" si="452"/>
        <v>-9924.038765061041</v>
      </c>
      <c r="S915" s="41">
        <f t="shared" si="453"/>
        <v>-15868.240888334647</v>
      </c>
      <c r="U915" s="41">
        <v>909</v>
      </c>
      <c r="V915" s="41">
        <f t="shared" si="475"/>
        <v>454.5</v>
      </c>
      <c r="W915" s="57">
        <f t="shared" si="476"/>
        <v>311635.86716070771</v>
      </c>
      <c r="X915" s="57">
        <f t="shared" si="477"/>
        <v>512029.3082199308</v>
      </c>
      <c r="Y915" s="57">
        <f t="shared" si="478"/>
        <v>357.76312061996623</v>
      </c>
      <c r="Z915" s="57">
        <f t="shared" si="479"/>
        <v>246.30236480678289</v>
      </c>
      <c r="AA915" s="57">
        <f t="shared" si="454"/>
        <v>-4.726931802385046</v>
      </c>
      <c r="AB915" s="57">
        <f t="shared" si="455"/>
        <v>-7.7785372596881848</v>
      </c>
      <c r="AC915" s="57">
        <f t="shared" si="456"/>
        <v>-0.77124744897022224</v>
      </c>
      <c r="AD915" s="57">
        <f t="shared" si="457"/>
        <v>-1.3342561245421414</v>
      </c>
      <c r="AE915" s="57">
        <f t="shared" si="458"/>
        <v>-0.2733850900337228</v>
      </c>
      <c r="AF915" s="57">
        <f t="shared" si="459"/>
        <v>-0.41384946930593774</v>
      </c>
      <c r="AG915" s="57">
        <f t="shared" si="460"/>
        <v>-0.71304578960609188</v>
      </c>
      <c r="AH915" s="57">
        <f t="shared" si="461"/>
        <v>-1.1868397367456123</v>
      </c>
      <c r="AJ915" s="57">
        <f t="shared" si="462"/>
        <v>582753.20837165706</v>
      </c>
      <c r="AK915" s="57">
        <f t="shared" si="463"/>
        <v>601677.4673354628</v>
      </c>
      <c r="AL915" s="57">
        <f t="shared" si="464"/>
        <v>614831.81773180235</v>
      </c>
      <c r="AN915" s="41">
        <v>910</v>
      </c>
      <c r="AO915" s="57">
        <f t="shared" si="465"/>
        <v>-2386.0581475915615</v>
      </c>
      <c r="AP915" s="57">
        <f t="shared" si="466"/>
        <v>13697.638667498028</v>
      </c>
      <c r="AR915" s="41">
        <v>910</v>
      </c>
      <c r="AS915" s="57">
        <f t="shared" si="467"/>
        <v>11553.172864457272</v>
      </c>
      <c r="AT915" s="57">
        <f t="shared" si="468"/>
        <v>-5607.7686218342533</v>
      </c>
      <c r="AV915" s="57">
        <f t="shared" si="469"/>
        <v>-2.717768815330408</v>
      </c>
      <c r="AW915" s="57">
        <f t="shared" si="470"/>
        <v>-4.4052601109361236</v>
      </c>
      <c r="AX915" s="57">
        <f t="shared" si="471"/>
        <v>-0.25148465844460138</v>
      </c>
      <c r="AY915" s="57">
        <f t="shared" si="472"/>
        <v>-0.4383318181583703</v>
      </c>
      <c r="BA915" s="57">
        <f t="shared" si="473"/>
        <v>584006.58237641654</v>
      </c>
      <c r="BB915" s="57">
        <f t="shared" si="474"/>
        <v>596080.65162741626</v>
      </c>
    </row>
    <row r="916" spans="9:54" x14ac:dyDescent="0.25">
      <c r="I916" s="41">
        <v>911</v>
      </c>
      <c r="J916" s="57">
        <f t="shared" si="448"/>
        <v>15091.86408276168</v>
      </c>
      <c r="K916" s="57">
        <f t="shared" si="449"/>
        <v>6545.9550231172761</v>
      </c>
      <c r="M916" s="41">
        <v>911</v>
      </c>
      <c r="N916" s="57">
        <f t="shared" si="450"/>
        <v>-23435.695142066823</v>
      </c>
      <c r="O916" s="57">
        <f t="shared" si="451"/>
        <v>9332.1685161820933</v>
      </c>
      <c r="Q916" s="41">
        <v>911</v>
      </c>
      <c r="R916" s="57">
        <f t="shared" si="452"/>
        <v>-9908.13591723832</v>
      </c>
      <c r="S916" s="41">
        <f t="shared" si="453"/>
        <v>-15954.044976882724</v>
      </c>
      <c r="U916" s="41">
        <v>910</v>
      </c>
      <c r="V916" s="41">
        <f t="shared" si="475"/>
        <v>455</v>
      </c>
      <c r="W916" s="57">
        <f t="shared" si="476"/>
        <v>311814.15785454237</v>
      </c>
      <c r="X916" s="57">
        <f t="shared" si="477"/>
        <v>512151.48708517669</v>
      </c>
      <c r="Y916" s="57">
        <f t="shared" si="478"/>
        <v>355.39965471877372</v>
      </c>
      <c r="Z916" s="57">
        <f t="shared" si="479"/>
        <v>242.41309617693881</v>
      </c>
      <c r="AA916" s="57">
        <f t="shared" si="454"/>
        <v>-4.7249496523450745</v>
      </c>
      <c r="AB916" s="57">
        <f t="shared" si="455"/>
        <v>-7.7726377119094501</v>
      </c>
      <c r="AC916" s="57">
        <f t="shared" si="456"/>
        <v>-0.77094495779815109</v>
      </c>
      <c r="AD916" s="57">
        <f t="shared" si="457"/>
        <v>-1.3332407251041802</v>
      </c>
      <c r="AE916" s="57">
        <f t="shared" si="458"/>
        <v>-0.27325921263880004</v>
      </c>
      <c r="AF916" s="57">
        <f t="shared" si="459"/>
        <v>-0.41353726698560622</v>
      </c>
      <c r="AG916" s="57">
        <f t="shared" si="460"/>
        <v>-0.71276365933772934</v>
      </c>
      <c r="AH916" s="57">
        <f t="shared" si="461"/>
        <v>-1.1859773739425676</v>
      </c>
      <c r="AJ916" s="57">
        <f t="shared" si="462"/>
        <v>582948.21909122937</v>
      </c>
      <c r="AK916" s="57">
        <f t="shared" si="463"/>
        <v>601877.68801856542</v>
      </c>
      <c r="AL916" s="57">
        <f t="shared" si="464"/>
        <v>615028.37410415139</v>
      </c>
      <c r="AN916" s="41">
        <v>911</v>
      </c>
      <c r="AO916" s="57">
        <f t="shared" si="465"/>
        <v>-2362.2038758574799</v>
      </c>
      <c r="AP916" s="57">
        <f t="shared" si="466"/>
        <v>13568.932534675914</v>
      </c>
      <c r="AR916" s="41">
        <v>911</v>
      </c>
      <c r="AS916" s="57">
        <f t="shared" si="467"/>
        <v>11564.304857933177</v>
      </c>
      <c r="AT916" s="57">
        <f t="shared" si="468"/>
        <v>-5667.8314838179067</v>
      </c>
      <c r="AV916" s="57">
        <f t="shared" si="469"/>
        <v>-2.7165924049842713</v>
      </c>
      <c r="AW916" s="57">
        <f t="shared" si="470"/>
        <v>-4.4018762477790014</v>
      </c>
      <c r="AX916" s="57">
        <f t="shared" si="471"/>
        <v>-0.2513894175861231</v>
      </c>
      <c r="AY916" s="57">
        <f t="shared" si="472"/>
        <v>-0.43800609809809454</v>
      </c>
      <c r="BA916" s="57">
        <f t="shared" si="473"/>
        <v>584204.18397251714</v>
      </c>
      <c r="BB916" s="57">
        <f t="shared" si="474"/>
        <v>596275.3599615792</v>
      </c>
    </row>
    <row r="917" spans="9:54" x14ac:dyDescent="0.25">
      <c r="I917" s="41">
        <v>912</v>
      </c>
      <c r="J917" s="57">
        <f t="shared" si="448"/>
        <v>15109.26199633097</v>
      </c>
      <c r="K917" s="57">
        <f t="shared" si="449"/>
        <v>6460.4415459112097</v>
      </c>
      <c r="M917" s="41">
        <v>912</v>
      </c>
      <c r="N917" s="57">
        <f t="shared" si="450"/>
        <v>-23423.516602568321</v>
      </c>
      <c r="O917" s="57">
        <f t="shared" si="451"/>
        <v>9272.3090821378464</v>
      </c>
      <c r="Q917" s="41">
        <v>912</v>
      </c>
      <c r="R917" s="57">
        <f t="shared" si="452"/>
        <v>-9890.7380036690301</v>
      </c>
      <c r="S917" s="41">
        <f t="shared" si="453"/>
        <v>-16039.55845408879</v>
      </c>
      <c r="U917" s="41">
        <v>911</v>
      </c>
      <c r="V917" s="41">
        <f t="shared" si="475"/>
        <v>455.5</v>
      </c>
      <c r="W917" s="57">
        <f t="shared" si="476"/>
        <v>311991.26706319524</v>
      </c>
      <c r="X917" s="57">
        <f t="shared" si="477"/>
        <v>512271.72205355117</v>
      </c>
      <c r="Y917" s="57">
        <f t="shared" si="478"/>
        <v>353.03717989260116</v>
      </c>
      <c r="Z917" s="57">
        <f t="shared" si="479"/>
        <v>238.52677732098408</v>
      </c>
      <c r="AA917" s="57">
        <f t="shared" si="454"/>
        <v>-4.7230043664378591</v>
      </c>
      <c r="AB917" s="57">
        <f t="shared" si="455"/>
        <v>-7.7668040488952341</v>
      </c>
      <c r="AC917" s="57">
        <f t="shared" si="456"/>
        <v>-0.77064839267020835</v>
      </c>
      <c r="AD917" s="57">
        <f t="shared" si="457"/>
        <v>-1.3322368171434091</v>
      </c>
      <c r="AE917" s="57">
        <f t="shared" si="458"/>
        <v>-0.27313551123254293</v>
      </c>
      <c r="AF917" s="57">
        <f t="shared" si="459"/>
        <v>-0.41322847071947932</v>
      </c>
      <c r="AG917" s="57">
        <f t="shared" si="460"/>
        <v>-0.71248683304945348</v>
      </c>
      <c r="AH917" s="57">
        <f t="shared" si="461"/>
        <v>-1.1851246341356532</v>
      </c>
      <c r="AJ917" s="57">
        <f t="shared" si="462"/>
        <v>583140.97045746818</v>
      </c>
      <c r="AK917" s="57">
        <f t="shared" si="463"/>
        <v>602075.64656018571</v>
      </c>
      <c r="AL917" s="57">
        <f t="shared" si="464"/>
        <v>615222.66885384452</v>
      </c>
      <c r="AN917" s="41">
        <v>912</v>
      </c>
      <c r="AO917" s="57">
        <f t="shared" si="465"/>
        <v>-2336.1070055035443</v>
      </c>
      <c r="AP917" s="57">
        <f t="shared" si="466"/>
        <v>13440.662318866815</v>
      </c>
      <c r="AR917" s="41">
        <v>912</v>
      </c>
      <c r="AS917" s="57">
        <f t="shared" si="467"/>
        <v>11576.483397431679</v>
      </c>
      <c r="AT917" s="57">
        <f t="shared" si="468"/>
        <v>-5727.6909178621536</v>
      </c>
      <c r="AV917" s="57">
        <f t="shared" si="469"/>
        <v>-2.7154375715147383</v>
      </c>
      <c r="AW917" s="57">
        <f t="shared" si="470"/>
        <v>-4.3985300631958388</v>
      </c>
      <c r="AX917" s="57">
        <f t="shared" si="471"/>
        <v>-0.25129605797091614</v>
      </c>
      <c r="AY917" s="57">
        <f t="shared" si="472"/>
        <v>-0.43768406370085378</v>
      </c>
      <c r="BA917" s="57">
        <f t="shared" si="473"/>
        <v>584399.52396213519</v>
      </c>
      <c r="BB917" s="57">
        <f t="shared" si="474"/>
        <v>596467.80897886562</v>
      </c>
    </row>
    <row r="918" spans="9:54" x14ac:dyDescent="0.25">
      <c r="I918" s="41">
        <v>913</v>
      </c>
      <c r="J918" s="57">
        <f t="shared" si="448"/>
        <v>15128.149676073823</v>
      </c>
      <c r="K918" s="57">
        <f t="shared" si="449"/>
        <v>6375.2447282806779</v>
      </c>
      <c r="M918" s="41">
        <v>913</v>
      </c>
      <c r="N918" s="57">
        <f t="shared" si="450"/>
        <v>-23410.295226748323</v>
      </c>
      <c r="O918" s="57">
        <f t="shared" si="451"/>
        <v>9212.6713097964748</v>
      </c>
      <c r="Q918" s="41">
        <v>913</v>
      </c>
      <c r="R918" s="57">
        <f t="shared" si="452"/>
        <v>-9871.8503239261772</v>
      </c>
      <c r="S918" s="41">
        <f t="shared" si="453"/>
        <v>-16124.755271719323</v>
      </c>
      <c r="U918" s="41">
        <v>912</v>
      </c>
      <c r="V918" s="41">
        <f t="shared" si="475"/>
        <v>456</v>
      </c>
      <c r="W918" s="57">
        <f t="shared" si="476"/>
        <v>312167.19527759578</v>
      </c>
      <c r="X918" s="57">
        <f t="shared" si="477"/>
        <v>512390.01459170558</v>
      </c>
      <c r="Y918" s="57">
        <f t="shared" si="478"/>
        <v>350.67567770938223</v>
      </c>
      <c r="Z918" s="57">
        <f t="shared" si="479"/>
        <v>234.64337529653648</v>
      </c>
      <c r="AA918" s="57">
        <f t="shared" si="454"/>
        <v>-4.7210958501937927</v>
      </c>
      <c r="AB918" s="57">
        <f t="shared" si="455"/>
        <v>-7.7610360243689662</v>
      </c>
      <c r="AC918" s="57">
        <f t="shared" si="456"/>
        <v>-0.7703577392618205</v>
      </c>
      <c r="AD918" s="57">
        <f t="shared" si="457"/>
        <v>-1.331244357694525</v>
      </c>
      <c r="AE918" s="57">
        <f t="shared" si="458"/>
        <v>-0.27301397979627434</v>
      </c>
      <c r="AF918" s="57">
        <f t="shared" si="459"/>
        <v>-0.41292306779109894</v>
      </c>
      <c r="AG918" s="57">
        <f t="shared" si="460"/>
        <v>-0.71221529769702896</v>
      </c>
      <c r="AH918" s="57">
        <f t="shared" si="461"/>
        <v>-1.1842814825666963</v>
      </c>
      <c r="AJ918" s="57">
        <f t="shared" si="462"/>
        <v>583331.46394720511</v>
      </c>
      <c r="AK918" s="57">
        <f t="shared" si="463"/>
        <v>602271.3444785818</v>
      </c>
      <c r="AL918" s="57">
        <f t="shared" si="464"/>
        <v>615414.70347343502</v>
      </c>
      <c r="AN918" s="41">
        <v>913</v>
      </c>
      <c r="AO918" s="57">
        <f t="shared" si="465"/>
        <v>-2307.7754858892649</v>
      </c>
      <c r="AP918" s="57">
        <f t="shared" si="466"/>
        <v>13312.867092421016</v>
      </c>
      <c r="AR918" s="41">
        <v>913</v>
      </c>
      <c r="AS918" s="57">
        <f t="shared" si="467"/>
        <v>11589.704773251677</v>
      </c>
      <c r="AT918" s="57">
        <f t="shared" si="468"/>
        <v>-5787.3286902035252</v>
      </c>
      <c r="AV918" s="57">
        <f t="shared" si="469"/>
        <v>-2.7143042582749781</v>
      </c>
      <c r="AW918" s="57">
        <f t="shared" si="470"/>
        <v>-4.3952214148702469</v>
      </c>
      <c r="AX918" s="57">
        <f t="shared" si="471"/>
        <v>-0.25120457516369005</v>
      </c>
      <c r="AY918" s="57">
        <f t="shared" si="472"/>
        <v>-0.4373657014463993</v>
      </c>
      <c r="BA918" s="57">
        <f t="shared" si="473"/>
        <v>584592.60384496977</v>
      </c>
      <c r="BB918" s="57">
        <f t="shared" si="474"/>
        <v>596658.00015449221</v>
      </c>
    </row>
    <row r="919" spans="9:54" x14ac:dyDescent="0.25">
      <c r="I919" s="41">
        <v>914</v>
      </c>
      <c r="J919" s="57">
        <f t="shared" si="448"/>
        <v>15148.521368620019</v>
      </c>
      <c r="K919" s="57">
        <f t="shared" si="449"/>
        <v>6290.3905220016604</v>
      </c>
      <c r="M919" s="41">
        <v>914</v>
      </c>
      <c r="N919" s="57">
        <f t="shared" si="450"/>
        <v>-23396.035041965988</v>
      </c>
      <c r="O919" s="57">
        <f t="shared" si="451"/>
        <v>9153.2733654011627</v>
      </c>
      <c r="Q919" s="41">
        <v>914</v>
      </c>
      <c r="R919" s="57">
        <f t="shared" si="452"/>
        <v>-9851.4786313799814</v>
      </c>
      <c r="S919" s="41">
        <f t="shared" si="453"/>
        <v>-16209.60947799834</v>
      </c>
      <c r="U919" s="41">
        <v>913</v>
      </c>
      <c r="V919" s="41">
        <f t="shared" si="475"/>
        <v>456.5</v>
      </c>
      <c r="W919" s="57">
        <f t="shared" si="476"/>
        <v>312341.9429794692</v>
      </c>
      <c r="X919" s="57">
        <f t="shared" si="477"/>
        <v>512506.36614985077</v>
      </c>
      <c r="Y919" s="57">
        <f t="shared" si="478"/>
        <v>348.31512978428532</v>
      </c>
      <c r="Z919" s="57">
        <f t="shared" si="479"/>
        <v>230.76285728435198</v>
      </c>
      <c r="AA919" s="57">
        <f t="shared" si="454"/>
        <v>-4.7192240108265748</v>
      </c>
      <c r="AB919" s="57">
        <f t="shared" si="455"/>
        <v>-7.7553333953390187</v>
      </c>
      <c r="AC919" s="57">
        <f t="shared" si="456"/>
        <v>-0.77007298351351028</v>
      </c>
      <c r="AD919" s="57">
        <f t="shared" si="457"/>
        <v>-1.3302633043717682</v>
      </c>
      <c r="AE919" s="57">
        <f t="shared" si="458"/>
        <v>-0.27289461241319524</v>
      </c>
      <c r="AF919" s="57">
        <f t="shared" si="459"/>
        <v>-0.41262104565025715</v>
      </c>
      <c r="AG919" s="57">
        <f t="shared" si="460"/>
        <v>-0.71194904046897101</v>
      </c>
      <c r="AH919" s="57">
        <f t="shared" si="461"/>
        <v>-1.1834478849395496</v>
      </c>
      <c r="AJ919" s="57">
        <f t="shared" si="462"/>
        <v>583519.70101864461</v>
      </c>
      <c r="AK919" s="57">
        <f t="shared" si="463"/>
        <v>602464.78327326046</v>
      </c>
      <c r="AL919" s="57">
        <f t="shared" si="464"/>
        <v>615604.47943676065</v>
      </c>
      <c r="AN919" s="41">
        <v>914</v>
      </c>
      <c r="AO919" s="57">
        <f t="shared" si="465"/>
        <v>-2277.2179470699739</v>
      </c>
      <c r="AP919" s="57">
        <f t="shared" si="466"/>
        <v>13185.585783002491</v>
      </c>
      <c r="AR919" s="41">
        <v>914</v>
      </c>
      <c r="AS919" s="57">
        <f t="shared" si="467"/>
        <v>11603.964958034012</v>
      </c>
      <c r="AT919" s="57">
        <f t="shared" si="468"/>
        <v>-5846.7266345988373</v>
      </c>
      <c r="AV919" s="57">
        <f t="shared" si="469"/>
        <v>-2.7131924096194839</v>
      </c>
      <c r="AW919" s="57">
        <f t="shared" si="470"/>
        <v>-4.391950162380919</v>
      </c>
      <c r="AX919" s="57">
        <f t="shared" si="471"/>
        <v>-0.25111496481141449</v>
      </c>
      <c r="AY919" s="57">
        <f t="shared" si="472"/>
        <v>-0.43705099799652475</v>
      </c>
      <c r="BA919" s="57">
        <f t="shared" si="473"/>
        <v>584783.42510199849</v>
      </c>
      <c r="BB919" s="57">
        <f t="shared" si="474"/>
        <v>596845.93494504876</v>
      </c>
    </row>
    <row r="920" spans="9:54" x14ac:dyDescent="0.25">
      <c r="I920" s="41">
        <v>915</v>
      </c>
      <c r="J920" s="57">
        <f t="shared" si="448"/>
        <v>15170.370868554657</v>
      </c>
      <c r="K920" s="57">
        <f t="shared" si="449"/>
        <v>6205.9047744874006</v>
      </c>
      <c r="M920" s="41">
        <v>915</v>
      </c>
      <c r="N920" s="57">
        <f t="shared" si="450"/>
        <v>-23380.740392011739</v>
      </c>
      <c r="O920" s="57">
        <f t="shared" si="451"/>
        <v>9094.13334214118</v>
      </c>
      <c r="Q920" s="41">
        <v>915</v>
      </c>
      <c r="R920" s="57">
        <f t="shared" si="452"/>
        <v>-9829.6291314453429</v>
      </c>
      <c r="S920" s="41">
        <f t="shared" si="453"/>
        <v>-16294.095225512599</v>
      </c>
      <c r="U920" s="41">
        <v>914</v>
      </c>
      <c r="V920" s="41">
        <f t="shared" si="475"/>
        <v>457</v>
      </c>
      <c r="W920" s="57">
        <f t="shared" si="476"/>
        <v>312515.51064136002</v>
      </c>
      <c r="X920" s="57">
        <f t="shared" si="477"/>
        <v>512620.77816181857</v>
      </c>
      <c r="Y920" s="57">
        <f t="shared" si="478"/>
        <v>345.95551777887204</v>
      </c>
      <c r="Z920" s="57">
        <f t="shared" si="479"/>
        <v>226.88519058668248</v>
      </c>
      <c r="AA920" s="57">
        <f t="shared" si="454"/>
        <v>-4.717388757222639</v>
      </c>
      <c r="AB920" s="57">
        <f t="shared" si="455"/>
        <v>-7.7496959220723962</v>
      </c>
      <c r="AC920" s="57">
        <f t="shared" si="456"/>
        <v>-0.76979411162932754</v>
      </c>
      <c r="AD920" s="57">
        <f t="shared" si="457"/>
        <v>-1.3292936153643133</v>
      </c>
      <c r="AE920" s="57">
        <f t="shared" si="458"/>
        <v>-0.27277740326772049</v>
      </c>
      <c r="AF920" s="57">
        <f t="shared" si="459"/>
        <v>-0.41232239191168785</v>
      </c>
      <c r="AG920" s="57">
        <f t="shared" si="460"/>
        <v>-0.71168804878512115</v>
      </c>
      <c r="AH920" s="57">
        <f t="shared" si="461"/>
        <v>-1.1826238074164765</v>
      </c>
      <c r="AJ920" s="57">
        <f t="shared" si="462"/>
        <v>583705.68311142619</v>
      </c>
      <c r="AK920" s="57">
        <f t="shared" si="463"/>
        <v>602655.96442504111</v>
      </c>
      <c r="AL920" s="57">
        <f t="shared" si="464"/>
        <v>615791.99819900759</v>
      </c>
      <c r="AN920" s="41">
        <v>915</v>
      </c>
      <c r="AO920" s="57">
        <f t="shared" si="465"/>
        <v>-2244.4436971680143</v>
      </c>
      <c r="AP920" s="57">
        <f t="shared" si="466"/>
        <v>13058.857161731101</v>
      </c>
      <c r="AR920" s="41">
        <v>915</v>
      </c>
      <c r="AS920" s="57">
        <f t="shared" si="467"/>
        <v>11619.259607988261</v>
      </c>
      <c r="AT920" s="57">
        <f t="shared" si="468"/>
        <v>-5905.86665785882</v>
      </c>
      <c r="AV920" s="57">
        <f t="shared" si="469"/>
        <v>-2.7121019708976131</v>
      </c>
      <c r="AW920" s="57">
        <f t="shared" si="470"/>
        <v>-4.3887161671862511</v>
      </c>
      <c r="AX920" s="57">
        <f t="shared" si="471"/>
        <v>-0.2510272226428571</v>
      </c>
      <c r="AY920" s="57">
        <f t="shared" si="472"/>
        <v>-0.43673994019366669</v>
      </c>
      <c r="BA920" s="57">
        <f t="shared" si="473"/>
        <v>584971.98919554276</v>
      </c>
      <c r="BB920" s="57">
        <f t="shared" si="474"/>
        <v>597031.6147885602</v>
      </c>
    </row>
    <row r="921" spans="9:54" x14ac:dyDescent="0.25">
      <c r="I921" s="41">
        <v>916</v>
      </c>
      <c r="J921" s="57">
        <f t="shared" si="448"/>
        <v>15193.691520308403</v>
      </c>
      <c r="K921" s="57">
        <f t="shared" si="449"/>
        <v>6121.8132209150135</v>
      </c>
      <c r="M921" s="41">
        <v>916</v>
      </c>
      <c r="N921" s="57">
        <f t="shared" si="450"/>
        <v>-23364.41593578412</v>
      </c>
      <c r="O921" s="57">
        <f t="shared" si="451"/>
        <v>9035.2692546405087</v>
      </c>
      <c r="Q921" s="41">
        <v>916</v>
      </c>
      <c r="R921" s="57">
        <f t="shared" si="452"/>
        <v>-9806.3084796915973</v>
      </c>
      <c r="S921" s="41">
        <f t="shared" si="453"/>
        <v>-16378.186779084986</v>
      </c>
      <c r="U921" s="41">
        <v>915</v>
      </c>
      <c r="V921" s="41">
        <f t="shared" si="475"/>
        <v>457.5</v>
      </c>
      <c r="W921" s="57">
        <f t="shared" si="476"/>
        <v>312687.89872665482</v>
      </c>
      <c r="X921" s="57">
        <f t="shared" si="477"/>
        <v>512733.25204512163</v>
      </c>
      <c r="Y921" s="57">
        <f t="shared" si="478"/>
        <v>343.59682340026069</v>
      </c>
      <c r="Z921" s="57">
        <f t="shared" si="479"/>
        <v>223.01034262564627</v>
      </c>
      <c r="AA921" s="57">
        <f t="shared" si="454"/>
        <v>-4.7155899999312343</v>
      </c>
      <c r="AB921" s="57">
        <f t="shared" si="455"/>
        <v>-7.7441233680696016</v>
      </c>
      <c r="AC921" s="57">
        <f t="shared" si="456"/>
        <v>-0.76952111007535129</v>
      </c>
      <c r="AD921" s="57">
        <f t="shared" si="457"/>
        <v>-1.3283352494318046</v>
      </c>
      <c r="AE921" s="57">
        <f t="shared" si="458"/>
        <v>-0.2726623466448293</v>
      </c>
      <c r="AF921" s="57">
        <f t="shared" si="459"/>
        <v>-0.41202709435378326</v>
      </c>
      <c r="AG921" s="57">
        <f t="shared" si="460"/>
        <v>-0.71143231029533571</v>
      </c>
      <c r="AH921" s="57">
        <f t="shared" si="461"/>
        <v>-1.1818092166147425</v>
      </c>
      <c r="AJ921" s="57">
        <f t="shared" si="462"/>
        <v>583889.41164668673</v>
      </c>
      <c r="AK921" s="57">
        <f t="shared" si="463"/>
        <v>602844.88939612044</v>
      </c>
      <c r="AL921" s="57">
        <f t="shared" si="464"/>
        <v>615977.26119677268</v>
      </c>
      <c r="AN921" s="41">
        <v>916</v>
      </c>
      <c r="AO921" s="57">
        <f t="shared" si="465"/>
        <v>-2209.462719537396</v>
      </c>
      <c r="AP921" s="57">
        <f t="shared" si="466"/>
        <v>12932.71983137252</v>
      </c>
      <c r="AR921" s="41">
        <v>916</v>
      </c>
      <c r="AS921" s="57">
        <f t="shared" si="467"/>
        <v>11635.584064215882</v>
      </c>
      <c r="AT921" s="57">
        <f t="shared" si="468"/>
        <v>-5964.7307453594904</v>
      </c>
      <c r="AV921" s="57">
        <f t="shared" si="469"/>
        <v>-2.7110328884475976</v>
      </c>
      <c r="AW921" s="57">
        <f t="shared" si="470"/>
        <v>-4.3855192926097581</v>
      </c>
      <c r="AX921" s="57">
        <f t="shared" si="471"/>
        <v>-0.25094134446812122</v>
      </c>
      <c r="AY921" s="57">
        <f t="shared" si="472"/>
        <v>-0.43643251505951286</v>
      </c>
      <c r="BA921" s="57">
        <f t="shared" si="473"/>
        <v>585158.2975693302</v>
      </c>
      <c r="BB921" s="57">
        <f t="shared" si="474"/>
        <v>597215.04110454931</v>
      </c>
    </row>
    <row r="922" spans="9:54" x14ac:dyDescent="0.25">
      <c r="I922" s="41">
        <v>917</v>
      </c>
      <c r="J922" s="57">
        <f t="shared" si="448"/>
        <v>15218.476220184821</v>
      </c>
      <c r="K922" s="57">
        <f t="shared" si="449"/>
        <v>6038.1414763863222</v>
      </c>
      <c r="M922" s="41">
        <v>917</v>
      </c>
      <c r="N922" s="57">
        <f t="shared" si="450"/>
        <v>-23347.066645870626</v>
      </c>
      <c r="O922" s="57">
        <f t="shared" si="451"/>
        <v>8976.699033470426</v>
      </c>
      <c r="Q922" s="41">
        <v>917</v>
      </c>
      <c r="R922" s="57">
        <f t="shared" si="452"/>
        <v>-9781.5237798151793</v>
      </c>
      <c r="S922" s="41">
        <f t="shared" si="453"/>
        <v>-16461.858523613679</v>
      </c>
      <c r="U922" s="41">
        <v>916</v>
      </c>
      <c r="V922" s="41">
        <f t="shared" si="475"/>
        <v>458</v>
      </c>
      <c r="W922" s="57">
        <f t="shared" si="476"/>
        <v>312859.10768960492</v>
      </c>
      <c r="X922" s="57">
        <f t="shared" si="477"/>
        <v>512843.78920101345</v>
      </c>
      <c r="Y922" s="57">
        <f t="shared" si="478"/>
        <v>341.23902840029507</v>
      </c>
      <c r="Z922" s="57">
        <f t="shared" si="479"/>
        <v>219.13828094161147</v>
      </c>
      <c r="AA922" s="57">
        <f t="shared" si="454"/>
        <v>-4.713827651154376</v>
      </c>
      <c r="AB922" s="57">
        <f t="shared" si="455"/>
        <v>-7.7386155000393817</v>
      </c>
      <c r="AC922" s="57">
        <f t="shared" si="456"/>
        <v>-0.76925396557819536</v>
      </c>
      <c r="AD922" s="57">
        <f t="shared" si="457"/>
        <v>-1.327388165899918</v>
      </c>
      <c r="AE922" s="57">
        <f t="shared" si="458"/>
        <v>-0.27254943692941541</v>
      </c>
      <c r="AF922" s="57">
        <f t="shared" si="459"/>
        <v>-0.411735140917311</v>
      </c>
      <c r="AG922" s="57">
        <f t="shared" si="460"/>
        <v>-0.71118181287812843</v>
      </c>
      <c r="AH922" s="57">
        <f t="shared" si="461"/>
        <v>-1.1810040796031409</v>
      </c>
      <c r="AJ922" s="57">
        <f t="shared" si="462"/>
        <v>584070.8880271212</v>
      </c>
      <c r="AK922" s="57">
        <f t="shared" si="463"/>
        <v>603031.55963013519</v>
      </c>
      <c r="AL922" s="57">
        <f t="shared" si="464"/>
        <v>616160.26984812634</v>
      </c>
      <c r="AN922" s="41">
        <v>917</v>
      </c>
      <c r="AO922" s="57">
        <f t="shared" si="465"/>
        <v>-2172.2856697227689</v>
      </c>
      <c r="AP922" s="57">
        <f t="shared" si="466"/>
        <v>12807.212214579484</v>
      </c>
      <c r="AR922" s="41">
        <v>917</v>
      </c>
      <c r="AS922" s="57">
        <f t="shared" si="467"/>
        <v>11652.933354129374</v>
      </c>
      <c r="AT922" s="57">
        <f t="shared" si="468"/>
        <v>-6023.300966529574</v>
      </c>
      <c r="AV922" s="57">
        <f t="shared" si="469"/>
        <v>-2.7099851095904461</v>
      </c>
      <c r="AW922" s="57">
        <f t="shared" si="470"/>
        <v>-4.3823594038253821</v>
      </c>
      <c r="AX922" s="57">
        <f t="shared" si="471"/>
        <v>-0.25085732617819106</v>
      </c>
      <c r="AY922" s="57">
        <f t="shared" si="472"/>
        <v>-0.43612870979362922</v>
      </c>
      <c r="BA922" s="57">
        <f t="shared" si="473"/>
        <v>585342.35164855688</v>
      </c>
      <c r="BB922" s="57">
        <f t="shared" si="474"/>
        <v>597396.2152940972</v>
      </c>
    </row>
    <row r="923" spans="9:54" x14ac:dyDescent="0.25">
      <c r="I923" s="41">
        <v>918</v>
      </c>
      <c r="J923" s="57">
        <f t="shared" si="448"/>
        <v>15244.717418524229</v>
      </c>
      <c r="K923" s="57">
        <f t="shared" si="449"/>
        <v>5954.9150281252741</v>
      </c>
      <c r="M923" s="41">
        <v>918</v>
      </c>
      <c r="N923" s="57">
        <f t="shared" si="450"/>
        <v>-23328.697807033041</v>
      </c>
      <c r="O923" s="57">
        <f t="shared" si="451"/>
        <v>8918.4405196876924</v>
      </c>
      <c r="Q923" s="41">
        <v>918</v>
      </c>
      <c r="R923" s="57">
        <f t="shared" si="452"/>
        <v>-9755.2825814757707</v>
      </c>
      <c r="S923" s="41">
        <f t="shared" si="453"/>
        <v>-16545.084971874727</v>
      </c>
      <c r="U923" s="41">
        <v>917</v>
      </c>
      <c r="V923" s="41">
        <f t="shared" si="475"/>
        <v>458.5</v>
      </c>
      <c r="W923" s="57">
        <f t="shared" si="476"/>
        <v>313029.13797534868</v>
      </c>
      <c r="X923" s="57">
        <f t="shared" si="477"/>
        <v>512952.3910145468</v>
      </c>
      <c r="Y923" s="57">
        <f t="shared" si="478"/>
        <v>338.88211457471789</v>
      </c>
      <c r="Z923" s="57">
        <f t="shared" si="479"/>
        <v>215.26897319159178</v>
      </c>
      <c r="AA923" s="57">
        <f t="shared" si="454"/>
        <v>-4.7121016247372722</v>
      </c>
      <c r="AB923" s="57">
        <f t="shared" si="455"/>
        <v>-7.7331720878743155</v>
      </c>
      <c r="AC923" s="57">
        <f t="shared" si="456"/>
        <v>-0.76899266512356212</v>
      </c>
      <c r="AD923" s="57">
        <f t="shared" si="457"/>
        <v>-1.3264523246560276</v>
      </c>
      <c r="AE923" s="57">
        <f t="shared" si="458"/>
        <v>-0.27243866860567728</v>
      </c>
      <c r="AF923" s="57">
        <f t="shared" si="459"/>
        <v>-0.41144651970419427</v>
      </c>
      <c r="AG923" s="57">
        <f t="shared" si="460"/>
        <v>-0.7109365446393886</v>
      </c>
      <c r="AH923" s="57">
        <f t="shared" si="461"/>
        <v>-1.1802083638986531</v>
      </c>
      <c r="AJ923" s="57">
        <f t="shared" si="462"/>
        <v>584250.11363704351</v>
      </c>
      <c r="AK923" s="57">
        <f t="shared" si="463"/>
        <v>603215.97655222414</v>
      </c>
      <c r="AL923" s="57">
        <f t="shared" si="464"/>
        <v>616341.02555267268</v>
      </c>
      <c r="AN923" s="41">
        <v>918</v>
      </c>
      <c r="AO923" s="57">
        <f t="shared" si="465"/>
        <v>-2132.923872213657</v>
      </c>
      <c r="AP923" s="57">
        <f t="shared" si="466"/>
        <v>12682.372542187912</v>
      </c>
      <c r="AR923" s="41">
        <v>918</v>
      </c>
      <c r="AS923" s="57">
        <f t="shared" si="467"/>
        <v>11671.302192966959</v>
      </c>
      <c r="AT923" s="57">
        <f t="shared" si="468"/>
        <v>-6081.5594803123076</v>
      </c>
      <c r="AV923" s="57">
        <f t="shared" si="469"/>
        <v>-2.7089585826241467</v>
      </c>
      <c r="AW923" s="57">
        <f t="shared" si="470"/>
        <v>-4.3792363678433093</v>
      </c>
      <c r="AX923" s="57">
        <f t="shared" si="471"/>
        <v>-0.25077516374449815</v>
      </c>
      <c r="AY923" s="57">
        <f t="shared" si="472"/>
        <v>-0.43582851177213094</v>
      </c>
      <c r="BA923" s="57">
        <f t="shared" si="473"/>
        <v>585524.15283994947</v>
      </c>
      <c r="BB923" s="57">
        <f t="shared" si="474"/>
        <v>597575.13873990392</v>
      </c>
    </row>
    <row r="924" spans="9:54" x14ac:dyDescent="0.25">
      <c r="I924" s="41">
        <v>919</v>
      </c>
      <c r="J924" s="57">
        <f t="shared" si="448"/>
        <v>15272.407122003417</v>
      </c>
      <c r="K924" s="57">
        <f t="shared" si="449"/>
        <v>5872.1592277142163</v>
      </c>
      <c r="M924" s="41">
        <v>919</v>
      </c>
      <c r="N924" s="57">
        <f t="shared" si="450"/>
        <v>-23309.315014597611</v>
      </c>
      <c r="O924" s="57">
        <f t="shared" si="451"/>
        <v>8860.5114593999515</v>
      </c>
      <c r="Q924" s="41">
        <v>919</v>
      </c>
      <c r="R924" s="57">
        <f t="shared" si="452"/>
        <v>-9727.5928779965834</v>
      </c>
      <c r="S924" s="41">
        <f t="shared" si="453"/>
        <v>-16627.840772285785</v>
      </c>
      <c r="U924" s="41">
        <v>918</v>
      </c>
      <c r="V924" s="41">
        <f t="shared" si="475"/>
        <v>459</v>
      </c>
      <c r="W924" s="57">
        <f t="shared" si="476"/>
        <v>313197.99001993291</v>
      </c>
      <c r="X924" s="57">
        <f t="shared" si="477"/>
        <v>513059.05885463161</v>
      </c>
      <c r="Y924" s="57">
        <f t="shared" si="478"/>
        <v>336.52606376234928</v>
      </c>
      <c r="Z924" s="57">
        <f t="shared" si="479"/>
        <v>211.40238714765462</v>
      </c>
      <c r="AA924" s="57">
        <f t="shared" si="454"/>
        <v>-4.7104118361586211</v>
      </c>
      <c r="AB924" s="57">
        <f t="shared" si="455"/>
        <v>-7.7277929046263063</v>
      </c>
      <c r="AC924" s="57">
        <f t="shared" si="456"/>
        <v>-0.76873719595484347</v>
      </c>
      <c r="AD924" s="57">
        <f t="shared" si="457"/>
        <v>-1.3255276861449752</v>
      </c>
      <c r="AE924" s="57">
        <f t="shared" si="458"/>
        <v>-0.27233003625648372</v>
      </c>
      <c r="AF924" s="57">
        <f t="shared" si="459"/>
        <v>-0.41116121897625724</v>
      </c>
      <c r="AG924" s="57">
        <f t="shared" si="460"/>
        <v>-0.71069649391107925</v>
      </c>
      <c r="AH924" s="57">
        <f t="shared" si="461"/>
        <v>-1.1794220374630955</v>
      </c>
      <c r="AJ924" s="57">
        <f t="shared" si="462"/>
        <v>584427.08984244522</v>
      </c>
      <c r="AK924" s="57">
        <f t="shared" si="463"/>
        <v>603398.14156908949</v>
      </c>
      <c r="AL924" s="57">
        <f t="shared" si="464"/>
        <v>616519.52969161049</v>
      </c>
      <c r="AN924" s="41">
        <v>919</v>
      </c>
      <c r="AO924" s="57">
        <f t="shared" si="465"/>
        <v>-2091.3893169948751</v>
      </c>
      <c r="AP924" s="57">
        <f t="shared" si="466"/>
        <v>12558.238841571325</v>
      </c>
      <c r="AR924" s="41">
        <v>919</v>
      </c>
      <c r="AS924" s="57">
        <f t="shared" si="467"/>
        <v>11690.684985402391</v>
      </c>
      <c r="AT924" s="57">
        <f t="shared" si="468"/>
        <v>-6139.4885406000485</v>
      </c>
      <c r="AV924" s="57">
        <f t="shared" si="469"/>
        <v>-2.7079532568177327</v>
      </c>
      <c r="AW924" s="57">
        <f t="shared" si="470"/>
        <v>-4.3761500534956284</v>
      </c>
      <c r="AX924" s="57">
        <f t="shared" si="471"/>
        <v>-0.25069485321848212</v>
      </c>
      <c r="AY924" s="57">
        <f t="shared" si="472"/>
        <v>-0.43553190854635015</v>
      </c>
      <c r="BA924" s="57">
        <f t="shared" si="473"/>
        <v>585703.70253182459</v>
      </c>
      <c r="BB924" s="57">
        <f t="shared" si="474"/>
        <v>597751.8128063475</v>
      </c>
    </row>
    <row r="925" spans="9:54" x14ac:dyDescent="0.25">
      <c r="I925" s="41">
        <v>920</v>
      </c>
      <c r="J925" s="57">
        <f t="shared" si="448"/>
        <v>15301.536896070456</v>
      </c>
      <c r="K925" s="57">
        <f t="shared" si="449"/>
        <v>5789.8992833716611</v>
      </c>
      <c r="M925" s="41">
        <v>920</v>
      </c>
      <c r="N925" s="57">
        <f t="shared" si="450"/>
        <v>-23288.924172750681</v>
      </c>
      <c r="O925" s="57">
        <f t="shared" si="451"/>
        <v>8802.9294983601631</v>
      </c>
      <c r="Q925" s="41">
        <v>920</v>
      </c>
      <c r="R925" s="57">
        <f t="shared" si="452"/>
        <v>-9698.4631039295436</v>
      </c>
      <c r="S925" s="41">
        <f t="shared" si="453"/>
        <v>-16710.100716628338</v>
      </c>
      <c r="U925" s="41">
        <v>919</v>
      </c>
      <c r="V925" s="41">
        <f t="shared" si="475"/>
        <v>459.5</v>
      </c>
      <c r="W925" s="57">
        <f t="shared" si="476"/>
        <v>313365.66425033461</v>
      </c>
      <c r="X925" s="57">
        <f t="shared" si="477"/>
        <v>513163.79407409235</v>
      </c>
      <c r="Y925" s="57">
        <f t="shared" si="478"/>
        <v>334.17085784426996</v>
      </c>
      <c r="Z925" s="57">
        <f t="shared" si="479"/>
        <v>207.53849069534147</v>
      </c>
      <c r="AA925" s="57">
        <f t="shared" si="454"/>
        <v>-4.7087582025214534</v>
      </c>
      <c r="AB925" s="57">
        <f t="shared" si="455"/>
        <v>-7.7224777264830298</v>
      </c>
      <c r="AC925" s="57">
        <f t="shared" si="456"/>
        <v>-0.76848754557168275</v>
      </c>
      <c r="AD925" s="57">
        <f t="shared" si="457"/>
        <v>-1.3246142113647876</v>
      </c>
      <c r="AE925" s="57">
        <f t="shared" si="458"/>
        <v>-0.27222353456278409</v>
      </c>
      <c r="AF925" s="57">
        <f t="shared" si="459"/>
        <v>-0.4108792271540388</v>
      </c>
      <c r="AG925" s="57">
        <f t="shared" si="460"/>
        <v>-0.71046164925001332</v>
      </c>
      <c r="AH925" s="57">
        <f t="shared" si="461"/>
        <v>-1.178645068699897</v>
      </c>
      <c r="AJ925" s="57">
        <f t="shared" si="462"/>
        <v>584601.81799105462</v>
      </c>
      <c r="AK925" s="57">
        <f t="shared" si="463"/>
        <v>603578.05606905755</v>
      </c>
      <c r="AL925" s="57">
        <f t="shared" si="464"/>
        <v>616695.78362779238</v>
      </c>
      <c r="AN925" s="41">
        <v>920</v>
      </c>
      <c r="AO925" s="57">
        <f t="shared" si="465"/>
        <v>-2047.6946558943155</v>
      </c>
      <c r="AP925" s="57">
        <f t="shared" si="466"/>
        <v>12434.848925057491</v>
      </c>
      <c r="AR925" s="41">
        <v>920</v>
      </c>
      <c r="AS925" s="57">
        <f t="shared" si="467"/>
        <v>11711.075827249319</v>
      </c>
      <c r="AT925" s="57">
        <f t="shared" si="468"/>
        <v>-6197.0705016398369</v>
      </c>
      <c r="AV925" s="57">
        <f t="shared" si="469"/>
        <v>-2.7069690824058048</v>
      </c>
      <c r="AW925" s="57">
        <f t="shared" si="470"/>
        <v>-4.3731003314227674</v>
      </c>
      <c r="AX925" s="57">
        <f t="shared" si="471"/>
        <v>-0.25061639073116865</v>
      </c>
      <c r="AY925" s="57">
        <f t="shared" si="472"/>
        <v>-0.43523888784153858</v>
      </c>
      <c r="BA925" s="57">
        <f t="shared" si="473"/>
        <v>585881.00209414947</v>
      </c>
      <c r="BB925" s="57">
        <f t="shared" si="474"/>
        <v>597926.23883954261</v>
      </c>
    </row>
    <row r="926" spans="9:54" x14ac:dyDescent="0.25">
      <c r="I926" s="41">
        <v>921</v>
      </c>
      <c r="J926" s="57">
        <f t="shared" si="448"/>
        <v>15332.097867513994</v>
      </c>
      <c r="K926" s="57">
        <f t="shared" si="449"/>
        <v>5708.160252273492</v>
      </c>
      <c r="M926" s="41">
        <v>921</v>
      </c>
      <c r="N926" s="57">
        <f t="shared" si="450"/>
        <v>-23267.531492740203</v>
      </c>
      <c r="O926" s="57">
        <f t="shared" si="451"/>
        <v>8745.7121765914453</v>
      </c>
      <c r="Q926" s="41">
        <v>921</v>
      </c>
      <c r="R926" s="57">
        <f t="shared" si="452"/>
        <v>-9667.9021324860059</v>
      </c>
      <c r="S926" s="41">
        <f t="shared" si="453"/>
        <v>-16791.83974772651</v>
      </c>
      <c r="U926" s="41">
        <v>920</v>
      </c>
      <c r="V926" s="41">
        <f t="shared" si="475"/>
        <v>460</v>
      </c>
      <c r="W926" s="57">
        <f t="shared" si="476"/>
        <v>313532.16108448146</v>
      </c>
      <c r="X926" s="57">
        <f t="shared" si="477"/>
        <v>513266.59800972417</v>
      </c>
      <c r="Y926" s="57">
        <f t="shared" si="478"/>
        <v>331.81647874300921</v>
      </c>
      <c r="Z926" s="57">
        <f t="shared" si="479"/>
        <v>203.67725183209996</v>
      </c>
      <c r="AA926" s="57">
        <f t="shared" si="454"/>
        <v>-4.707140642543834</v>
      </c>
      <c r="AB926" s="57">
        <f t="shared" si="455"/>
        <v>-7.7172263327442563</v>
      </c>
      <c r="AC926" s="57">
        <f t="shared" si="456"/>
        <v>-0.76824370172864875</v>
      </c>
      <c r="AD926" s="57">
        <f t="shared" si="457"/>
        <v>-1.3237118618626147</v>
      </c>
      <c r="AE926" s="57">
        <f t="shared" si="458"/>
        <v>-0.27211915830300476</v>
      </c>
      <c r="AF926" s="57">
        <f t="shared" si="459"/>
        <v>-0.4106005328155885</v>
      </c>
      <c r="AG926" s="57">
        <f t="shared" si="460"/>
        <v>-0.71023199943661308</v>
      </c>
      <c r="AH926" s="57">
        <f t="shared" si="461"/>
        <v>-1.1778774264508729</v>
      </c>
      <c r="AJ926" s="57">
        <f t="shared" si="462"/>
        <v>584774.29941239371</v>
      </c>
      <c r="AK926" s="57">
        <f t="shared" si="463"/>
        <v>603755.72142213758</v>
      </c>
      <c r="AL926" s="57">
        <f t="shared" si="464"/>
        <v>616869.7887057832</v>
      </c>
      <c r="AN926" s="41">
        <v>921</v>
      </c>
      <c r="AO926" s="57">
        <f t="shared" si="465"/>
        <v>-2001.8531987290089</v>
      </c>
      <c r="AP926" s="57">
        <f t="shared" si="466"/>
        <v>12312.240378410239</v>
      </c>
      <c r="AR926" s="41">
        <v>921</v>
      </c>
      <c r="AS926" s="57">
        <f t="shared" si="467"/>
        <v>11732.468507259797</v>
      </c>
      <c r="AT926" s="57">
        <f t="shared" si="468"/>
        <v>-6254.2878234085556</v>
      </c>
      <c r="AV926" s="57">
        <f t="shared" si="469"/>
        <v>-2.7060060105828168</v>
      </c>
      <c r="AW926" s="57">
        <f t="shared" si="470"/>
        <v>-4.3700870740595974</v>
      </c>
      <c r="AX926" s="57">
        <f t="shared" si="471"/>
        <v>-0.25053977249275061</v>
      </c>
      <c r="AY926" s="57">
        <f t="shared" si="472"/>
        <v>-0.43494943755558374</v>
      </c>
      <c r="BA926" s="57">
        <f t="shared" si="473"/>
        <v>586056.05287860008</v>
      </c>
      <c r="BB926" s="57">
        <f t="shared" si="474"/>
        <v>598098.41816739808</v>
      </c>
    </row>
    <row r="927" spans="9:54" x14ac:dyDescent="0.25">
      <c r="I927" s="41">
        <v>922</v>
      </c>
      <c r="J927" s="57">
        <f t="shared" si="448"/>
        <v>15364.080727166063</v>
      </c>
      <c r="K927" s="57">
        <f t="shared" si="449"/>
        <v>5626.9670329204382</v>
      </c>
      <c r="M927" s="41">
        <v>922</v>
      </c>
      <c r="N927" s="57">
        <f t="shared" si="450"/>
        <v>-23245.143490983755</v>
      </c>
      <c r="O927" s="57">
        <f t="shared" si="451"/>
        <v>8688.8769230443067</v>
      </c>
      <c r="Q927" s="41">
        <v>922</v>
      </c>
      <c r="R927" s="57">
        <f t="shared" si="452"/>
        <v>-9635.9192728339367</v>
      </c>
      <c r="S927" s="41">
        <f t="shared" si="453"/>
        <v>-16873.032967079562</v>
      </c>
      <c r="U927" s="41">
        <v>921</v>
      </c>
      <c r="V927" s="41">
        <f t="shared" si="475"/>
        <v>460.5</v>
      </c>
      <c r="W927" s="57">
        <f t="shared" si="476"/>
        <v>313697.48093127261</v>
      </c>
      <c r="X927" s="57">
        <f t="shared" si="477"/>
        <v>513367.47198234865</v>
      </c>
      <c r="Y927" s="57">
        <f t="shared" si="478"/>
        <v>329.46290842173732</v>
      </c>
      <c r="Z927" s="57">
        <f t="shared" si="479"/>
        <v>199.81863866572783</v>
      </c>
      <c r="AA927" s="57">
        <f t="shared" si="454"/>
        <v>-4.7055590765498749</v>
      </c>
      <c r="AB927" s="57">
        <f t="shared" si="455"/>
        <v>-7.7120385057987537</v>
      </c>
      <c r="AC927" s="57">
        <f t="shared" si="456"/>
        <v>-0.7680056524338853</v>
      </c>
      <c r="AD927" s="57">
        <f t="shared" si="457"/>
        <v>-1.3228205997306386</v>
      </c>
      <c r="AE927" s="57">
        <f t="shared" si="458"/>
        <v>-0.27201690235247666</v>
      </c>
      <c r="AF927" s="57">
        <f t="shared" si="459"/>
        <v>-0.41032512469531091</v>
      </c>
      <c r="AG927" s="57">
        <f t="shared" si="460"/>
        <v>-0.71000753347369749</v>
      </c>
      <c r="AH927" s="57">
        <f t="shared" si="461"/>
        <v>-1.1771190799930442</v>
      </c>
      <c r="AJ927" s="57">
        <f t="shared" si="462"/>
        <v>584944.53541783558</v>
      </c>
      <c r="AK927" s="57">
        <f t="shared" si="463"/>
        <v>603931.13898008072</v>
      </c>
      <c r="AL927" s="57">
        <f t="shared" si="464"/>
        <v>617041.54625191726</v>
      </c>
      <c r="AN927" s="41">
        <v>922</v>
      </c>
      <c r="AO927" s="57">
        <f t="shared" si="465"/>
        <v>-1953.8789092509051</v>
      </c>
      <c r="AP927" s="57">
        <f t="shared" si="466"/>
        <v>12190.450549380657</v>
      </c>
      <c r="AR927" s="41">
        <v>922</v>
      </c>
      <c r="AS927" s="57">
        <f t="shared" si="467"/>
        <v>11754.856509016245</v>
      </c>
      <c r="AT927" s="57">
        <f t="shared" si="468"/>
        <v>-6311.1230769556933</v>
      </c>
      <c r="AV927" s="57">
        <f t="shared" si="469"/>
        <v>-2.7050639934976277</v>
      </c>
      <c r="AW927" s="57">
        <f t="shared" si="470"/>
        <v>-4.3671101556219991</v>
      </c>
      <c r="AX927" s="57">
        <f t="shared" si="471"/>
        <v>-0.25046499479218709</v>
      </c>
      <c r="AY927" s="57">
        <f t="shared" si="472"/>
        <v>-0.43466354575776101</v>
      </c>
      <c r="BA927" s="57">
        <f t="shared" si="473"/>
        <v>586228.85621861916</v>
      </c>
      <c r="BB927" s="57">
        <f t="shared" si="474"/>
        <v>598268.35209967359</v>
      </c>
    </row>
    <row r="928" spans="9:54" x14ac:dyDescent="0.25">
      <c r="I928" s="41">
        <v>923</v>
      </c>
      <c r="J928" s="57">
        <f t="shared" si="448"/>
        <v>15397.475732737797</v>
      </c>
      <c r="K928" s="57">
        <f t="shared" si="449"/>
        <v>5546.3443575536348</v>
      </c>
      <c r="M928" s="41">
        <v>923</v>
      </c>
      <c r="N928" s="57">
        <f t="shared" si="450"/>
        <v>-23221.766987083542</v>
      </c>
      <c r="O928" s="57">
        <f t="shared" si="451"/>
        <v>8632.4410502875435</v>
      </c>
      <c r="Q928" s="41">
        <v>923</v>
      </c>
      <c r="R928" s="57">
        <f t="shared" si="452"/>
        <v>-9602.5242672622026</v>
      </c>
      <c r="S928" s="41">
        <f t="shared" si="453"/>
        <v>-16953.655642446367</v>
      </c>
      <c r="U928" s="41">
        <v>922</v>
      </c>
      <c r="V928" s="41">
        <f t="shared" si="475"/>
        <v>461</v>
      </c>
      <c r="W928" s="57">
        <f t="shared" si="476"/>
        <v>313861.6241905989</v>
      </c>
      <c r="X928" s="57">
        <f t="shared" si="477"/>
        <v>513466.41729686828</v>
      </c>
      <c r="Y928" s="57">
        <f t="shared" si="478"/>
        <v>327.11012888346238</v>
      </c>
      <c r="Z928" s="57">
        <f t="shared" si="479"/>
        <v>195.96261941282845</v>
      </c>
      <c r="AA928" s="57">
        <f t="shared" si="454"/>
        <v>-4.7040134264610867</v>
      </c>
      <c r="AB928" s="57">
        <f t="shared" si="455"/>
        <v>-7.7069140311018103</v>
      </c>
      <c r="AC928" s="57">
        <f t="shared" si="456"/>
        <v>-0.76777338594778843</v>
      </c>
      <c r="AD928" s="57">
        <f t="shared" si="457"/>
        <v>-1.3219403876020499</v>
      </c>
      <c r="AE928" s="57">
        <f t="shared" si="458"/>
        <v>-0.27191676168285739</v>
      </c>
      <c r="AF928" s="57">
        <f t="shared" si="459"/>
        <v>-0.41005299168280235</v>
      </c>
      <c r="AG928" s="57">
        <f t="shared" si="460"/>
        <v>-0.70978824058532475</v>
      </c>
      <c r="AH928" s="57">
        <f t="shared" si="461"/>
        <v>-1.1763699990355672</v>
      </c>
      <c r="AJ928" s="57">
        <f t="shared" si="462"/>
        <v>585112.5273006598</v>
      </c>
      <c r="AK928" s="57">
        <f t="shared" si="463"/>
        <v>604104.31007643789</v>
      </c>
      <c r="AL928" s="57">
        <f t="shared" si="464"/>
        <v>617211.05757435551</v>
      </c>
      <c r="AN928" s="41">
        <v>923</v>
      </c>
      <c r="AO928" s="57">
        <f t="shared" si="465"/>
        <v>-1903.7864008933047</v>
      </c>
      <c r="AP928" s="57">
        <f t="shared" si="466"/>
        <v>12069.516536330451</v>
      </c>
      <c r="AR928" s="41">
        <v>923</v>
      </c>
      <c r="AS928" s="57">
        <f t="shared" si="467"/>
        <v>11778.233012916458</v>
      </c>
      <c r="AT928" s="57">
        <f t="shared" si="468"/>
        <v>-6367.5589497124556</v>
      </c>
      <c r="AV928" s="57">
        <f t="shared" si="469"/>
        <v>-2.7041429842483162</v>
      </c>
      <c r="AW928" s="57">
        <f t="shared" si="470"/>
        <v>-4.3641694520939049</v>
      </c>
      <c r="AX928" s="57">
        <f t="shared" si="471"/>
        <v>-0.25039205399679959</v>
      </c>
      <c r="AY928" s="57">
        <f t="shared" si="472"/>
        <v>-0.43438120068748631</v>
      </c>
      <c r="BA928" s="57">
        <f t="shared" si="473"/>
        <v>586399.41342947341</v>
      </c>
      <c r="BB928" s="57">
        <f t="shared" si="474"/>
        <v>598436.04192803521</v>
      </c>
    </row>
    <row r="929" spans="9:54" x14ac:dyDescent="0.25">
      <c r="I929" s="41">
        <v>924</v>
      </c>
      <c r="J929" s="57">
        <f t="shared" si="448"/>
        <v>15432.272711786998</v>
      </c>
      <c r="K929" s="57">
        <f t="shared" si="449"/>
        <v>5466.3167846209908</v>
      </c>
      <c r="M929" s="41">
        <v>924</v>
      </c>
      <c r="N929" s="57">
        <f t="shared" si="450"/>
        <v>-23197.409101749101</v>
      </c>
      <c r="O929" s="57">
        <f t="shared" si="451"/>
        <v>8576.4217492346943</v>
      </c>
      <c r="Q929" s="41">
        <v>924</v>
      </c>
      <c r="R929" s="57">
        <f t="shared" si="452"/>
        <v>-9567.7272882130019</v>
      </c>
      <c r="S929" s="41">
        <f t="shared" si="453"/>
        <v>-17033.683215379009</v>
      </c>
      <c r="U929" s="41">
        <v>923</v>
      </c>
      <c r="V929" s="41">
        <f t="shared" si="475"/>
        <v>461.5</v>
      </c>
      <c r="W929" s="57">
        <f t="shared" si="476"/>
        <v>314024.59125336236</v>
      </c>
      <c r="X929" s="57">
        <f t="shared" si="477"/>
        <v>513563.43524232082</v>
      </c>
      <c r="Y929" s="57">
        <f t="shared" si="478"/>
        <v>324.75812217023184</v>
      </c>
      <c r="Z929" s="57">
        <f t="shared" si="479"/>
        <v>192.10916239727754</v>
      </c>
      <c r="AA929" s="57">
        <f t="shared" si="454"/>
        <v>-4.7025036157876379</v>
      </c>
      <c r="AB929" s="57">
        <f t="shared" si="455"/>
        <v>-7.701852697152721</v>
      </c>
      <c r="AC929" s="57">
        <f t="shared" si="456"/>
        <v>-0.76754689078174998</v>
      </c>
      <c r="AD929" s="57">
        <f t="shared" si="457"/>
        <v>-1.3210711886471602</v>
      </c>
      <c r="AE929" s="57">
        <f t="shared" si="458"/>
        <v>-0.27181873136157098</v>
      </c>
      <c r="AF929" s="57">
        <f t="shared" si="459"/>
        <v>-0.40978412282171872</v>
      </c>
      <c r="AG929" s="57">
        <f t="shared" si="460"/>
        <v>-0.70957411021561789</v>
      </c>
      <c r="AH929" s="57">
        <f t="shared" si="461"/>
        <v>-1.1756301537166449</v>
      </c>
      <c r="AJ929" s="57">
        <f t="shared" si="462"/>
        <v>585278.27633610787</v>
      </c>
      <c r="AK929" s="57">
        <f t="shared" si="463"/>
        <v>604275.2360266163</v>
      </c>
      <c r="AL929" s="57">
        <f t="shared" si="464"/>
        <v>617378.32396314177</v>
      </c>
      <c r="AN929" s="41">
        <v>924</v>
      </c>
      <c r="AO929" s="57">
        <f t="shared" si="465"/>
        <v>-1851.5909323195019</v>
      </c>
      <c r="AP929" s="57">
        <f t="shared" si="466"/>
        <v>11949.475176931486</v>
      </c>
      <c r="AR929" s="41">
        <v>924</v>
      </c>
      <c r="AS929" s="57">
        <f t="shared" si="467"/>
        <v>11802.590898250899</v>
      </c>
      <c r="AT929" s="57">
        <f t="shared" si="468"/>
        <v>-6423.5782507653066</v>
      </c>
      <c r="AV929" s="57">
        <f t="shared" si="469"/>
        <v>-2.7032429368768103</v>
      </c>
      <c r="AW929" s="57">
        <f t="shared" si="470"/>
        <v>-4.3612648412140844</v>
      </c>
      <c r="AX929" s="57">
        <f t="shared" si="471"/>
        <v>-0.25032094655188908</v>
      </c>
      <c r="AY929" s="57">
        <f t="shared" si="472"/>
        <v>-0.43410239075311285</v>
      </c>
      <c r="BA929" s="57">
        <f t="shared" si="473"/>
        <v>586567.72580830893</v>
      </c>
      <c r="BB929" s="57">
        <f t="shared" si="474"/>
        <v>598601.48892611102</v>
      </c>
    </row>
    <row r="930" spans="9:54" x14ac:dyDescent="0.25">
      <c r="I930" s="41">
        <v>925</v>
      </c>
      <c r="J930" s="57">
        <f t="shared" si="448"/>
        <v>15468.461064816751</v>
      </c>
      <c r="K930" s="57">
        <f t="shared" si="449"/>
        <v>5386.9086912964995</v>
      </c>
      <c r="M930" s="41">
        <v>925</v>
      </c>
      <c r="N930" s="57">
        <f t="shared" si="450"/>
        <v>-23172.077254628275</v>
      </c>
      <c r="O930" s="57">
        <f t="shared" si="451"/>
        <v>8520.8360839075503</v>
      </c>
      <c r="Q930" s="41">
        <v>925</v>
      </c>
      <c r="R930" s="57">
        <f t="shared" si="452"/>
        <v>-9531.5389351832491</v>
      </c>
      <c r="S930" s="41">
        <f t="shared" si="453"/>
        <v>-17113.091308703501</v>
      </c>
      <c r="U930" s="41">
        <v>924</v>
      </c>
      <c r="V930" s="41">
        <f t="shared" si="475"/>
        <v>462</v>
      </c>
      <c r="W930" s="57">
        <f t="shared" si="476"/>
        <v>314186.38250149548</v>
      </c>
      <c r="X930" s="57">
        <f t="shared" si="477"/>
        <v>513658.52709193237</v>
      </c>
      <c r="Y930" s="57">
        <f t="shared" si="478"/>
        <v>322.406870362338</v>
      </c>
      <c r="Z930" s="57">
        <f t="shared" si="479"/>
        <v>188.25823604870118</v>
      </c>
      <c r="AA930" s="57">
        <f t="shared" si="454"/>
        <v>-4.70102956961989</v>
      </c>
      <c r="AB930" s="57">
        <f t="shared" si="455"/>
        <v>-7.6968542954727655</v>
      </c>
      <c r="AC930" s="57">
        <f t="shared" si="456"/>
        <v>-0.76732615569687679</v>
      </c>
      <c r="AD930" s="57">
        <f t="shared" si="457"/>
        <v>-1.3202129665694895</v>
      </c>
      <c r="AE930" s="57">
        <f t="shared" si="458"/>
        <v>-0.27172280655127451</v>
      </c>
      <c r="AF930" s="57">
        <f t="shared" si="459"/>
        <v>-0.40951850730868289</v>
      </c>
      <c r="AG930" s="57">
        <f t="shared" si="460"/>
        <v>-0.70936513202764906</v>
      </c>
      <c r="AH930" s="57">
        <f t="shared" si="461"/>
        <v>-1.1748995146005454</v>
      </c>
      <c r="AJ930" s="57">
        <f t="shared" si="462"/>
        <v>585441.78378143685</v>
      </c>
      <c r="AK930" s="57">
        <f t="shared" si="463"/>
        <v>604443.91812793561</v>
      </c>
      <c r="AL930" s="57">
        <f t="shared" si="464"/>
        <v>617543.34669025661</v>
      </c>
      <c r="AN930" s="41">
        <v>925</v>
      </c>
      <c r="AO930" s="57">
        <f t="shared" si="465"/>
        <v>-1797.3084027748728</v>
      </c>
      <c r="AP930" s="57">
        <f t="shared" si="466"/>
        <v>11830.363036944749</v>
      </c>
      <c r="AR930" s="41">
        <v>925</v>
      </c>
      <c r="AS930" s="57">
        <f t="shared" si="467"/>
        <v>11827.922745371725</v>
      </c>
      <c r="AT930" s="57">
        <f t="shared" si="468"/>
        <v>-6479.1639160924497</v>
      </c>
      <c r="AV930" s="57">
        <f t="shared" si="469"/>
        <v>-2.7023638063637487</v>
      </c>
      <c r="AW930" s="57">
        <f t="shared" si="470"/>
        <v>-4.3583962024633376</v>
      </c>
      <c r="AX930" s="57">
        <f t="shared" si="471"/>
        <v>-0.25025166898034062</v>
      </c>
      <c r="AY930" s="57">
        <f t="shared" si="472"/>
        <v>-0.43382710453071005</v>
      </c>
      <c r="BA930" s="57">
        <f t="shared" si="473"/>
        <v>586733.79463420762</v>
      </c>
      <c r="BB930" s="57">
        <f t="shared" si="474"/>
        <v>598764.69434954494</v>
      </c>
    </row>
    <row r="931" spans="9:54" x14ac:dyDescent="0.25">
      <c r="I931" s="41">
        <v>926</v>
      </c>
      <c r="J931" s="57">
        <f t="shared" si="448"/>
        <v>15506.029768504164</v>
      </c>
      <c r="K931" s="57">
        <f t="shared" si="449"/>
        <v>5308.1442660546145</v>
      </c>
      <c r="M931" s="41">
        <v>926</v>
      </c>
      <c r="N931" s="57">
        <f t="shared" si="450"/>
        <v>-23145.779162047085</v>
      </c>
      <c r="O931" s="57">
        <f t="shared" si="451"/>
        <v>8465.7009862382311</v>
      </c>
      <c r="Q931" s="41">
        <v>926</v>
      </c>
      <c r="R931" s="57">
        <f t="shared" si="452"/>
        <v>-9493.9702314958358</v>
      </c>
      <c r="S931" s="41">
        <f t="shared" si="453"/>
        <v>-17191.855733945384</v>
      </c>
      <c r="U931" s="41">
        <v>925</v>
      </c>
      <c r="V931" s="41">
        <f t="shared" si="475"/>
        <v>462.5</v>
      </c>
      <c r="W931" s="57">
        <f t="shared" si="476"/>
        <v>314346.99830798042</v>
      </c>
      <c r="X931" s="57">
        <f t="shared" si="477"/>
        <v>513751.69410316978</v>
      </c>
      <c r="Y931" s="57">
        <f t="shared" si="478"/>
        <v>320.05635557752805</v>
      </c>
      <c r="Z931" s="57">
        <f t="shared" si="479"/>
        <v>184.4098089009648</v>
      </c>
      <c r="AA931" s="57">
        <f t="shared" si="454"/>
        <v>-4.6995912146203045</v>
      </c>
      <c r="AB931" s="57">
        <f t="shared" si="455"/>
        <v>-7.6919186205839036</v>
      </c>
      <c r="AC931" s="57">
        <f t="shared" si="456"/>
        <v>-0.76711116970280269</v>
      </c>
      <c r="AD931" s="57">
        <f t="shared" si="457"/>
        <v>-1.3193656856020297</v>
      </c>
      <c r="AE931" s="57">
        <f t="shared" si="458"/>
        <v>-0.27162898250929945</v>
      </c>
      <c r="AF931" s="57">
        <f t="shared" si="459"/>
        <v>-0.40925613449215714</v>
      </c>
      <c r="AG931" s="57">
        <f t="shared" si="460"/>
        <v>-0.70916129590232113</v>
      </c>
      <c r="AH931" s="57">
        <f t="shared" si="461"/>
        <v>-1.1741780526746259</v>
      </c>
      <c r="AJ931" s="57">
        <f t="shared" si="462"/>
        <v>585603.05087597319</v>
      </c>
      <c r="AK931" s="57">
        <f t="shared" si="463"/>
        <v>604610.35765968333</v>
      </c>
      <c r="AL931" s="57">
        <f t="shared" si="464"/>
        <v>617706.12700967211</v>
      </c>
      <c r="AN931" s="41">
        <v>926</v>
      </c>
      <c r="AO931" s="57">
        <f t="shared" si="465"/>
        <v>-1740.9553472437537</v>
      </c>
      <c r="AP931" s="57">
        <f t="shared" si="466"/>
        <v>11712.216399081923</v>
      </c>
      <c r="AR931" s="41">
        <v>926</v>
      </c>
      <c r="AS931" s="57">
        <f t="shared" si="467"/>
        <v>11854.220837952915</v>
      </c>
      <c r="AT931" s="57">
        <f t="shared" si="468"/>
        <v>-6534.2990137617699</v>
      </c>
      <c r="AV931" s="57">
        <f t="shared" si="469"/>
        <v>-2.7015055486236133</v>
      </c>
      <c r="AW931" s="57">
        <f t="shared" si="470"/>
        <v>-4.3555634170521742</v>
      </c>
      <c r="AX931" s="57">
        <f t="shared" si="471"/>
        <v>-0.25018421788226736</v>
      </c>
      <c r="AY931" s="57">
        <f t="shared" si="472"/>
        <v>-0.4335553307629168</v>
      </c>
      <c r="BA931" s="57">
        <f t="shared" si="473"/>
        <v>586897.62116824044</v>
      </c>
      <c r="BB931" s="57">
        <f t="shared" si="474"/>
        <v>598925.65943604941</v>
      </c>
    </row>
    <row r="932" spans="9:54" x14ac:dyDescent="0.25">
      <c r="I932" s="41">
        <v>927</v>
      </c>
      <c r="J932" s="57">
        <f t="shared" si="448"/>
        <v>15544.967379058158</v>
      </c>
      <c r="K932" s="57">
        <f t="shared" si="449"/>
        <v>5230.0475013022733</v>
      </c>
      <c r="M932" s="41">
        <v>927</v>
      </c>
      <c r="N932" s="57">
        <f t="shared" si="450"/>
        <v>-23118.522834659288</v>
      </c>
      <c r="O932" s="57">
        <f t="shared" si="451"/>
        <v>8411.0332509115906</v>
      </c>
      <c r="Q932" s="41">
        <v>927</v>
      </c>
      <c r="R932" s="57">
        <f t="shared" si="452"/>
        <v>-9455.0326209418417</v>
      </c>
      <c r="S932" s="41">
        <f t="shared" si="453"/>
        <v>-17269.952498697727</v>
      </c>
      <c r="U932" s="41">
        <v>926</v>
      </c>
      <c r="V932" s="41">
        <f t="shared" si="475"/>
        <v>463</v>
      </c>
      <c r="W932" s="57">
        <f t="shared" si="476"/>
        <v>314506.43903686735</v>
      </c>
      <c r="X932" s="57">
        <f t="shared" si="477"/>
        <v>513842.93751779274</v>
      </c>
      <c r="Y932" s="57">
        <f t="shared" si="478"/>
        <v>317.70655997021788</v>
      </c>
      <c r="Z932" s="57">
        <f t="shared" si="479"/>
        <v>180.56384959067285</v>
      </c>
      <c r="AA932" s="57">
        <f t="shared" si="454"/>
        <v>-4.6981884790151431</v>
      </c>
      <c r="AB932" s="57">
        <f t="shared" si="455"/>
        <v>-7.6870454699871802</v>
      </c>
      <c r="AC932" s="57">
        <f t="shared" si="456"/>
        <v>-0.76690192205642993</v>
      </c>
      <c r="AD932" s="57">
        <f t="shared" si="457"/>
        <v>-1.3185293105034059</v>
      </c>
      <c r="AE932" s="57">
        <f t="shared" si="458"/>
        <v>-0.27153725458714406</v>
      </c>
      <c r="AF932" s="57">
        <f t="shared" si="459"/>
        <v>-0.40899699387139377</v>
      </c>
      <c r="AG932" s="57">
        <f t="shared" si="460"/>
        <v>-0.70896259193728672</v>
      </c>
      <c r="AH932" s="57">
        <f t="shared" si="461"/>
        <v>-1.1734657393464307</v>
      </c>
      <c r="AJ932" s="57">
        <f t="shared" si="462"/>
        <v>585762.07884116517</v>
      </c>
      <c r="AK932" s="57">
        <f t="shared" si="463"/>
        <v>604774.55588316859</v>
      </c>
      <c r="AL932" s="57">
        <f t="shared" si="464"/>
        <v>617866.66615740606</v>
      </c>
      <c r="AN932" s="41">
        <v>927</v>
      </c>
      <c r="AO932" s="57">
        <f t="shared" si="465"/>
        <v>-1682.5489314127644</v>
      </c>
      <c r="AP932" s="57">
        <f t="shared" si="466"/>
        <v>11595.07125195341</v>
      </c>
      <c r="AR932" s="41">
        <v>927</v>
      </c>
      <c r="AS932" s="57">
        <f t="shared" si="467"/>
        <v>11881.47716534071</v>
      </c>
      <c r="AT932" s="57">
        <f t="shared" si="468"/>
        <v>-6588.9667490884094</v>
      </c>
      <c r="AV932" s="57">
        <f t="shared" si="469"/>
        <v>-2.7006681204996488</v>
      </c>
      <c r="AW932" s="57">
        <f t="shared" si="470"/>
        <v>-4.3527663679081847</v>
      </c>
      <c r="AX932" s="57">
        <f t="shared" si="471"/>
        <v>-0.25011858993463371</v>
      </c>
      <c r="AY932" s="57">
        <f t="shared" si="472"/>
        <v>-0.4332870583577651</v>
      </c>
      <c r="BA932" s="57">
        <f t="shared" si="473"/>
        <v>587059.20665352186</v>
      </c>
      <c r="BB932" s="57">
        <f t="shared" si="474"/>
        <v>599084.38540545932</v>
      </c>
    </row>
    <row r="933" spans="9:54" x14ac:dyDescent="0.25">
      <c r="I933" s="41">
        <v>928</v>
      </c>
      <c r="J933" s="57">
        <f t="shared" si="448"/>
        <v>15585.262035705367</v>
      </c>
      <c r="K933" s="57">
        <f t="shared" si="449"/>
        <v>5152.6421860705414</v>
      </c>
      <c r="M933" s="41">
        <v>928</v>
      </c>
      <c r="N933" s="57">
        <f t="shared" si="450"/>
        <v>-23090.316575006244</v>
      </c>
      <c r="O933" s="57">
        <f t="shared" si="451"/>
        <v>8356.8495302493793</v>
      </c>
      <c r="Q933" s="41">
        <v>928</v>
      </c>
      <c r="R933" s="57">
        <f t="shared" si="452"/>
        <v>-9414.7379642946325</v>
      </c>
      <c r="S933" s="41">
        <f t="shared" si="453"/>
        <v>-17347.357813929459</v>
      </c>
      <c r="U933" s="41">
        <v>927</v>
      </c>
      <c r="V933" s="41">
        <f t="shared" si="475"/>
        <v>463.5</v>
      </c>
      <c r="W933" s="57">
        <f t="shared" si="476"/>
        <v>314664.70504329255</v>
      </c>
      <c r="X933" s="57">
        <f t="shared" si="477"/>
        <v>513932.25856190437</v>
      </c>
      <c r="Y933" s="57">
        <f t="shared" si="478"/>
        <v>315.35746573071032</v>
      </c>
      <c r="Z933" s="57">
        <f t="shared" si="479"/>
        <v>176.72032685567925</v>
      </c>
      <c r="AA933" s="57">
        <f t="shared" si="454"/>
        <v>-4.6968212925867041</v>
      </c>
      <c r="AB933" s="57">
        <f t="shared" si="455"/>
        <v>-7.6822346441420954</v>
      </c>
      <c r="AC933" s="57">
        <f t="shared" si="456"/>
        <v>-0.7666984022608212</v>
      </c>
      <c r="AD933" s="57">
        <f t="shared" si="457"/>
        <v>-1.3177038065543152</v>
      </c>
      <c r="AE933" s="57">
        <f t="shared" si="458"/>
        <v>-0.27144761822994307</v>
      </c>
      <c r="AF933" s="57">
        <f t="shared" si="459"/>
        <v>-0.40874107509535351</v>
      </c>
      <c r="AG933" s="57">
        <f t="shared" si="460"/>
        <v>-0.70876901044589435</v>
      </c>
      <c r="AH933" s="57">
        <f t="shared" si="461"/>
        <v>-1.1727625464408433</v>
      </c>
      <c r="AJ933" s="57">
        <f t="shared" si="462"/>
        <v>585918.86888063455</v>
      </c>
      <c r="AK933" s="57">
        <f t="shared" si="463"/>
        <v>604936.51404177619</v>
      </c>
      <c r="AL933" s="57">
        <f t="shared" si="464"/>
        <v>618024.96535157249</v>
      </c>
      <c r="AN933" s="41">
        <v>928</v>
      </c>
      <c r="AO933" s="57">
        <f t="shared" si="465"/>
        <v>-1622.1069464419488</v>
      </c>
      <c r="AP933" s="57">
        <f t="shared" si="466"/>
        <v>11478.963279105812</v>
      </c>
      <c r="AR933" s="41">
        <v>928</v>
      </c>
      <c r="AS933" s="57">
        <f t="shared" si="467"/>
        <v>11909.683424993756</v>
      </c>
      <c r="AT933" s="57">
        <f t="shared" si="468"/>
        <v>-6643.1504697506207</v>
      </c>
      <c r="AV933" s="57">
        <f t="shared" si="469"/>
        <v>-2.6998514797591504</v>
      </c>
      <c r="AW933" s="57">
        <f t="shared" si="470"/>
        <v>-4.3500049396640463</v>
      </c>
      <c r="AX933" s="57">
        <f t="shared" si="471"/>
        <v>-0.25005478189089458</v>
      </c>
      <c r="AY933" s="57">
        <f t="shared" si="472"/>
        <v>-0.43302227638753676</v>
      </c>
      <c r="BA933" s="57">
        <f t="shared" si="473"/>
        <v>587218.55231526226</v>
      </c>
      <c r="BB933" s="57">
        <f t="shared" si="474"/>
        <v>599240.87345978222</v>
      </c>
    </row>
    <row r="934" spans="9:54" x14ac:dyDescent="0.25">
      <c r="I934" s="41">
        <v>929</v>
      </c>
      <c r="J934" s="57">
        <f t="shared" si="448"/>
        <v>15626.90146430302</v>
      </c>
      <c r="K934" s="57">
        <f t="shared" si="449"/>
        <v>5075.951898768315</v>
      </c>
      <c r="M934" s="41">
        <v>929</v>
      </c>
      <c r="N934" s="57">
        <f t="shared" si="450"/>
        <v>-23061.168974987886</v>
      </c>
      <c r="O934" s="57">
        <f t="shared" si="451"/>
        <v>8303.1663291378209</v>
      </c>
      <c r="Q934" s="41">
        <v>929</v>
      </c>
      <c r="R934" s="57">
        <f t="shared" si="452"/>
        <v>-9373.0985356969795</v>
      </c>
      <c r="S934" s="41">
        <f t="shared" si="453"/>
        <v>-17424.048101231685</v>
      </c>
      <c r="U934" s="41">
        <v>928</v>
      </c>
      <c r="V934" s="41">
        <f t="shared" si="475"/>
        <v>464</v>
      </c>
      <c r="W934" s="57">
        <f t="shared" si="476"/>
        <v>314821.79667349637</v>
      </c>
      <c r="X934" s="57">
        <f t="shared" si="477"/>
        <v>514019.6584460017</v>
      </c>
      <c r="Y934" s="57">
        <f t="shared" si="478"/>
        <v>313.00905508441696</v>
      </c>
      <c r="Z934" s="57">
        <f t="shared" si="479"/>
        <v>172.87920953360819</v>
      </c>
      <c r="AA934" s="57">
        <f t="shared" si="454"/>
        <v>-4.6954895866655315</v>
      </c>
      <c r="AB934" s="57">
        <f t="shared" si="455"/>
        <v>-7.6774859464460006</v>
      </c>
      <c r="AC934" s="57">
        <f t="shared" si="456"/>
        <v>-0.76650060006401921</v>
      </c>
      <c r="AD934" s="57">
        <f t="shared" si="457"/>
        <v>-1.3168891395538553</v>
      </c>
      <c r="AE934" s="57">
        <f t="shared" si="458"/>
        <v>-0.27136006897597076</v>
      </c>
      <c r="AF934" s="57">
        <f t="shared" si="459"/>
        <v>-0.40848836796167476</v>
      </c>
      <c r="AG934" s="57">
        <f t="shared" si="460"/>
        <v>-0.70858054195614217</v>
      </c>
      <c r="AH934" s="57">
        <f t="shared" si="461"/>
        <v>-1.1720684461972606</v>
      </c>
      <c r="AJ934" s="57">
        <f t="shared" si="462"/>
        <v>586073.422180227</v>
      </c>
      <c r="AK934" s="57">
        <f t="shared" si="463"/>
        <v>605096.23336101871</v>
      </c>
      <c r="AL934" s="57">
        <f t="shared" si="464"/>
        <v>618181.02579243528</v>
      </c>
      <c r="AN934" s="41">
        <v>929</v>
      </c>
      <c r="AO934" s="57">
        <f t="shared" si="465"/>
        <v>-1559.6478035454693</v>
      </c>
      <c r="AP934" s="57">
        <f t="shared" si="466"/>
        <v>11363.927848152474</v>
      </c>
      <c r="AR934" s="41">
        <v>929</v>
      </c>
      <c r="AS934" s="57">
        <f t="shared" si="467"/>
        <v>11938.831025012114</v>
      </c>
      <c r="AT934" s="57">
        <f t="shared" si="468"/>
        <v>-6696.8336708621791</v>
      </c>
      <c r="AV934" s="57">
        <f t="shared" si="469"/>
        <v>-2.699055585088733</v>
      </c>
      <c r="AW934" s="57">
        <f t="shared" si="470"/>
        <v>-4.3472790186455308</v>
      </c>
      <c r="AX934" s="57">
        <f t="shared" si="471"/>
        <v>-0.24999279058066648</v>
      </c>
      <c r="AY934" s="57">
        <f t="shared" si="472"/>
        <v>-0.43276097408767911</v>
      </c>
      <c r="BA934" s="57">
        <f t="shared" si="473"/>
        <v>587375.65936081961</v>
      </c>
      <c r="BB934" s="57">
        <f t="shared" si="474"/>
        <v>599395.1247832498</v>
      </c>
    </row>
    <row r="935" spans="9:54" x14ac:dyDescent="0.25">
      <c r="I935" s="41">
        <v>930</v>
      </c>
      <c r="J935" s="57">
        <f t="shared" si="448"/>
        <v>15669.872981077804</v>
      </c>
      <c r="K935" s="57">
        <f t="shared" si="449"/>
        <v>5000.0000000000055</v>
      </c>
      <c r="M935" s="41">
        <v>930</v>
      </c>
      <c r="N935" s="57">
        <f t="shared" si="450"/>
        <v>-23031.088913245538</v>
      </c>
      <c r="O935" s="57">
        <f t="shared" si="451"/>
        <v>8250.0000000000036</v>
      </c>
      <c r="Q935" s="41">
        <v>930</v>
      </c>
      <c r="R935" s="57">
        <f t="shared" si="452"/>
        <v>-9330.1270189221959</v>
      </c>
      <c r="S935" s="41">
        <f t="shared" si="453"/>
        <v>-17499.999999999993</v>
      </c>
      <c r="U935" s="41">
        <v>929</v>
      </c>
      <c r="V935" s="41">
        <f t="shared" si="475"/>
        <v>464.5</v>
      </c>
      <c r="W935" s="57">
        <f t="shared" si="476"/>
        <v>314977.71426484024</v>
      </c>
      <c r="X935" s="57">
        <f t="shared" si="477"/>
        <v>514105.13836502517</v>
      </c>
      <c r="Y935" s="57">
        <f t="shared" si="478"/>
        <v>310.66131029108419</v>
      </c>
      <c r="Z935" s="57">
        <f t="shared" si="479"/>
        <v>169.0404665603852</v>
      </c>
      <c r="AA935" s="57">
        <f t="shared" si="454"/>
        <v>-4.694193294122873</v>
      </c>
      <c r="AB935" s="57">
        <f t="shared" si="455"/>
        <v>-7.672799183213967</v>
      </c>
      <c r="AC935" s="57">
        <f t="shared" si="456"/>
        <v>-0.76630850545791485</v>
      </c>
      <c r="AD935" s="57">
        <f t="shared" si="457"/>
        <v>-1.3160852758159562</v>
      </c>
      <c r="AE935" s="57">
        <f t="shared" si="458"/>
        <v>-0.27127460245614776</v>
      </c>
      <c r="AF935" s="57">
        <f t="shared" si="459"/>
        <v>-0.40823886241565155</v>
      </c>
      <c r="AG935" s="57">
        <f t="shared" si="460"/>
        <v>-0.70839717720966355</v>
      </c>
      <c r="AH935" s="57">
        <f t="shared" si="461"/>
        <v>-1.1713834112668322</v>
      </c>
      <c r="AJ935" s="57">
        <f t="shared" si="462"/>
        <v>586225.73990806309</v>
      </c>
      <c r="AK935" s="57">
        <f t="shared" si="463"/>
        <v>605253.7150485887</v>
      </c>
      <c r="AL935" s="57">
        <f t="shared" si="464"/>
        <v>618334.84866245743</v>
      </c>
      <c r="AN935" s="41">
        <v>930</v>
      </c>
      <c r="AO935" s="57">
        <f t="shared" si="465"/>
        <v>-1495.1905283832948</v>
      </c>
      <c r="AP935" s="57">
        <f t="shared" si="466"/>
        <v>11250.000000000007</v>
      </c>
      <c r="AR935" s="41">
        <v>930</v>
      </c>
      <c r="AS935" s="57">
        <f t="shared" si="467"/>
        <v>11968.911086754462</v>
      </c>
      <c r="AT935" s="57">
        <f t="shared" si="468"/>
        <v>-6749.9999999999964</v>
      </c>
      <c r="AV935" s="57">
        <f t="shared" si="469"/>
        <v>-2.6982803960897832</v>
      </c>
      <c r="AW935" s="57">
        <f t="shared" si="470"/>
        <v>-4.3445884928598586</v>
      </c>
      <c r="AX935" s="57">
        <f t="shared" si="471"/>
        <v>-0.24993261290936392</v>
      </c>
      <c r="AY935" s="57">
        <f t="shared" si="472"/>
        <v>-0.43250314085566832</v>
      </c>
      <c r="BA935" s="57">
        <f t="shared" si="473"/>
        <v>587530.52897975082</v>
      </c>
      <c r="BB935" s="57">
        <f t="shared" si="474"/>
        <v>599547.14054236806</v>
      </c>
    </row>
    <row r="936" spans="9:54" x14ac:dyDescent="0.25">
      <c r="I936" s="41">
        <v>931</v>
      </c>
      <c r="J936" s="57">
        <f t="shared" si="448"/>
        <v>15714.163496489442</v>
      </c>
      <c r="K936" s="57">
        <f t="shared" si="449"/>
        <v>4924.8096254497232</v>
      </c>
      <c r="M936" s="41">
        <v>931</v>
      </c>
      <c r="N936" s="57">
        <f t="shared" si="450"/>
        <v>-23000.085552457393</v>
      </c>
      <c r="O936" s="57">
        <f t="shared" si="451"/>
        <v>8197.3667378148057</v>
      </c>
      <c r="Q936" s="41">
        <v>931</v>
      </c>
      <c r="R936" s="57">
        <f t="shared" si="452"/>
        <v>-9285.836503510558</v>
      </c>
      <c r="S936" s="41">
        <f t="shared" si="453"/>
        <v>-17575.190374550275</v>
      </c>
      <c r="U936" s="41">
        <v>930</v>
      </c>
      <c r="V936" s="41">
        <f t="shared" si="475"/>
        <v>465</v>
      </c>
      <c r="W936" s="57">
        <f t="shared" si="476"/>
        <v>315132.45814582397</v>
      </c>
      <c r="X936" s="57">
        <f t="shared" si="477"/>
        <v>514188.69949840748</v>
      </c>
      <c r="Y936" s="57">
        <f t="shared" si="478"/>
        <v>308.31421364402274</v>
      </c>
      <c r="Z936" s="57">
        <f t="shared" si="479"/>
        <v>165.20406696877822</v>
      </c>
      <c r="AA936" s="57">
        <f t="shared" si="454"/>
        <v>-4.6929323493631658</v>
      </c>
      <c r="AB936" s="57">
        <f t="shared" si="455"/>
        <v>-7.6681741636587688</v>
      </c>
      <c r="AC936" s="57">
        <f t="shared" si="456"/>
        <v>-0.76612210867717634</v>
      </c>
      <c r="AD936" s="57">
        <f t="shared" si="457"/>
        <v>-1.3152921821659307</v>
      </c>
      <c r="AE936" s="57">
        <f t="shared" si="458"/>
        <v>-0.2711912143935471</v>
      </c>
      <c r="AF936" s="57">
        <f t="shared" si="459"/>
        <v>-0.40799254854921047</v>
      </c>
      <c r="AG936" s="57">
        <f t="shared" si="460"/>
        <v>-0.70821890716074032</v>
      </c>
      <c r="AH936" s="57">
        <f t="shared" si="461"/>
        <v>-1.1707074147097523</v>
      </c>
      <c r="AJ936" s="57">
        <f t="shared" si="462"/>
        <v>586375.82321458647</v>
      </c>
      <c r="AK936" s="57">
        <f t="shared" si="463"/>
        <v>605408.96029440954</v>
      </c>
      <c r="AL936" s="57">
        <f t="shared" si="464"/>
        <v>618486.43512635224</v>
      </c>
      <c r="AN936" s="41">
        <v>931</v>
      </c>
      <c r="AO936" s="57">
        <f t="shared" si="465"/>
        <v>-1428.754755265838</v>
      </c>
      <c r="AP936" s="57">
        <f t="shared" si="466"/>
        <v>11137.214438174586</v>
      </c>
      <c r="AR936" s="41">
        <v>931</v>
      </c>
      <c r="AS936" s="57">
        <f t="shared" si="467"/>
        <v>11999.914447542609</v>
      </c>
      <c r="AT936" s="57">
        <f t="shared" si="468"/>
        <v>-6802.6332621851934</v>
      </c>
      <c r="AV936" s="57">
        <f t="shared" si="469"/>
        <v>-2.6975258732738259</v>
      </c>
      <c r="AW936" s="57">
        <f t="shared" si="470"/>
        <v>-4.3419332519839289</v>
      </c>
      <c r="AX936" s="57">
        <f t="shared" si="471"/>
        <v>-0.24987424585787632</v>
      </c>
      <c r="AY936" s="57">
        <f t="shared" si="472"/>
        <v>-0.43224876624994663</v>
      </c>
      <c r="BA936" s="57">
        <f t="shared" si="473"/>
        <v>587683.16234386247</v>
      </c>
      <c r="BB936" s="57">
        <f t="shared" si="474"/>
        <v>599696.92188596597</v>
      </c>
    </row>
    <row r="937" spans="9:54" x14ac:dyDescent="0.25">
      <c r="I937" s="41">
        <v>932</v>
      </c>
      <c r="J937" s="57">
        <f t="shared" si="448"/>
        <v>15759.759519217871</v>
      </c>
      <c r="K937" s="57">
        <f t="shared" si="449"/>
        <v>4850.4036788339745</v>
      </c>
      <c r="M937" s="41">
        <v>932</v>
      </c>
      <c r="N937" s="57">
        <f t="shared" si="450"/>
        <v>-22968.168336547489</v>
      </c>
      <c r="O937" s="57">
        <f t="shared" si="451"/>
        <v>8145.2825751837818</v>
      </c>
      <c r="Q937" s="41">
        <v>932</v>
      </c>
      <c r="R937" s="57">
        <f t="shared" si="452"/>
        <v>-9240.2404807821295</v>
      </c>
      <c r="S937" s="41">
        <f t="shared" si="453"/>
        <v>-17649.596321166027</v>
      </c>
      <c r="U937" s="41">
        <v>931</v>
      </c>
      <c r="V937" s="41">
        <f t="shared" si="475"/>
        <v>465.5</v>
      </c>
      <c r="W937" s="57">
        <f t="shared" si="476"/>
        <v>315286.02863610233</v>
      </c>
      <c r="X937" s="57">
        <f t="shared" si="477"/>
        <v>514270.34301012143</v>
      </c>
      <c r="Y937" s="57">
        <f t="shared" si="478"/>
        <v>305.96774746934113</v>
      </c>
      <c r="Z937" s="57">
        <f t="shared" si="479"/>
        <v>161.36997988694884</v>
      </c>
      <c r="AA937" s="57">
        <f t="shared" si="454"/>
        <v>-4.6917066883169234</v>
      </c>
      <c r="AB937" s="57">
        <f t="shared" si="455"/>
        <v>-7.6636106998715903</v>
      </c>
      <c r="AC937" s="57">
        <f t="shared" si="456"/>
        <v>-0.76594140019817147</v>
      </c>
      <c r="AD937" s="57">
        <f t="shared" si="457"/>
        <v>-1.3145098259370311</v>
      </c>
      <c r="AE937" s="57">
        <f t="shared" si="458"/>
        <v>-0.27110990060292872</v>
      </c>
      <c r="AF937" s="57">
        <f t="shared" si="459"/>
        <v>-0.40774941659993191</v>
      </c>
      <c r="AG937" s="57">
        <f t="shared" si="460"/>
        <v>-0.70804572297532764</v>
      </c>
      <c r="AH937" s="57">
        <f t="shared" si="461"/>
        <v>-1.1700404299925804</v>
      </c>
      <c r="AJ937" s="57">
        <f t="shared" si="462"/>
        <v>586523.67323261313</v>
      </c>
      <c r="AK937" s="57">
        <f t="shared" si="463"/>
        <v>605561.97027068562</v>
      </c>
      <c r="AL937" s="57">
        <f t="shared" si="464"/>
        <v>618635.78633113182</v>
      </c>
      <c r="AN937" s="41">
        <v>932</v>
      </c>
      <c r="AO937" s="57">
        <f t="shared" si="465"/>
        <v>-1360.3607211731942</v>
      </c>
      <c r="AP937" s="57">
        <f t="shared" si="466"/>
        <v>11025.605518250963</v>
      </c>
      <c r="AR937" s="41">
        <v>932</v>
      </c>
      <c r="AS937" s="57">
        <f t="shared" si="467"/>
        <v>12031.831663452509</v>
      </c>
      <c r="AT937" s="57">
        <f t="shared" si="468"/>
        <v>-6854.7174248162182</v>
      </c>
      <c r="AV937" s="57">
        <f t="shared" si="469"/>
        <v>-2.6967919780582479</v>
      </c>
      <c r="AW937" s="57">
        <f t="shared" si="470"/>
        <v>-4.3393131873531798</v>
      </c>
      <c r="AX937" s="57">
        <f t="shared" si="471"/>
        <v>-0.24981768648224684</v>
      </c>
      <c r="AY937" s="57">
        <f t="shared" si="472"/>
        <v>-0.43199783998886715</v>
      </c>
      <c r="BA937" s="57">
        <f t="shared" si="473"/>
        <v>587833.56060725928</v>
      </c>
      <c r="BB937" s="57">
        <f t="shared" si="474"/>
        <v>599844.46994524437</v>
      </c>
    </row>
    <row r="938" spans="9:54" x14ac:dyDescent="0.25">
      <c r="I938" s="41">
        <v>933</v>
      </c>
      <c r="J938" s="57">
        <f t="shared" si="448"/>
        <v>15806.647160272878</v>
      </c>
      <c r="K938" s="57">
        <f t="shared" si="449"/>
        <v>4776.8048249248686</v>
      </c>
      <c r="M938" s="41">
        <v>933</v>
      </c>
      <c r="N938" s="57">
        <f t="shared" si="450"/>
        <v>-22935.346987808985</v>
      </c>
      <c r="O938" s="57">
        <f t="shared" si="451"/>
        <v>8093.7633774474079</v>
      </c>
      <c r="Q938" s="41">
        <v>933</v>
      </c>
      <c r="R938" s="57">
        <f t="shared" si="452"/>
        <v>-9193.352839727122</v>
      </c>
      <c r="S938" s="41">
        <f t="shared" si="453"/>
        <v>-17723.195175075132</v>
      </c>
      <c r="U938" s="41">
        <v>932</v>
      </c>
      <c r="V938" s="41">
        <f t="shared" si="475"/>
        <v>466</v>
      </c>
      <c r="W938" s="57">
        <f t="shared" si="476"/>
        <v>315438.42604650097</v>
      </c>
      <c r="X938" s="57">
        <f t="shared" si="477"/>
        <v>514350.07004872739</v>
      </c>
      <c r="Y938" s="57">
        <f t="shared" si="478"/>
        <v>303.62189412518268</v>
      </c>
      <c r="Z938" s="57">
        <f t="shared" si="479"/>
        <v>157.53817453701305</v>
      </c>
      <c r="AA938" s="57">
        <f t="shared" si="454"/>
        <v>-4.6905162484336591</v>
      </c>
      <c r="AB938" s="57">
        <f t="shared" si="455"/>
        <v>-7.6591086068028709</v>
      </c>
      <c r="AC938" s="57">
        <f t="shared" si="456"/>
        <v>-0.76576637073793219</v>
      </c>
      <c r="AD938" s="57">
        <f t="shared" si="457"/>
        <v>-1.3137381749670933</v>
      </c>
      <c r="AE938" s="57">
        <f t="shared" si="458"/>
        <v>-0.27103065699027606</v>
      </c>
      <c r="AF938" s="57">
        <f t="shared" si="459"/>
        <v>-0.40750945695007751</v>
      </c>
      <c r="AG938" s="57">
        <f t="shared" si="460"/>
        <v>-0.7078776160301099</v>
      </c>
      <c r="AH938" s="57">
        <f t="shared" si="461"/>
        <v>-1.1693824309856251</v>
      </c>
      <c r="AJ938" s="57">
        <f t="shared" si="462"/>
        <v>586669.29107737832</v>
      </c>
      <c r="AK938" s="57">
        <f t="shared" si="463"/>
        <v>605712.74613195169</v>
      </c>
      <c r="AL938" s="57">
        <f t="shared" si="464"/>
        <v>618782.90340615541</v>
      </c>
      <c r="AN938" s="41">
        <v>933</v>
      </c>
      <c r="AO938" s="57">
        <f t="shared" si="465"/>
        <v>-1290.029259590684</v>
      </c>
      <c r="AP938" s="57">
        <f t="shared" si="466"/>
        <v>10915.207237387302</v>
      </c>
      <c r="AR938" s="41">
        <v>933</v>
      </c>
      <c r="AS938" s="57">
        <f t="shared" si="467"/>
        <v>12064.653012191015</v>
      </c>
      <c r="AT938" s="57">
        <f t="shared" si="468"/>
        <v>-6906.2366225525921</v>
      </c>
      <c r="AV938" s="57">
        <f t="shared" si="469"/>
        <v>-2.6960786727619963</v>
      </c>
      <c r="AW938" s="57">
        <f t="shared" si="470"/>
        <v>-4.3367281919504412</v>
      </c>
      <c r="AX938" s="57">
        <f t="shared" si="471"/>
        <v>-0.24976293191334414</v>
      </c>
      <c r="AY938" s="57">
        <f t="shared" si="472"/>
        <v>-0.43175035194963379</v>
      </c>
      <c r="BA938" s="57">
        <f t="shared" si="473"/>
        <v>587981.72490639356</v>
      </c>
      <c r="BB938" s="57">
        <f t="shared" si="474"/>
        <v>599989.78583382303</v>
      </c>
    </row>
    <row r="939" spans="9:54" x14ac:dyDescent="0.25">
      <c r="I939" s="41">
        <v>934</v>
      </c>
      <c r="J939" s="57">
        <f t="shared" si="448"/>
        <v>15854.812137224786</v>
      </c>
      <c r="K939" s="57">
        <f t="shared" si="449"/>
        <v>4704.0354826462744</v>
      </c>
      <c r="M939" s="41">
        <v>934</v>
      </c>
      <c r="N939" s="57">
        <f t="shared" si="450"/>
        <v>-22901.631503942648</v>
      </c>
      <c r="O939" s="57">
        <f t="shared" si="451"/>
        <v>8042.8248378523922</v>
      </c>
      <c r="Q939" s="41">
        <v>934</v>
      </c>
      <c r="R939" s="57">
        <f t="shared" si="452"/>
        <v>-9145.1878627752139</v>
      </c>
      <c r="S939" s="41">
        <f t="shared" si="453"/>
        <v>-17795.964517353725</v>
      </c>
      <c r="U939" s="41">
        <v>933</v>
      </c>
      <c r="V939" s="41">
        <f t="shared" si="475"/>
        <v>466.5</v>
      </c>
      <c r="W939" s="57">
        <f t="shared" si="476"/>
        <v>315589.65067903249</v>
      </c>
      <c r="X939" s="57">
        <f t="shared" si="477"/>
        <v>514427.88174742006</v>
      </c>
      <c r="Y939" s="57">
        <f t="shared" si="478"/>
        <v>301.27663600096582</v>
      </c>
      <c r="Z939" s="57">
        <f t="shared" si="479"/>
        <v>153.70862023361161</v>
      </c>
      <c r="AA939" s="57">
        <f t="shared" si="454"/>
        <v>-4.6893609686748761</v>
      </c>
      <c r="AB939" s="57">
        <f t="shared" si="455"/>
        <v>-7.6546677022432998</v>
      </c>
      <c r="AC939" s="57">
        <f t="shared" si="456"/>
        <v>-0.76559701125313662</v>
      </c>
      <c r="AD939" s="57">
        <f t="shared" si="457"/>
        <v>-1.3129771975952274</v>
      </c>
      <c r="AE939" s="57">
        <f t="shared" si="458"/>
        <v>-0.27095347955233923</v>
      </c>
      <c r="AF939" s="57">
        <f t="shared" si="459"/>
        <v>-0.40727266012562668</v>
      </c>
      <c r="AG939" s="57">
        <f t="shared" si="460"/>
        <v>-0.70771457791157433</v>
      </c>
      <c r="AH939" s="57">
        <f t="shared" si="461"/>
        <v>-1.1687333919603653</v>
      </c>
      <c r="AJ939" s="57">
        <f t="shared" si="462"/>
        <v>586812.677846584</v>
      </c>
      <c r="AK939" s="57">
        <f t="shared" si="463"/>
        <v>605861.28901512129</v>
      </c>
      <c r="AL939" s="57">
        <f t="shared" si="464"/>
        <v>618927.78746317758</v>
      </c>
      <c r="AN939" s="41">
        <v>934</v>
      </c>
      <c r="AO939" s="57">
        <f t="shared" si="465"/>
        <v>-1217.7817941628209</v>
      </c>
      <c r="AP939" s="57">
        <f t="shared" si="466"/>
        <v>10806.053223969411</v>
      </c>
      <c r="AR939" s="41">
        <v>934</v>
      </c>
      <c r="AS939" s="57">
        <f t="shared" si="467"/>
        <v>12098.36849605735</v>
      </c>
      <c r="AT939" s="57">
        <f t="shared" si="468"/>
        <v>-6957.1751621476078</v>
      </c>
      <c r="AV939" s="57">
        <f t="shared" si="469"/>
        <v>-2.6953859206012605</v>
      </c>
      <c r="AW939" s="57">
        <f t="shared" si="470"/>
        <v>-4.3341781603947824</v>
      </c>
      <c r="AX939" s="57">
        <f t="shared" si="471"/>
        <v>-0.24970997935656503</v>
      </c>
      <c r="AY939" s="57">
        <f t="shared" si="472"/>
        <v>-0.43150629216729774</v>
      </c>
      <c r="BA939" s="57">
        <f t="shared" si="473"/>
        <v>588127.65636011236</v>
      </c>
      <c r="BB939" s="57">
        <f t="shared" si="474"/>
        <v>600132.87064778793</v>
      </c>
    </row>
    <row r="940" spans="9:54" x14ac:dyDescent="0.25">
      <c r="I940" s="41">
        <v>935</v>
      </c>
      <c r="J940" s="57">
        <f t="shared" si="448"/>
        <v>15904.239778555042</v>
      </c>
      <c r="K940" s="57">
        <f t="shared" si="449"/>
        <v>4632.1178182447675</v>
      </c>
      <c r="M940" s="41">
        <v>935</v>
      </c>
      <c r="N940" s="57">
        <f t="shared" si="450"/>
        <v>-22867.032155011471</v>
      </c>
      <c r="O940" s="57">
        <f t="shared" si="451"/>
        <v>7992.4824727713376</v>
      </c>
      <c r="Q940" s="41">
        <v>935</v>
      </c>
      <c r="R940" s="57">
        <f t="shared" si="452"/>
        <v>-9095.760221444958</v>
      </c>
      <c r="S940" s="41">
        <f t="shared" si="453"/>
        <v>-17867.882181755231</v>
      </c>
      <c r="U940" s="41">
        <v>934</v>
      </c>
      <c r="V940" s="41">
        <f t="shared" si="475"/>
        <v>467</v>
      </c>
      <c r="W940" s="57">
        <f t="shared" si="476"/>
        <v>315739.70282691187</v>
      </c>
      <c r="X940" s="57">
        <f t="shared" si="477"/>
        <v>514503.7792240741</v>
      </c>
      <c r="Y940" s="57">
        <f t="shared" si="478"/>
        <v>298.93195551662836</v>
      </c>
      <c r="Z940" s="57">
        <f t="shared" si="479"/>
        <v>149.88128638248998</v>
      </c>
      <c r="AA940" s="57">
        <f t="shared" si="454"/>
        <v>-4.6882407895073914</v>
      </c>
      <c r="AB940" s="57">
        <f t="shared" si="455"/>
        <v>-7.650287806805439</v>
      </c>
      <c r="AC940" s="57">
        <f t="shared" si="456"/>
        <v>-0.76543331293908834</v>
      </c>
      <c r="AD940" s="57">
        <f t="shared" si="457"/>
        <v>-1.3122268626585187</v>
      </c>
      <c r="AE940" s="57">
        <f t="shared" si="458"/>
        <v>-0.2708783643761854</v>
      </c>
      <c r="AF940" s="57">
        <f t="shared" si="459"/>
        <v>-0.40703901679532656</v>
      </c>
      <c r="AG940" s="57">
        <f t="shared" si="460"/>
        <v>-0.70755660041509649</v>
      </c>
      <c r="AH940" s="57">
        <f t="shared" si="461"/>
        <v>-1.1680932875868966</v>
      </c>
      <c r="AJ940" s="57">
        <f t="shared" si="462"/>
        <v>586953.83462044422</v>
      </c>
      <c r="AK940" s="57">
        <f t="shared" si="463"/>
        <v>606007.6000395345</v>
      </c>
      <c r="AL940" s="57">
        <f t="shared" si="464"/>
        <v>619070.43959639419</v>
      </c>
      <c r="AN940" s="41">
        <v>935</v>
      </c>
      <c r="AO940" s="57">
        <f t="shared" si="465"/>
        <v>-1143.640332167437</v>
      </c>
      <c r="AP940" s="57">
        <f t="shared" si="466"/>
        <v>10698.17672736715</v>
      </c>
      <c r="AR940" s="41">
        <v>935</v>
      </c>
      <c r="AS940" s="57">
        <f t="shared" si="467"/>
        <v>12132.967844988529</v>
      </c>
      <c r="AT940" s="57">
        <f t="shared" si="468"/>
        <v>-7007.5175272286624</v>
      </c>
      <c r="AV940" s="57">
        <f t="shared" si="469"/>
        <v>-2.6947136856854943</v>
      </c>
      <c r="AW940" s="57">
        <f t="shared" si="470"/>
        <v>-4.3316629889309564</v>
      </c>
      <c r="AX940" s="57">
        <f t="shared" si="471"/>
        <v>-0.24965882609152656</v>
      </c>
      <c r="AY940" s="57">
        <f t="shared" si="472"/>
        <v>-0.43126565083374074</v>
      </c>
      <c r="BA940" s="57">
        <f t="shared" si="473"/>
        <v>588271.35606970533</v>
      </c>
      <c r="BB940" s="57">
        <f t="shared" si="474"/>
        <v>600273.72546573682</v>
      </c>
    </row>
    <row r="941" spans="9:54" x14ac:dyDescent="0.25">
      <c r="I941" s="41">
        <v>936</v>
      </c>
      <c r="J941" s="57">
        <f t="shared" si="448"/>
        <v>15954.915028125261</v>
      </c>
      <c r="K941" s="57">
        <f t="shared" si="449"/>
        <v>4561.0737385376369</v>
      </c>
      <c r="M941" s="41">
        <v>936</v>
      </c>
      <c r="N941" s="57">
        <f t="shared" si="450"/>
        <v>-22831.559480312317</v>
      </c>
      <c r="O941" s="57">
        <f t="shared" si="451"/>
        <v>7942.7516169763458</v>
      </c>
      <c r="Q941" s="41">
        <v>936</v>
      </c>
      <c r="R941" s="57">
        <f t="shared" si="452"/>
        <v>-9045.0849718747395</v>
      </c>
      <c r="S941" s="41">
        <f t="shared" si="453"/>
        <v>-17938.926261462362</v>
      </c>
      <c r="U941" s="41">
        <v>935</v>
      </c>
      <c r="V941" s="41">
        <f t="shared" si="475"/>
        <v>467.5</v>
      </c>
      <c r="W941" s="57">
        <f t="shared" si="476"/>
        <v>315888.58277457149</v>
      </c>
      <c r="X941" s="57">
        <f t="shared" si="477"/>
        <v>514577.76358128944</v>
      </c>
      <c r="Y941" s="57">
        <f t="shared" si="478"/>
        <v>296.58783512187466</v>
      </c>
      <c r="Z941" s="57">
        <f t="shared" si="479"/>
        <v>146.05614247908724</v>
      </c>
      <c r="AA941" s="57">
        <f t="shared" si="454"/>
        <v>-4.6871556528967773</v>
      </c>
      <c r="AB941" s="57">
        <f t="shared" si="455"/>
        <v>-7.6459687439055868</v>
      </c>
      <c r="AC941" s="57">
        <f t="shared" si="456"/>
        <v>-0.76527526722879524</v>
      </c>
      <c r="AD941" s="57">
        <f t="shared" si="457"/>
        <v>-1.3114871394889127</v>
      </c>
      <c r="AE941" s="57">
        <f t="shared" si="458"/>
        <v>-0.27080530763877608</v>
      </c>
      <c r="AF941" s="57">
        <f t="shared" si="459"/>
        <v>-0.40680851776978372</v>
      </c>
      <c r="AG941" s="57">
        <f t="shared" si="460"/>
        <v>-0.7074036755440809</v>
      </c>
      <c r="AH941" s="57">
        <f t="shared" si="461"/>
        <v>-1.1674620929314823</v>
      </c>
      <c r="AJ941" s="57">
        <f t="shared" si="462"/>
        <v>587092.76246173098</v>
      </c>
      <c r="AK941" s="57">
        <f t="shared" si="463"/>
        <v>606151.68030700518</v>
      </c>
      <c r="AL941" s="57">
        <f t="shared" si="464"/>
        <v>619210.86088248889</v>
      </c>
      <c r="AN941" s="41">
        <v>936</v>
      </c>
      <c r="AO941" s="57">
        <f t="shared" si="465"/>
        <v>-1067.6274578121083</v>
      </c>
      <c r="AP941" s="57">
        <f t="shared" si="466"/>
        <v>10591.610607806455</v>
      </c>
      <c r="AR941" s="41">
        <v>936</v>
      </c>
      <c r="AS941" s="57">
        <f t="shared" si="467"/>
        <v>12168.440519687683</v>
      </c>
      <c r="AT941" s="57">
        <f t="shared" si="468"/>
        <v>-7057.2483830236542</v>
      </c>
      <c r="AV941" s="57">
        <f t="shared" si="469"/>
        <v>-2.6940619330133568</v>
      </c>
      <c r="AW941" s="57">
        <f t="shared" si="470"/>
        <v>-4.329182575418729</v>
      </c>
      <c r="AX941" s="57">
        <f t="shared" si="471"/>
        <v>-0.24960946947176749</v>
      </c>
      <c r="AY941" s="57">
        <f t="shared" si="472"/>
        <v>-0.43102841829667948</v>
      </c>
      <c r="BA941" s="57">
        <f t="shared" si="473"/>
        <v>588412.82511895022</v>
      </c>
      <c r="BB941" s="57">
        <f t="shared" si="474"/>
        <v>600412.35134882468</v>
      </c>
    </row>
    <row r="942" spans="9:54" x14ac:dyDescent="0.25">
      <c r="I942" s="41">
        <v>937</v>
      </c>
      <c r="J942" s="57">
        <f t="shared" si="448"/>
        <v>16006.822449763531</v>
      </c>
      <c r="K942" s="57">
        <f t="shared" si="449"/>
        <v>4490.9248842397647</v>
      </c>
      <c r="M942" s="41">
        <v>937</v>
      </c>
      <c r="N942" s="57">
        <f t="shared" si="450"/>
        <v>-22795.224285165528</v>
      </c>
      <c r="O942" s="57">
        <f t="shared" si="451"/>
        <v>7893.6474189678356</v>
      </c>
      <c r="Q942" s="41">
        <v>937</v>
      </c>
      <c r="R942" s="57">
        <f t="shared" si="452"/>
        <v>-8993.177550236469</v>
      </c>
      <c r="S942" s="41">
        <f t="shared" si="453"/>
        <v>-18009.075115760235</v>
      </c>
      <c r="U942" s="41">
        <v>936</v>
      </c>
      <c r="V942" s="41">
        <f t="shared" si="475"/>
        <v>468</v>
      </c>
      <c r="W942" s="57">
        <f t="shared" si="476"/>
        <v>316036.29079767584</v>
      </c>
      <c r="X942" s="57">
        <f t="shared" si="477"/>
        <v>514649.83590643597</v>
      </c>
      <c r="Y942" s="57">
        <f t="shared" si="478"/>
        <v>294.24425729542628</v>
      </c>
      <c r="Z942" s="57">
        <f t="shared" si="479"/>
        <v>142.23315810713444</v>
      </c>
      <c r="AA942" s="57">
        <f t="shared" si="454"/>
        <v>-4.686105502300884</v>
      </c>
      <c r="AB942" s="57">
        <f t="shared" si="455"/>
        <v>-7.641710339745865</v>
      </c>
      <c r="AC942" s="57">
        <f t="shared" si="456"/>
        <v>-0.7651228657919954</v>
      </c>
      <c r="AD942" s="57">
        <f t="shared" si="457"/>
        <v>-1.3107579979100281</v>
      </c>
      <c r="AE942" s="57">
        <f t="shared" si="458"/>
        <v>-0.27073430560653555</v>
      </c>
      <c r="AF942" s="57">
        <f t="shared" si="459"/>
        <v>-0.4065811540005429</v>
      </c>
      <c r="AG942" s="57">
        <f t="shared" si="460"/>
        <v>-0.70725579550906403</v>
      </c>
      <c r="AH942" s="57">
        <f t="shared" si="461"/>
        <v>-1.1668397834540503</v>
      </c>
      <c r="AJ942" s="57">
        <f t="shared" si="462"/>
        <v>587229.46241581836</v>
      </c>
      <c r="AK942" s="57">
        <f t="shared" si="463"/>
        <v>606293.53090186685</v>
      </c>
      <c r="AL942" s="57">
        <f t="shared" si="464"/>
        <v>619349.05238067848</v>
      </c>
      <c r="AN942" s="41">
        <v>937</v>
      </c>
      <c r="AO942" s="57">
        <f t="shared" si="465"/>
        <v>-989.76632535470344</v>
      </c>
      <c r="AP942" s="57">
        <f t="shared" si="466"/>
        <v>10486.387326359647</v>
      </c>
      <c r="AR942" s="41">
        <v>937</v>
      </c>
      <c r="AS942" s="57">
        <f t="shared" si="467"/>
        <v>12204.775714834472</v>
      </c>
      <c r="AT942" s="57">
        <f t="shared" si="468"/>
        <v>-7106.3525810321644</v>
      </c>
      <c r="AV942" s="57">
        <f t="shared" si="469"/>
        <v>-2.6934306284688225</v>
      </c>
      <c r="AW942" s="57">
        <f t="shared" si="470"/>
        <v>-4.3267368193225373</v>
      </c>
      <c r="AX942" s="57">
        <f t="shared" si="471"/>
        <v>-0.24956190692446734</v>
      </c>
      <c r="AY942" s="57">
        <f t="shared" si="472"/>
        <v>-0.43079458505870588</v>
      </c>
      <c r="BA942" s="57">
        <f t="shared" si="473"/>
        <v>588552.06457415875</v>
      </c>
      <c r="BB942" s="57">
        <f t="shared" si="474"/>
        <v>600548.74934080802</v>
      </c>
    </row>
    <row r="943" spans="9:54" x14ac:dyDescent="0.25">
      <c r="I943" s="41">
        <v>938</v>
      </c>
      <c r="J943" s="57">
        <f t="shared" si="448"/>
        <v>16059.946231966382</v>
      </c>
      <c r="K943" s="57">
        <f t="shared" si="449"/>
        <v>4421.6926233717195</v>
      </c>
      <c r="M943" s="41">
        <v>938</v>
      </c>
      <c r="N943" s="57">
        <f t="shared" si="450"/>
        <v>-22758.037637623533</v>
      </c>
      <c r="O943" s="57">
        <f t="shared" si="451"/>
        <v>7845.1848363602039</v>
      </c>
      <c r="Q943" s="41">
        <v>938</v>
      </c>
      <c r="R943" s="57">
        <f t="shared" si="452"/>
        <v>-8940.0537680336183</v>
      </c>
      <c r="S943" s="41">
        <f t="shared" si="453"/>
        <v>-18078.30737662828</v>
      </c>
      <c r="U943" s="41">
        <v>937</v>
      </c>
      <c r="V943" s="41">
        <f t="shared" si="475"/>
        <v>468.5</v>
      </c>
      <c r="W943" s="57">
        <f t="shared" si="476"/>
        <v>316182.82716313575</v>
      </c>
      <c r="X943" s="57">
        <f t="shared" si="477"/>
        <v>514719.9972716971</v>
      </c>
      <c r="Y943" s="57">
        <f t="shared" si="478"/>
        <v>291.90120454427586</v>
      </c>
      <c r="Z943" s="57">
        <f t="shared" si="479"/>
        <v>138.4123029372615</v>
      </c>
      <c r="AA943" s="57">
        <f t="shared" si="454"/>
        <v>-4.6850902826635759</v>
      </c>
      <c r="AB943" s="57">
        <f t="shared" si="455"/>
        <v>-7.6375124232966556</v>
      </c>
      <c r="AC943" s="57">
        <f t="shared" si="456"/>
        <v>-0.76497610053426035</v>
      </c>
      <c r="AD943" s="57">
        <f t="shared" si="457"/>
        <v>-1.3100394082341134</v>
      </c>
      <c r="AE943" s="57">
        <f t="shared" si="458"/>
        <v>-0.27066535463494112</v>
      </c>
      <c r="AF943" s="57">
        <f t="shared" si="459"/>
        <v>-0.40635691657920137</v>
      </c>
      <c r="AG943" s="57">
        <f t="shared" si="460"/>
        <v>-0.70711295272691899</v>
      </c>
      <c r="AH943" s="57">
        <f t="shared" si="461"/>
        <v>-1.1662263350058624</v>
      </c>
      <c r="AJ943" s="57">
        <f t="shared" si="462"/>
        <v>587363.93551072606</v>
      </c>
      <c r="AK943" s="57">
        <f t="shared" si="463"/>
        <v>606433.15289101796</v>
      </c>
      <c r="AL943" s="57">
        <f t="shared" si="464"/>
        <v>619485.01513275644</v>
      </c>
      <c r="AN943" s="41">
        <v>938</v>
      </c>
      <c r="AO943" s="57">
        <f t="shared" si="465"/>
        <v>-910.08065205042749</v>
      </c>
      <c r="AP943" s="57">
        <f t="shared" si="466"/>
        <v>10382.538935057579</v>
      </c>
      <c r="AR943" s="41">
        <v>938</v>
      </c>
      <c r="AS943" s="57">
        <f t="shared" si="467"/>
        <v>12241.962362376467</v>
      </c>
      <c r="AT943" s="57">
        <f t="shared" si="468"/>
        <v>-7154.8151636397961</v>
      </c>
      <c r="AV943" s="57">
        <f t="shared" si="469"/>
        <v>-2.6928197388172834</v>
      </c>
      <c r="AW943" s="57">
        <f t="shared" si="470"/>
        <v>-4.3243256217011385</v>
      </c>
      <c r="AX943" s="57">
        <f t="shared" si="471"/>
        <v>-0.24951613595017147</v>
      </c>
      <c r="AY943" s="57">
        <f t="shared" si="472"/>
        <v>-0.43056414177634073</v>
      </c>
      <c r="BA943" s="57">
        <f t="shared" si="473"/>
        <v>588689.0754842211</v>
      </c>
      <c r="BB943" s="57">
        <f t="shared" si="474"/>
        <v>600682.92046808871</v>
      </c>
    </row>
    <row r="944" spans="9:54" x14ac:dyDescent="0.25">
      <c r="I944" s="41">
        <v>939</v>
      </c>
      <c r="J944" s="57">
        <f t="shared" si="448"/>
        <v>16114.270192715145</v>
      </c>
      <c r="K944" s="57">
        <f t="shared" si="449"/>
        <v>4353.3980447508147</v>
      </c>
      <c r="M944" s="41">
        <v>939</v>
      </c>
      <c r="N944" s="57">
        <f t="shared" si="450"/>
        <v>-22720.010865099401</v>
      </c>
      <c r="O944" s="57">
        <f t="shared" si="451"/>
        <v>7797.3786313255696</v>
      </c>
      <c r="Q944" s="41">
        <v>939</v>
      </c>
      <c r="R944" s="57">
        <f t="shared" si="452"/>
        <v>-8885.7298072848553</v>
      </c>
      <c r="S944" s="41">
        <f t="shared" si="453"/>
        <v>-18146.601955249185</v>
      </c>
      <c r="U944" s="41">
        <v>938</v>
      </c>
      <c r="V944" s="41">
        <f t="shared" si="475"/>
        <v>469</v>
      </c>
      <c r="W944" s="57">
        <f t="shared" si="476"/>
        <v>316328.19212912256</v>
      </c>
      <c r="X944" s="57">
        <f t="shared" si="477"/>
        <v>514788.24873411283</v>
      </c>
      <c r="Y944" s="57">
        <f t="shared" si="478"/>
        <v>289.55865940294404</v>
      </c>
      <c r="Z944" s="57">
        <f t="shared" si="479"/>
        <v>134.59354672561318</v>
      </c>
      <c r="AA944" s="57">
        <f t="shared" si="454"/>
        <v>-4.684109940408657</v>
      </c>
      <c r="AB944" s="57">
        <f t="shared" si="455"/>
        <v>-7.6333748262794785</v>
      </c>
      <c r="AC944" s="57">
        <f t="shared" si="456"/>
        <v>-0.76483496359606995</v>
      </c>
      <c r="AD944" s="57">
        <f t="shared" si="457"/>
        <v>-1.309331341258968</v>
      </c>
      <c r="AE944" s="57">
        <f t="shared" si="458"/>
        <v>-0.27059845116811826</v>
      </c>
      <c r="AF944" s="57">
        <f t="shared" si="459"/>
        <v>-0.40613579673652955</v>
      </c>
      <c r="AG944" s="57">
        <f t="shared" si="460"/>
        <v>-0.7069751398200006</v>
      </c>
      <c r="AH944" s="57">
        <f t="shared" si="461"/>
        <v>-1.1656217238270976</v>
      </c>
      <c r="AJ944" s="57">
        <f t="shared" si="462"/>
        <v>587496.18275716249</v>
      </c>
      <c r="AK944" s="57">
        <f t="shared" si="463"/>
        <v>606570.54732396675</v>
      </c>
      <c r="AL944" s="57">
        <f t="shared" si="464"/>
        <v>619618.75016313745</v>
      </c>
      <c r="AN944" s="41">
        <v>939</v>
      </c>
      <c r="AO944" s="57">
        <f t="shared" si="465"/>
        <v>-828.59471092728381</v>
      </c>
      <c r="AP944" s="57">
        <f t="shared" si="466"/>
        <v>10280.097067126222</v>
      </c>
      <c r="AR944" s="41">
        <v>939</v>
      </c>
      <c r="AS944" s="57">
        <f t="shared" si="467"/>
        <v>12279.989134900601</v>
      </c>
      <c r="AT944" s="57">
        <f t="shared" si="468"/>
        <v>-7202.6213686744304</v>
      </c>
      <c r="AV944" s="57">
        <f t="shared" si="469"/>
        <v>-2.6922292317019618</v>
      </c>
      <c r="AW944" s="57">
        <f t="shared" si="470"/>
        <v>-4.3219488851978056</v>
      </c>
      <c r="AX944" s="57">
        <f t="shared" si="471"/>
        <v>-0.24947215412250712</v>
      </c>
      <c r="AY944" s="57">
        <f t="shared" si="472"/>
        <v>-0.43033707925907722</v>
      </c>
      <c r="BA944" s="57">
        <f t="shared" si="473"/>
        <v>588823.85888064967</v>
      </c>
      <c r="BB944" s="57">
        <f t="shared" si="474"/>
        <v>600814.86573975626</v>
      </c>
    </row>
    <row r="945" spans="9:54" x14ac:dyDescent="0.25">
      <c r="I945" s="41">
        <v>940</v>
      </c>
      <c r="J945" s="57">
        <f t="shared" si="448"/>
        <v>16169.777784405105</v>
      </c>
      <c r="K945" s="57">
        <f t="shared" si="449"/>
        <v>4286.0619515673088</v>
      </c>
      <c r="M945" s="41">
        <v>940</v>
      </c>
      <c r="N945" s="57">
        <f t="shared" si="450"/>
        <v>-22681.155550916425</v>
      </c>
      <c r="O945" s="57">
        <f t="shared" si="451"/>
        <v>7750.2433660971164</v>
      </c>
      <c r="Q945" s="41">
        <v>940</v>
      </c>
      <c r="R945" s="57">
        <f t="shared" si="452"/>
        <v>-8830.2222155948948</v>
      </c>
      <c r="S945" s="41">
        <f t="shared" si="453"/>
        <v>-18213.93804843269</v>
      </c>
      <c r="U945" s="41">
        <v>939</v>
      </c>
      <c r="V945" s="41">
        <f t="shared" si="475"/>
        <v>469.5</v>
      </c>
      <c r="W945" s="57">
        <f t="shared" si="476"/>
        <v>316472.38594508148</v>
      </c>
      <c r="X945" s="57">
        <f t="shared" si="477"/>
        <v>514854.59133562236</v>
      </c>
      <c r="Y945" s="57">
        <f t="shared" si="478"/>
        <v>287.2166044327397</v>
      </c>
      <c r="Z945" s="57">
        <f t="shared" si="479"/>
        <v>130.77685931247345</v>
      </c>
      <c r="AA945" s="57">
        <f t="shared" si="454"/>
        <v>-4.6831644234339551</v>
      </c>
      <c r="AB945" s="57">
        <f t="shared" si="455"/>
        <v>-7.6292973831501136</v>
      </c>
      <c r="AC945" s="57">
        <f t="shared" si="456"/>
        <v>-0.76469944735199336</v>
      </c>
      <c r="AD945" s="57">
        <f t="shared" si="457"/>
        <v>-1.3086337682650657</v>
      </c>
      <c r="AE945" s="57">
        <f t="shared" si="458"/>
        <v>-0.27053359173843472</v>
      </c>
      <c r="AF945" s="57">
        <f t="shared" si="459"/>
        <v>-0.40591778584159355</v>
      </c>
      <c r="AG945" s="57">
        <f t="shared" si="460"/>
        <v>-0.70684234961536696</v>
      </c>
      <c r="AH945" s="57">
        <f t="shared" si="461"/>
        <v>-1.1650259265445677</v>
      </c>
      <c r="AJ945" s="57">
        <f t="shared" si="462"/>
        <v>587626.20514856698</v>
      </c>
      <c r="AK945" s="57">
        <f t="shared" si="463"/>
        <v>606705.71523287473</v>
      </c>
      <c r="AL945" s="57">
        <f t="shared" si="464"/>
        <v>619750.2584788996</v>
      </c>
      <c r="AN945" s="41">
        <v>940</v>
      </c>
      <c r="AO945" s="57">
        <f t="shared" si="465"/>
        <v>-745.33332339234221</v>
      </c>
      <c r="AP945" s="57">
        <f t="shared" si="466"/>
        <v>10179.092927350963</v>
      </c>
      <c r="AR945" s="41">
        <v>940</v>
      </c>
      <c r="AS945" s="57">
        <f t="shared" si="467"/>
        <v>12318.844449083574</v>
      </c>
      <c r="AT945" s="57">
        <f t="shared" si="468"/>
        <v>-7249.7566339028836</v>
      </c>
      <c r="AV945" s="57">
        <f t="shared" si="469"/>
        <v>-2.6916590756402266</v>
      </c>
      <c r="AW945" s="57">
        <f t="shared" si="470"/>
        <v>-4.319606514030399</v>
      </c>
      <c r="AX945" s="57">
        <f t="shared" si="471"/>
        <v>-0.24942995908793344</v>
      </c>
      <c r="AY945" s="57">
        <f t="shared" si="472"/>
        <v>-0.43011338846848762</v>
      </c>
      <c r="BA945" s="57">
        <f t="shared" si="473"/>
        <v>588956.41577762261</v>
      </c>
      <c r="BB945" s="57">
        <f t="shared" si="474"/>
        <v>600944.5861476307</v>
      </c>
    </row>
    <row r="946" spans="9:54" x14ac:dyDescent="0.25">
      <c r="I946" s="41">
        <v>941</v>
      </c>
      <c r="J946" s="57">
        <f t="shared" si="448"/>
        <v>16226.452098886131</v>
      </c>
      <c r="K946" s="57">
        <f t="shared" si="449"/>
        <v>4219.7048550474728</v>
      </c>
      <c r="M946" s="41">
        <v>941</v>
      </c>
      <c r="N946" s="57">
        <f t="shared" si="450"/>
        <v>-22641.483530779708</v>
      </c>
      <c r="O946" s="57">
        <f t="shared" si="451"/>
        <v>7703.7933985332311</v>
      </c>
      <c r="Q946" s="41">
        <v>941</v>
      </c>
      <c r="R946" s="57">
        <f t="shared" si="452"/>
        <v>-8773.5479011138686</v>
      </c>
      <c r="S946" s="41">
        <f t="shared" si="453"/>
        <v>-18280.295144952528</v>
      </c>
      <c r="U946" s="41">
        <v>940</v>
      </c>
      <c r="V946" s="41">
        <f t="shared" si="475"/>
        <v>470</v>
      </c>
      <c r="W946" s="57">
        <f t="shared" si="476"/>
        <v>316615.40885174496</v>
      </c>
      <c r="X946" s="57">
        <f t="shared" si="477"/>
        <v>514919.02610310569</v>
      </c>
      <c r="Y946" s="57">
        <f t="shared" si="478"/>
        <v>284.87502222102273</v>
      </c>
      <c r="Z946" s="57">
        <f t="shared" si="479"/>
        <v>126.96221062089839</v>
      </c>
      <c r="AA946" s="57">
        <f t="shared" si="454"/>
        <v>-4.6822536811053821</v>
      </c>
      <c r="AB946" s="57">
        <f t="shared" si="455"/>
        <v>-7.6252799310818</v>
      </c>
      <c r="AC946" s="57">
        <f t="shared" si="456"/>
        <v>-0.76456954440979397</v>
      </c>
      <c r="AD946" s="57">
        <f t="shared" si="457"/>
        <v>-1.3079466610125523</v>
      </c>
      <c r="AE946" s="57">
        <f t="shared" si="458"/>
        <v>-0.27047077296613353</v>
      </c>
      <c r="AF946" s="57">
        <f t="shared" si="459"/>
        <v>-0.40570287540093525</v>
      </c>
      <c r="AG946" s="57">
        <f t="shared" si="460"/>
        <v>-0.70671457514399239</v>
      </c>
      <c r="AH946" s="57">
        <f t="shared" si="461"/>
        <v>-1.1644389201694263</v>
      </c>
      <c r="AJ946" s="57">
        <f t="shared" si="462"/>
        <v>587754.00366115081</v>
      </c>
      <c r="AK946" s="57">
        <f t="shared" si="463"/>
        <v>606838.65763260017</v>
      </c>
      <c r="AL946" s="57">
        <f t="shared" si="464"/>
        <v>619879.54106982669</v>
      </c>
      <c r="AN946" s="41">
        <v>941</v>
      </c>
      <c r="AO946" s="57">
        <f t="shared" si="465"/>
        <v>-660.32185167080297</v>
      </c>
      <c r="AP946" s="57">
        <f t="shared" si="466"/>
        <v>10079.55728257121</v>
      </c>
      <c r="AR946" s="41">
        <v>941</v>
      </c>
      <c r="AS946" s="57">
        <f t="shared" si="467"/>
        <v>12358.516469220292</v>
      </c>
      <c r="AT946" s="57">
        <f t="shared" si="468"/>
        <v>-7296.2066014667689</v>
      </c>
      <c r="AV946" s="57">
        <f t="shared" si="469"/>
        <v>-2.6911092400199932</v>
      </c>
      <c r="AW946" s="57">
        <f t="shared" si="470"/>
        <v>-4.3172984139815922</v>
      </c>
      <c r="AX946" s="57">
        <f t="shared" si="471"/>
        <v>-0.2493895485654688</v>
      </c>
      <c r="AY946" s="57">
        <f t="shared" si="472"/>
        <v>-0.42989306051729448</v>
      </c>
      <c r="BA946" s="57">
        <f t="shared" si="473"/>
        <v>589086.7471720255</v>
      </c>
      <c r="BB946" s="57">
        <f t="shared" si="474"/>
        <v>601072.08266630315</v>
      </c>
    </row>
    <row r="947" spans="9:54" x14ac:dyDescent="0.25">
      <c r="I947" s="41">
        <v>942</v>
      </c>
      <c r="J947" s="57">
        <f t="shared" si="448"/>
        <v>16284.275872613029</v>
      </c>
      <c r="K947" s="57">
        <f t="shared" si="449"/>
        <v>4154.3469682057093</v>
      </c>
      <c r="M947" s="41">
        <v>942</v>
      </c>
      <c r="N947" s="57">
        <f t="shared" si="450"/>
        <v>-22601.00688917088</v>
      </c>
      <c r="O947" s="57">
        <f t="shared" si="451"/>
        <v>7658.0428777439965</v>
      </c>
      <c r="Q947" s="41">
        <v>942</v>
      </c>
      <c r="R947" s="57">
        <f t="shared" si="452"/>
        <v>-8715.7241273869713</v>
      </c>
      <c r="S947" s="41">
        <f t="shared" si="453"/>
        <v>-18345.653031794289</v>
      </c>
      <c r="U947" s="41">
        <v>941</v>
      </c>
      <c r="V947" s="41">
        <f t="shared" si="475"/>
        <v>470.5</v>
      </c>
      <c r="W947" s="57">
        <f t="shared" si="476"/>
        <v>316757.26108114532</v>
      </c>
      <c r="X947" s="57">
        <f t="shared" si="477"/>
        <v>514981.55404842476</v>
      </c>
      <c r="Y947" s="57">
        <f t="shared" si="478"/>
        <v>282.53389538047003</v>
      </c>
      <c r="Z947" s="57">
        <f t="shared" si="479"/>
        <v>123.14957065535749</v>
      </c>
      <c r="AA947" s="57">
        <f t="shared" si="454"/>
        <v>-4.6813776642514462</v>
      </c>
      <c r="AB947" s="57">
        <f t="shared" si="455"/>
        <v>-7.6213223099491954</v>
      </c>
      <c r="AC947" s="57">
        <f t="shared" si="456"/>
        <v>-0.7644452476096355</v>
      </c>
      <c r="AD947" s="57">
        <f t="shared" si="457"/>
        <v>-1.3072699917384392</v>
      </c>
      <c r="AE947" s="57">
        <f t="shared" si="458"/>
        <v>-0.27040999155894568</v>
      </c>
      <c r="AF947" s="57">
        <f t="shared" si="459"/>
        <v>-0.40549105705772476</v>
      </c>
      <c r="AG947" s="57">
        <f t="shared" si="460"/>
        <v>-0.70659180964003021</v>
      </c>
      <c r="AH947" s="57">
        <f t="shared" si="461"/>
        <v>-1.1638606820949726</v>
      </c>
      <c r="AJ947" s="57">
        <f t="shared" si="462"/>
        <v>587879.57925393805</v>
      </c>
      <c r="AK947" s="57">
        <f t="shared" si="463"/>
        <v>606969.37552073982</v>
      </c>
      <c r="AL947" s="57">
        <f t="shared" si="464"/>
        <v>620006.59890845011</v>
      </c>
      <c r="AN947" s="41">
        <v>942</v>
      </c>
      <c r="AO947" s="57">
        <f t="shared" si="465"/>
        <v>-573.58619108045696</v>
      </c>
      <c r="AP947" s="57">
        <f t="shared" si="466"/>
        <v>9981.5204523085631</v>
      </c>
      <c r="AR947" s="41">
        <v>942</v>
      </c>
      <c r="AS947" s="57">
        <f t="shared" si="467"/>
        <v>12398.99311082912</v>
      </c>
      <c r="AT947" s="57">
        <f t="shared" si="468"/>
        <v>-7341.9571222560035</v>
      </c>
      <c r="AV947" s="57">
        <f t="shared" si="469"/>
        <v>-2.6905796950963783</v>
      </c>
      <c r="AW947" s="57">
        <f t="shared" si="470"/>
        <v>-4.3150244923895453</v>
      </c>
      <c r="AX947" s="57">
        <f t="shared" si="471"/>
        <v>-0.24935092034645659</v>
      </c>
      <c r="AY947" s="57">
        <f t="shared" si="472"/>
        <v>-0.42967608666851365</v>
      </c>
      <c r="BA947" s="57">
        <f t="shared" si="473"/>
        <v>589214.85404349351</v>
      </c>
      <c r="BB947" s="57">
        <f t="shared" si="474"/>
        <v>601197.35625317693</v>
      </c>
    </row>
    <row r="948" spans="9:54" x14ac:dyDescent="0.25">
      <c r="I948" s="41">
        <v>943</v>
      </c>
      <c r="J948" s="57">
        <f t="shared" si="448"/>
        <v>16343.231491904144</v>
      </c>
      <c r="K948" s="57">
        <f t="shared" si="449"/>
        <v>4090.0081996875115</v>
      </c>
      <c r="M948" s="41">
        <v>943</v>
      </c>
      <c r="N948" s="57">
        <f t="shared" si="450"/>
        <v>-22559.7379556671</v>
      </c>
      <c r="O948" s="57">
        <f t="shared" si="451"/>
        <v>7613.0057397812579</v>
      </c>
      <c r="Q948" s="41">
        <v>943</v>
      </c>
      <c r="R948" s="57">
        <f t="shared" si="452"/>
        <v>-8656.7685080958563</v>
      </c>
      <c r="S948" s="41">
        <f t="shared" si="453"/>
        <v>-18409.991800312488</v>
      </c>
      <c r="U948" s="41">
        <v>942</v>
      </c>
      <c r="V948" s="41">
        <f t="shared" si="475"/>
        <v>471</v>
      </c>
      <c r="W948" s="57">
        <f t="shared" si="476"/>
        <v>316897.94285662752</v>
      </c>
      <c r="X948" s="57">
        <f t="shared" si="477"/>
        <v>515042.17616846366</v>
      </c>
      <c r="Y948" s="57">
        <f t="shared" si="478"/>
        <v>280.19320654834428</v>
      </c>
      <c r="Z948" s="57">
        <f t="shared" si="479"/>
        <v>119.3389095003829</v>
      </c>
      <c r="AA948" s="57">
        <f t="shared" si="454"/>
        <v>-4.6805363251576795</v>
      </c>
      <c r="AB948" s="57">
        <f t="shared" si="455"/>
        <v>-7.6174243623122431</v>
      </c>
      <c r="AC948" s="57">
        <f t="shared" si="456"/>
        <v>-0.76432655002329231</v>
      </c>
      <c r="AD948" s="57">
        <f t="shared" si="457"/>
        <v>-1.3066037331538094</v>
      </c>
      <c r="AE948" s="57">
        <f t="shared" si="458"/>
        <v>-0.27035124431171909</v>
      </c>
      <c r="AF948" s="57">
        <f t="shared" si="459"/>
        <v>-0.40528232259093638</v>
      </c>
      <c r="AG948" s="57">
        <f t="shared" si="460"/>
        <v>-0.70647404654003876</v>
      </c>
      <c r="AH948" s="57">
        <f t="shared" si="461"/>
        <v>-1.1632911900943912</v>
      </c>
      <c r="AJ948" s="57">
        <f t="shared" si="462"/>
        <v>588002.93286880548</v>
      </c>
      <c r="AK948" s="57">
        <f t="shared" si="463"/>
        <v>607097.86987767054</v>
      </c>
      <c r="AL948" s="57">
        <f t="shared" si="464"/>
        <v>620131.43295008782</v>
      </c>
      <c r="AN948" s="41">
        <v>943</v>
      </c>
      <c r="AO948" s="57">
        <f t="shared" si="465"/>
        <v>-485.15276214378446</v>
      </c>
      <c r="AP948" s="57">
        <f t="shared" si="466"/>
        <v>9885.0122995312668</v>
      </c>
      <c r="AR948" s="41">
        <v>943</v>
      </c>
      <c r="AS948" s="57">
        <f t="shared" si="467"/>
        <v>12440.2620443329</v>
      </c>
      <c r="AT948" s="57">
        <f t="shared" si="468"/>
        <v>-7386.9942602187421</v>
      </c>
      <c r="AV948" s="57">
        <f t="shared" si="469"/>
        <v>-2.6900704119883128</v>
      </c>
      <c r="AW948" s="57">
        <f t="shared" si="470"/>
        <v>-4.3127846581385318</v>
      </c>
      <c r="AX948" s="57">
        <f t="shared" si="471"/>
        <v>-0.24931407229431626</v>
      </c>
      <c r="AY948" s="57">
        <f t="shared" si="472"/>
        <v>-0.42946245833457369</v>
      </c>
      <c r="BA948" s="57">
        <f t="shared" si="473"/>
        <v>589340.73735445179</v>
      </c>
      <c r="BB948" s="57">
        <f t="shared" si="474"/>
        <v>601320.40784850717</v>
      </c>
    </row>
    <row r="949" spans="9:54" x14ac:dyDescent="0.25">
      <c r="I949" s="41">
        <v>944</v>
      </c>
      <c r="J949" s="57">
        <f t="shared" si="448"/>
        <v>16403.300998306739</v>
      </c>
      <c r="K949" s="57">
        <f t="shared" si="449"/>
        <v>4026.7081477050215</v>
      </c>
      <c r="M949" s="41">
        <v>944</v>
      </c>
      <c r="N949" s="57">
        <f t="shared" si="450"/>
        <v>-22517.689301185284</v>
      </c>
      <c r="O949" s="57">
        <f t="shared" si="451"/>
        <v>7568.695703393515</v>
      </c>
      <c r="Q949" s="41">
        <v>944</v>
      </c>
      <c r="R949" s="57">
        <f t="shared" si="452"/>
        <v>-8596.6990016932632</v>
      </c>
      <c r="S949" s="41">
        <f t="shared" si="453"/>
        <v>-18473.291852294977</v>
      </c>
      <c r="U949" s="41">
        <v>943</v>
      </c>
      <c r="V949" s="41">
        <f t="shared" si="475"/>
        <v>471.5</v>
      </c>
      <c r="W949" s="57">
        <f t="shared" si="476"/>
        <v>317037.45439286105</v>
      </c>
      <c r="X949" s="57">
        <f t="shared" si="477"/>
        <v>515100.89344516856</v>
      </c>
      <c r="Y949" s="57">
        <f t="shared" si="478"/>
        <v>277.85293838576541</v>
      </c>
      <c r="Z949" s="57">
        <f t="shared" si="479"/>
        <v>115.53019731922677</v>
      </c>
      <c r="AA949" s="57">
        <f t="shared" si="454"/>
        <v>-4.6797296175613283</v>
      </c>
      <c r="AB949" s="57">
        <f t="shared" si="455"/>
        <v>-7.6135859334005493</v>
      </c>
      <c r="AC949" s="57">
        <f t="shared" si="456"/>
        <v>-0.76421344495335375</v>
      </c>
      <c r="AD949" s="57">
        <f t="shared" si="457"/>
        <v>-1.3059478584410316</v>
      </c>
      <c r="AE949" s="57">
        <f t="shared" si="458"/>
        <v>-0.2702945281060764</v>
      </c>
      <c r="AF949" s="57">
        <f t="shared" si="459"/>
        <v>-0.40507666391457064</v>
      </c>
      <c r="AG949" s="57">
        <f t="shared" si="460"/>
        <v>-0.70636127948231542</v>
      </c>
      <c r="AH949" s="57">
        <f t="shared" si="461"/>
        <v>-1.1627304223186921</v>
      </c>
      <c r="AJ949" s="57">
        <f t="shared" si="462"/>
        <v>588124.06543052162</v>
      </c>
      <c r="AK949" s="57">
        <f t="shared" si="463"/>
        <v>607224.14166659035</v>
      </c>
      <c r="AL949" s="57">
        <f t="shared" si="464"/>
        <v>620254.04413288599</v>
      </c>
      <c r="AN949" s="41">
        <v>944</v>
      </c>
      <c r="AO949" s="57">
        <f t="shared" si="465"/>
        <v>-395.0485025398948</v>
      </c>
      <c r="AP949" s="57">
        <f t="shared" si="466"/>
        <v>9790.0622215575313</v>
      </c>
      <c r="AR949" s="41">
        <v>944</v>
      </c>
      <c r="AS949" s="57">
        <f t="shared" si="467"/>
        <v>12482.310698814716</v>
      </c>
      <c r="AT949" s="57">
        <f t="shared" si="468"/>
        <v>-7431.304296606485</v>
      </c>
      <c r="AV949" s="57">
        <f t="shared" si="469"/>
        <v>-2.6895813626752787</v>
      </c>
      <c r="AW949" s="57">
        <f t="shared" si="470"/>
        <v>-4.3105788216497958</v>
      </c>
      <c r="AX949" s="57">
        <f t="shared" si="471"/>
        <v>-0.24927900234430395</v>
      </c>
      <c r="AY949" s="57">
        <f t="shared" si="472"/>
        <v>-0.42925216707645897</v>
      </c>
      <c r="BA949" s="57">
        <f t="shared" si="473"/>
        <v>589464.39805015596</v>
      </c>
      <c r="BB949" s="57">
        <f t="shared" si="474"/>
        <v>601441.23837543942</v>
      </c>
    </row>
    <row r="950" spans="9:54" x14ac:dyDescent="0.25">
      <c r="I950" s="41">
        <v>945</v>
      </c>
      <c r="J950" s="57">
        <f t="shared" si="448"/>
        <v>16464.466094067251</v>
      </c>
      <c r="K950" s="57">
        <f t="shared" si="449"/>
        <v>3964.4660940672743</v>
      </c>
      <c r="M950" s="41">
        <v>945</v>
      </c>
      <c r="N950" s="57">
        <f t="shared" si="450"/>
        <v>-22474.873734152923</v>
      </c>
      <c r="O950" s="57">
        <f t="shared" si="451"/>
        <v>7525.1262658470914</v>
      </c>
      <c r="Q950" s="41">
        <v>945</v>
      </c>
      <c r="R950" s="57">
        <f t="shared" si="452"/>
        <v>-8535.5339059327489</v>
      </c>
      <c r="S950" s="41">
        <f t="shared" si="453"/>
        <v>-18535.533905932727</v>
      </c>
      <c r="U950" s="41">
        <v>944</v>
      </c>
      <c r="V950" s="41">
        <f t="shared" si="475"/>
        <v>472</v>
      </c>
      <c r="W950" s="57">
        <f t="shared" si="476"/>
        <v>317175.79589585174</v>
      </c>
      <c r="X950" s="57">
        <f t="shared" si="477"/>
        <v>515157.70684558648</v>
      </c>
      <c r="Y950" s="57">
        <f t="shared" si="478"/>
        <v>275.51307357698477</v>
      </c>
      <c r="Z950" s="57">
        <f t="shared" si="479"/>
        <v>111.7234043525265</v>
      </c>
      <c r="AA950" s="57">
        <f t="shared" si="454"/>
        <v>-4.6789574966461638</v>
      </c>
      <c r="AB950" s="57">
        <f t="shared" si="455"/>
        <v>-7.6098068710979838</v>
      </c>
      <c r="AC950" s="57">
        <f t="shared" si="456"/>
        <v>-0.76410592593248916</v>
      </c>
      <c r="AD950" s="57">
        <f t="shared" si="457"/>
        <v>-1.3053023412510889</v>
      </c>
      <c r="AE950" s="57">
        <f t="shared" si="458"/>
        <v>-0.27023983991005107</v>
      </c>
      <c r="AF950" s="57">
        <f t="shared" si="459"/>
        <v>-0.40487407307684309</v>
      </c>
      <c r="AG950" s="57">
        <f t="shared" si="460"/>
        <v>-0.70625350230615869</v>
      </c>
      <c r="AH950" s="57">
        <f t="shared" si="461"/>
        <v>-1.162178357294525</v>
      </c>
      <c r="AJ950" s="57">
        <f t="shared" si="462"/>
        <v>588242.97784678428</v>
      </c>
      <c r="AK950" s="57">
        <f t="shared" si="463"/>
        <v>607348.19183355814</v>
      </c>
      <c r="AL950" s="57">
        <f t="shared" si="464"/>
        <v>620374.43337785627</v>
      </c>
      <c r="AN950" s="41">
        <v>945</v>
      </c>
      <c r="AO950" s="57">
        <f t="shared" si="465"/>
        <v>-303.30085889912425</v>
      </c>
      <c r="AP950" s="57">
        <f t="shared" si="466"/>
        <v>9696.6991411009112</v>
      </c>
      <c r="AR950" s="41">
        <v>945</v>
      </c>
      <c r="AS950" s="57">
        <f t="shared" si="467"/>
        <v>12525.126265847075</v>
      </c>
      <c r="AT950" s="57">
        <f t="shared" si="468"/>
        <v>-7474.8737341529086</v>
      </c>
      <c r="AV950" s="57">
        <f t="shared" si="469"/>
        <v>-2.6891125199941768</v>
      </c>
      <c r="AW950" s="57">
        <f t="shared" si="470"/>
        <v>-4.3084068948726468</v>
      </c>
      <c r="AX950" s="57">
        <f t="shared" si="471"/>
        <v>-0.24924570850328806</v>
      </c>
      <c r="AY950" s="57">
        <f t="shared" si="472"/>
        <v>-0.42904520460287993</v>
      </c>
      <c r="BA950" s="57">
        <f t="shared" si="473"/>
        <v>589585.83705873066</v>
      </c>
      <c r="BB950" s="57">
        <f t="shared" si="474"/>
        <v>601559.84874004894</v>
      </c>
    </row>
    <row r="951" spans="9:54" x14ac:dyDescent="0.25">
      <c r="I951" s="41">
        <v>946</v>
      </c>
      <c r="J951" s="57">
        <f t="shared" si="448"/>
        <v>16526.708147705009</v>
      </c>
      <c r="K951" s="57">
        <f t="shared" si="449"/>
        <v>3903.3009983067473</v>
      </c>
      <c r="M951" s="41">
        <v>946</v>
      </c>
      <c r="N951" s="57">
        <f t="shared" si="450"/>
        <v>-22431.304296606493</v>
      </c>
      <c r="O951" s="57">
        <f t="shared" si="451"/>
        <v>7482.3106988147229</v>
      </c>
      <c r="Q951" s="41">
        <v>946</v>
      </c>
      <c r="R951" s="57">
        <f t="shared" si="452"/>
        <v>-8473.2918522949894</v>
      </c>
      <c r="S951" s="41">
        <f t="shared" si="453"/>
        <v>-18596.699001693254</v>
      </c>
      <c r="U951" s="41">
        <v>945</v>
      </c>
      <c r="V951" s="41">
        <f t="shared" si="475"/>
        <v>472.5</v>
      </c>
      <c r="W951" s="57">
        <f t="shared" si="476"/>
        <v>317312.96756295313</v>
      </c>
      <c r="X951" s="57">
        <f t="shared" si="477"/>
        <v>515212.61732190388</v>
      </c>
      <c r="Y951" s="57">
        <f t="shared" si="478"/>
        <v>273.17359482866169</v>
      </c>
      <c r="Z951" s="57">
        <f t="shared" si="479"/>
        <v>107.91850091697751</v>
      </c>
      <c r="AA951" s="57">
        <f t="shared" si="454"/>
        <v>-4.6782199190374412</v>
      </c>
      <c r="AB951" s="57">
        <f t="shared" si="455"/>
        <v>-7.6060870259275886</v>
      </c>
      <c r="AC951" s="57">
        <f t="shared" si="456"/>
        <v>-0.76400398672272185</v>
      </c>
      <c r="AD951" s="57">
        <f t="shared" si="457"/>
        <v>-1.3046671557009342</v>
      </c>
      <c r="AE951" s="57">
        <f t="shared" si="458"/>
        <v>-0.27018717677775589</v>
      </c>
      <c r="AF951" s="57">
        <f t="shared" si="459"/>
        <v>-0.40467454225942395</v>
      </c>
      <c r="AG951" s="57">
        <f t="shared" si="460"/>
        <v>-0.70615070905122923</v>
      </c>
      <c r="AH951" s="57">
        <f t="shared" si="461"/>
        <v>-1.1616349739221767</v>
      </c>
      <c r="AJ951" s="57">
        <f t="shared" si="462"/>
        <v>588359.67100825976</v>
      </c>
      <c r="AK951" s="57">
        <f t="shared" si="463"/>
        <v>607470.02130753279</v>
      </c>
      <c r="AL951" s="57">
        <f t="shared" si="464"/>
        <v>620492.6015889158</v>
      </c>
      <c r="AN951" s="41">
        <v>946</v>
      </c>
      <c r="AO951" s="57">
        <f t="shared" si="465"/>
        <v>-209.93777844248416</v>
      </c>
      <c r="AP951" s="57">
        <f t="shared" si="466"/>
        <v>9604.9514974601207</v>
      </c>
      <c r="AR951" s="41">
        <v>946</v>
      </c>
      <c r="AS951" s="57">
        <f t="shared" si="467"/>
        <v>12568.695703393507</v>
      </c>
      <c r="AT951" s="57">
        <f t="shared" si="468"/>
        <v>-7517.6893011852771</v>
      </c>
      <c r="AV951" s="57">
        <f t="shared" si="469"/>
        <v>-2.6886638576361972</v>
      </c>
      <c r="AW951" s="57">
        <f t="shared" si="470"/>
        <v>-4.3062687912755839</v>
      </c>
      <c r="AX951" s="57">
        <f t="shared" si="471"/>
        <v>-0.24921418884953686</v>
      </c>
      <c r="AY951" s="57">
        <f t="shared" si="472"/>
        <v>-0.42884156276946966</v>
      </c>
      <c r="BA951" s="57">
        <f t="shared" si="473"/>
        <v>589705.0552912089</v>
      </c>
      <c r="BB951" s="57">
        <f t="shared" si="474"/>
        <v>601676.23983137705</v>
      </c>
    </row>
    <row r="952" spans="9:54" x14ac:dyDescent="0.25">
      <c r="I952" s="41">
        <v>947</v>
      </c>
      <c r="J952" s="57">
        <f t="shared" si="448"/>
        <v>16590.008199687501</v>
      </c>
      <c r="K952" s="57">
        <f t="shared" si="449"/>
        <v>3843.2314919041542</v>
      </c>
      <c r="M952" s="41">
        <v>947</v>
      </c>
      <c r="N952" s="57">
        <f t="shared" si="450"/>
        <v>-22386.994260218751</v>
      </c>
      <c r="O952" s="57">
        <f t="shared" si="451"/>
        <v>7440.2620443329079</v>
      </c>
      <c r="Q952" s="41">
        <v>947</v>
      </c>
      <c r="R952" s="57">
        <f t="shared" si="452"/>
        <v>-8409.9918003124985</v>
      </c>
      <c r="S952" s="41">
        <f t="shared" si="453"/>
        <v>-18656.768508095847</v>
      </c>
      <c r="U952" s="41">
        <v>946</v>
      </c>
      <c r="V952" s="41">
        <f t="shared" si="475"/>
        <v>473</v>
      </c>
      <c r="W952" s="57">
        <f t="shared" si="476"/>
        <v>317448.96958287759</v>
      </c>
      <c r="X952" s="57">
        <f t="shared" si="477"/>
        <v>515265.62581148418</v>
      </c>
      <c r="Y952" s="57">
        <f t="shared" si="478"/>
        <v>270.83448486914295</v>
      </c>
      <c r="Z952" s="57">
        <f t="shared" si="479"/>
        <v>104.11545740401371</v>
      </c>
      <c r="AA952" s="57">
        <f t="shared" si="454"/>
        <v>-4.6775168427970302</v>
      </c>
      <c r="AB952" s="57">
        <f t="shared" si="455"/>
        <v>-7.6024262510367961</v>
      </c>
      <c r="AC952" s="57">
        <f t="shared" si="456"/>
        <v>-0.76390762131471601</v>
      </c>
      <c r="AD952" s="57">
        <f t="shared" si="457"/>
        <v>-1.3040422763708823</v>
      </c>
      <c r="AE952" s="57">
        <f t="shared" si="458"/>
        <v>-0.27013653584905445</v>
      </c>
      <c r="AF952" s="57">
        <f t="shared" si="459"/>
        <v>-0.40447806377668244</v>
      </c>
      <c r="AG952" s="57">
        <f t="shared" si="460"/>
        <v>-0.70605289395686344</v>
      </c>
      <c r="AH952" s="57">
        <f t="shared" si="461"/>
        <v>-1.1611002514734861</v>
      </c>
      <c r="AJ952" s="57">
        <f t="shared" si="462"/>
        <v>588474.14578861813</v>
      </c>
      <c r="AK952" s="57">
        <f t="shared" si="463"/>
        <v>607589.63100041181</v>
      </c>
      <c r="AL952" s="57">
        <f t="shared" si="464"/>
        <v>620608.5496529229</v>
      </c>
      <c r="AN952" s="41">
        <v>947</v>
      </c>
      <c r="AO952" s="57">
        <f t="shared" si="465"/>
        <v>-114.98770046874961</v>
      </c>
      <c r="AP952" s="57">
        <f t="shared" si="466"/>
        <v>9514.8472378562328</v>
      </c>
      <c r="AR952" s="41">
        <v>947</v>
      </c>
      <c r="AS952" s="57">
        <f t="shared" si="467"/>
        <v>12613.005739781251</v>
      </c>
      <c r="AT952" s="57">
        <f t="shared" si="468"/>
        <v>-7559.7379556670921</v>
      </c>
      <c r="AV952" s="57">
        <f t="shared" si="469"/>
        <v>-2.6882353501439074</v>
      </c>
      <c r="AW952" s="57">
        <f t="shared" si="470"/>
        <v>-4.3041644258377918</v>
      </c>
      <c r="AX952" s="57">
        <f t="shared" si="471"/>
        <v>-0.24918444153248906</v>
      </c>
      <c r="AY952" s="57">
        <f t="shared" si="472"/>
        <v>-0.42864123357795353</v>
      </c>
      <c r="BA952" s="57">
        <f t="shared" si="473"/>
        <v>589822.05364156899</v>
      </c>
      <c r="BB952" s="57">
        <f t="shared" si="474"/>
        <v>601790.41252146882</v>
      </c>
    </row>
    <row r="953" spans="9:54" x14ac:dyDescent="0.25">
      <c r="I953" s="41">
        <v>948</v>
      </c>
      <c r="J953" s="57">
        <f t="shared" si="448"/>
        <v>16654.346968205711</v>
      </c>
      <c r="K953" s="57">
        <f t="shared" si="449"/>
        <v>3784.2758726130273</v>
      </c>
      <c r="M953" s="41">
        <v>948</v>
      </c>
      <c r="N953" s="57">
        <f t="shared" si="450"/>
        <v>-22341.957122256001</v>
      </c>
      <c r="O953" s="57">
        <f t="shared" si="451"/>
        <v>7398.9931108291185</v>
      </c>
      <c r="Q953" s="41">
        <v>948</v>
      </c>
      <c r="R953" s="57">
        <f t="shared" si="452"/>
        <v>-8345.6530317942888</v>
      </c>
      <c r="S953" s="41">
        <f t="shared" si="453"/>
        <v>-18715.724127386973</v>
      </c>
      <c r="U953" s="41">
        <v>947</v>
      </c>
      <c r="V953" s="41">
        <f t="shared" si="475"/>
        <v>473.5</v>
      </c>
      <c r="W953" s="57">
        <f t="shared" si="476"/>
        <v>317583.80213570682</v>
      </c>
      <c r="X953" s="57">
        <f t="shared" si="477"/>
        <v>515316.73323690484</v>
      </c>
      <c r="Y953" s="57">
        <f t="shared" si="478"/>
        <v>268.49572644774446</v>
      </c>
      <c r="Z953" s="57">
        <f t="shared" si="479"/>
        <v>100.31424427849531</v>
      </c>
      <c r="AA953" s="57">
        <f t="shared" si="454"/>
        <v>-4.6768482274186303</v>
      </c>
      <c r="AB953" s="57">
        <f t="shared" si="455"/>
        <v>-7.5988244021828528</v>
      </c>
      <c r="AC953" s="57">
        <f t="shared" si="456"/>
        <v>-0.7638168239271077</v>
      </c>
      <c r="AD953" s="57">
        <f t="shared" si="457"/>
        <v>-1.3034276783020871</v>
      </c>
      <c r="AE953" s="57">
        <f t="shared" si="458"/>
        <v>-0.27008791434923651</v>
      </c>
      <c r="AF953" s="57">
        <f t="shared" si="459"/>
        <v>-0.40428463007493753</v>
      </c>
      <c r="AG953" s="57">
        <f t="shared" si="460"/>
        <v>-0.70596005146146501</v>
      </c>
      <c r="AH953" s="57">
        <f t="shared" si="461"/>
        <v>-1.1605741695899023</v>
      </c>
      <c r="AJ953" s="57">
        <f t="shared" si="462"/>
        <v>588586.40304457024</v>
      </c>
      <c r="AK953" s="57">
        <f t="shared" si="463"/>
        <v>607707.02180706884</v>
      </c>
      <c r="AL953" s="57">
        <f t="shared" si="464"/>
        <v>620722.27843971527</v>
      </c>
      <c r="AN953" s="41">
        <v>948</v>
      </c>
      <c r="AO953" s="57">
        <f t="shared" si="465"/>
        <v>-18.479547691433254</v>
      </c>
      <c r="AP953" s="57">
        <f t="shared" si="466"/>
        <v>9426.4138089195403</v>
      </c>
      <c r="AR953" s="41">
        <v>948</v>
      </c>
      <c r="AS953" s="57">
        <f t="shared" si="467"/>
        <v>12658.042877743997</v>
      </c>
      <c r="AT953" s="57">
        <f t="shared" si="468"/>
        <v>-7601.0068891708815</v>
      </c>
      <c r="AV953" s="57">
        <f t="shared" si="469"/>
        <v>-2.6878269729082573</v>
      </c>
      <c r="AW953" s="57">
        <f t="shared" si="470"/>
        <v>-4.3020937150405336</v>
      </c>
      <c r="AX953" s="57">
        <f t="shared" si="471"/>
        <v>-0.24915646477256398</v>
      </c>
      <c r="AY953" s="57">
        <f t="shared" si="472"/>
        <v>-0.42844420917539283</v>
      </c>
      <c r="BA953" s="57">
        <f t="shared" si="473"/>
        <v>589936.83298677229</v>
      </c>
      <c r="BB953" s="57">
        <f t="shared" si="474"/>
        <v>601902.36766540876</v>
      </c>
    </row>
    <row r="954" spans="9:54" x14ac:dyDescent="0.25">
      <c r="I954" s="41">
        <v>949</v>
      </c>
      <c r="J954" s="57">
        <f t="shared" si="448"/>
        <v>16719.704855047461</v>
      </c>
      <c r="K954" s="57">
        <f t="shared" si="449"/>
        <v>3726.4520988861418</v>
      </c>
      <c r="M954" s="41">
        <v>949</v>
      </c>
      <c r="N954" s="57">
        <f t="shared" si="450"/>
        <v>-22296.206601466776</v>
      </c>
      <c r="O954" s="57">
        <f t="shared" si="451"/>
        <v>7358.5164692202998</v>
      </c>
      <c r="Q954" s="41">
        <v>949</v>
      </c>
      <c r="R954" s="57">
        <f t="shared" si="452"/>
        <v>-8280.295144952539</v>
      </c>
      <c r="S954" s="41">
        <f t="shared" si="453"/>
        <v>-18773.54790111386</v>
      </c>
      <c r="U954" s="41">
        <v>948</v>
      </c>
      <c r="V954" s="41">
        <f t="shared" si="475"/>
        <v>474</v>
      </c>
      <c r="W954" s="57">
        <f t="shared" si="476"/>
        <v>317717.46539290226</v>
      </c>
      <c r="X954" s="57">
        <f t="shared" si="477"/>
        <v>515365.94050599379</v>
      </c>
      <c r="Y954" s="57">
        <f t="shared" si="478"/>
        <v>266.15730233403514</v>
      </c>
      <c r="Z954" s="57">
        <f t="shared" si="479"/>
        <v>96.514832077403881</v>
      </c>
      <c r="AA954" s="57">
        <f t="shared" si="454"/>
        <v>-4.6762140338232037</v>
      </c>
      <c r="AB954" s="57">
        <f t="shared" si="455"/>
        <v>-7.5952813377186335</v>
      </c>
      <c r="AC954" s="57">
        <f t="shared" si="456"/>
        <v>-0.76373158900584848</v>
      </c>
      <c r="AD954" s="57">
        <f t="shared" si="457"/>
        <v>-1.3028233369940529</v>
      </c>
      <c r="AE954" s="57">
        <f t="shared" si="458"/>
        <v>-0.27004130958870348</v>
      </c>
      <c r="AF954" s="57">
        <f t="shared" si="459"/>
        <v>-0.40409423373172554</v>
      </c>
      <c r="AG954" s="57">
        <f t="shared" si="460"/>
        <v>-0.70587217620186959</v>
      </c>
      <c r="AH954" s="57">
        <f t="shared" si="461"/>
        <v>-1.1600567082805024</v>
      </c>
      <c r="AJ954" s="57">
        <f t="shared" si="462"/>
        <v>588696.44361590256</v>
      </c>
      <c r="AK954" s="57">
        <f t="shared" si="463"/>
        <v>607822.19460539101</v>
      </c>
      <c r="AL954" s="57">
        <f t="shared" si="464"/>
        <v>620833.78880214505</v>
      </c>
      <c r="AN954" s="41">
        <v>949</v>
      </c>
      <c r="AO954" s="57">
        <f t="shared" si="465"/>
        <v>79.557282571192445</v>
      </c>
      <c r="AP954" s="57">
        <f t="shared" si="466"/>
        <v>9339.6781483292125</v>
      </c>
      <c r="AR954" s="41">
        <v>949</v>
      </c>
      <c r="AS954" s="57">
        <f t="shared" si="467"/>
        <v>12703.793398533224</v>
      </c>
      <c r="AT954" s="57">
        <f t="shared" si="468"/>
        <v>-7641.4835307797002</v>
      </c>
      <c r="AV954" s="57">
        <f t="shared" si="469"/>
        <v>-2.6874387021658355</v>
      </c>
      <c r="AW954" s="57">
        <f t="shared" si="470"/>
        <v>-4.3000565768589656</v>
      </c>
      <c r="AX954" s="57">
        <f t="shared" si="471"/>
        <v>-0.24913025686094636</v>
      </c>
      <c r="AY954" s="57">
        <f t="shared" si="472"/>
        <v>-0.42825048185338632</v>
      </c>
      <c r="BA954" s="57">
        <f t="shared" si="473"/>
        <v>590049.39418679918</v>
      </c>
      <c r="BB954" s="57">
        <f t="shared" si="474"/>
        <v>602012.1061013561</v>
      </c>
    </row>
    <row r="955" spans="9:54" x14ac:dyDescent="0.25">
      <c r="I955" s="41">
        <v>950</v>
      </c>
      <c r="J955" s="57">
        <f t="shared" si="448"/>
        <v>16786.061951567295</v>
      </c>
      <c r="K955" s="57">
        <f t="shared" si="449"/>
        <v>3669.7777844051147</v>
      </c>
      <c r="M955" s="41">
        <v>950</v>
      </c>
      <c r="N955" s="57">
        <f t="shared" si="450"/>
        <v>-22249.756633902893</v>
      </c>
      <c r="O955" s="57">
        <f t="shared" si="451"/>
        <v>7318.8444490835809</v>
      </c>
      <c r="Q955" s="41">
        <v>950</v>
      </c>
      <c r="R955" s="57">
        <f t="shared" si="452"/>
        <v>-8213.938048432703</v>
      </c>
      <c r="S955" s="41">
        <f t="shared" si="453"/>
        <v>-18830.222215594884</v>
      </c>
      <c r="U955" s="41">
        <v>949</v>
      </c>
      <c r="V955" s="41">
        <f t="shared" si="475"/>
        <v>474.5</v>
      </c>
      <c r="W955" s="57">
        <f t="shared" si="476"/>
        <v>317849.95951731509</v>
      </c>
      <c r="X955" s="57">
        <f t="shared" si="477"/>
        <v>515413.24851186527</v>
      </c>
      <c r="Y955" s="57">
        <f t="shared" si="478"/>
        <v>263.81919531712356</v>
      </c>
      <c r="Z955" s="57">
        <f t="shared" si="479"/>
        <v>92.717191408544565</v>
      </c>
      <c r="AA955" s="57">
        <f t="shared" si="454"/>
        <v>-4.6756142243545833</v>
      </c>
      <c r="AB955" s="57">
        <f t="shared" si="455"/>
        <v>-7.5917969185787868</v>
      </c>
      <c r="AC955" s="57">
        <f t="shared" si="456"/>
        <v>-0.76365191122356468</v>
      </c>
      <c r="AD955" s="57">
        <f t="shared" si="457"/>
        <v>-1.302229228402185</v>
      </c>
      <c r="AE955" s="57">
        <f t="shared" si="458"/>
        <v>-0.26999671896267768</v>
      </c>
      <c r="AF955" s="57">
        <f t="shared" si="459"/>
        <v>-0.4039068674551029</v>
      </c>
      <c r="AG955" s="57">
        <f t="shared" si="460"/>
        <v>-0.70578926301276335</v>
      </c>
      <c r="AH955" s="57">
        <f t="shared" si="461"/>
        <v>-1.1595478479201029</v>
      </c>
      <c r="AJ955" s="57">
        <f t="shared" si="462"/>
        <v>588804.26832551241</v>
      </c>
      <c r="AK955" s="57">
        <f t="shared" si="463"/>
        <v>607935.15025631466</v>
      </c>
      <c r="AL955" s="57">
        <f t="shared" si="464"/>
        <v>620943.08157611487</v>
      </c>
      <c r="AN955" s="41">
        <v>950</v>
      </c>
      <c r="AO955" s="57">
        <f t="shared" si="465"/>
        <v>179.0929273509455</v>
      </c>
      <c r="AP955" s="57">
        <f t="shared" si="466"/>
        <v>9254.6666766076723</v>
      </c>
      <c r="AR955" s="41">
        <v>950</v>
      </c>
      <c r="AS955" s="57">
        <f t="shared" si="467"/>
        <v>12750.243366097107</v>
      </c>
      <c r="AT955" s="57">
        <f t="shared" si="468"/>
        <v>-7681.1555509164191</v>
      </c>
      <c r="AV955" s="57">
        <f t="shared" si="469"/>
        <v>-2.6870705149961713</v>
      </c>
      <c r="AW955" s="57">
        <f t="shared" si="470"/>
        <v>-4.2980529307540589</v>
      </c>
      <c r="AX955" s="57">
        <f t="shared" si="471"/>
        <v>-0.24910581615940597</v>
      </c>
      <c r="AY955" s="57">
        <f t="shared" si="472"/>
        <v>-0.42806004404733644</v>
      </c>
      <c r="BA955" s="57">
        <f t="shared" si="473"/>
        <v>590159.73808468459</v>
      </c>
      <c r="BB955" s="57">
        <f t="shared" si="474"/>
        <v>602119.6286505796</v>
      </c>
    </row>
    <row r="956" spans="9:54" x14ac:dyDescent="0.25">
      <c r="I956" s="41">
        <v>951</v>
      </c>
      <c r="J956" s="57">
        <f t="shared" si="448"/>
        <v>16853.398044750815</v>
      </c>
      <c r="K956" s="57">
        <f t="shared" si="449"/>
        <v>3614.2701927151429</v>
      </c>
      <c r="M956" s="41">
        <v>951</v>
      </c>
      <c r="N956" s="57">
        <f t="shared" si="450"/>
        <v>-22202.62136867443</v>
      </c>
      <c r="O956" s="57">
        <f t="shared" si="451"/>
        <v>7279.9891349005993</v>
      </c>
      <c r="Q956" s="41">
        <v>951</v>
      </c>
      <c r="R956" s="57">
        <f t="shared" si="452"/>
        <v>-8146.6019552491844</v>
      </c>
      <c r="S956" s="41">
        <f t="shared" si="453"/>
        <v>-18885.729807284857</v>
      </c>
      <c r="U956" s="41">
        <v>950</v>
      </c>
      <c r="V956" s="41">
        <f t="shared" si="475"/>
        <v>475</v>
      </c>
      <c r="W956" s="57">
        <f t="shared" si="476"/>
        <v>317981.28466319561</v>
      </c>
      <c r="X956" s="57">
        <f t="shared" si="477"/>
        <v>515458.65813295468</v>
      </c>
      <c r="Y956" s="57">
        <f t="shared" si="478"/>
        <v>261.48138820494626</v>
      </c>
      <c r="Z956" s="57">
        <f t="shared" si="479"/>
        <v>88.921292949255175</v>
      </c>
      <c r="AA956" s="57">
        <f t="shared" si="454"/>
        <v>-4.6750487627750363</v>
      </c>
      <c r="AB956" s="57">
        <f t="shared" si="455"/>
        <v>-7.5883710082658578</v>
      </c>
      <c r="AC956" s="57">
        <f t="shared" si="456"/>
        <v>-0.76357778547893496</v>
      </c>
      <c r="AD956" s="57">
        <f t="shared" si="457"/>
        <v>-1.301645328935382</v>
      </c>
      <c r="AE956" s="57">
        <f t="shared" si="458"/>
        <v>-0.26995413995089013</v>
      </c>
      <c r="AF956" s="57">
        <f t="shared" si="459"/>
        <v>-0.40372252408291864</v>
      </c>
      <c r="AG956" s="57">
        <f t="shared" si="460"/>
        <v>-0.70571130692610196</v>
      </c>
      <c r="AH956" s="57">
        <f t="shared" si="461"/>
        <v>-1.1590475692473827</v>
      </c>
      <c r="AJ956" s="57">
        <f t="shared" si="462"/>
        <v>588909.8779794412</v>
      </c>
      <c r="AK956" s="57">
        <f t="shared" si="463"/>
        <v>608045.88960386137</v>
      </c>
      <c r="AL956" s="57">
        <f t="shared" si="464"/>
        <v>621050.15758061211</v>
      </c>
      <c r="AN956" s="41">
        <v>951</v>
      </c>
      <c r="AO956" s="57">
        <f t="shared" si="465"/>
        <v>280.09706712622392</v>
      </c>
      <c r="AP956" s="57">
        <f t="shared" si="466"/>
        <v>9171.4052890727144</v>
      </c>
      <c r="AR956" s="41">
        <v>951</v>
      </c>
      <c r="AS956" s="57">
        <f t="shared" si="467"/>
        <v>12797.378631325571</v>
      </c>
      <c r="AT956" s="57">
        <f t="shared" si="468"/>
        <v>-7720.0108650994007</v>
      </c>
      <c r="AV956" s="57">
        <f t="shared" si="469"/>
        <v>-2.6867223893190051</v>
      </c>
      <c r="AW956" s="57">
        <f t="shared" si="470"/>
        <v>-4.2960826976644775</v>
      </c>
      <c r="AX956" s="57">
        <f t="shared" si="471"/>
        <v>-0.24908314110010429</v>
      </c>
      <c r="AY956" s="57">
        <f t="shared" si="472"/>
        <v>-0.42787288833569753</v>
      </c>
      <c r="BA956" s="57">
        <f t="shared" si="473"/>
        <v>590267.86550655274</v>
      </c>
      <c r="BB956" s="57">
        <f t="shared" si="474"/>
        <v>602224.9361174911</v>
      </c>
    </row>
    <row r="957" spans="9:54" x14ac:dyDescent="0.25">
      <c r="I957" s="41">
        <v>952</v>
      </c>
      <c r="J957" s="57">
        <f t="shared" si="448"/>
        <v>16921.692623371706</v>
      </c>
      <c r="K957" s="57">
        <f t="shared" si="449"/>
        <v>3559.9462319663912</v>
      </c>
      <c r="M957" s="41">
        <v>952</v>
      </c>
      <c r="N957" s="57">
        <f t="shared" si="450"/>
        <v>-22154.815163639803</v>
      </c>
      <c r="O957" s="57">
        <f t="shared" si="451"/>
        <v>7241.9623623764737</v>
      </c>
      <c r="Q957" s="41">
        <v>952</v>
      </c>
      <c r="R957" s="57">
        <f t="shared" si="452"/>
        <v>-8078.3073766282923</v>
      </c>
      <c r="S957" s="41">
        <f t="shared" si="453"/>
        <v>-18940.053768033609</v>
      </c>
      <c r="U957" s="41">
        <v>951</v>
      </c>
      <c r="V957" s="41">
        <f t="shared" si="475"/>
        <v>475.5</v>
      </c>
      <c r="W957" s="57">
        <f t="shared" si="476"/>
        <v>318111.44097620272</v>
      </c>
      <c r="X957" s="57">
        <f t="shared" si="477"/>
        <v>515502.17023305327</v>
      </c>
      <c r="Y957" s="57">
        <f t="shared" si="478"/>
        <v>259.14386382355872</v>
      </c>
      <c r="Z957" s="57">
        <f t="shared" si="479"/>
        <v>85.127107445122249</v>
      </c>
      <c r="AA957" s="57">
        <f t="shared" si="454"/>
        <v>-4.6745176142612497</v>
      </c>
      <c r="AB957" s="57">
        <f t="shared" si="455"/>
        <v>-7.5850034728371352</v>
      </c>
      <c r="AC957" s="57">
        <f t="shared" si="456"/>
        <v>-0.76350920689614321</v>
      </c>
      <c r="AD957" s="57">
        <f t="shared" si="457"/>
        <v>-1.3010716154537656</v>
      </c>
      <c r="AE957" s="57">
        <f t="shared" si="458"/>
        <v>-0.26991357011731154</v>
      </c>
      <c r="AF957" s="57">
        <f t="shared" si="459"/>
        <v>-0.40354119658215165</v>
      </c>
      <c r="AG957" s="57">
        <f t="shared" si="460"/>
        <v>-0.70563830317055576</v>
      </c>
      <c r="AH957" s="57">
        <f t="shared" si="461"/>
        <v>-1.1585558533630491</v>
      </c>
      <c r="AJ957" s="57">
        <f t="shared" si="462"/>
        <v>589013.27336690808</v>
      </c>
      <c r="AK957" s="57">
        <f t="shared" si="463"/>
        <v>608154.41347517248</v>
      </c>
      <c r="AL957" s="57">
        <f t="shared" si="464"/>
        <v>621155.01761774218</v>
      </c>
      <c r="AN957" s="41">
        <v>952</v>
      </c>
      <c r="AO957" s="57">
        <f t="shared" si="465"/>
        <v>382.5389350575615</v>
      </c>
      <c r="AP957" s="57">
        <f t="shared" si="466"/>
        <v>9089.9193479495862</v>
      </c>
      <c r="AR957" s="41">
        <v>952</v>
      </c>
      <c r="AS957" s="57">
        <f t="shared" si="467"/>
        <v>12845.184836360195</v>
      </c>
      <c r="AT957" s="57">
        <f t="shared" si="468"/>
        <v>-7758.0376376235263</v>
      </c>
      <c r="AV957" s="57">
        <f t="shared" si="469"/>
        <v>-2.6863943038918223</v>
      </c>
      <c r="AW957" s="57">
        <f t="shared" si="470"/>
        <v>-4.2941457999989172</v>
      </c>
      <c r="AX957" s="57">
        <f t="shared" si="471"/>
        <v>-0.24906223018541662</v>
      </c>
      <c r="AY957" s="57">
        <f t="shared" si="472"/>
        <v>-0.4276890074392522</v>
      </c>
      <c r="BA957" s="57">
        <f t="shared" si="473"/>
        <v>590373.7772616517</v>
      </c>
      <c r="BB957" s="57">
        <f t="shared" si="474"/>
        <v>602328.02928967902</v>
      </c>
    </row>
    <row r="958" spans="9:54" x14ac:dyDescent="0.25">
      <c r="I958" s="41">
        <v>953</v>
      </c>
      <c r="J958" s="57">
        <f t="shared" si="448"/>
        <v>16990.924884239754</v>
      </c>
      <c r="K958" s="57">
        <f t="shared" si="449"/>
        <v>3506.8224497635397</v>
      </c>
      <c r="M958" s="41">
        <v>953</v>
      </c>
      <c r="N958" s="57">
        <f t="shared" si="450"/>
        <v>-22106.352581032173</v>
      </c>
      <c r="O958" s="57">
        <f t="shared" si="451"/>
        <v>7204.7757148344772</v>
      </c>
      <c r="Q958" s="41">
        <v>953</v>
      </c>
      <c r="R958" s="57">
        <f t="shared" si="452"/>
        <v>-8009.0751157602463</v>
      </c>
      <c r="S958" s="41">
        <f t="shared" si="453"/>
        <v>-18993.177550236462</v>
      </c>
      <c r="U958" s="41">
        <v>952</v>
      </c>
      <c r="V958" s="41">
        <f t="shared" si="475"/>
        <v>476</v>
      </c>
      <c r="W958" s="57">
        <f t="shared" si="476"/>
        <v>318240.42859341274</v>
      </c>
      <c r="X958" s="57">
        <f t="shared" si="477"/>
        <v>515543.78566134174</v>
      </c>
      <c r="Y958" s="57">
        <f t="shared" si="478"/>
        <v>256.80660501642808</v>
      </c>
      <c r="Z958" s="57">
        <f t="shared" si="479"/>
        <v>81.334605708703677</v>
      </c>
      <c r="AA958" s="57">
        <f t="shared" si="454"/>
        <v>-4.674020745400278</v>
      </c>
      <c r="AB958" s="57">
        <f t="shared" si="455"/>
        <v>-7.5816941808914784</v>
      </c>
      <c r="AC958" s="57">
        <f t="shared" si="456"/>
        <v>-0.76344617082425914</v>
      </c>
      <c r="AD958" s="57">
        <f t="shared" si="457"/>
        <v>-1.3005080652663024</v>
      </c>
      <c r="AE958" s="57">
        <f t="shared" si="458"/>
        <v>-0.26987500710986173</v>
      </c>
      <c r="AF958" s="57">
        <f t="shared" si="459"/>
        <v>-0.40336287804821586</v>
      </c>
      <c r="AG958" s="57">
        <f t="shared" si="460"/>
        <v>-0.70557024717097439</v>
      </c>
      <c r="AH958" s="57">
        <f t="shared" si="461"/>
        <v>-1.1580726817280487</v>
      </c>
      <c r="AJ958" s="57">
        <f t="shared" si="462"/>
        <v>589114.45526034234</v>
      </c>
      <c r="AK958" s="57">
        <f t="shared" si="463"/>
        <v>608260.72268054285</v>
      </c>
      <c r="AL958" s="57">
        <f t="shared" si="464"/>
        <v>621257.66247276252</v>
      </c>
      <c r="AN958" s="41">
        <v>953</v>
      </c>
      <c r="AO958" s="57">
        <f t="shared" si="465"/>
        <v>486.3873263596297</v>
      </c>
      <c r="AP958" s="57">
        <f t="shared" si="466"/>
        <v>9010.2336746453093</v>
      </c>
      <c r="AR958" s="41">
        <v>953</v>
      </c>
      <c r="AS958" s="57">
        <f t="shared" si="467"/>
        <v>12893.647418967827</v>
      </c>
      <c r="AT958" s="57">
        <f t="shared" si="468"/>
        <v>-7795.2242851655228</v>
      </c>
      <c r="AV958" s="57">
        <f t="shared" si="469"/>
        <v>-2.6860862383074116</v>
      </c>
      <c r="AW958" s="57">
        <f t="shared" si="470"/>
        <v>-4.2922421616284909</v>
      </c>
      <c r="AX958" s="57">
        <f t="shared" si="471"/>
        <v>-0.24904308198777056</v>
      </c>
      <c r="AY958" s="57">
        <f t="shared" si="472"/>
        <v>-0.42750839422042064</v>
      </c>
      <c r="BA958" s="57">
        <f t="shared" si="473"/>
        <v>590477.474142386</v>
      </c>
      <c r="BB958" s="57">
        <f t="shared" si="474"/>
        <v>602428.90893794061</v>
      </c>
    </row>
    <row r="959" spans="9:54" x14ac:dyDescent="0.25">
      <c r="I959" s="41">
        <v>954</v>
      </c>
      <c r="J959" s="57">
        <f t="shared" si="448"/>
        <v>17061.073738537638</v>
      </c>
      <c r="K959" s="57">
        <f t="shared" si="449"/>
        <v>3454.9150281252596</v>
      </c>
      <c r="M959" s="41">
        <v>954</v>
      </c>
      <c r="N959" s="57">
        <f t="shared" si="450"/>
        <v>-22057.248383023652</v>
      </c>
      <c r="O959" s="57">
        <f t="shared" si="451"/>
        <v>7168.4405196876814</v>
      </c>
      <c r="Q959" s="41">
        <v>954</v>
      </c>
      <c r="R959" s="57">
        <f t="shared" si="452"/>
        <v>-7938.9262614623613</v>
      </c>
      <c r="S959" s="41">
        <f t="shared" si="453"/>
        <v>-19045.084971874741</v>
      </c>
      <c r="U959" s="41">
        <v>953</v>
      </c>
      <c r="V959" s="41">
        <f t="shared" si="475"/>
        <v>476.5</v>
      </c>
      <c r="W959" s="57">
        <f t="shared" si="476"/>
        <v>318368.24764332781</v>
      </c>
      <c r="X959" s="57">
        <f t="shared" si="477"/>
        <v>515583.50525242346</v>
      </c>
      <c r="Y959" s="57">
        <f t="shared" si="478"/>
        <v>254.46959464372793</v>
      </c>
      <c r="Z959" s="57">
        <f t="shared" si="479"/>
        <v>77.543758618257939</v>
      </c>
      <c r="AA959" s="57">
        <f t="shared" si="454"/>
        <v>-4.6735581241855453</v>
      </c>
      <c r="AB959" s="57">
        <f t="shared" si="455"/>
        <v>-7.578443003556286</v>
      </c>
      <c r="AC959" s="57">
        <f t="shared" si="456"/>
        <v>-0.76338867283672851</v>
      </c>
      <c r="AD959" s="57">
        <f t="shared" si="457"/>
        <v>-1.2999546561286177</v>
      </c>
      <c r="AE959" s="57">
        <f t="shared" si="458"/>
        <v>-0.26983844866015272</v>
      </c>
      <c r="AF959" s="57">
        <f t="shared" si="459"/>
        <v>-0.40318756170431791</v>
      </c>
      <c r="AG959" s="57">
        <f t="shared" si="460"/>
        <v>-0.70550713454784619</v>
      </c>
      <c r="AH959" s="57">
        <f t="shared" si="461"/>
        <v>-1.1575980361617706</v>
      </c>
      <c r="AJ959" s="57">
        <f t="shared" si="462"/>
        <v>589213.42441541469</v>
      </c>
      <c r="AK959" s="57">
        <f t="shared" si="463"/>
        <v>608364.81801345455</v>
      </c>
      <c r="AL959" s="57">
        <f t="shared" si="464"/>
        <v>621358.09291411424</v>
      </c>
      <c r="AN959" s="41">
        <v>954</v>
      </c>
      <c r="AO959" s="57">
        <f t="shared" si="465"/>
        <v>591.61060780645857</v>
      </c>
      <c r="AP959" s="57">
        <f t="shared" si="466"/>
        <v>8932.372542187888</v>
      </c>
      <c r="AR959" s="41">
        <v>954</v>
      </c>
      <c r="AS959" s="57">
        <f t="shared" si="467"/>
        <v>12942.751616976348</v>
      </c>
      <c r="AT959" s="57">
        <f t="shared" si="468"/>
        <v>-7831.5594803123186</v>
      </c>
      <c r="AV959" s="57">
        <f t="shared" si="469"/>
        <v>-2.685798172991356</v>
      </c>
      <c r="AW959" s="57">
        <f t="shared" si="470"/>
        <v>-4.2903717078790455</v>
      </c>
      <c r="AX959" s="57">
        <f t="shared" si="471"/>
        <v>-0.24902569514946191</v>
      </c>
      <c r="AY959" s="57">
        <f t="shared" si="472"/>
        <v>-0.42733104168253427</v>
      </c>
      <c r="BA959" s="57">
        <f t="shared" si="473"/>
        <v>590578.95692434988</v>
      </c>
      <c r="BB959" s="57">
        <f t="shared" si="474"/>
        <v>602527.57581631362</v>
      </c>
    </row>
    <row r="960" spans="9:54" x14ac:dyDescent="0.25">
      <c r="I960" s="41">
        <v>955</v>
      </c>
      <c r="J960" s="57">
        <f t="shared" si="448"/>
        <v>17132.117818244769</v>
      </c>
      <c r="K960" s="57">
        <f t="shared" si="449"/>
        <v>3404.2397785550411</v>
      </c>
      <c r="M960" s="41">
        <v>955</v>
      </c>
      <c r="N960" s="57">
        <f t="shared" si="450"/>
        <v>-22007.517527228661</v>
      </c>
      <c r="O960" s="57">
        <f t="shared" si="451"/>
        <v>7132.9678449885287</v>
      </c>
      <c r="Q960" s="41">
        <v>955</v>
      </c>
      <c r="R960" s="57">
        <f t="shared" si="452"/>
        <v>-7867.8821817552307</v>
      </c>
      <c r="S960" s="41">
        <f t="shared" si="453"/>
        <v>-19095.760221444958</v>
      </c>
      <c r="U960" s="41">
        <v>954</v>
      </c>
      <c r="V960" s="41">
        <f t="shared" si="475"/>
        <v>477</v>
      </c>
      <c r="W960" s="57">
        <f t="shared" si="476"/>
        <v>318494.89824588411</v>
      </c>
      <c r="X960" s="57">
        <f t="shared" si="477"/>
        <v>515621.32982635719</v>
      </c>
      <c r="Y960" s="57">
        <f t="shared" si="478"/>
        <v>252.13281558163516</v>
      </c>
      <c r="Z960" s="57">
        <f t="shared" si="479"/>
        <v>73.754537116479796</v>
      </c>
      <c r="AA960" s="57">
        <f t="shared" si="454"/>
        <v>-4.6731297200133053</v>
      </c>
      <c r="AB960" s="57">
        <f t="shared" si="455"/>
        <v>-7.5752498144752325</v>
      </c>
      <c r="AC960" s="57">
        <f t="shared" si="456"/>
        <v>-0.76333670873084214</v>
      </c>
      <c r="AD960" s="57">
        <f t="shared" si="457"/>
        <v>-1.2994113662407911</v>
      </c>
      <c r="AE960" s="57">
        <f t="shared" si="458"/>
        <v>-0.26980389258322368</v>
      </c>
      <c r="AF960" s="57">
        <f t="shared" si="459"/>
        <v>-0.40301524090080121</v>
      </c>
      <c r="AG960" s="57">
        <f t="shared" si="460"/>
        <v>-0.70544896111684485</v>
      </c>
      <c r="AH960" s="57">
        <f t="shared" si="461"/>
        <v>-1.1571318988404014</v>
      </c>
      <c r="AJ960" s="57">
        <f t="shared" si="462"/>
        <v>589310.18157106906</v>
      </c>
      <c r="AK960" s="57">
        <f t="shared" si="463"/>
        <v>608466.70025060966</v>
      </c>
      <c r="AL960" s="57">
        <f t="shared" si="464"/>
        <v>621456.30969345442</v>
      </c>
      <c r="AN960" s="41">
        <v>955</v>
      </c>
      <c r="AO960" s="57">
        <f t="shared" si="465"/>
        <v>698.17672736715485</v>
      </c>
      <c r="AP960" s="57">
        <f t="shared" si="466"/>
        <v>8856.3596678325612</v>
      </c>
      <c r="AR960" s="41">
        <v>955</v>
      </c>
      <c r="AS960" s="57">
        <f t="shared" si="467"/>
        <v>12992.482472771339</v>
      </c>
      <c r="AT960" s="57">
        <f t="shared" si="468"/>
        <v>-7867.0321550114713</v>
      </c>
      <c r="AV960" s="57">
        <f t="shared" si="469"/>
        <v>-2.6855300891998777</v>
      </c>
      <c r="AW960" s="57">
        <f t="shared" si="470"/>
        <v>-4.2885343655240469</v>
      </c>
      <c r="AX960" s="57">
        <f t="shared" si="471"/>
        <v>-0.24901006838251638</v>
      </c>
      <c r="AY960" s="57">
        <f t="shared" si="472"/>
        <v>-0.42715694296919193</v>
      </c>
      <c r="BA960" s="57">
        <f t="shared" si="473"/>
        <v>590678.22636635893</v>
      </c>
      <c r="BB960" s="57">
        <f t="shared" si="474"/>
        <v>602624.03066210705</v>
      </c>
    </row>
    <row r="961" spans="9:54" x14ac:dyDescent="0.25">
      <c r="I961" s="41">
        <v>956</v>
      </c>
      <c r="J961" s="57">
        <f t="shared" si="448"/>
        <v>17204.035482646261</v>
      </c>
      <c r="K961" s="57">
        <f t="shared" si="449"/>
        <v>3354.8121372247942</v>
      </c>
      <c r="M961" s="41">
        <v>956</v>
      </c>
      <c r="N961" s="57">
        <f t="shared" si="450"/>
        <v>-21957.175162147618</v>
      </c>
      <c r="O961" s="57">
        <f t="shared" si="451"/>
        <v>7098.3684960573564</v>
      </c>
      <c r="Q961" s="41">
        <v>956</v>
      </c>
      <c r="R961" s="57">
        <f t="shared" si="452"/>
        <v>-7795.9645173537383</v>
      </c>
      <c r="S961" s="41">
        <f t="shared" si="453"/>
        <v>-19145.187862775205</v>
      </c>
      <c r="U961" s="41">
        <v>955</v>
      </c>
      <c r="V961" s="41">
        <f t="shared" si="475"/>
        <v>477.5</v>
      </c>
      <c r="W961" s="57">
        <f t="shared" si="476"/>
        <v>318620.3805124599</v>
      </c>
      <c r="X961" s="57">
        <f t="shared" si="477"/>
        <v>515657.26018868864</v>
      </c>
      <c r="Y961" s="57">
        <f t="shared" si="478"/>
        <v>249.7962507216285</v>
      </c>
      <c r="Z961" s="57">
        <f t="shared" si="479"/>
        <v>69.966912209242182</v>
      </c>
      <c r="AA961" s="57">
        <f t="shared" si="454"/>
        <v>-4.6727355036789753</v>
      </c>
      <c r="AB961" s="57">
        <f t="shared" si="455"/>
        <v>-7.5721144897958554</v>
      </c>
      <c r="AC961" s="57">
        <f t="shared" si="456"/>
        <v>-0.76329027452724496</v>
      </c>
      <c r="AD961" s="57">
        <f t="shared" si="457"/>
        <v>-1.2988781742452202</v>
      </c>
      <c r="AE961" s="57">
        <f t="shared" si="458"/>
        <v>-0.26977133677728987</v>
      </c>
      <c r="AF961" s="57">
        <f t="shared" si="459"/>
        <v>-0.40284590911451357</v>
      </c>
      <c r="AG961" s="57">
        <f t="shared" si="460"/>
        <v>-0.70539572288831842</v>
      </c>
      <c r="AH961" s="57">
        <f t="shared" si="461"/>
        <v>-1.1566742522951901</v>
      </c>
      <c r="AJ961" s="57">
        <f t="shared" si="462"/>
        <v>589404.72744955227</v>
      </c>
      <c r="AK961" s="57">
        <f t="shared" si="463"/>
        <v>608566.37015196157</v>
      </c>
      <c r="AL961" s="57">
        <f t="shared" si="464"/>
        <v>621552.31354568619</v>
      </c>
      <c r="AN961" s="41">
        <v>956</v>
      </c>
      <c r="AO961" s="57">
        <f t="shared" si="465"/>
        <v>806.05322396939209</v>
      </c>
      <c r="AP961" s="57">
        <f t="shared" si="466"/>
        <v>8782.2182058371909</v>
      </c>
      <c r="AR961" s="41">
        <v>956</v>
      </c>
      <c r="AS961" s="57">
        <f t="shared" si="467"/>
        <v>13042.824837852382</v>
      </c>
      <c r="AT961" s="57">
        <f t="shared" si="468"/>
        <v>-7901.6315039426436</v>
      </c>
      <c r="AV961" s="57">
        <f t="shared" si="469"/>
        <v>-2.685281969017598</v>
      </c>
      <c r="AW961" s="57">
        <f t="shared" si="470"/>
        <v>-4.2867300627773623</v>
      </c>
      <c r="AX961" s="57">
        <f t="shared" si="471"/>
        <v>-0.24899620046852328</v>
      </c>
      <c r="AY961" s="57">
        <f t="shared" si="472"/>
        <v>-0.42698609136356908</v>
      </c>
      <c r="BA961" s="57">
        <f t="shared" si="473"/>
        <v>590775.2832104814</v>
      </c>
      <c r="BB961" s="57">
        <f t="shared" si="474"/>
        <v>602718.27419593208</v>
      </c>
    </row>
    <row r="962" spans="9:54" x14ac:dyDescent="0.25">
      <c r="I962" s="41">
        <v>957</v>
      </c>
      <c r="J962" s="57">
        <f t="shared" si="448"/>
        <v>17276.804824924871</v>
      </c>
      <c r="K962" s="57">
        <f t="shared" si="449"/>
        <v>3306.6471602728761</v>
      </c>
      <c r="M962" s="41">
        <v>957</v>
      </c>
      <c r="N962" s="57">
        <f t="shared" si="450"/>
        <v>-21906.236622552591</v>
      </c>
      <c r="O962" s="57">
        <f t="shared" si="451"/>
        <v>7064.6530121910127</v>
      </c>
      <c r="Q962" s="41">
        <v>957</v>
      </c>
      <c r="R962" s="57">
        <f t="shared" si="452"/>
        <v>-7723.1951750751286</v>
      </c>
      <c r="S962" s="41">
        <f t="shared" si="453"/>
        <v>-19193.352839727122</v>
      </c>
      <c r="U962" s="41">
        <v>956</v>
      </c>
      <c r="V962" s="41">
        <f t="shared" si="475"/>
        <v>478</v>
      </c>
      <c r="W962" s="57">
        <f t="shared" si="476"/>
        <v>318744.69454588275</v>
      </c>
      <c r="X962" s="57">
        <f t="shared" si="477"/>
        <v>515691.29713048204</v>
      </c>
      <c r="Y962" s="57">
        <f t="shared" si="478"/>
        <v>247.45988296978902</v>
      </c>
      <c r="Z962" s="57">
        <f t="shared" si="479"/>
        <v>66.180854964344249</v>
      </c>
      <c r="AA962" s="57">
        <f t="shared" si="454"/>
        <v>-4.6723754473736259</v>
      </c>
      <c r="AB962" s="57">
        <f t="shared" si="455"/>
        <v>-7.5690369081574209</v>
      </c>
      <c r="AC962" s="57">
        <f t="shared" si="456"/>
        <v>-0.76324936646943198</v>
      </c>
      <c r="AD962" s="57">
        <f t="shared" si="457"/>
        <v>-1.2983550592244817</v>
      </c>
      <c r="AE962" s="57">
        <f t="shared" si="458"/>
        <v>-0.26974077922349921</v>
      </c>
      <c r="AF962" s="57">
        <f t="shared" si="459"/>
        <v>-0.40267955994818461</v>
      </c>
      <c r="AG962" s="57">
        <f t="shared" si="460"/>
        <v>-0.70534741606682017</v>
      </c>
      <c r="AH962" s="57">
        <f t="shared" si="461"/>
        <v>-1.1562250794107882</v>
      </c>
      <c r="AJ962" s="57">
        <f t="shared" si="462"/>
        <v>589497.06275644386</v>
      </c>
      <c r="AK962" s="57">
        <f t="shared" si="463"/>
        <v>608663.82846074633</v>
      </c>
      <c r="AL962" s="57">
        <f t="shared" si="464"/>
        <v>621646.10518898978</v>
      </c>
      <c r="AN962" s="41">
        <v>957</v>
      </c>
      <c r="AO962" s="57">
        <f t="shared" si="465"/>
        <v>915.20723738730612</v>
      </c>
      <c r="AP962" s="57">
        <f t="shared" si="466"/>
        <v>8709.9707404093133</v>
      </c>
      <c r="AR962" s="41">
        <v>957</v>
      </c>
      <c r="AS962" s="57">
        <f t="shared" si="467"/>
        <v>13093.763377447409</v>
      </c>
      <c r="AT962" s="57">
        <f t="shared" si="468"/>
        <v>-7935.3469878089873</v>
      </c>
      <c r="AV962" s="57">
        <f t="shared" si="469"/>
        <v>-2.6850537953553766</v>
      </c>
      <c r="AW962" s="57">
        <f t="shared" si="470"/>
        <v>-4.284958729286183</v>
      </c>
      <c r="AX962" s="57">
        <f t="shared" si="471"/>
        <v>-0.24898409025849844</v>
      </c>
      <c r="AY962" s="57">
        <f t="shared" si="472"/>
        <v>-0.42681848028778313</v>
      </c>
      <c r="BA962" s="57">
        <f t="shared" si="473"/>
        <v>590870.12818206835</v>
      </c>
      <c r="BB962" s="57">
        <f t="shared" si="474"/>
        <v>602810.30712173088</v>
      </c>
    </row>
    <row r="963" spans="9:54" x14ac:dyDescent="0.25">
      <c r="I963" s="41">
        <v>958</v>
      </c>
      <c r="J963" s="57">
        <f t="shared" si="448"/>
        <v>17350.403678833976</v>
      </c>
      <c r="K963" s="57">
        <f t="shared" si="449"/>
        <v>3259.7595192178687</v>
      </c>
      <c r="M963" s="41">
        <v>958</v>
      </c>
      <c r="N963" s="57">
        <f t="shared" si="450"/>
        <v>-21854.717424816215</v>
      </c>
      <c r="O963" s="57">
        <f t="shared" si="451"/>
        <v>7031.831663452509</v>
      </c>
      <c r="Q963" s="41">
        <v>958</v>
      </c>
      <c r="R963" s="57">
        <f t="shared" si="452"/>
        <v>-7649.5963211660237</v>
      </c>
      <c r="S963" s="41">
        <f t="shared" si="453"/>
        <v>-19240.240480782129</v>
      </c>
      <c r="U963" s="41">
        <v>957</v>
      </c>
      <c r="V963" s="41">
        <f t="shared" si="475"/>
        <v>478.5</v>
      </c>
      <c r="W963" s="57">
        <f t="shared" si="476"/>
        <v>318867.84044043667</v>
      </c>
      <c r="X963" s="57">
        <f t="shared" si="477"/>
        <v>515723.44142835069</v>
      </c>
      <c r="Y963" s="57">
        <f t="shared" si="478"/>
        <v>245.12369524610222</v>
      </c>
      <c r="Z963" s="57">
        <f t="shared" si="479"/>
        <v>62.396336510265542</v>
      </c>
      <c r="AA963" s="57">
        <f t="shared" si="454"/>
        <v>-4.6720495246807312</v>
      </c>
      <c r="AB963" s="57">
        <f t="shared" si="455"/>
        <v>-7.5660169506792538</v>
      </c>
      <c r="AC963" s="57">
        <f t="shared" si="456"/>
        <v>-0.76321398102332816</v>
      </c>
      <c r="AD963" s="57">
        <f t="shared" si="457"/>
        <v>-1.297842000699341</v>
      </c>
      <c r="AE963" s="57">
        <f t="shared" si="458"/>
        <v>-0.26971221798570216</v>
      </c>
      <c r="AF963" s="57">
        <f t="shared" si="459"/>
        <v>-0.40251618712982595</v>
      </c>
      <c r="AG963" s="57">
        <f t="shared" si="460"/>
        <v>-0.70530403705069444</v>
      </c>
      <c r="AH963" s="57">
        <f t="shared" si="461"/>
        <v>-1.1557843634236846</v>
      </c>
      <c r="AJ963" s="57">
        <f t="shared" si="462"/>
        <v>589587.18818068504</v>
      </c>
      <c r="AK963" s="57">
        <f t="shared" si="463"/>
        <v>608759.07590351347</v>
      </c>
      <c r="AL963" s="57">
        <f t="shared" si="464"/>
        <v>621737.68532485166</v>
      </c>
      <c r="AN963" s="41">
        <v>958</v>
      </c>
      <c r="AO963" s="57">
        <f t="shared" si="465"/>
        <v>1025.6055182509649</v>
      </c>
      <c r="AP963" s="57">
        <f t="shared" si="466"/>
        <v>8639.639278826804</v>
      </c>
      <c r="AR963" s="41">
        <v>958</v>
      </c>
      <c r="AS963" s="57">
        <f t="shared" si="467"/>
        <v>13145.282575183785</v>
      </c>
      <c r="AT963" s="57">
        <f t="shared" si="468"/>
        <v>-7968.168336547491</v>
      </c>
      <c r="AV963" s="57">
        <f t="shared" si="469"/>
        <v>-2.684845551948261</v>
      </c>
      <c r="AW963" s="57">
        <f t="shared" si="470"/>
        <v>-4.2832202961241448</v>
      </c>
      <c r="AX963" s="57">
        <f t="shared" si="471"/>
        <v>-0.24897373667274567</v>
      </c>
      <c r="AY963" s="57">
        <f t="shared" si="472"/>
        <v>-0.42665410330225789</v>
      </c>
      <c r="BA963" s="57">
        <f t="shared" si="473"/>
        <v>590962.76198978419</v>
      </c>
      <c r="BB963" s="57">
        <f t="shared" si="474"/>
        <v>602900.13012680609</v>
      </c>
    </row>
    <row r="964" spans="9:54" x14ac:dyDescent="0.25">
      <c r="I964" s="41">
        <v>959</v>
      </c>
      <c r="J964" s="57">
        <f t="shared" si="448"/>
        <v>17424.809625449725</v>
      </c>
      <c r="K964" s="57">
        <f t="shared" si="449"/>
        <v>3214.1634964894401</v>
      </c>
      <c r="M964" s="41">
        <v>959</v>
      </c>
      <c r="N964" s="57">
        <f t="shared" si="450"/>
        <v>-21802.633262185191</v>
      </c>
      <c r="O964" s="57">
        <f t="shared" si="451"/>
        <v>6999.9144475426083</v>
      </c>
      <c r="Q964" s="41">
        <v>959</v>
      </c>
      <c r="R964" s="57">
        <f t="shared" si="452"/>
        <v>-7575.1903745502741</v>
      </c>
      <c r="S964" s="41">
        <f t="shared" si="453"/>
        <v>-19285.83650351056</v>
      </c>
      <c r="U964" s="41">
        <v>958</v>
      </c>
      <c r="V964" s="41">
        <f t="shared" si="475"/>
        <v>479</v>
      </c>
      <c r="W964" s="57">
        <f t="shared" si="476"/>
        <v>318989.81828186911</v>
      </c>
      <c r="X964" s="57">
        <f t="shared" si="477"/>
        <v>515753.69384448702</v>
      </c>
      <c r="Y964" s="57">
        <f t="shared" si="478"/>
        <v>242.78767048376184</v>
      </c>
      <c r="Z964" s="57">
        <f t="shared" si="479"/>
        <v>58.613328034925914</v>
      </c>
      <c r="AA964" s="57">
        <f t="shared" si="454"/>
        <v>-4.6717577105730506</v>
      </c>
      <c r="AB964" s="57">
        <f t="shared" si="455"/>
        <v>-7.5630545009493266</v>
      </c>
      <c r="AC964" s="57">
        <f t="shared" si="456"/>
        <v>-0.7631841148768248</v>
      </c>
      <c r="AD964" s="57">
        <f t="shared" si="457"/>
        <v>-1.297338978626696</v>
      </c>
      <c r="AE964" s="57">
        <f t="shared" si="458"/>
        <v>-0.26968565121022631</v>
      </c>
      <c r="AF964" s="57">
        <f t="shared" si="459"/>
        <v>-0.40235578451213611</v>
      </c>
      <c r="AG964" s="57">
        <f t="shared" si="460"/>
        <v>-0.70526558243163118</v>
      </c>
      <c r="AH964" s="57">
        <f t="shared" si="461"/>
        <v>-1.1553520879205952</v>
      </c>
      <c r="AJ964" s="57">
        <f t="shared" si="462"/>
        <v>589675.10439460701</v>
      </c>
      <c r="AK964" s="57">
        <f t="shared" si="463"/>
        <v>608852.11319015536</v>
      </c>
      <c r="AL964" s="57">
        <f t="shared" si="464"/>
        <v>621827.0546380931</v>
      </c>
      <c r="AN964" s="41">
        <v>959</v>
      </c>
      <c r="AO964" s="57">
        <f t="shared" si="465"/>
        <v>1137.2144381745888</v>
      </c>
      <c r="AP964" s="57">
        <f t="shared" si="466"/>
        <v>8571.2452447341602</v>
      </c>
      <c r="AR964" s="41">
        <v>959</v>
      </c>
      <c r="AS964" s="57">
        <f t="shared" si="467"/>
        <v>13197.366737814807</v>
      </c>
      <c r="AT964" s="57">
        <f t="shared" si="468"/>
        <v>-8000.0855524573917</v>
      </c>
      <c r="AV964" s="57">
        <f t="shared" si="469"/>
        <v>-2.6846572233536476</v>
      </c>
      <c r="AW964" s="57">
        <f t="shared" si="470"/>
        <v>-4.2815146957848054</v>
      </c>
      <c r="AX964" s="57">
        <f t="shared" si="471"/>
        <v>-0.24896513870072004</v>
      </c>
      <c r="AY964" s="57">
        <f t="shared" si="472"/>
        <v>-0.4264929541050938</v>
      </c>
      <c r="BA964" s="57">
        <f t="shared" si="473"/>
        <v>591053.18532563502</v>
      </c>
      <c r="BB964" s="57">
        <f t="shared" si="474"/>
        <v>602987.74388184829</v>
      </c>
    </row>
    <row r="965" spans="9:54" x14ac:dyDescent="0.25">
      <c r="I965" s="41">
        <v>960</v>
      </c>
      <c r="J965" s="57">
        <f t="shared" si="448"/>
        <v>17499.999999999993</v>
      </c>
      <c r="K965" s="57">
        <f t="shared" si="449"/>
        <v>3169.8729810778113</v>
      </c>
      <c r="M965" s="41">
        <v>960</v>
      </c>
      <c r="N965" s="57">
        <f t="shared" si="450"/>
        <v>-21750.000000000007</v>
      </c>
      <c r="O965" s="57">
        <f t="shared" si="451"/>
        <v>6968.9110867544678</v>
      </c>
      <c r="Q965" s="41">
        <v>960</v>
      </c>
      <c r="R965" s="57">
        <f t="shared" si="452"/>
        <v>-7500.0000000000073</v>
      </c>
      <c r="S965" s="41">
        <f t="shared" si="453"/>
        <v>-19330.12701892219</v>
      </c>
      <c r="U965" s="41">
        <v>959</v>
      </c>
      <c r="V965" s="41">
        <f t="shared" si="475"/>
        <v>479.5</v>
      </c>
      <c r="W965" s="57">
        <f t="shared" si="476"/>
        <v>319110.62814739719</v>
      </c>
      <c r="X965" s="57">
        <f t="shared" si="477"/>
        <v>515782.05512669182</v>
      </c>
      <c r="Y965" s="57">
        <f t="shared" si="478"/>
        <v>240.45179162847532</v>
      </c>
      <c r="Z965" s="57">
        <f t="shared" si="479"/>
        <v>54.831800784451254</v>
      </c>
      <c r="AA965" s="57">
        <f t="shared" si="454"/>
        <v>-4.6714999814094869</v>
      </c>
      <c r="AB965" s="57">
        <f t="shared" si="455"/>
        <v>-7.5601494450128355</v>
      </c>
      <c r="AC965" s="57">
        <f t="shared" si="456"/>
        <v>-0.76315976493939763</v>
      </c>
      <c r="AD965" s="57">
        <f t="shared" si="457"/>
        <v>-1.2968459733976707</v>
      </c>
      <c r="AE965" s="57">
        <f t="shared" si="458"/>
        <v>-0.26966107712565213</v>
      </c>
      <c r="AF965" s="57">
        <f t="shared" si="459"/>
        <v>-0.40219834607191013</v>
      </c>
      <c r="AG965" s="57">
        <f t="shared" si="460"/>
        <v>-0.70523204899427672</v>
      </c>
      <c r="AH965" s="57">
        <f t="shared" si="461"/>
        <v>-1.1549282368369507</v>
      </c>
      <c r="AJ965" s="57">
        <f t="shared" si="462"/>
        <v>589760.81205395795</v>
      </c>
      <c r="AK965" s="57">
        <f t="shared" si="463"/>
        <v>608942.94101393619</v>
      </c>
      <c r="AL965" s="57">
        <f t="shared" si="464"/>
        <v>621914.21379689884</v>
      </c>
      <c r="AN965" s="41">
        <v>960</v>
      </c>
      <c r="AO965" s="57">
        <f t="shared" si="465"/>
        <v>1249.9999999999882</v>
      </c>
      <c r="AP965" s="57">
        <f t="shared" si="466"/>
        <v>8504.8094716167179</v>
      </c>
      <c r="AR965" s="41">
        <v>960</v>
      </c>
      <c r="AS965" s="57">
        <f t="shared" si="467"/>
        <v>13249.999999999995</v>
      </c>
      <c r="AT965" s="57">
        <f t="shared" si="468"/>
        <v>-8031.0889132455322</v>
      </c>
      <c r="AV965" s="57">
        <f t="shared" si="469"/>
        <v>-2.6844887949492464</v>
      </c>
      <c r="AW965" s="57">
        <f t="shared" si="470"/>
        <v>-4.2798418621748242</v>
      </c>
      <c r="AX965" s="57">
        <f t="shared" si="471"/>
        <v>-0.24895829540091349</v>
      </c>
      <c r="AY965" s="57">
        <f t="shared" si="472"/>
        <v>-0.42633502653148042</v>
      </c>
      <c r="BA965" s="57">
        <f t="shared" si="473"/>
        <v>591141.39886499697</v>
      </c>
      <c r="BB965" s="57">
        <f t="shared" si="474"/>
        <v>603073.14904096432</v>
      </c>
    </row>
    <row r="966" spans="9:54" x14ac:dyDescent="0.25">
      <c r="I966" s="41">
        <v>961</v>
      </c>
      <c r="J966" s="57">
        <f t="shared" si="448"/>
        <v>17575.951898768319</v>
      </c>
      <c r="K966" s="57">
        <f t="shared" si="449"/>
        <v>3126.9014643030196</v>
      </c>
      <c r="M966" s="41">
        <v>961</v>
      </c>
      <c r="N966" s="57">
        <f t="shared" si="450"/>
        <v>-21696.833670862179</v>
      </c>
      <c r="O966" s="57">
        <f t="shared" si="451"/>
        <v>6938.831025012114</v>
      </c>
      <c r="Q966" s="41">
        <v>961</v>
      </c>
      <c r="R966" s="57">
        <f t="shared" si="452"/>
        <v>-7424.0481012316832</v>
      </c>
      <c r="S966" s="41">
        <f t="shared" si="453"/>
        <v>-19373.09853569698</v>
      </c>
      <c r="U966" s="41">
        <v>960</v>
      </c>
      <c r="V966" s="41">
        <f t="shared" si="475"/>
        <v>480</v>
      </c>
      <c r="W966" s="57">
        <f t="shared" si="476"/>
        <v>319230.27010571375</v>
      </c>
      <c r="X966" s="57">
        <f t="shared" si="477"/>
        <v>515808.52600840339</v>
      </c>
      <c r="Y966" s="57">
        <f t="shared" si="478"/>
        <v>238.11604163777056</v>
      </c>
      <c r="Z966" s="57">
        <f t="shared" si="479"/>
        <v>51.051726061944834</v>
      </c>
      <c r="AA966" s="57">
        <f t="shared" si="454"/>
        <v>-4.6712763149322676</v>
      </c>
      <c r="AB966" s="57">
        <f t="shared" si="455"/>
        <v>-7.5573016713613388</v>
      </c>
      <c r="AC966" s="57">
        <f t="shared" si="456"/>
        <v>-0.76314092834168701</v>
      </c>
      <c r="AD966" s="57">
        <f t="shared" si="457"/>
        <v>-1.2963629658356559</v>
      </c>
      <c r="AE966" s="57">
        <f t="shared" si="458"/>
        <v>-0.26963849404261181</v>
      </c>
      <c r="AF966" s="57">
        <f t="shared" si="459"/>
        <v>-0.4020438659094826</v>
      </c>
      <c r="AG966" s="57">
        <f t="shared" si="460"/>
        <v>-0.70520343371583416</v>
      </c>
      <c r="AH966" s="57">
        <f t="shared" si="461"/>
        <v>-1.1545127944553695</v>
      </c>
      <c r="AJ966" s="57">
        <f t="shared" si="462"/>
        <v>589844.31179793039</v>
      </c>
      <c r="AK966" s="57">
        <f t="shared" si="463"/>
        <v>609031.56005152082</v>
      </c>
      <c r="AL966" s="57">
        <f t="shared" si="464"/>
        <v>621999.16345284414</v>
      </c>
      <c r="AN966" s="41">
        <v>961</v>
      </c>
      <c r="AO966" s="57">
        <f t="shared" si="465"/>
        <v>1363.9278481524761</v>
      </c>
      <c r="AP966" s="57">
        <f t="shared" si="466"/>
        <v>8440.3521964545289</v>
      </c>
      <c r="AR966" s="41">
        <v>961</v>
      </c>
      <c r="AS966" s="57">
        <f t="shared" si="467"/>
        <v>13303.166329137823</v>
      </c>
      <c r="AT966" s="57">
        <f t="shared" si="468"/>
        <v>-8061.168974987886</v>
      </c>
      <c r="AV966" s="57">
        <f t="shared" si="469"/>
        <v>-2.6843402529314107</v>
      </c>
      <c r="AW966" s="57">
        <f t="shared" si="470"/>
        <v>-4.2782017306077469</v>
      </c>
      <c r="AX966" s="57">
        <f t="shared" si="471"/>
        <v>-0.24895320590072467</v>
      </c>
      <c r="AY966" s="57">
        <f t="shared" si="472"/>
        <v>-0.42618031455308464</v>
      </c>
      <c r="BA966" s="57">
        <f t="shared" si="473"/>
        <v>591227.40326664445</v>
      </c>
      <c r="BB966" s="57">
        <f t="shared" si="474"/>
        <v>603156.34624170326</v>
      </c>
    </row>
    <row r="967" spans="9:54" x14ac:dyDescent="0.25">
      <c r="I967" s="41">
        <v>962</v>
      </c>
      <c r="J967" s="57">
        <f t="shared" ref="J967:J1005" si="480">$F$8*COS(I967*PI()/180)+$E$7</f>
        <v>17652.642186070545</v>
      </c>
      <c r="K967" s="57">
        <f t="shared" ref="K967:K1005" si="481">$F$8*SIN(I967*PI()/180)+$G$7</f>
        <v>3085.2620357053665</v>
      </c>
      <c r="M967" s="41">
        <v>962</v>
      </c>
      <c r="N967" s="57">
        <f t="shared" ref="N967:N1005" si="482">$F$19*COS(M967*PI()/180)+$E$18</f>
        <v>-21643.150469750621</v>
      </c>
      <c r="O967" s="57">
        <f t="shared" ref="O967:O1005" si="483">$F$19*SIN(M967*PI()/180)+$G$18</f>
        <v>6909.6834249937565</v>
      </c>
      <c r="Q967" s="41">
        <v>962</v>
      </c>
      <c r="R967" s="57">
        <f t="shared" ref="R967:R1005" si="484">$F$30*COS(Q967*PI()/180)+$E$29</f>
        <v>-7347.3578139294559</v>
      </c>
      <c r="S967" s="41">
        <f t="shared" ref="S967:S1005" si="485">$F$30*SIN(Q967*PI()/180)+$G$29</f>
        <v>-19414.737964294633</v>
      </c>
      <c r="U967" s="41">
        <v>961</v>
      </c>
      <c r="V967" s="41">
        <f t="shared" si="475"/>
        <v>480.5</v>
      </c>
      <c r="W967" s="57">
        <f t="shared" si="476"/>
        <v>319348.74421699322</v>
      </c>
      <c r="X967" s="57">
        <f t="shared" si="477"/>
        <v>515833.10720872547</v>
      </c>
      <c r="Y967" s="57">
        <f t="shared" si="478"/>
        <v>235.78040348030444</v>
      </c>
      <c r="Z967" s="57">
        <f t="shared" si="479"/>
        <v>47.273075226264162</v>
      </c>
      <c r="AA967" s="57">
        <f t="shared" ref="AA967:AA1006" si="486">AC967+AE967+AG967+AV967+AX967</f>
        <v>-4.6710866902641683</v>
      </c>
      <c r="AB967" s="57">
        <f t="shared" ref="AB967:AB1006" si="487">AD967+AF967+AH967+AW967+AY967</f>
        <v>-7.554511070921988</v>
      </c>
      <c r="AC967" s="57">
        <f t="shared" ref="AC967:AC1006" si="488">(($E$7-W967)/(AJ967^2+$F$12^2)^(3/2))*$E$11</f>
        <v>-0.76312760243513822</v>
      </c>
      <c r="AD967" s="57">
        <f t="shared" ref="AD967:AD1006" si="489">(($G$7-X967)/(AJ967^2+$F$12^2)^(3/2))*$E$11</f>
        <v>-1.2958899371944566</v>
      </c>
      <c r="AE967" s="57">
        <f t="shared" ref="AE967:AE1006" si="490">(($E$18-W967)/(AK967^2+$F$23^2)^(3/2))*$E$22</f>
        <v>-0.26961790035358513</v>
      </c>
      <c r="AF967" s="57">
        <f t="shared" ref="AF967:AF1006" si="491">(($G$18-X967)/(AK967^2+$F$23^2)^(3/2))*$E$22</f>
        <v>-0.40189233824816684</v>
      </c>
      <c r="AG967" s="57">
        <f t="shared" ref="AG967:AG1006" si="492">(($E$29-W967)/(AL967^2+$F$34^2)^(3/2))*$E$33</f>
        <v>-0.70517973376570808</v>
      </c>
      <c r="AH967" s="57">
        <f t="shared" ref="AH967:AH1006" si="493">(($G$29-X967)/(AL967^2+$F$34^2)^(3/2))*$E$33</f>
        <v>-1.1541057454042107</v>
      </c>
      <c r="AJ967" s="57">
        <f t="shared" ref="AJ967:AJ1006" si="494">SQRT(($E$7-W967)^2+($G$7-X967)^2)</f>
        <v>589925.60424918705</v>
      </c>
      <c r="AK967" s="57">
        <f t="shared" ref="AK967:AK1006" si="495">SQRT(($E$18-W967)^2+($G$18-X967)^2)</f>
        <v>609117.97096300172</v>
      </c>
      <c r="AL967" s="57">
        <f t="shared" ref="AL967:AL1006" si="496">SQRT(($E$29-W967)^2+($G$29-X967)^2)</f>
        <v>622081.90424092137</v>
      </c>
      <c r="AN967" s="41">
        <v>962</v>
      </c>
      <c r="AO967" s="57">
        <f t="shared" ref="AO967:AO1005" si="497">$F$41*COS(AN967*PI()/180)+$E$40</f>
        <v>1478.9632791058161</v>
      </c>
      <c r="AP967" s="57">
        <f t="shared" ref="AP967:AP1005" si="498">$F$41*SIN(AN967*PI()/180)+$G$40</f>
        <v>8377.8930535580494</v>
      </c>
      <c r="AR967" s="41">
        <v>962</v>
      </c>
      <c r="AS967" s="57">
        <f t="shared" ref="AS967:AS1005" si="499">$F$52*COS(AR967*PI()/180)+$E$51</f>
        <v>13356.849530249381</v>
      </c>
      <c r="AT967" s="57">
        <f t="shared" ref="AT967:AT1005" si="500">$F$52*SIN(AR967*PI()/180)+$G$51</f>
        <v>-8090.3165750062435</v>
      </c>
      <c r="AV967" s="57">
        <f t="shared" ref="AV967:AV1005" si="501">(($E$40-W967)/(BA967^2+$F$45^2)^(3/2))*$E$44</f>
        <v>-2.6842115843133811</v>
      </c>
      <c r="AW967" s="57">
        <f t="shared" ref="AW967:AW1005" si="502">(($G$40-X967)/(BA967^2+$F$45^2)^(3/2))*$E$44</f>
        <v>-4.276594237797668</v>
      </c>
      <c r="AX967" s="57">
        <f t="shared" ref="AX967:AX1005" si="503">(($E$51-W967)/(BB967^2+$F$56^2)^(3/2))*$E$55</f>
        <v>-0.24894986939635508</v>
      </c>
      <c r="AY967" s="57">
        <f t="shared" ref="AY967:AY1005" si="504">(($G$51-X967)/(BB967^2+$F$56^2)^(3/2))*$E$55</f>
        <v>-0.42602881227748601</v>
      </c>
      <c r="BA967" s="57">
        <f t="shared" ref="BA967:BA1006" si="505">SQRT(($E$40-W967)^2+($G$40-X967)^2)</f>
        <v>591311.19917277677</v>
      </c>
      <c r="BB967" s="57">
        <f t="shared" ref="BB967:BB1006" si="506">SQRT(($E$51-W967)^2+($G$51-X967)^2)</f>
        <v>603237.33610508265</v>
      </c>
    </row>
    <row r="968" spans="9:54" x14ac:dyDescent="0.25">
      <c r="I968" s="41">
        <v>963</v>
      </c>
      <c r="J968" s="57">
        <f t="shared" si="480"/>
        <v>17730.047501302259</v>
      </c>
      <c r="K968" s="57">
        <f t="shared" si="481"/>
        <v>3044.9673790581646</v>
      </c>
      <c r="M968" s="41">
        <v>963</v>
      </c>
      <c r="N968" s="57">
        <f t="shared" si="482"/>
        <v>-21588.96674908842</v>
      </c>
      <c r="O968" s="57">
        <f t="shared" si="483"/>
        <v>6881.4771653407151</v>
      </c>
      <c r="Q968" s="41">
        <v>963</v>
      </c>
      <c r="R968" s="57">
        <f t="shared" si="484"/>
        <v>-7269.9524986977412</v>
      </c>
      <c r="S968" s="41">
        <f t="shared" si="485"/>
        <v>-19455.032620941834</v>
      </c>
      <c r="U968" s="41">
        <v>962</v>
      </c>
      <c r="V968" s="41">
        <f t="shared" ref="V968:V1005" si="507">V967+0.5</f>
        <v>481</v>
      </c>
      <c r="W968" s="57">
        <f t="shared" ref="W968:W1006" si="508">W967+Y967*$F$3+((1/2)*AA967)*$F$3^2</f>
        <v>319466.05053289706</v>
      </c>
      <c r="X968" s="57">
        <f t="shared" ref="X968:X1006" si="509">X967+Z967*$F$3+((1/2)*AB967)*$F$3^2</f>
        <v>515855.79943245475</v>
      </c>
      <c r="Y968" s="57">
        <f t="shared" ref="Y968:Y1006" si="510">Y967+AA967*$F$3</f>
        <v>233.44486013517235</v>
      </c>
      <c r="Z968" s="57">
        <f t="shared" ref="Z968:Z1006" si="511">Z967+AB967*$F$3</f>
        <v>43.495819690803167</v>
      </c>
      <c r="AA968" s="57">
        <f t="shared" si="486"/>
        <v>-4.6709310879059238</v>
      </c>
      <c r="AB968" s="57">
        <f t="shared" si="487"/>
        <v>-7.5517775370471201</v>
      </c>
      <c r="AC968" s="57">
        <f t="shared" si="488"/>
        <v>-0.76311978479167619</v>
      </c>
      <c r="AD968" s="57">
        <f t="shared" si="489"/>
        <v>-1.2954268691565076</v>
      </c>
      <c r="AE968" s="57">
        <f t="shared" si="490"/>
        <v>-0.2695992945327057</v>
      </c>
      <c r="AF968" s="57">
        <f t="shared" si="491"/>
        <v>-0.40174375743370982</v>
      </c>
      <c r="AG968" s="57">
        <f t="shared" si="492"/>
        <v>-0.70516094650514483</v>
      </c>
      <c r="AH968" s="57">
        <f t="shared" si="493"/>
        <v>-1.1537070746561249</v>
      </c>
      <c r="AJ968" s="57">
        <f t="shared" si="494"/>
        <v>590004.69001388608</v>
      </c>
      <c r="AK968" s="57">
        <f t="shared" si="495"/>
        <v>609202.17439192662</v>
      </c>
      <c r="AL968" s="57">
        <f t="shared" si="496"/>
        <v>622162.43677956576</v>
      </c>
      <c r="AN968" s="41">
        <v>963</v>
      </c>
      <c r="AO968" s="57">
        <f t="shared" si="497"/>
        <v>1595.0712519533886</v>
      </c>
      <c r="AP968" s="57">
        <f t="shared" si="498"/>
        <v>8317.4510685872465</v>
      </c>
      <c r="AR968" s="41">
        <v>963</v>
      </c>
      <c r="AS968" s="57">
        <f t="shared" si="499"/>
        <v>13411.033250911581</v>
      </c>
      <c r="AT968" s="57">
        <f t="shared" si="500"/>
        <v>-8118.5228346592849</v>
      </c>
      <c r="AV968" s="57">
        <f t="shared" si="501"/>
        <v>-2.6841027769236918</v>
      </c>
      <c r="AW968" s="57">
        <f t="shared" si="502"/>
        <v>-4.2750193218531614</v>
      </c>
      <c r="AX968" s="57">
        <f t="shared" si="503"/>
        <v>-0.24894828515270523</v>
      </c>
      <c r="AY968" s="57">
        <f t="shared" si="504"/>
        <v>-0.42588051394761589</v>
      </c>
      <c r="BA968" s="57">
        <f t="shared" si="505"/>
        <v>591392.78720904433</v>
      </c>
      <c r="BB968" s="57">
        <f t="shared" si="506"/>
        <v>603316.11923561443</v>
      </c>
    </row>
    <row r="969" spans="9:54" x14ac:dyDescent="0.25">
      <c r="I969" s="41">
        <v>964</v>
      </c>
      <c r="J969" s="57">
        <f t="shared" si="480"/>
        <v>17808.144266054616</v>
      </c>
      <c r="K969" s="57">
        <f t="shared" si="481"/>
        <v>3006.0297685041633</v>
      </c>
      <c r="M969" s="41">
        <v>964</v>
      </c>
      <c r="N969" s="57">
        <f t="shared" si="482"/>
        <v>-21534.299013761767</v>
      </c>
      <c r="O969" s="57">
        <f t="shared" si="483"/>
        <v>6854.2208379529147</v>
      </c>
      <c r="Q969" s="41">
        <v>964</v>
      </c>
      <c r="R969" s="57">
        <f t="shared" si="484"/>
        <v>-7191.8557339453828</v>
      </c>
      <c r="S969" s="41">
        <f t="shared" si="485"/>
        <v>-19493.970231495838</v>
      </c>
      <c r="U969" s="41">
        <v>963</v>
      </c>
      <c r="V969" s="41">
        <f t="shared" si="507"/>
        <v>481.5</v>
      </c>
      <c r="W969" s="57">
        <f t="shared" si="508"/>
        <v>319582.18909657869</v>
      </c>
      <c r="X969" s="57">
        <f t="shared" si="509"/>
        <v>515876.603370108</v>
      </c>
      <c r="Y969" s="57">
        <f t="shared" si="510"/>
        <v>231.1093945912194</v>
      </c>
      <c r="Z969" s="57">
        <f t="shared" si="511"/>
        <v>39.719930922279609</v>
      </c>
      <c r="AA969" s="57">
        <f t="shared" si="486"/>
        <v>-4.6708094897336947</v>
      </c>
      <c r="AB969" s="57">
        <f t="shared" si="487"/>
        <v>-7.5491009655039338</v>
      </c>
      <c r="AC969" s="57">
        <f t="shared" si="488"/>
        <v>-0.76311747320334467</v>
      </c>
      <c r="AD969" s="57">
        <f t="shared" si="489"/>
        <v>-1.2949737438310422</v>
      </c>
      <c r="AE969" s="57">
        <f t="shared" si="490"/>
        <v>-0.2695826751355796</v>
      </c>
      <c r="AF969" s="57">
        <f t="shared" si="491"/>
        <v>-0.40159811793376615</v>
      </c>
      <c r="AG969" s="57">
        <f t="shared" si="492"/>
        <v>-0.70514706948691697</v>
      </c>
      <c r="AH969" s="57">
        <f t="shared" si="493"/>
        <v>-1.1533167675266807</v>
      </c>
      <c r="AJ969" s="57">
        <f t="shared" si="494"/>
        <v>590081.56968170626</v>
      </c>
      <c r="AK969" s="57">
        <f t="shared" si="495"/>
        <v>609284.17096532392</v>
      </c>
      <c r="AL969" s="57">
        <f t="shared" si="496"/>
        <v>622240.76167068165</v>
      </c>
      <c r="AN969" s="41">
        <v>964</v>
      </c>
      <c r="AO969" s="57">
        <f t="shared" si="497"/>
        <v>1712.2163990819258</v>
      </c>
      <c r="AP969" s="57">
        <f t="shared" si="498"/>
        <v>8259.0446527562453</v>
      </c>
      <c r="AR969" s="41">
        <v>964</v>
      </c>
      <c r="AS969" s="57">
        <f t="shared" si="499"/>
        <v>13465.700986238233</v>
      </c>
      <c r="AT969" s="57">
        <f t="shared" si="500"/>
        <v>-8145.7791620470853</v>
      </c>
      <c r="AV969" s="57">
        <f t="shared" si="501"/>
        <v>-2.6840138194045804</v>
      </c>
      <c r="AW969" s="57">
        <f t="shared" si="502"/>
        <v>-4.2734769222712412</v>
      </c>
      <c r="AX969" s="57">
        <f t="shared" si="503"/>
        <v>-0.24894845250327383</v>
      </c>
      <c r="AY969" s="57">
        <f t="shared" si="504"/>
        <v>-0.42573541394120379</v>
      </c>
      <c r="BA969" s="57">
        <f t="shared" si="505"/>
        <v>591472.16798457399</v>
      </c>
      <c r="BB969" s="57">
        <f t="shared" si="506"/>
        <v>603392.69622132881</v>
      </c>
    </row>
    <row r="970" spans="9:54" x14ac:dyDescent="0.25">
      <c r="I970" s="41">
        <v>965</v>
      </c>
      <c r="J970" s="57">
        <f t="shared" si="480"/>
        <v>17886.908691296503</v>
      </c>
      <c r="K970" s="57">
        <f t="shared" si="481"/>
        <v>2968.46106481675</v>
      </c>
      <c r="M970" s="41">
        <v>965</v>
      </c>
      <c r="N970" s="57">
        <f t="shared" si="482"/>
        <v>-21479.16391609245</v>
      </c>
      <c r="O970" s="57">
        <f t="shared" si="483"/>
        <v>6827.9227453717249</v>
      </c>
      <c r="Q970" s="41">
        <v>965</v>
      </c>
      <c r="R970" s="57">
        <f t="shared" si="484"/>
        <v>-7113.0913087034978</v>
      </c>
      <c r="S970" s="41">
        <f t="shared" si="485"/>
        <v>-19531.538935183249</v>
      </c>
      <c r="U970" s="41">
        <v>964</v>
      </c>
      <c r="V970" s="41">
        <f t="shared" si="507"/>
        <v>482</v>
      </c>
      <c r="W970" s="57">
        <f t="shared" si="508"/>
        <v>319697.15994268807</v>
      </c>
      <c r="X970" s="57">
        <f t="shared" si="509"/>
        <v>515895.51969794842</v>
      </c>
      <c r="Y970" s="57">
        <f t="shared" si="510"/>
        <v>228.77398984635255</v>
      </c>
      <c r="Z970" s="57">
        <f t="shared" si="511"/>
        <v>35.945380439527639</v>
      </c>
      <c r="AA970" s="57">
        <f t="shared" si="486"/>
        <v>-4.6707218789967717</v>
      </c>
      <c r="AB970" s="57">
        <f t="shared" si="487"/>
        <v>-7.5464812544646271</v>
      </c>
      <c r="AC970" s="57">
        <f t="shared" si="488"/>
        <v>-0.76312066568203529</v>
      </c>
      <c r="AD970" s="57">
        <f t="shared" si="489"/>
        <v>-1.2945305437524155</v>
      </c>
      <c r="AE970" s="57">
        <f t="shared" si="490"/>
        <v>-0.26956804079911079</v>
      </c>
      <c r="AF970" s="57">
        <f t="shared" si="491"/>
        <v>-0.40145541433738241</v>
      </c>
      <c r="AG970" s="57">
        <f t="shared" si="492"/>
        <v>-0.70513810045498748</v>
      </c>
      <c r="AH970" s="57">
        <f t="shared" si="493"/>
        <v>-1.1529348096729632</v>
      </c>
      <c r="AJ970" s="57">
        <f t="shared" si="494"/>
        <v>590156.24382587045</v>
      </c>
      <c r="AK970" s="57">
        <f t="shared" si="495"/>
        <v>609363.96129372925</v>
      </c>
      <c r="AL970" s="57">
        <f t="shared" si="496"/>
        <v>622316.87949966639</v>
      </c>
      <c r="AN970" s="41">
        <v>965</v>
      </c>
      <c r="AO970" s="57">
        <f t="shared" si="497"/>
        <v>1830.3630369447528</v>
      </c>
      <c r="AP970" s="57">
        <f t="shared" si="498"/>
        <v>8202.6915972251263</v>
      </c>
      <c r="AR970" s="41">
        <v>965</v>
      </c>
      <c r="AS970" s="57">
        <f t="shared" si="499"/>
        <v>13520.836083907552</v>
      </c>
      <c r="AT970" s="57">
        <f t="shared" si="500"/>
        <v>-8172.0772546282751</v>
      </c>
      <c r="AV970" s="57">
        <f t="shared" si="501"/>
        <v>-2.6839447012105757</v>
      </c>
      <c r="AW970" s="57">
        <f t="shared" si="502"/>
        <v>-4.27196697993163</v>
      </c>
      <c r="AX970" s="57">
        <f t="shared" si="503"/>
        <v>-0.24895037085006208</v>
      </c>
      <c r="AY970" s="57">
        <f t="shared" si="504"/>
        <v>-0.42559350677023594</v>
      </c>
      <c r="BA970" s="57">
        <f t="shared" si="505"/>
        <v>591549.34209199459</v>
      </c>
      <c r="BB970" s="57">
        <f t="shared" si="506"/>
        <v>603467.0676337987</v>
      </c>
    </row>
    <row r="971" spans="9:54" x14ac:dyDescent="0.25">
      <c r="I971" s="41">
        <v>966</v>
      </c>
      <c r="J971" s="57">
        <f t="shared" si="480"/>
        <v>17966.316784620994</v>
      </c>
      <c r="K971" s="57">
        <f t="shared" si="481"/>
        <v>2932.2727117869981</v>
      </c>
      <c r="M971" s="41">
        <v>966</v>
      </c>
      <c r="N971" s="57">
        <f t="shared" si="482"/>
        <v>-21423.578250765306</v>
      </c>
      <c r="O971" s="57">
        <f t="shared" si="483"/>
        <v>6802.590898250899</v>
      </c>
      <c r="Q971" s="41">
        <v>966</v>
      </c>
      <c r="R971" s="57">
        <f t="shared" si="484"/>
        <v>-7033.6832153790074</v>
      </c>
      <c r="S971" s="41">
        <f t="shared" si="485"/>
        <v>-19567.727288213002</v>
      </c>
      <c r="U971" s="41">
        <v>965</v>
      </c>
      <c r="V971" s="41">
        <f t="shared" si="507"/>
        <v>482.5</v>
      </c>
      <c r="W971" s="57">
        <f t="shared" si="508"/>
        <v>319810.96309737634</v>
      </c>
      <c r="X971" s="57">
        <f t="shared" si="509"/>
        <v>515912.54907801136</v>
      </c>
      <c r="Y971" s="57">
        <f t="shared" si="510"/>
        <v>226.43862890685418</v>
      </c>
      <c r="Z971" s="57">
        <f t="shared" si="511"/>
        <v>32.172139812295327</v>
      </c>
      <c r="AA971" s="57">
        <f t="shared" si="486"/>
        <v>-4.6706682403152602</v>
      </c>
      <c r="AB971" s="57">
        <f t="shared" si="487"/>
        <v>-7.5439183044964988</v>
      </c>
      <c r="AC971" s="57">
        <f t="shared" si="488"/>
        <v>-0.76312936045916735</v>
      </c>
      <c r="AD971" s="57">
        <f t="shared" si="489"/>
        <v>-1.2940972518783558</v>
      </c>
      <c r="AE971" s="57">
        <f t="shared" si="490"/>
        <v>-0.2695553902413253</v>
      </c>
      <c r="AF971" s="57">
        <f t="shared" si="491"/>
        <v>-0.40131564135447956</v>
      </c>
      <c r="AG971" s="57">
        <f t="shared" si="492"/>
        <v>-0.70513403734423019</v>
      </c>
      <c r="AH971" s="57">
        <f t="shared" si="493"/>
        <v>-1.1525611870922681</v>
      </c>
      <c r="AJ971" s="57">
        <f t="shared" si="494"/>
        <v>590228.7130031694</v>
      </c>
      <c r="AK971" s="57">
        <f t="shared" si="495"/>
        <v>609441.54597120942</v>
      </c>
      <c r="AL971" s="57">
        <f t="shared" si="496"/>
        <v>622390.79083543411</v>
      </c>
      <c r="AN971" s="41">
        <v>966</v>
      </c>
      <c r="AO971" s="57">
        <f t="shared" si="497"/>
        <v>1949.4751769314898</v>
      </c>
      <c r="AP971" s="57">
        <f t="shared" si="498"/>
        <v>8148.4090676804972</v>
      </c>
      <c r="AR971" s="41">
        <v>966</v>
      </c>
      <c r="AS971" s="57">
        <f t="shared" si="499"/>
        <v>13576.421749234694</v>
      </c>
      <c r="AT971" s="57">
        <f t="shared" si="500"/>
        <v>-8197.409101749101</v>
      </c>
      <c r="AV971" s="57">
        <f t="shared" si="501"/>
        <v>-2.6838954126070398</v>
      </c>
      <c r="AW971" s="57">
        <f t="shared" si="502"/>
        <v>-4.2704894370909461</v>
      </c>
      <c r="AX971" s="57">
        <f t="shared" si="503"/>
        <v>-0.24895403966349766</v>
      </c>
      <c r="AY971" s="57">
        <f t="shared" si="504"/>
        <v>-0.42545478708044926</v>
      </c>
      <c r="BA971" s="57">
        <f t="shared" si="505"/>
        <v>591624.31010746071</v>
      </c>
      <c r="BB971" s="57">
        <f t="shared" si="506"/>
        <v>603539.23402816302</v>
      </c>
    </row>
    <row r="972" spans="9:54" x14ac:dyDescent="0.25">
      <c r="I972" s="41">
        <v>967</v>
      </c>
      <c r="J972" s="57">
        <f t="shared" si="480"/>
        <v>18046.344357553622</v>
      </c>
      <c r="K972" s="57">
        <f t="shared" si="481"/>
        <v>2897.4757327378029</v>
      </c>
      <c r="M972" s="41">
        <v>967</v>
      </c>
      <c r="N972" s="57">
        <f t="shared" si="482"/>
        <v>-21367.558949712467</v>
      </c>
      <c r="O972" s="57">
        <f t="shared" si="483"/>
        <v>6778.233012916462</v>
      </c>
      <c r="Q972" s="41">
        <v>967</v>
      </c>
      <c r="R972" s="57">
        <f t="shared" si="484"/>
        <v>-6953.6556424463797</v>
      </c>
      <c r="S972" s="41">
        <f t="shared" si="485"/>
        <v>-19602.524267262197</v>
      </c>
      <c r="U972" s="41">
        <v>966</v>
      </c>
      <c r="V972" s="41">
        <f t="shared" si="507"/>
        <v>483</v>
      </c>
      <c r="W972" s="57">
        <f t="shared" si="508"/>
        <v>319923.59857829974</v>
      </c>
      <c r="X972" s="57">
        <f t="shared" si="509"/>
        <v>515927.69215812942</v>
      </c>
      <c r="Y972" s="57">
        <f t="shared" si="510"/>
        <v>224.10329478669655</v>
      </c>
      <c r="Z972" s="57">
        <f t="shared" si="511"/>
        <v>28.400180660047077</v>
      </c>
      <c r="AA972" s="57">
        <f t="shared" si="486"/>
        <v>-4.6706485596781713</v>
      </c>
      <c r="AB972" s="57">
        <f t="shared" si="487"/>
        <v>-7.54141201855274</v>
      </c>
      <c r="AC972" s="57">
        <f t="shared" si="488"/>
        <v>-0.76314355598547601</v>
      </c>
      <c r="AD972" s="57">
        <f t="shared" si="489"/>
        <v>-1.2936738515884054</v>
      </c>
      <c r="AE972" s="57">
        <f t="shared" si="490"/>
        <v>-0.26954472226122178</v>
      </c>
      <c r="AF972" s="57">
        <f t="shared" si="491"/>
        <v>-0.40117879381537463</v>
      </c>
      <c r="AG972" s="57">
        <f t="shared" si="492"/>
        <v>-0.70513487828016752</v>
      </c>
      <c r="AH972" s="57">
        <f t="shared" si="493"/>
        <v>-1.1521958861208297</v>
      </c>
      <c r="AJ972" s="57">
        <f t="shared" si="494"/>
        <v>590298.97775398416</v>
      </c>
      <c r="AK972" s="57">
        <f t="shared" si="495"/>
        <v>609516.92557538708</v>
      </c>
      <c r="AL972" s="57">
        <f t="shared" si="496"/>
        <v>622462.49623043917</v>
      </c>
      <c r="AN972" s="41">
        <v>967</v>
      </c>
      <c r="AO972" s="57">
        <f t="shared" si="497"/>
        <v>2069.5165363304309</v>
      </c>
      <c r="AP972" s="57">
        <f t="shared" si="498"/>
        <v>8096.2135991067044</v>
      </c>
      <c r="AR972" s="41">
        <v>967</v>
      </c>
      <c r="AS972" s="57">
        <f t="shared" si="499"/>
        <v>13632.441050287534</v>
      </c>
      <c r="AT972" s="57">
        <f t="shared" si="500"/>
        <v>-8221.766987083538</v>
      </c>
      <c r="AV972" s="57">
        <f t="shared" si="501"/>
        <v>-2.6838659446689608</v>
      </c>
      <c r="AW972" s="57">
        <f t="shared" si="502"/>
        <v>-4.269044237377325</v>
      </c>
      <c r="AX972" s="57">
        <f t="shared" si="503"/>
        <v>-0.24895945848234585</v>
      </c>
      <c r="AY972" s="57">
        <f t="shared" si="504"/>
        <v>-0.42531924965080614</v>
      </c>
      <c r="BA972" s="57">
        <f t="shared" si="505"/>
        <v>591697.07259067602</v>
      </c>
      <c r="BB972" s="57">
        <f t="shared" si="506"/>
        <v>603609.19594314904</v>
      </c>
    </row>
    <row r="973" spans="9:54" x14ac:dyDescent="0.25">
      <c r="I973" s="41">
        <v>968</v>
      </c>
      <c r="J973" s="57">
        <f t="shared" si="480"/>
        <v>18126.967032920442</v>
      </c>
      <c r="K973" s="57">
        <f t="shared" si="481"/>
        <v>2864.0807271660633</v>
      </c>
      <c r="M973" s="41">
        <v>968</v>
      </c>
      <c r="N973" s="57">
        <f t="shared" si="482"/>
        <v>-21311.123076955693</v>
      </c>
      <c r="O973" s="57">
        <f t="shared" si="483"/>
        <v>6754.8565090162447</v>
      </c>
      <c r="Q973" s="41">
        <v>968</v>
      </c>
      <c r="R973" s="57">
        <f t="shared" si="484"/>
        <v>-6873.03296707956</v>
      </c>
      <c r="S973" s="41">
        <f t="shared" si="485"/>
        <v>-19635.919272833937</v>
      </c>
      <c r="U973" s="41">
        <v>967</v>
      </c>
      <c r="V973" s="41">
        <f t="shared" si="507"/>
        <v>483.5</v>
      </c>
      <c r="W973" s="57">
        <f t="shared" si="508"/>
        <v>320035.06639462314</v>
      </c>
      <c r="X973" s="57">
        <f t="shared" si="509"/>
        <v>515940.94957195711</v>
      </c>
      <c r="Y973" s="57">
        <f t="shared" si="510"/>
        <v>221.76797050685747</v>
      </c>
      <c r="Z973" s="57">
        <f t="shared" si="511"/>
        <v>24.629474650770707</v>
      </c>
      <c r="AA973" s="57">
        <f t="shared" si="486"/>
        <v>-4.6706628244413357</v>
      </c>
      <c r="AB973" s="57">
        <f t="shared" si="487"/>
        <v>-7.5389623019629859</v>
      </c>
      <c r="AC973" s="57">
        <f t="shared" si="488"/>
        <v>-0.76316325093071902</v>
      </c>
      <c r="AD973" s="57">
        <f t="shared" si="489"/>
        <v>-1.2932603266822358</v>
      </c>
      <c r="AE973" s="57">
        <f t="shared" si="490"/>
        <v>-0.26953603573861423</v>
      </c>
      <c r="AF973" s="57">
        <f t="shared" si="491"/>
        <v>-0.40104486667029182</v>
      </c>
      <c r="AG973" s="57">
        <f t="shared" si="492"/>
        <v>-0.70514062157867463</v>
      </c>
      <c r="AH973" s="57">
        <f t="shared" si="493"/>
        <v>-1.151838893432499</v>
      </c>
      <c r="AJ973" s="57">
        <f t="shared" si="494"/>
        <v>590367.03860230825</v>
      </c>
      <c r="AK973" s="57">
        <f t="shared" si="495"/>
        <v>609590.10066746443</v>
      </c>
      <c r="AL973" s="57">
        <f t="shared" si="496"/>
        <v>622531.99622069916</v>
      </c>
      <c r="AN973" s="41">
        <v>968</v>
      </c>
      <c r="AO973" s="57">
        <f t="shared" si="497"/>
        <v>2190.4505493806605</v>
      </c>
      <c r="AP973" s="57">
        <f t="shared" si="498"/>
        <v>8046.121090749094</v>
      </c>
      <c r="AR973" s="41">
        <v>968</v>
      </c>
      <c r="AS973" s="57">
        <f t="shared" si="499"/>
        <v>13688.876923044309</v>
      </c>
      <c r="AT973" s="57">
        <f t="shared" si="500"/>
        <v>-8245.1434909837553</v>
      </c>
      <c r="AV973" s="57">
        <f t="shared" si="501"/>
        <v>-2.6838562892796776</v>
      </c>
      <c r="AW973" s="57">
        <f t="shared" si="502"/>
        <v>-4.2676313257849356</v>
      </c>
      <c r="AX973" s="57">
        <f t="shared" si="503"/>
        <v>-0.24896662691365032</v>
      </c>
      <c r="AY973" s="57">
        <f t="shared" si="504"/>
        <v>-0.4251868893930234</v>
      </c>
      <c r="BA973" s="57">
        <f t="shared" si="505"/>
        <v>591767.6300849166</v>
      </c>
      <c r="BB973" s="57">
        <f t="shared" si="506"/>
        <v>603676.95390109473</v>
      </c>
    </row>
    <row r="974" spans="9:54" x14ac:dyDescent="0.25">
      <c r="I974" s="41">
        <v>969</v>
      </c>
      <c r="J974" s="57">
        <f t="shared" si="480"/>
        <v>18208.160252273494</v>
      </c>
      <c r="K974" s="57">
        <f t="shared" si="481"/>
        <v>2832.0978675139932</v>
      </c>
      <c r="M974" s="41">
        <v>969</v>
      </c>
      <c r="N974" s="57">
        <f t="shared" si="482"/>
        <v>-21254.287823408555</v>
      </c>
      <c r="O974" s="57">
        <f t="shared" si="483"/>
        <v>6732.4685072597949</v>
      </c>
      <c r="Q974" s="41">
        <v>969</v>
      </c>
      <c r="R974" s="57">
        <f t="shared" si="484"/>
        <v>-6791.8397477265062</v>
      </c>
      <c r="S974" s="41">
        <f t="shared" si="485"/>
        <v>-19667.902132486008</v>
      </c>
      <c r="U974" s="41">
        <v>968</v>
      </c>
      <c r="V974" s="41">
        <f t="shared" si="507"/>
        <v>484</v>
      </c>
      <c r="W974" s="57">
        <f t="shared" si="508"/>
        <v>320145.36654702347</v>
      </c>
      <c r="X974" s="57">
        <f t="shared" si="509"/>
        <v>515952.32193899475</v>
      </c>
      <c r="Y974" s="57">
        <f t="shared" si="510"/>
        <v>219.43263909463681</v>
      </c>
      <c r="Z974" s="57">
        <f t="shared" si="511"/>
        <v>20.859993499789212</v>
      </c>
      <c r="AA974" s="57">
        <f t="shared" si="486"/>
        <v>-4.670711023325671</v>
      </c>
      <c r="AB974" s="57">
        <f t="shared" si="487"/>
        <v>-7.536569062424455</v>
      </c>
      <c r="AC974" s="57">
        <f t="shared" si="488"/>
        <v>-0.76318844418350928</v>
      </c>
      <c r="AD974" s="57">
        <f t="shared" si="489"/>
        <v>-1.292856661378178</v>
      </c>
      <c r="AE974" s="57">
        <f t="shared" si="490"/>
        <v>-0.26952932963398435</v>
      </c>
      <c r="AF974" s="57">
        <f t="shared" si="491"/>
        <v>-0.40091385498888676</v>
      </c>
      <c r="AG974" s="57">
        <f t="shared" si="492"/>
        <v>-0.70515126574578768</v>
      </c>
      <c r="AH974" s="57">
        <f t="shared" si="493"/>
        <v>-1.1514901960375932</v>
      </c>
      <c r="AJ974" s="57">
        <f t="shared" si="494"/>
        <v>590432.89605576871</v>
      </c>
      <c r="AK974" s="57">
        <f t="shared" si="495"/>
        <v>609661.07179224514</v>
      </c>
      <c r="AL974" s="57">
        <f t="shared" si="496"/>
        <v>622599.29132581595</v>
      </c>
      <c r="AN974" s="41">
        <v>969</v>
      </c>
      <c r="AO974" s="57">
        <f t="shared" si="497"/>
        <v>2312.2403784102412</v>
      </c>
      <c r="AP974" s="57">
        <f t="shared" si="498"/>
        <v>7998.1468012709893</v>
      </c>
      <c r="AR974" s="41">
        <v>969</v>
      </c>
      <c r="AS974" s="57">
        <f t="shared" si="499"/>
        <v>13745.712176591445</v>
      </c>
      <c r="AT974" s="57">
        <f t="shared" si="500"/>
        <v>-8267.5314927402051</v>
      </c>
      <c r="AV974" s="57">
        <f t="shared" si="501"/>
        <v>-2.6838664391297411</v>
      </c>
      <c r="AW974" s="57">
        <f t="shared" si="502"/>
        <v>-4.2662506486687368</v>
      </c>
      <c r="AX974" s="57">
        <f t="shared" si="503"/>
        <v>-0.24897554463264931</v>
      </c>
      <c r="AY974" s="57">
        <f t="shared" si="504"/>
        <v>-0.42505770135106014</v>
      </c>
      <c r="BA974" s="57">
        <f t="shared" si="505"/>
        <v>591835.98311705247</v>
      </c>
      <c r="BB974" s="57">
        <f t="shared" si="506"/>
        <v>603742.50840796961</v>
      </c>
    </row>
    <row r="975" spans="9:54" x14ac:dyDescent="0.25">
      <c r="I975" s="41">
        <v>970</v>
      </c>
      <c r="J975" s="57">
        <f t="shared" si="480"/>
        <v>18289.899283371647</v>
      </c>
      <c r="K975" s="57">
        <f t="shared" si="481"/>
        <v>2801.5368960704618</v>
      </c>
      <c r="M975" s="41">
        <v>970</v>
      </c>
      <c r="N975" s="57">
        <f t="shared" si="482"/>
        <v>-21197.070501639846</v>
      </c>
      <c r="O975" s="57">
        <f t="shared" si="483"/>
        <v>6711.0758272493231</v>
      </c>
      <c r="Q975" s="41">
        <v>970</v>
      </c>
      <c r="R975" s="57">
        <f t="shared" si="484"/>
        <v>-6710.1007166283534</v>
      </c>
      <c r="S975" s="41">
        <f t="shared" si="485"/>
        <v>-19698.463103929538</v>
      </c>
      <c r="U975" s="41">
        <v>969</v>
      </c>
      <c r="V975" s="41">
        <f t="shared" si="507"/>
        <v>484.5</v>
      </c>
      <c r="W975" s="57">
        <f t="shared" si="508"/>
        <v>320254.49902769289</v>
      </c>
      <c r="X975" s="57">
        <f t="shared" si="509"/>
        <v>515961.80986461183</v>
      </c>
      <c r="Y975" s="57">
        <f t="shared" si="510"/>
        <v>217.09728358297397</v>
      </c>
      <c r="Z975" s="57">
        <f t="shared" si="511"/>
        <v>17.091708968576985</v>
      </c>
      <c r="AA975" s="57">
        <f t="shared" si="486"/>
        <v>-4.6707931464154884</v>
      </c>
      <c r="AB975" s="57">
        <f t="shared" si="487"/>
        <v>-7.5342322099931582</v>
      </c>
      <c r="AC975" s="57">
        <f t="shared" si="488"/>
        <v>-0.76321913485107107</v>
      </c>
      <c r="AD975" s="57">
        <f t="shared" si="489"/>
        <v>-1.2924628403116347</v>
      </c>
      <c r="AE975" s="57">
        <f t="shared" si="490"/>
        <v>-0.26952460298835701</v>
      </c>
      <c r="AF975" s="57">
        <f t="shared" si="491"/>
        <v>-0.40078575395980637</v>
      </c>
      <c r="AG975" s="57">
        <f t="shared" si="492"/>
        <v>-0.70516680947743759</v>
      </c>
      <c r="AH975" s="57">
        <f t="shared" si="493"/>
        <v>-1.1511497812816283</v>
      </c>
      <c r="AJ975" s="57">
        <f t="shared" si="494"/>
        <v>590496.55060564703</v>
      </c>
      <c r="AK975" s="57">
        <f t="shared" si="495"/>
        <v>609729.83947815758</v>
      </c>
      <c r="AL975" s="57">
        <f t="shared" si="496"/>
        <v>622664.38204899733</v>
      </c>
      <c r="AN975" s="41">
        <v>970</v>
      </c>
      <c r="AO975" s="57">
        <f t="shared" si="497"/>
        <v>2434.8489250574703</v>
      </c>
      <c r="AP975" s="57">
        <f t="shared" si="498"/>
        <v>7952.3053441056927</v>
      </c>
      <c r="AR975" s="41">
        <v>970</v>
      </c>
      <c r="AS975" s="57">
        <f t="shared" si="499"/>
        <v>13802.929498360152</v>
      </c>
      <c r="AT975" s="57">
        <f t="shared" si="500"/>
        <v>-8288.9241727506778</v>
      </c>
      <c r="AV975" s="57">
        <f t="shared" si="501"/>
        <v>-2.6838963877158868</v>
      </c>
      <c r="AW975" s="57">
        <f t="shared" si="502"/>
        <v>-4.2649021537394045</v>
      </c>
      <c r="AX975" s="57">
        <f t="shared" si="503"/>
        <v>-0.24898621138273586</v>
      </c>
      <c r="AY975" s="57">
        <f t="shared" si="504"/>
        <v>-0.4249316807006841</v>
      </c>
      <c r="BA975" s="57">
        <f t="shared" si="505"/>
        <v>591902.13219756959</v>
      </c>
      <c r="BB975" s="57">
        <f t="shared" si="506"/>
        <v>603805.85995339567</v>
      </c>
    </row>
    <row r="976" spans="9:54" x14ac:dyDescent="0.25">
      <c r="I976" s="41">
        <v>971</v>
      </c>
      <c r="J976" s="57">
        <f t="shared" si="480"/>
        <v>18372.159227714219</v>
      </c>
      <c r="K976" s="57">
        <f t="shared" si="481"/>
        <v>2772.4071220034148</v>
      </c>
      <c r="M976" s="41">
        <v>971</v>
      </c>
      <c r="N976" s="57">
        <f t="shared" si="482"/>
        <v>-21139.488540600047</v>
      </c>
      <c r="O976" s="57">
        <f t="shared" si="483"/>
        <v>6690.6849854023912</v>
      </c>
      <c r="Q976" s="41">
        <v>971</v>
      </c>
      <c r="R976" s="57">
        <f t="shared" si="484"/>
        <v>-6627.840772285781</v>
      </c>
      <c r="S976" s="41">
        <f t="shared" si="485"/>
        <v>-19727.592877996583</v>
      </c>
      <c r="U976" s="41">
        <v>970</v>
      </c>
      <c r="V976" s="41">
        <f t="shared" si="507"/>
        <v>485</v>
      </c>
      <c r="W976" s="57">
        <f t="shared" si="508"/>
        <v>320362.4638203411</v>
      </c>
      <c r="X976" s="57">
        <f t="shared" si="509"/>
        <v>515969.41394006991</v>
      </c>
      <c r="Y976" s="57">
        <f t="shared" si="510"/>
        <v>214.76188700976624</v>
      </c>
      <c r="Z976" s="57">
        <f t="shared" si="511"/>
        <v>13.324592863580406</v>
      </c>
      <c r="AA976" s="57">
        <f t="shared" si="486"/>
        <v>-4.6709091851569156</v>
      </c>
      <c r="AB976" s="57">
        <f t="shared" si="487"/>
        <v>-7.5319516570753757</v>
      </c>
      <c r="AC976" s="57">
        <f t="shared" si="488"/>
        <v>-0.76325532225907811</v>
      </c>
      <c r="AD976" s="57">
        <f t="shared" si="489"/>
        <v>-1.2920788485336374</v>
      </c>
      <c r="AE976" s="57">
        <f t="shared" si="490"/>
        <v>-0.26952185492315905</v>
      </c>
      <c r="AF976" s="57">
        <f t="shared" si="491"/>
        <v>-0.40066055889022345</v>
      </c>
      <c r="AG976" s="57">
        <f t="shared" si="492"/>
        <v>-0.70518725165926677</v>
      </c>
      <c r="AH976" s="57">
        <f t="shared" si="493"/>
        <v>-1.1508176368441938</v>
      </c>
      <c r="AJ976" s="57">
        <f t="shared" si="494"/>
        <v>590558.00272689888</v>
      </c>
      <c r="AK976" s="57">
        <f t="shared" si="495"/>
        <v>609796.40423727559</v>
      </c>
      <c r="AL976" s="57">
        <f t="shared" si="496"/>
        <v>622727.26887707761</v>
      </c>
      <c r="AN976" s="41">
        <v>971</v>
      </c>
      <c r="AO976" s="57">
        <f t="shared" si="497"/>
        <v>2558.2388415713281</v>
      </c>
      <c r="AP976" s="57">
        <f t="shared" si="498"/>
        <v>7908.6106830051231</v>
      </c>
      <c r="AR976" s="41">
        <v>971</v>
      </c>
      <c r="AS976" s="57">
        <f t="shared" si="499"/>
        <v>13860.511459399953</v>
      </c>
      <c r="AT976" s="57">
        <f t="shared" si="500"/>
        <v>-8309.3150145976088</v>
      </c>
      <c r="AV976" s="57">
        <f t="shared" si="501"/>
        <v>-2.6839461293400175</v>
      </c>
      <c r="AW976" s="57">
        <f t="shared" si="502"/>
        <v>-4.2635857900583209</v>
      </c>
      <c r="AX976" s="57">
        <f t="shared" si="503"/>
        <v>-0.24899862697539416</v>
      </c>
      <c r="AY976" s="57">
        <f t="shared" si="504"/>
        <v>-0.42480882274899989</v>
      </c>
      <c r="BA976" s="57">
        <f t="shared" si="505"/>
        <v>591966.07782059023</v>
      </c>
      <c r="BB976" s="57">
        <f t="shared" si="506"/>
        <v>603867.00901066698</v>
      </c>
    </row>
    <row r="977" spans="9:54" x14ac:dyDescent="0.25">
      <c r="I977" s="41">
        <v>972</v>
      </c>
      <c r="J977" s="57">
        <f t="shared" si="480"/>
        <v>18454.915028125259</v>
      </c>
      <c r="K977" s="57">
        <f t="shared" si="481"/>
        <v>2744.7174185242329</v>
      </c>
      <c r="M977" s="41">
        <v>972</v>
      </c>
      <c r="N977" s="57">
        <f t="shared" si="482"/>
        <v>-21081.559480312317</v>
      </c>
      <c r="O977" s="57">
        <f t="shared" si="483"/>
        <v>6671.302192966963</v>
      </c>
      <c r="Q977" s="41">
        <v>972</v>
      </c>
      <c r="R977" s="57">
        <f t="shared" si="484"/>
        <v>-6545.0849718747404</v>
      </c>
      <c r="S977" s="41">
        <f t="shared" si="485"/>
        <v>-19755.282581475767</v>
      </c>
      <c r="U977" s="41">
        <v>971</v>
      </c>
      <c r="V977" s="41">
        <f t="shared" si="507"/>
        <v>485.5</v>
      </c>
      <c r="W977" s="57">
        <f t="shared" si="508"/>
        <v>320469.26090019784</v>
      </c>
      <c r="X977" s="57">
        <f t="shared" si="509"/>
        <v>515975.13474254456</v>
      </c>
      <c r="Y977" s="57">
        <f t="shared" si="510"/>
        <v>212.42643241718778</v>
      </c>
      <c r="Z977" s="57">
        <f t="shared" si="511"/>
        <v>9.5586170350427189</v>
      </c>
      <c r="AA977" s="57">
        <f t="shared" si="486"/>
        <v>-4.6710591323565458</v>
      </c>
      <c r="AB977" s="57">
        <f t="shared" si="487"/>
        <v>-7.5297273184194573</v>
      </c>
      <c r="AC977" s="57">
        <f t="shared" si="488"/>
        <v>-0.76329700595152394</v>
      </c>
      <c r="AD977" s="57">
        <f t="shared" si="489"/>
        <v>-1.2917046715094658</v>
      </c>
      <c r="AE977" s="57">
        <f t="shared" si="490"/>
        <v>-0.26952108464011426</v>
      </c>
      <c r="AF977" s="57">
        <f t="shared" si="491"/>
        <v>-0.40053826520542524</v>
      </c>
      <c r="AG977" s="57">
        <f t="shared" si="492"/>
        <v>-0.70521259136645154</v>
      </c>
      <c r="AH977" s="57">
        <f t="shared" si="493"/>
        <v>-1.1504937507378381</v>
      </c>
      <c r="AJ977" s="57">
        <f t="shared" si="494"/>
        <v>590617.25287817325</v>
      </c>
      <c r="AK977" s="57">
        <f t="shared" si="495"/>
        <v>609860.76656533917</v>
      </c>
      <c r="AL977" s="57">
        <f t="shared" si="496"/>
        <v>622787.95228053688</v>
      </c>
      <c r="AN977" s="41">
        <v>972</v>
      </c>
      <c r="AO977" s="57">
        <f t="shared" si="497"/>
        <v>2682.3725421878894</v>
      </c>
      <c r="AP977" s="57">
        <f t="shared" si="498"/>
        <v>7867.0761277863494</v>
      </c>
      <c r="AR977" s="41">
        <v>972</v>
      </c>
      <c r="AS977" s="57">
        <f t="shared" si="499"/>
        <v>13918.440519687681</v>
      </c>
      <c r="AT977" s="57">
        <f t="shared" si="500"/>
        <v>-8328.697807033037</v>
      </c>
      <c r="AV977" s="57">
        <f t="shared" si="501"/>
        <v>-2.6840156591083026</v>
      </c>
      <c r="AW977" s="57">
        <f t="shared" si="502"/>
        <v>-4.2623015080327216</v>
      </c>
      <c r="AX977" s="57">
        <f t="shared" si="503"/>
        <v>-0.24901279129015269</v>
      </c>
      <c r="AY977" s="57">
        <f t="shared" si="504"/>
        <v>-0.42468912293400718</v>
      </c>
      <c r="BA977" s="57">
        <f t="shared" si="505"/>
        <v>592027.82046389324</v>
      </c>
      <c r="BB977" s="57">
        <f t="shared" si="506"/>
        <v>603925.95603676909</v>
      </c>
    </row>
    <row r="978" spans="9:54" x14ac:dyDescent="0.25">
      <c r="I978" s="41">
        <v>973</v>
      </c>
      <c r="J978" s="57">
        <f t="shared" si="480"/>
        <v>18538.141476386307</v>
      </c>
      <c r="K978" s="57">
        <f t="shared" si="481"/>
        <v>2718.4762201848253</v>
      </c>
      <c r="M978" s="41">
        <v>973</v>
      </c>
      <c r="N978" s="57">
        <f t="shared" si="482"/>
        <v>-21023.300966529583</v>
      </c>
      <c r="O978" s="57">
        <f t="shared" si="483"/>
        <v>6652.9333541293781</v>
      </c>
      <c r="Q978" s="41">
        <v>973</v>
      </c>
      <c r="R978" s="57">
        <f t="shared" si="484"/>
        <v>-6461.8585236136914</v>
      </c>
      <c r="S978" s="41">
        <f t="shared" si="485"/>
        <v>-19781.523779815176</v>
      </c>
      <c r="U978" s="41">
        <v>972</v>
      </c>
      <c r="V978" s="41">
        <f t="shared" si="507"/>
        <v>486</v>
      </c>
      <c r="W978" s="57">
        <f t="shared" si="508"/>
        <v>320574.89023401489</v>
      </c>
      <c r="X978" s="57">
        <f t="shared" si="509"/>
        <v>515978.97283514729</v>
      </c>
      <c r="Y978" s="57">
        <f t="shared" si="510"/>
        <v>210.0909028510095</v>
      </c>
      <c r="Z978" s="57">
        <f t="shared" si="511"/>
        <v>5.7937533758329902</v>
      </c>
      <c r="AA978" s="57">
        <f t="shared" si="486"/>
        <v>-4.6712429821801162</v>
      </c>
      <c r="AB978" s="57">
        <f t="shared" si="487"/>
        <v>-7.5275591111077489</v>
      </c>
      <c r="AC978" s="57">
        <f t="shared" si="488"/>
        <v>-0.76334418569054441</v>
      </c>
      <c r="AD978" s="57">
        <f t="shared" si="489"/>
        <v>-1.2913402951171906</v>
      </c>
      <c r="AE978" s="57">
        <f t="shared" si="490"/>
        <v>-0.26952229142111728</v>
      </c>
      <c r="AF978" s="57">
        <f t="shared" si="491"/>
        <v>-0.40041886844837027</v>
      </c>
      <c r="AG978" s="57">
        <f t="shared" si="492"/>
        <v>-0.70524282786352011</v>
      </c>
      <c r="AH978" s="57">
        <f t="shared" si="493"/>
        <v>-1.1501781113069489</v>
      </c>
      <c r="AJ978" s="57">
        <f t="shared" si="494"/>
        <v>590674.30150183151</v>
      </c>
      <c r="AK978" s="57">
        <f t="shared" si="495"/>
        <v>609922.92694177525</v>
      </c>
      <c r="AL978" s="57">
        <f t="shared" si="496"/>
        <v>622846.43271352118</v>
      </c>
      <c r="AN978" s="41">
        <v>973</v>
      </c>
      <c r="AO978" s="57">
        <f t="shared" si="497"/>
        <v>2807.2122145794619</v>
      </c>
      <c r="AP978" s="57">
        <f t="shared" si="498"/>
        <v>7827.7143302772374</v>
      </c>
      <c r="AR978" s="41">
        <v>973</v>
      </c>
      <c r="AS978" s="57">
        <f t="shared" si="499"/>
        <v>13976.699033470415</v>
      </c>
      <c r="AT978" s="57">
        <f t="shared" si="500"/>
        <v>-8347.0666458706219</v>
      </c>
      <c r="AV978" s="57">
        <f t="shared" si="501"/>
        <v>-2.6841049729303887</v>
      </c>
      <c r="AW978" s="57">
        <f t="shared" si="502"/>
        <v>-4.2610492594110632</v>
      </c>
      <c r="AX978" s="57">
        <f t="shared" si="503"/>
        <v>-0.2490287042745451</v>
      </c>
      <c r="AY978" s="57">
        <f t="shared" si="504"/>
        <v>-0.42457257682417515</v>
      </c>
      <c r="BA978" s="57">
        <f t="shared" si="505"/>
        <v>592087.36058893357</v>
      </c>
      <c r="BB978" s="57">
        <f t="shared" si="506"/>
        <v>603982.70147239766</v>
      </c>
    </row>
    <row r="979" spans="9:54" x14ac:dyDescent="0.25">
      <c r="I979" s="41">
        <v>974</v>
      </c>
      <c r="J979" s="57">
        <f t="shared" si="480"/>
        <v>18621.813220914992</v>
      </c>
      <c r="K979" s="57">
        <f t="shared" si="481"/>
        <v>2693.6915203084091</v>
      </c>
      <c r="M979" s="41">
        <v>974</v>
      </c>
      <c r="N979" s="57">
        <f t="shared" si="482"/>
        <v>-20964.730745359506</v>
      </c>
      <c r="O979" s="57">
        <f t="shared" si="483"/>
        <v>6635.5840642158864</v>
      </c>
      <c r="Q979" s="41">
        <v>974</v>
      </c>
      <c r="R979" s="57">
        <f t="shared" si="484"/>
        <v>-6378.1867790850092</v>
      </c>
      <c r="S979" s="41">
        <f t="shared" si="485"/>
        <v>-19806.30847969159</v>
      </c>
      <c r="U979" s="41">
        <v>973</v>
      </c>
      <c r="V979" s="41">
        <f t="shared" si="507"/>
        <v>486.5</v>
      </c>
      <c r="W979" s="57">
        <f t="shared" si="508"/>
        <v>320679.35178006761</v>
      </c>
      <c r="X979" s="57">
        <f t="shared" si="509"/>
        <v>515980.92876694637</v>
      </c>
      <c r="Y979" s="57">
        <f t="shared" si="510"/>
        <v>207.75528135991945</v>
      </c>
      <c r="Z979" s="57">
        <f t="shared" si="511"/>
        <v>2.0299738202791158</v>
      </c>
      <c r="AA979" s="57">
        <f t="shared" si="486"/>
        <v>-4.6714607301513551</v>
      </c>
      <c r="AB979" s="57">
        <f t="shared" si="487"/>
        <v>-7.5254469545487783</v>
      </c>
      <c r="AC979" s="57">
        <f t="shared" si="488"/>
        <v>-0.76339686145634844</v>
      </c>
      <c r="AD979" s="57">
        <f t="shared" si="489"/>
        <v>-1.2909857056464107</v>
      </c>
      <c r="AE979" s="57">
        <f t="shared" si="490"/>
        <v>-0.26952547462813364</v>
      </c>
      <c r="AF979" s="57">
        <f t="shared" si="491"/>
        <v>-0.40030236427928445</v>
      </c>
      <c r="AG979" s="57">
        <f t="shared" si="492"/>
        <v>-0.70527796060420278</v>
      </c>
      <c r="AH979" s="57">
        <f t="shared" si="493"/>
        <v>-1.1498707072266934</v>
      </c>
      <c r="AJ979" s="57">
        <f t="shared" si="494"/>
        <v>590729.14902396512</v>
      </c>
      <c r="AK979" s="57">
        <f t="shared" si="495"/>
        <v>609982.88582971622</v>
      </c>
      <c r="AL979" s="57">
        <f t="shared" si="496"/>
        <v>622902.71061385982</v>
      </c>
      <c r="AN979" s="41">
        <v>974</v>
      </c>
      <c r="AO979" s="57">
        <f t="shared" si="497"/>
        <v>2932.7198313724857</v>
      </c>
      <c r="AP979" s="57">
        <f t="shared" si="498"/>
        <v>7790.537280462614</v>
      </c>
      <c r="AR979" s="41">
        <v>974</v>
      </c>
      <c r="AS979" s="57">
        <f t="shared" si="499"/>
        <v>14035.269254640494</v>
      </c>
      <c r="AT979" s="57">
        <f t="shared" si="500"/>
        <v>-8364.4159357841127</v>
      </c>
      <c r="AV979" s="57">
        <f t="shared" si="501"/>
        <v>-2.6842140675185813</v>
      </c>
      <c r="AW979" s="57">
        <f t="shared" si="502"/>
        <v>-4.2598289972783405</v>
      </c>
      <c r="AX979" s="57">
        <f t="shared" si="503"/>
        <v>-0.24904636594408894</v>
      </c>
      <c r="AY979" s="57">
        <f t="shared" si="504"/>
        <v>-0.42445918011804928</v>
      </c>
      <c r="BA979" s="57">
        <f t="shared" si="505"/>
        <v>592144.69864086085</v>
      </c>
      <c r="BB979" s="57">
        <f t="shared" si="506"/>
        <v>604037.24574197608</v>
      </c>
    </row>
    <row r="980" spans="9:54" x14ac:dyDescent="0.25">
      <c r="I980" s="41">
        <v>975</v>
      </c>
      <c r="J980" s="57">
        <f t="shared" si="480"/>
        <v>18705.904774487393</v>
      </c>
      <c r="K980" s="57">
        <f t="shared" si="481"/>
        <v>2670.370868554659</v>
      </c>
      <c r="M980" s="41">
        <v>975</v>
      </c>
      <c r="N980" s="57">
        <f t="shared" si="482"/>
        <v>-20905.866657858824</v>
      </c>
      <c r="O980" s="57">
        <f t="shared" si="483"/>
        <v>6619.2596079882615</v>
      </c>
      <c r="Q980" s="41">
        <v>975</v>
      </c>
      <c r="R980" s="57">
        <f t="shared" si="484"/>
        <v>-6294.0952255126058</v>
      </c>
      <c r="S980" s="41">
        <f t="shared" si="485"/>
        <v>-19829.629131445341</v>
      </c>
      <c r="U980" s="41">
        <v>974</v>
      </c>
      <c r="V980" s="41">
        <f t="shared" si="507"/>
        <v>487</v>
      </c>
      <c r="W980" s="57">
        <f t="shared" si="508"/>
        <v>320782.6454881563</v>
      </c>
      <c r="X980" s="57">
        <f t="shared" si="509"/>
        <v>515981.00307298719</v>
      </c>
      <c r="Y980" s="57">
        <f t="shared" si="510"/>
        <v>205.41955099484377</v>
      </c>
      <c r="Z980" s="57">
        <f t="shared" si="511"/>
        <v>-1.7327496569952734</v>
      </c>
      <c r="AA980" s="57">
        <f t="shared" si="486"/>
        <v>-4.6717123731510588</v>
      </c>
      <c r="AB980" s="57">
        <f t="shared" si="487"/>
        <v>-7.5233907704698408</v>
      </c>
      <c r="AC980" s="57">
        <f t="shared" si="488"/>
        <v>-0.76345503344707777</v>
      </c>
      <c r="AD980" s="57">
        <f t="shared" si="489"/>
        <v>-1.2906408897968715</v>
      </c>
      <c r="AE980" s="57">
        <f t="shared" si="490"/>
        <v>-0.26953063370311747</v>
      </c>
      <c r="AF980" s="57">
        <f t="shared" si="491"/>
        <v>-0.40018874847528285</v>
      </c>
      <c r="AG980" s="57">
        <f t="shared" si="492"/>
        <v>-0.70531798923130973</v>
      </c>
      <c r="AH980" s="57">
        <f t="shared" si="493"/>
        <v>-1.1495715275020026</v>
      </c>
      <c r="AJ980" s="57">
        <f t="shared" si="494"/>
        <v>590781.79585441283</v>
      </c>
      <c r="AK980" s="57">
        <f t="shared" si="495"/>
        <v>610040.64367601997</v>
      </c>
      <c r="AL980" s="57">
        <f t="shared" si="496"/>
        <v>622956.78640308382</v>
      </c>
      <c r="AN980" s="41">
        <v>975</v>
      </c>
      <c r="AO980" s="57">
        <f t="shared" si="497"/>
        <v>3058.8571617310918</v>
      </c>
      <c r="AP980" s="57">
        <f t="shared" si="498"/>
        <v>7755.5563028319884</v>
      </c>
      <c r="AR980" s="41">
        <v>975</v>
      </c>
      <c r="AS980" s="57">
        <f t="shared" si="499"/>
        <v>14094.133342141176</v>
      </c>
      <c r="AT980" s="57">
        <f t="shared" si="500"/>
        <v>-8380.7403920117395</v>
      </c>
      <c r="AV980" s="57">
        <f t="shared" si="501"/>
        <v>-2.6843429403873205</v>
      </c>
      <c r="AW980" s="57">
        <f t="shared" si="502"/>
        <v>-4.2586406760518756</v>
      </c>
      <c r="AX980" s="57">
        <f t="shared" si="503"/>
        <v>-0.24906577638223409</v>
      </c>
      <c r="AY980" s="57">
        <f t="shared" si="504"/>
        <v>-0.42434892864380858</v>
      </c>
      <c r="BA980" s="57">
        <f t="shared" si="505"/>
        <v>592199.83504853747</v>
      </c>
      <c r="BB980" s="57">
        <f t="shared" si="506"/>
        <v>604089.58925367298</v>
      </c>
    </row>
    <row r="981" spans="9:54" x14ac:dyDescent="0.25">
      <c r="I981" s="41">
        <v>976</v>
      </c>
      <c r="J981" s="57">
        <f t="shared" si="480"/>
        <v>18790.390522001653</v>
      </c>
      <c r="K981" s="57">
        <f t="shared" si="481"/>
        <v>2648.5213686200195</v>
      </c>
      <c r="M981" s="41">
        <v>976</v>
      </c>
      <c r="N981" s="57">
        <f t="shared" si="482"/>
        <v>-20846.726634598843</v>
      </c>
      <c r="O981" s="57">
        <f t="shared" si="483"/>
        <v>6603.9649580340138</v>
      </c>
      <c r="Q981" s="41">
        <v>976</v>
      </c>
      <c r="R981" s="57">
        <f t="shared" si="484"/>
        <v>-6209.6094779983459</v>
      </c>
      <c r="S981" s="41">
        <f t="shared" si="485"/>
        <v>-19851.478631379981</v>
      </c>
      <c r="U981" s="41">
        <v>975</v>
      </c>
      <c r="V981" s="41">
        <f t="shared" si="507"/>
        <v>487.5</v>
      </c>
      <c r="W981" s="57">
        <f t="shared" si="508"/>
        <v>320884.77129960706</v>
      </c>
      <c r="X981" s="57">
        <f t="shared" si="509"/>
        <v>515979.19627431239</v>
      </c>
      <c r="Y981" s="57">
        <f t="shared" si="510"/>
        <v>203.08369480826823</v>
      </c>
      <c r="Z981" s="57">
        <f t="shared" si="511"/>
        <v>-5.4944450422301934</v>
      </c>
      <c r="AA981" s="57">
        <f t="shared" si="486"/>
        <v>-4.671997909416076</v>
      </c>
      <c r="AB981" s="57">
        <f t="shared" si="487"/>
        <v>-7.5213904829094833</v>
      </c>
      <c r="AC981" s="57">
        <f t="shared" si="488"/>
        <v>-0.76351870207876593</v>
      </c>
      <c r="AD981" s="57">
        <f t="shared" si="489"/>
        <v>-1.2903058346772638</v>
      </c>
      <c r="AE981" s="57">
        <f t="shared" si="490"/>
        <v>-0.26953776816789937</v>
      </c>
      <c r="AF981" s="57">
        <f t="shared" si="491"/>
        <v>-0.40007801692994799</v>
      </c>
      <c r="AG981" s="57">
        <f t="shared" si="492"/>
        <v>-0.70536291357660019</v>
      </c>
      <c r="AH981" s="57">
        <f t="shared" si="493"/>
        <v>-1.1492805614665493</v>
      </c>
      <c r="AJ981" s="57">
        <f t="shared" si="494"/>
        <v>590832.2423867773</v>
      </c>
      <c r="AK981" s="57">
        <f t="shared" si="495"/>
        <v>610096.20091128617</v>
      </c>
      <c r="AL981" s="57">
        <f t="shared" si="496"/>
        <v>623008.66048644297</v>
      </c>
      <c r="AN981" s="41">
        <v>976</v>
      </c>
      <c r="AO981" s="57">
        <f t="shared" si="497"/>
        <v>3185.5857830024815</v>
      </c>
      <c r="AP981" s="57">
        <f t="shared" si="498"/>
        <v>7722.7820529300288</v>
      </c>
      <c r="AR981" s="41">
        <v>976</v>
      </c>
      <c r="AS981" s="57">
        <f t="shared" si="499"/>
        <v>14153.273365401157</v>
      </c>
      <c r="AT981" s="57">
        <f t="shared" si="500"/>
        <v>-8396.0350419659862</v>
      </c>
      <c r="AV981" s="57">
        <f t="shared" si="501"/>
        <v>-2.6844915898524455</v>
      </c>
      <c r="AW981" s="57">
        <f t="shared" si="502"/>
        <v>-4.2574842514768045</v>
      </c>
      <c r="AX981" s="57">
        <f t="shared" si="503"/>
        <v>-0.24908693574036578</v>
      </c>
      <c r="AY981" s="57">
        <f t="shared" si="504"/>
        <v>-0.42424181835891794</v>
      </c>
      <c r="BA981" s="57">
        <f t="shared" si="505"/>
        <v>592252.77022455633</v>
      </c>
      <c r="BB981" s="57">
        <f t="shared" si="506"/>
        <v>604139.73239941883</v>
      </c>
    </row>
    <row r="982" spans="9:54" x14ac:dyDescent="0.25">
      <c r="I982" s="41">
        <v>977</v>
      </c>
      <c r="J982" s="57">
        <f t="shared" si="480"/>
        <v>18875.244728280664</v>
      </c>
      <c r="K982" s="57">
        <f t="shared" si="481"/>
        <v>2628.1496760738264</v>
      </c>
      <c r="M982" s="41">
        <v>977</v>
      </c>
      <c r="N982" s="57">
        <f t="shared" si="482"/>
        <v>-20787.328690203536</v>
      </c>
      <c r="O982" s="57">
        <f t="shared" si="483"/>
        <v>6589.7047732516785</v>
      </c>
      <c r="Q982" s="41">
        <v>977</v>
      </c>
      <c r="R982" s="57">
        <f t="shared" si="484"/>
        <v>-6124.7552717193375</v>
      </c>
      <c r="S982" s="41">
        <f t="shared" si="485"/>
        <v>-19871.850323926174</v>
      </c>
      <c r="U982" s="41">
        <v>976</v>
      </c>
      <c r="V982" s="41">
        <f t="shared" si="507"/>
        <v>488</v>
      </c>
      <c r="W982" s="57">
        <f t="shared" si="508"/>
        <v>320985.72914727253</v>
      </c>
      <c r="X982" s="57">
        <f t="shared" si="509"/>
        <v>515975.50887798093</v>
      </c>
      <c r="Y982" s="57">
        <f t="shared" si="510"/>
        <v>200.7476958535602</v>
      </c>
      <c r="Z982" s="57">
        <f t="shared" si="511"/>
        <v>-9.2551402836849341</v>
      </c>
      <c r="AA982" s="57">
        <f t="shared" si="486"/>
        <v>-4.6723173385386616</v>
      </c>
      <c r="AB982" s="57">
        <f t="shared" si="487"/>
        <v>-7.5194460182105676</v>
      </c>
      <c r="AC982" s="57">
        <f t="shared" si="488"/>
        <v>-0.76358786798528588</v>
      </c>
      <c r="AD982" s="57">
        <f t="shared" si="489"/>
        <v>-1.2899805278040013</v>
      </c>
      <c r="AE982" s="57">
        <f t="shared" si="490"/>
        <v>-0.2695468776241251</v>
      </c>
      <c r="AF982" s="57">
        <f t="shared" si="491"/>
        <v>-0.39997016565298232</v>
      </c>
      <c r="AG982" s="57">
        <f t="shared" si="492"/>
        <v>-0.70541273366070922</v>
      </c>
      <c r="AH982" s="57">
        <f t="shared" si="493"/>
        <v>-1.1489977987818201</v>
      </c>
      <c r="AJ982" s="57">
        <f t="shared" si="494"/>
        <v>590880.48899844114</v>
      </c>
      <c r="AK982" s="57">
        <f t="shared" si="495"/>
        <v>610149.55794987583</v>
      </c>
      <c r="AL982" s="57">
        <f t="shared" si="496"/>
        <v>623058.33325292252</v>
      </c>
      <c r="AN982" s="41">
        <v>977</v>
      </c>
      <c r="AO982" s="57">
        <f t="shared" si="497"/>
        <v>3312.8670924209937</v>
      </c>
      <c r="AP982" s="57">
        <f t="shared" si="498"/>
        <v>7692.2245141107396</v>
      </c>
      <c r="AR982" s="41">
        <v>977</v>
      </c>
      <c r="AS982" s="57">
        <f t="shared" si="499"/>
        <v>14212.671309796464</v>
      </c>
      <c r="AT982" s="57">
        <f t="shared" si="500"/>
        <v>-8410.2952267483215</v>
      </c>
      <c r="AV982" s="57">
        <f t="shared" si="501"/>
        <v>-2.684660015030762</v>
      </c>
      <c r="AW982" s="57">
        <f t="shared" si="502"/>
        <v>-4.2563596806220296</v>
      </c>
      <c r="AX982" s="57">
        <f t="shared" si="503"/>
        <v>-0.24910984423777915</v>
      </c>
      <c r="AY982" s="57">
        <f t="shared" si="504"/>
        <v>-0.42413784534973425</v>
      </c>
      <c r="BA982" s="57">
        <f t="shared" si="505"/>
        <v>592303.504565257</v>
      </c>
      <c r="BB982" s="57">
        <f t="shared" si="506"/>
        <v>604187.67555492162</v>
      </c>
    </row>
    <row r="983" spans="9:54" x14ac:dyDescent="0.25">
      <c r="I983" s="41">
        <v>978</v>
      </c>
      <c r="J983" s="57">
        <f t="shared" si="480"/>
        <v>18960.441545911202</v>
      </c>
      <c r="K983" s="57">
        <f t="shared" si="481"/>
        <v>2609.2619963309717</v>
      </c>
      <c r="M983" s="41">
        <v>978</v>
      </c>
      <c r="N983" s="57">
        <f t="shared" si="482"/>
        <v>-20727.690917862157</v>
      </c>
      <c r="O983" s="57">
        <f t="shared" si="483"/>
        <v>6576.4833974316807</v>
      </c>
      <c r="Q983" s="41">
        <v>978</v>
      </c>
      <c r="R983" s="57">
        <f t="shared" si="484"/>
        <v>-6039.5584540887967</v>
      </c>
      <c r="S983" s="41">
        <f t="shared" si="485"/>
        <v>-19890.73800366903</v>
      </c>
      <c r="U983" s="41">
        <v>977</v>
      </c>
      <c r="V983" s="41">
        <f t="shared" si="507"/>
        <v>488.5</v>
      </c>
      <c r="W983" s="57">
        <f t="shared" si="508"/>
        <v>321085.518955532</v>
      </c>
      <c r="X983" s="57">
        <f t="shared" si="509"/>
        <v>515969.9413770868</v>
      </c>
      <c r="Y983" s="57">
        <f t="shared" si="510"/>
        <v>198.41153718429086</v>
      </c>
      <c r="Z983" s="57">
        <f t="shared" si="511"/>
        <v>-13.014863292790217</v>
      </c>
      <c r="AA983" s="57">
        <f t="shared" si="486"/>
        <v>-4.6726706614658475</v>
      </c>
      <c r="AB983" s="57">
        <f t="shared" si="487"/>
        <v>-7.517557305013403</v>
      </c>
      <c r="AC983" s="57">
        <f t="shared" si="488"/>
        <v>-0.76366253201831924</v>
      </c>
      <c r="AD983" s="57">
        <f t="shared" si="489"/>
        <v>-1.2896649571000498</v>
      </c>
      <c r="AE983" s="57">
        <f t="shared" si="490"/>
        <v>-0.26955796175317359</v>
      </c>
      <c r="AF983" s="57">
        <f t="shared" si="491"/>
        <v>-0.39986519076982996</v>
      </c>
      <c r="AG983" s="57">
        <f t="shared" si="492"/>
        <v>-0.70546744969304154</v>
      </c>
      <c r="AH983" s="57">
        <f t="shared" si="493"/>
        <v>-1.1487232294361365</v>
      </c>
      <c r="AJ983" s="57">
        <f t="shared" si="494"/>
        <v>590926.5360505823</v>
      </c>
      <c r="AK983" s="57">
        <f t="shared" si="495"/>
        <v>610200.71518992609</v>
      </c>
      <c r="AL983" s="57">
        <f t="shared" si="496"/>
        <v>623105.80507525813</v>
      </c>
      <c r="AN983" s="41">
        <v>978</v>
      </c>
      <c r="AO983" s="57">
        <f t="shared" si="497"/>
        <v>3440.6623188668045</v>
      </c>
      <c r="AP983" s="57">
        <f t="shared" si="498"/>
        <v>7663.8929944964584</v>
      </c>
      <c r="AR983" s="41">
        <v>978</v>
      </c>
      <c r="AS983" s="57">
        <f t="shared" si="499"/>
        <v>14272.309082137843</v>
      </c>
      <c r="AT983" s="57">
        <f t="shared" si="500"/>
        <v>-8423.5166025683193</v>
      </c>
      <c r="AV983" s="57">
        <f t="shared" si="501"/>
        <v>-2.6848482158396436</v>
      </c>
      <c r="AW983" s="57">
        <f t="shared" si="502"/>
        <v>-4.2552669218762462</v>
      </c>
      <c r="AX983" s="57">
        <f t="shared" si="503"/>
        <v>-0.24913450216166944</v>
      </c>
      <c r="AY983" s="57">
        <f t="shared" si="504"/>
        <v>-0.42403700583114062</v>
      </c>
      <c r="BA983" s="57">
        <f t="shared" si="505"/>
        <v>592352.03845074237</v>
      </c>
      <c r="BB983" s="57">
        <f t="shared" si="506"/>
        <v>604233.41907968197</v>
      </c>
    </row>
    <row r="984" spans="9:54" x14ac:dyDescent="0.25">
      <c r="I984" s="41">
        <v>979</v>
      </c>
      <c r="J984" s="57">
        <f t="shared" si="480"/>
        <v>19045.955023117269</v>
      </c>
      <c r="K984" s="57">
        <f t="shared" si="481"/>
        <v>2591.8640827616809</v>
      </c>
      <c r="M984" s="41">
        <v>979</v>
      </c>
      <c r="N984" s="57">
        <f t="shared" si="482"/>
        <v>-20667.83148381791</v>
      </c>
      <c r="O984" s="57">
        <f t="shared" si="483"/>
        <v>6564.3048579331771</v>
      </c>
      <c r="Q984" s="41">
        <v>979</v>
      </c>
      <c r="R984" s="57">
        <f t="shared" si="484"/>
        <v>-5954.0449768827293</v>
      </c>
      <c r="S984" s="41">
        <f t="shared" si="485"/>
        <v>-19908.13591723832</v>
      </c>
      <c r="U984" s="41">
        <v>978</v>
      </c>
      <c r="V984" s="41">
        <f t="shared" si="507"/>
        <v>489</v>
      </c>
      <c r="W984" s="57">
        <f t="shared" si="508"/>
        <v>321184.14064029144</v>
      </c>
      <c r="X984" s="57">
        <f t="shared" si="509"/>
        <v>515962.49425077729</v>
      </c>
      <c r="Y984" s="57">
        <f t="shared" si="510"/>
        <v>196.07520185355793</v>
      </c>
      <c r="Z984" s="57">
        <f t="shared" si="511"/>
        <v>-16.773641945296919</v>
      </c>
      <c r="AA984" s="57">
        <f t="shared" si="486"/>
        <v>-4.6730578804988712</v>
      </c>
      <c r="AB984" s="57">
        <f t="shared" si="487"/>
        <v>-7.5157242742489823</v>
      </c>
      <c r="AC984" s="57">
        <f t="shared" si="488"/>
        <v>-0.76374269524732008</v>
      </c>
      <c r="AD984" s="57">
        <f t="shared" si="489"/>
        <v>-1.2893591108937477</v>
      </c>
      <c r="AE984" s="57">
        <f t="shared" si="490"/>
        <v>-0.26957102031609514</v>
      </c>
      <c r="AF984" s="57">
        <f t="shared" si="491"/>
        <v>-0.39976308852132919</v>
      </c>
      <c r="AG984" s="57">
        <f t="shared" si="492"/>
        <v>-0.70552706207172755</v>
      </c>
      <c r="AH984" s="57">
        <f t="shared" si="493"/>
        <v>-1.1484568437437834</v>
      </c>
      <c r="AJ984" s="57">
        <f t="shared" si="494"/>
        <v>590970.38388818828</v>
      </c>
      <c r="AK984" s="57">
        <f t="shared" si="495"/>
        <v>610249.67301336757</v>
      </c>
      <c r="AL984" s="57">
        <f t="shared" si="496"/>
        <v>623151.07630995242</v>
      </c>
      <c r="AN984" s="41">
        <v>979</v>
      </c>
      <c r="AO984" s="57">
        <f t="shared" si="497"/>
        <v>3568.9325346759051</v>
      </c>
      <c r="AP984" s="57">
        <f t="shared" si="498"/>
        <v>7637.7961241425219</v>
      </c>
      <c r="AR984" s="41">
        <v>979</v>
      </c>
      <c r="AS984" s="57">
        <f t="shared" si="499"/>
        <v>14332.16851618209</v>
      </c>
      <c r="AT984" s="57">
        <f t="shared" si="500"/>
        <v>-8435.6951420668229</v>
      </c>
      <c r="AV984" s="57">
        <f t="shared" si="501"/>
        <v>-2.6850561929965884</v>
      </c>
      <c r="AW984" s="57">
        <f t="shared" si="502"/>
        <v>-4.2542059349439088</v>
      </c>
      <c r="AX984" s="57">
        <f t="shared" si="503"/>
        <v>-0.24916090986713982</v>
      </c>
      <c r="AY984" s="57">
        <f t="shared" si="504"/>
        <v>-0.42393929614621312</v>
      </c>
      <c r="BA984" s="57">
        <f t="shared" si="505"/>
        <v>592398.37224489369</v>
      </c>
      <c r="BB984" s="57">
        <f t="shared" si="506"/>
        <v>604276.96331700822</v>
      </c>
    </row>
    <row r="985" spans="9:54" x14ac:dyDescent="0.25">
      <c r="I985" s="41">
        <v>980</v>
      </c>
      <c r="J985" s="57">
        <f t="shared" si="480"/>
        <v>19131.759111665338</v>
      </c>
      <c r="K985" s="57">
        <f t="shared" si="481"/>
        <v>2575.9612349389618</v>
      </c>
      <c r="M985" s="41">
        <v>980</v>
      </c>
      <c r="N985" s="57">
        <f t="shared" si="482"/>
        <v>-20607.768621834264</v>
      </c>
      <c r="O985" s="57">
        <f t="shared" si="483"/>
        <v>6553.1728644572731</v>
      </c>
      <c r="Q985" s="41">
        <v>980</v>
      </c>
      <c r="R985" s="57">
        <f t="shared" si="484"/>
        <v>-5868.2408883346625</v>
      </c>
      <c r="S985" s="41">
        <f t="shared" si="485"/>
        <v>-19924.038765061039</v>
      </c>
      <c r="U985" s="41">
        <v>979</v>
      </c>
      <c r="V985" s="41">
        <f t="shared" si="507"/>
        <v>489.5</v>
      </c>
      <c r="W985" s="57">
        <f t="shared" si="508"/>
        <v>321281.59410898312</v>
      </c>
      <c r="X985" s="57">
        <f t="shared" si="509"/>
        <v>515953.16796427034</v>
      </c>
      <c r="Y985" s="57">
        <f t="shared" si="510"/>
        <v>193.73867291330851</v>
      </c>
      <c r="Z985" s="57">
        <f t="shared" si="511"/>
        <v>-20.53150408242141</v>
      </c>
      <c r="AA985" s="57">
        <f t="shared" si="486"/>
        <v>-4.6734789992929322</v>
      </c>
      <c r="AB985" s="57">
        <f t="shared" si="487"/>
        <v>-7.5139468591327638</v>
      </c>
      <c r="AC985" s="57">
        <f t="shared" si="488"/>
        <v>-0.76382835895956214</v>
      </c>
      <c r="AD985" s="57">
        <f t="shared" si="489"/>
        <v>-1.289062977917772</v>
      </c>
      <c r="AE985" s="57">
        <f t="shared" si="490"/>
        <v>-0.26958605315355966</v>
      </c>
      <c r="AF985" s="57">
        <f t="shared" si="491"/>
        <v>-0.39966385526337833</v>
      </c>
      <c r="AG985" s="57">
        <f t="shared" si="492"/>
        <v>-0.70559157138358652</v>
      </c>
      <c r="AH985" s="57">
        <f t="shared" si="493"/>
        <v>-1.148198632344148</v>
      </c>
      <c r="AJ985" s="57">
        <f t="shared" si="494"/>
        <v>591012.03284007055</v>
      </c>
      <c r="AK985" s="57">
        <f t="shared" si="495"/>
        <v>610296.43178593949</v>
      </c>
      <c r="AL985" s="57">
        <f t="shared" si="496"/>
        <v>623194.14729728794</v>
      </c>
      <c r="AN985" s="41">
        <v>980</v>
      </c>
      <c r="AO985" s="57">
        <f t="shared" si="497"/>
        <v>3697.6386674980058</v>
      </c>
      <c r="AP985" s="57">
        <f t="shared" si="498"/>
        <v>7613.9418524084422</v>
      </c>
      <c r="AR985" s="41">
        <v>980</v>
      </c>
      <c r="AS985" s="57">
        <f t="shared" si="499"/>
        <v>14392.231378165736</v>
      </c>
      <c r="AT985" s="57">
        <f t="shared" si="500"/>
        <v>-8446.8271355427278</v>
      </c>
      <c r="AV985" s="57">
        <f t="shared" si="501"/>
        <v>-2.6852839480190269</v>
      </c>
      <c r="AW985" s="57">
        <f t="shared" si="502"/>
        <v>-4.2531766808415989</v>
      </c>
      <c r="AX985" s="57">
        <f t="shared" si="503"/>
        <v>-0.24918906777719663</v>
      </c>
      <c r="AY985" s="57">
        <f t="shared" si="504"/>
        <v>-0.4238447127658671</v>
      </c>
      <c r="BA985" s="57">
        <f t="shared" si="505"/>
        <v>592442.50629538554</v>
      </c>
      <c r="BB985" s="57">
        <f t="shared" si="506"/>
        <v>604318.30859402986</v>
      </c>
    </row>
    <row r="986" spans="9:54" x14ac:dyDescent="0.25">
      <c r="I986" s="41">
        <v>981</v>
      </c>
      <c r="J986" s="57">
        <f t="shared" si="480"/>
        <v>19217.827674798846</v>
      </c>
      <c r="K986" s="57">
        <f t="shared" si="481"/>
        <v>2561.5582970243113</v>
      </c>
      <c r="M986" s="41">
        <v>981</v>
      </c>
      <c r="N986" s="57">
        <f t="shared" si="482"/>
        <v>-20547.520627640806</v>
      </c>
      <c r="O986" s="57">
        <f t="shared" si="483"/>
        <v>6543.0908079170176</v>
      </c>
      <c r="Q986" s="41">
        <v>981</v>
      </c>
      <c r="R986" s="57">
        <f t="shared" si="484"/>
        <v>-5782.1723252011534</v>
      </c>
      <c r="S986" s="41">
        <f t="shared" si="485"/>
        <v>-19938.441702975688</v>
      </c>
      <c r="U986" s="41">
        <v>980</v>
      </c>
      <c r="V986" s="41">
        <f t="shared" si="507"/>
        <v>490</v>
      </c>
      <c r="W986" s="57">
        <f t="shared" si="508"/>
        <v>321377.87926056486</v>
      </c>
      <c r="X986" s="57">
        <f t="shared" si="509"/>
        <v>515941.96296887175</v>
      </c>
      <c r="Y986" s="57">
        <f t="shared" si="510"/>
        <v>191.40193341366205</v>
      </c>
      <c r="Z986" s="57">
        <f t="shared" si="511"/>
        <v>-24.288477511987793</v>
      </c>
      <c r="AA986" s="57">
        <f t="shared" si="486"/>
        <v>-4.6739340228568631</v>
      </c>
      <c r="AB986" s="57">
        <f t="shared" si="487"/>
        <v>-7.5122249951583431</v>
      </c>
      <c r="AC986" s="57">
        <f t="shared" si="488"/>
        <v>-0.76391952466016322</v>
      </c>
      <c r="AD986" s="57">
        <f t="shared" si="489"/>
        <v>-1.2887765473080754</v>
      </c>
      <c r="AE986" s="57">
        <f t="shared" si="490"/>
        <v>-0.26960306018579411</v>
      </c>
      <c r="AF986" s="57">
        <f t="shared" si="491"/>
        <v>-0.39956748746658621</v>
      </c>
      <c r="AG986" s="57">
        <f t="shared" si="492"/>
        <v>-0.70566097840406061</v>
      </c>
      <c r="AH986" s="57">
        <f t="shared" si="493"/>
        <v>-1.1479485862008174</v>
      </c>
      <c r="AJ986" s="57">
        <f t="shared" si="494"/>
        <v>591051.48321887758</v>
      </c>
      <c r="AK986" s="57">
        <f t="shared" si="495"/>
        <v>610340.99185720435</v>
      </c>
      <c r="AL986" s="57">
        <f t="shared" si="496"/>
        <v>623235.01836134226</v>
      </c>
      <c r="AN986" s="41">
        <v>981</v>
      </c>
      <c r="AO986" s="57">
        <f t="shared" si="497"/>
        <v>3826.7415121982704</v>
      </c>
      <c r="AP986" s="57">
        <f t="shared" si="498"/>
        <v>7592.3374455364665</v>
      </c>
      <c r="AR986" s="41">
        <v>981</v>
      </c>
      <c r="AS986" s="57">
        <f t="shared" si="499"/>
        <v>14452.479372359192</v>
      </c>
      <c r="AT986" s="57">
        <f t="shared" si="500"/>
        <v>-8456.9091920829815</v>
      </c>
      <c r="AV986" s="57">
        <f t="shared" si="501"/>
        <v>-2.6855314832240795</v>
      </c>
      <c r="AW986" s="57">
        <f t="shared" si="502"/>
        <v>-4.2521791218943212</v>
      </c>
      <c r="AX986" s="57">
        <f t="shared" si="503"/>
        <v>-0.24921897638276538</v>
      </c>
      <c r="AY986" s="57">
        <f t="shared" si="504"/>
        <v>-0.42375325228854221</v>
      </c>
      <c r="BA986" s="57">
        <f t="shared" si="505"/>
        <v>592484.44093369995</v>
      </c>
      <c r="BB986" s="57">
        <f t="shared" si="506"/>
        <v>604357.45522171119</v>
      </c>
    </row>
    <row r="987" spans="9:54" x14ac:dyDescent="0.25">
      <c r="I987" s="41">
        <v>982</v>
      </c>
      <c r="J987" s="57">
        <f t="shared" si="480"/>
        <v>19304.134495199669</v>
      </c>
      <c r="K987" s="57">
        <f t="shared" si="481"/>
        <v>2548.6596562921495</v>
      </c>
      <c r="M987" s="41">
        <v>982</v>
      </c>
      <c r="N987" s="57">
        <f t="shared" si="482"/>
        <v>-20487.105853360234</v>
      </c>
      <c r="O987" s="57">
        <f t="shared" si="483"/>
        <v>6534.0617594045043</v>
      </c>
      <c r="Q987" s="41">
        <v>982</v>
      </c>
      <c r="R987" s="57">
        <f t="shared" si="484"/>
        <v>-5695.8655048003311</v>
      </c>
      <c r="S987" s="41">
        <f t="shared" si="485"/>
        <v>-19951.340343707852</v>
      </c>
      <c r="U987" s="41">
        <v>981</v>
      </c>
      <c r="V987" s="41">
        <f t="shared" si="507"/>
        <v>490.5</v>
      </c>
      <c r="W987" s="57">
        <f t="shared" si="508"/>
        <v>321472.99598551885</v>
      </c>
      <c r="X987" s="57">
        <f t="shared" si="509"/>
        <v>515928.87970199139</v>
      </c>
      <c r="Y987" s="57">
        <f t="shared" si="510"/>
        <v>189.06496640223361</v>
      </c>
      <c r="Z987" s="57">
        <f t="shared" si="511"/>
        <v>-28.044590009566964</v>
      </c>
      <c r="AA987" s="57">
        <f t="shared" si="486"/>
        <v>-4.6744229575531353</v>
      </c>
      <c r="AB987" s="57">
        <f t="shared" si="487"/>
        <v>-7.5105586200916559</v>
      </c>
      <c r="AC987" s="57">
        <f t="shared" si="488"/>
        <v>-0.76401619407211407</v>
      </c>
      <c r="AD987" s="57">
        <f t="shared" si="489"/>
        <v>-1.2884998086028348</v>
      </c>
      <c r="AE987" s="57">
        <f t="shared" si="490"/>
        <v>-0.26962204141254975</v>
      </c>
      <c r="AF987" s="57">
        <f t="shared" si="491"/>
        <v>-0.39947398171596576</v>
      </c>
      <c r="AG987" s="57">
        <f t="shared" si="492"/>
        <v>-0.70573528409727382</v>
      </c>
      <c r="AH987" s="57">
        <f t="shared" si="493"/>
        <v>-1.14770669660088</v>
      </c>
      <c r="AJ987" s="57">
        <f t="shared" si="494"/>
        <v>591088.7353211079</v>
      </c>
      <c r="AK987" s="57">
        <f t="shared" si="495"/>
        <v>610383.35356056213</v>
      </c>
      <c r="AL987" s="57">
        <f t="shared" si="496"/>
        <v>623273.68981000013</v>
      </c>
      <c r="AN987" s="41">
        <v>982</v>
      </c>
      <c r="AO987" s="57">
        <f t="shared" si="497"/>
        <v>3956.2017427995024</v>
      </c>
      <c r="AP987" s="57">
        <f t="shared" si="498"/>
        <v>7572.9894844382243</v>
      </c>
      <c r="AR987" s="41">
        <v>982</v>
      </c>
      <c r="AS987" s="57">
        <f t="shared" si="499"/>
        <v>14512.894146639768</v>
      </c>
      <c r="AT987" s="57">
        <f t="shared" si="500"/>
        <v>-8465.9382405954966</v>
      </c>
      <c r="AV987" s="57">
        <f t="shared" si="501"/>
        <v>-2.6857988017284904</v>
      </c>
      <c r="AW987" s="57">
        <f t="shared" si="502"/>
        <v>-4.2512132217320877</v>
      </c>
      <c r="AX987" s="57">
        <f t="shared" si="503"/>
        <v>-0.24925063624270699</v>
      </c>
      <c r="AY987" s="57">
        <f t="shared" si="504"/>
        <v>-0.42366491143988777</v>
      </c>
      <c r="BA987" s="57">
        <f t="shared" si="505"/>
        <v>592524.17647513957</v>
      </c>
      <c r="BB987" s="57">
        <f t="shared" si="506"/>
        <v>604394.40349486331</v>
      </c>
    </row>
    <row r="988" spans="9:54" x14ac:dyDescent="0.25">
      <c r="I988" s="41">
        <v>983</v>
      </c>
      <c r="J988" s="57">
        <f t="shared" si="480"/>
        <v>19390.653282974272</v>
      </c>
      <c r="K988" s="57">
        <f t="shared" si="481"/>
        <v>2537.2692417933886</v>
      </c>
      <c r="M988" s="41">
        <v>983</v>
      </c>
      <c r="N988" s="57">
        <f t="shared" si="482"/>
        <v>-20426.54270191801</v>
      </c>
      <c r="O988" s="57">
        <f t="shared" si="483"/>
        <v>6526.0884692553718</v>
      </c>
      <c r="Q988" s="41">
        <v>983</v>
      </c>
      <c r="R988" s="57">
        <f t="shared" si="484"/>
        <v>-5609.34671702573</v>
      </c>
      <c r="S988" s="41">
        <f t="shared" si="485"/>
        <v>-19962.730758206613</v>
      </c>
      <c r="U988" s="41">
        <v>982</v>
      </c>
      <c r="V988" s="41">
        <f t="shared" si="507"/>
        <v>491</v>
      </c>
      <c r="W988" s="57">
        <f t="shared" si="508"/>
        <v>321566.94416585029</v>
      </c>
      <c r="X988" s="57">
        <f t="shared" si="509"/>
        <v>515913.91858715907</v>
      </c>
      <c r="Y988" s="57">
        <f t="shared" si="510"/>
        <v>186.72775492345704</v>
      </c>
      <c r="Z988" s="57">
        <f t="shared" si="511"/>
        <v>-31.799869319612792</v>
      </c>
      <c r="AA988" s="57">
        <f t="shared" si="486"/>
        <v>-4.6749458110978157</v>
      </c>
      <c r="AB988" s="57">
        <f t="shared" si="487"/>
        <v>-7.5089476739651513</v>
      </c>
      <c r="AC988" s="57">
        <f t="shared" si="488"/>
        <v>-0.76411836913638076</v>
      </c>
      <c r="AD988" s="57">
        <f t="shared" si="489"/>
        <v>-1.2882327517415268</v>
      </c>
      <c r="AE988" s="57">
        <f t="shared" si="490"/>
        <v>-0.26964299691307358</v>
      </c>
      <c r="AF988" s="57">
        <f t="shared" si="491"/>
        <v>-0.39938333471063414</v>
      </c>
      <c r="AG988" s="57">
        <f t="shared" si="492"/>
        <v>-0.70581448961596982</v>
      </c>
      <c r="AH988" s="57">
        <f t="shared" si="493"/>
        <v>-1.1474729551540328</v>
      </c>
      <c r="AJ988" s="57">
        <f t="shared" si="494"/>
        <v>591123.78942712117</v>
      </c>
      <c r="AK988" s="57">
        <f t="shared" si="495"/>
        <v>610423.51721326378</v>
      </c>
      <c r="AL988" s="57">
        <f t="shared" si="496"/>
        <v>623310.16193496657</v>
      </c>
      <c r="AN988" s="41">
        <v>983</v>
      </c>
      <c r="AO988" s="57">
        <f t="shared" si="497"/>
        <v>4085.979924461406</v>
      </c>
      <c r="AP988" s="57">
        <f t="shared" si="498"/>
        <v>7555.9038626900838</v>
      </c>
      <c r="AR988" s="41">
        <v>983</v>
      </c>
      <c r="AS988" s="57">
        <f t="shared" si="499"/>
        <v>14573.45729808199</v>
      </c>
      <c r="AT988" s="57">
        <f t="shared" si="500"/>
        <v>-8473.9115307446282</v>
      </c>
      <c r="AV988" s="57">
        <f t="shared" si="501"/>
        <v>-2.6860859074485477</v>
      </c>
      <c r="AW988" s="57">
        <f t="shared" si="502"/>
        <v>-4.2502789452864889</v>
      </c>
      <c r="AX988" s="57">
        <f t="shared" si="503"/>
        <v>-0.24928404798384424</v>
      </c>
      <c r="AY988" s="57">
        <f t="shared" si="504"/>
        <v>-0.42357968707246824</v>
      </c>
      <c r="BA988" s="57">
        <f t="shared" si="505"/>
        <v>592561.71321884065</v>
      </c>
      <c r="BB988" s="57">
        <f t="shared" si="506"/>
        <v>604429.15369215689</v>
      </c>
    </row>
    <row r="989" spans="9:54" x14ac:dyDescent="0.25">
      <c r="I989" s="41">
        <v>984</v>
      </c>
      <c r="J989" s="57">
        <f t="shared" si="480"/>
        <v>19477.357683661736</v>
      </c>
      <c r="K989" s="57">
        <f t="shared" si="481"/>
        <v>2527.3905231586332</v>
      </c>
      <c r="M989" s="41">
        <v>984</v>
      </c>
      <c r="N989" s="57">
        <f t="shared" si="482"/>
        <v>-20365.849621436784</v>
      </c>
      <c r="O989" s="57">
        <f t="shared" si="483"/>
        <v>6519.1733662110437</v>
      </c>
      <c r="Q989" s="41">
        <v>984</v>
      </c>
      <c r="R989" s="57">
        <f t="shared" si="484"/>
        <v>-5522.6423163382651</v>
      </c>
      <c r="S989" s="41">
        <f t="shared" si="485"/>
        <v>-19972.609476841368</v>
      </c>
      <c r="U989" s="41">
        <v>983</v>
      </c>
      <c r="V989" s="41">
        <f t="shared" si="507"/>
        <v>491.5</v>
      </c>
      <c r="W989" s="57">
        <f t="shared" si="508"/>
        <v>321659.72367508564</v>
      </c>
      <c r="X989" s="57">
        <f t="shared" si="509"/>
        <v>515897.08003403997</v>
      </c>
      <c r="Y989" s="57">
        <f t="shared" si="510"/>
        <v>184.39028201790813</v>
      </c>
      <c r="Z989" s="57">
        <f t="shared" si="511"/>
        <v>-35.554343156595365</v>
      </c>
      <c r="AA989" s="57">
        <f t="shared" si="486"/>
        <v>-4.6755025925607825</v>
      </c>
      <c r="AB989" s="57">
        <f t="shared" si="487"/>
        <v>-7.5073920990723613</v>
      </c>
      <c r="AC989" s="57">
        <f t="shared" si="488"/>
        <v>-0.76422605201198957</v>
      </c>
      <c r="AD989" s="57">
        <f t="shared" si="489"/>
        <v>-1.287975367063982</v>
      </c>
      <c r="AE989" s="57">
        <f t="shared" si="490"/>
        <v>-0.26966592684606905</v>
      </c>
      <c r="AF989" s="57">
        <f t="shared" si="491"/>
        <v>-0.39929554326349631</v>
      </c>
      <c r="AG989" s="57">
        <f t="shared" si="492"/>
        <v>-0.70589859630158447</v>
      </c>
      <c r="AH989" s="57">
        <f t="shared" si="493"/>
        <v>-1.1472473537919106</v>
      </c>
      <c r="AJ989" s="57">
        <f t="shared" si="494"/>
        <v>591156.64580115059</v>
      </c>
      <c r="AK989" s="57">
        <f t="shared" si="495"/>
        <v>610461.48311642371</v>
      </c>
      <c r="AL989" s="57">
        <f t="shared" si="496"/>
        <v>623344.43501177826</v>
      </c>
      <c r="AN989" s="41">
        <v>984</v>
      </c>
      <c r="AO989" s="57">
        <f t="shared" si="497"/>
        <v>4216.0365254926028</v>
      </c>
      <c r="AP989" s="57">
        <f t="shared" si="498"/>
        <v>7541.0857847379493</v>
      </c>
      <c r="AR989" s="41">
        <v>984</v>
      </c>
      <c r="AS989" s="57">
        <f t="shared" si="499"/>
        <v>14634.150378563214</v>
      </c>
      <c r="AT989" s="57">
        <f t="shared" si="500"/>
        <v>-8480.8266337889563</v>
      </c>
      <c r="AV989" s="57">
        <f t="shared" si="501"/>
        <v>-2.6863928051001476</v>
      </c>
      <c r="AW989" s="57">
        <f t="shared" si="502"/>
        <v>-4.2493762587874961</v>
      </c>
      <c r="AX989" s="57">
        <f t="shared" si="503"/>
        <v>-0.24931921230099163</v>
      </c>
      <c r="AY989" s="57">
        <f t="shared" si="504"/>
        <v>-0.42349757616547606</v>
      </c>
      <c r="BA989" s="57">
        <f t="shared" si="505"/>
        <v>592597.05144778523</v>
      </c>
      <c r="BB989" s="57">
        <f t="shared" si="506"/>
        <v>604461.7060761326</v>
      </c>
    </row>
    <row r="990" spans="9:54" x14ac:dyDescent="0.25">
      <c r="I990" s="41">
        <v>985</v>
      </c>
      <c r="J990" s="57">
        <f t="shared" si="480"/>
        <v>19564.221286261705</v>
      </c>
      <c r="K990" s="57">
        <f t="shared" si="481"/>
        <v>2519.0265095412724</v>
      </c>
      <c r="M990" s="41">
        <v>985</v>
      </c>
      <c r="N990" s="57">
        <f t="shared" si="482"/>
        <v>-20305.045099616807</v>
      </c>
      <c r="O990" s="57">
        <f t="shared" si="483"/>
        <v>6513.3185566788907</v>
      </c>
      <c r="Q990" s="41">
        <v>985</v>
      </c>
      <c r="R990" s="57">
        <f t="shared" si="484"/>
        <v>-5435.7787137382938</v>
      </c>
      <c r="S990" s="41">
        <f t="shared" si="485"/>
        <v>-19980.973490458728</v>
      </c>
      <c r="U990" s="41">
        <v>984</v>
      </c>
      <c r="V990" s="41">
        <f t="shared" si="507"/>
        <v>492</v>
      </c>
      <c r="W990" s="57">
        <f t="shared" si="508"/>
        <v>321751.33437827049</v>
      </c>
      <c r="X990" s="57">
        <f t="shared" si="509"/>
        <v>515878.36443844927</v>
      </c>
      <c r="Y990" s="57">
        <f t="shared" si="510"/>
        <v>182.05253072162773</v>
      </c>
      <c r="Z990" s="57">
        <f t="shared" si="511"/>
        <v>-39.308039206131546</v>
      </c>
      <c r="AA990" s="57">
        <f t="shared" si="486"/>
        <v>-4.6760933123659516</v>
      </c>
      <c r="AB990" s="57">
        <f t="shared" si="487"/>
        <v>-7.5058918399625352</v>
      </c>
      <c r="AC990" s="57">
        <f t="shared" si="488"/>
        <v>-0.76433924507613904</v>
      </c>
      <c r="AD990" s="57">
        <f t="shared" si="489"/>
        <v>-1.2877276453094892</v>
      </c>
      <c r="AE990" s="57">
        <f t="shared" si="490"/>
        <v>-0.26969083144969214</v>
      </c>
      <c r="AF990" s="57">
        <f t="shared" si="491"/>
        <v>-0.39921060430098032</v>
      </c>
      <c r="AG990" s="57">
        <f t="shared" si="492"/>
        <v>-0.70598760568427377</v>
      </c>
      <c r="AH990" s="57">
        <f t="shared" si="493"/>
        <v>-1.1470298847673459</v>
      </c>
      <c r="AJ990" s="57">
        <f t="shared" si="494"/>
        <v>591187.30469131318</v>
      </c>
      <c r="AK990" s="57">
        <f t="shared" si="495"/>
        <v>610497.2515550328</v>
      </c>
      <c r="AL990" s="57">
        <f t="shared" si="496"/>
        <v>623376.50929981575</v>
      </c>
      <c r="AN990" s="41">
        <v>985</v>
      </c>
      <c r="AO990" s="57">
        <f t="shared" si="497"/>
        <v>4346.3319293925597</v>
      </c>
      <c r="AP990" s="57">
        <f t="shared" si="498"/>
        <v>7528.5397643119095</v>
      </c>
      <c r="AR990" s="41">
        <v>985</v>
      </c>
      <c r="AS990" s="57">
        <f t="shared" si="499"/>
        <v>14694.954900383194</v>
      </c>
      <c r="AT990" s="57">
        <f t="shared" si="500"/>
        <v>-8486.6814433211093</v>
      </c>
      <c r="AV990" s="57">
        <f t="shared" si="501"/>
        <v>-2.6867195001988593</v>
      </c>
      <c r="AW990" s="57">
        <f t="shared" si="502"/>
        <v>-4.2485051297602698</v>
      </c>
      <c r="AX990" s="57">
        <f t="shared" si="503"/>
        <v>-0.24935612995698675</v>
      </c>
      <c r="AY990" s="57">
        <f t="shared" si="504"/>
        <v>-0.42341857582444914</v>
      </c>
      <c r="BA990" s="57">
        <f t="shared" si="505"/>
        <v>592630.19142881245</v>
      </c>
      <c r="BB990" s="57">
        <f t="shared" si="506"/>
        <v>604492.06089321256</v>
      </c>
    </row>
    <row r="991" spans="9:54" x14ac:dyDescent="0.25">
      <c r="I991" s="41">
        <v>986</v>
      </c>
      <c r="J991" s="57">
        <f t="shared" si="480"/>
        <v>19651.217631279382</v>
      </c>
      <c r="K991" s="57">
        <f t="shared" si="481"/>
        <v>2512.179748700878</v>
      </c>
      <c r="M991" s="41">
        <v>986</v>
      </c>
      <c r="N991" s="57">
        <f t="shared" si="482"/>
        <v>-20244.147658104434</v>
      </c>
      <c r="O991" s="57">
        <f t="shared" si="483"/>
        <v>6508.5258240906151</v>
      </c>
      <c r="Q991" s="41">
        <v>986</v>
      </c>
      <c r="R991" s="57">
        <f t="shared" si="484"/>
        <v>-5348.7823687206173</v>
      </c>
      <c r="S991" s="41">
        <f t="shared" si="485"/>
        <v>-19987.820251299123</v>
      </c>
      <c r="U991" s="41">
        <v>985</v>
      </c>
      <c r="V991" s="41">
        <f t="shared" si="507"/>
        <v>492.5</v>
      </c>
      <c r="W991" s="57">
        <f t="shared" si="508"/>
        <v>321841.77613196726</v>
      </c>
      <c r="X991" s="57">
        <f t="shared" si="509"/>
        <v>515857.77218236623</v>
      </c>
      <c r="Y991" s="57">
        <f t="shared" si="510"/>
        <v>179.71448406544476</v>
      </c>
      <c r="Z991" s="57">
        <f t="shared" si="511"/>
        <v>-43.060985126112811</v>
      </c>
      <c r="AA991" s="57">
        <f t="shared" si="486"/>
        <v>-4.6767179822918274</v>
      </c>
      <c r="AB991" s="57">
        <f t="shared" si="487"/>
        <v>-7.5044468434357672</v>
      </c>
      <c r="AC991" s="57">
        <f t="shared" si="488"/>
        <v>-0.76445795092433066</v>
      </c>
      <c r="AD991" s="57">
        <f t="shared" si="489"/>
        <v>-1.2874895776159325</v>
      </c>
      <c r="AE991" s="57">
        <f t="shared" si="490"/>
        <v>-0.26971771104152698</v>
      </c>
      <c r="AF991" s="57">
        <f t="shared" si="491"/>
        <v>-0.39912851486274209</v>
      </c>
      <c r="AG991" s="57">
        <f t="shared" si="492"/>
        <v>-0.7060815194829807</v>
      </c>
      <c r="AH991" s="57">
        <f t="shared" si="493"/>
        <v>-1.1468205406536904</v>
      </c>
      <c r="AJ991" s="57">
        <f t="shared" si="494"/>
        <v>591215.76632961945</v>
      </c>
      <c r="AK991" s="57">
        <f t="shared" si="495"/>
        <v>610530.82279796875</v>
      </c>
      <c r="AL991" s="57">
        <f t="shared" si="496"/>
        <v>623406.38504231256</v>
      </c>
      <c r="AN991" s="41">
        <v>986</v>
      </c>
      <c r="AO991" s="57">
        <f t="shared" si="497"/>
        <v>4476.8264469190744</v>
      </c>
      <c r="AP991" s="57">
        <f t="shared" si="498"/>
        <v>7518.2696230513166</v>
      </c>
      <c r="AR991" s="41">
        <v>986</v>
      </c>
      <c r="AS991" s="57">
        <f t="shared" si="499"/>
        <v>14755.852341895568</v>
      </c>
      <c r="AT991" s="57">
        <f t="shared" si="500"/>
        <v>-8491.4741759093849</v>
      </c>
      <c r="AV991" s="57">
        <f t="shared" si="501"/>
        <v>-2.6870659990602475</v>
      </c>
      <c r="AW991" s="57">
        <f t="shared" si="502"/>
        <v>-4.24766552702238</v>
      </c>
      <c r="AX991" s="57">
        <f t="shared" si="503"/>
        <v>-0.24939480178274148</v>
      </c>
      <c r="AY991" s="57">
        <f t="shared" si="504"/>
        <v>-0.42334268328102159</v>
      </c>
      <c r="BA991" s="57">
        <f t="shared" si="505"/>
        <v>592661.1334126296</v>
      </c>
      <c r="BB991" s="57">
        <f t="shared" si="506"/>
        <v>604520.21837370994</v>
      </c>
    </row>
    <row r="992" spans="9:54" x14ac:dyDescent="0.25">
      <c r="I992" s="41">
        <v>987</v>
      </c>
      <c r="J992" s="57">
        <f t="shared" si="480"/>
        <v>19738.320218785284</v>
      </c>
      <c r="K992" s="57">
        <f t="shared" si="481"/>
        <v>2506.8523262271301</v>
      </c>
      <c r="M992" s="41">
        <v>987</v>
      </c>
      <c r="N992" s="57">
        <f t="shared" si="482"/>
        <v>-20183.175846850299</v>
      </c>
      <c r="O992" s="57">
        <f t="shared" si="483"/>
        <v>6504.7966283589913</v>
      </c>
      <c r="Q992" s="41">
        <v>987</v>
      </c>
      <c r="R992" s="57">
        <f t="shared" si="484"/>
        <v>-5261.6797812147151</v>
      </c>
      <c r="S992" s="41">
        <f t="shared" si="485"/>
        <v>-19993.14767377287</v>
      </c>
      <c r="U992" s="41">
        <v>986</v>
      </c>
      <c r="V992" s="41">
        <f t="shared" si="507"/>
        <v>493</v>
      </c>
      <c r="W992" s="57">
        <f t="shared" si="508"/>
        <v>321931.0487842522</v>
      </c>
      <c r="X992" s="57">
        <f t="shared" si="509"/>
        <v>515835.30363394774</v>
      </c>
      <c r="Y992" s="57">
        <f t="shared" si="510"/>
        <v>177.37612507429884</v>
      </c>
      <c r="Z992" s="57">
        <f t="shared" si="511"/>
        <v>-46.813208547830698</v>
      </c>
      <c r="AA992" s="57">
        <f t="shared" si="486"/>
        <v>-4.6773766154719461</v>
      </c>
      <c r="AB992" s="57">
        <f t="shared" si="487"/>
        <v>-7.5030570585380065</v>
      </c>
      <c r="AC992" s="57">
        <f t="shared" si="488"/>
        <v>-0.76458217237055637</v>
      </c>
      <c r="AD992" s="57">
        <f t="shared" si="489"/>
        <v>-1.2872611555190334</v>
      </c>
      <c r="AE992" s="57">
        <f t="shared" si="490"/>
        <v>-0.26974656601859831</v>
      </c>
      <c r="AF992" s="57">
        <f t="shared" si="491"/>
        <v>-0.39904927210142416</v>
      </c>
      <c r="AG992" s="57">
        <f t="shared" si="492"/>
        <v>-0.70618033960551685</v>
      </c>
      <c r="AH992" s="57">
        <f t="shared" si="493"/>
        <v>-1.1466193143441676</v>
      </c>
      <c r="AJ992" s="57">
        <f t="shared" si="494"/>
        <v>591242.03093198326</v>
      </c>
      <c r="AK992" s="57">
        <f t="shared" si="495"/>
        <v>610562.19709800801</v>
      </c>
      <c r="AL992" s="57">
        <f t="shared" si="496"/>
        <v>623434.06246636587</v>
      </c>
      <c r="AN992" s="41">
        <v>987</v>
      </c>
      <c r="AO992" s="57">
        <f t="shared" si="497"/>
        <v>4607.4803281779277</v>
      </c>
      <c r="AP992" s="57">
        <f t="shared" si="498"/>
        <v>7510.2784893406952</v>
      </c>
      <c r="AR992" s="41">
        <v>987</v>
      </c>
      <c r="AS992" s="57">
        <f t="shared" si="499"/>
        <v>14816.824153149699</v>
      </c>
      <c r="AT992" s="57">
        <f t="shared" si="500"/>
        <v>-8495.2033716410078</v>
      </c>
      <c r="AV992" s="57">
        <f t="shared" si="501"/>
        <v>-2.6874323087999872</v>
      </c>
      <c r="AW992" s="57">
        <f t="shared" si="502"/>
        <v>-4.2468574206807137</v>
      </c>
      <c r="AX992" s="57">
        <f t="shared" si="503"/>
        <v>-0.24943522867728676</v>
      </c>
      <c r="AY992" s="57">
        <f t="shared" si="504"/>
        <v>-0.42326989589266806</v>
      </c>
      <c r="BA992" s="57">
        <f t="shared" si="505"/>
        <v>592689.8776338218</v>
      </c>
      <c r="BB992" s="57">
        <f t="shared" si="506"/>
        <v>604546.17873183812</v>
      </c>
    </row>
    <row r="993" spans="9:54" x14ac:dyDescent="0.25">
      <c r="I993" s="41">
        <v>988</v>
      </c>
      <c r="J993" s="57">
        <f t="shared" si="480"/>
        <v>19825.502516487493</v>
      </c>
      <c r="K993" s="57">
        <f t="shared" si="481"/>
        <v>2503.0458649045213</v>
      </c>
      <c r="M993" s="41">
        <v>988</v>
      </c>
      <c r="N993" s="57">
        <f t="shared" si="482"/>
        <v>-20122.148238458754</v>
      </c>
      <c r="O993" s="57">
        <f t="shared" si="483"/>
        <v>6502.1321054331647</v>
      </c>
      <c r="Q993" s="41">
        <v>988</v>
      </c>
      <c r="R993" s="57">
        <f t="shared" si="484"/>
        <v>-5174.4974835125058</v>
      </c>
      <c r="S993" s="41">
        <f t="shared" si="485"/>
        <v>-19996.954135095479</v>
      </c>
      <c r="U993" s="41">
        <v>987</v>
      </c>
      <c r="V993" s="41">
        <f t="shared" si="507"/>
        <v>493.5</v>
      </c>
      <c r="W993" s="57">
        <f t="shared" si="508"/>
        <v>322019.15217471245</v>
      </c>
      <c r="X993" s="57">
        <f t="shared" si="509"/>
        <v>515810.95914754149</v>
      </c>
      <c r="Y993" s="57">
        <f t="shared" si="510"/>
        <v>175.03743676656288</v>
      </c>
      <c r="Z993" s="57">
        <f t="shared" si="511"/>
        <v>-50.5647370770997</v>
      </c>
      <c r="AA993" s="57">
        <f t="shared" si="486"/>
        <v>-4.6780692263956007</v>
      </c>
      <c r="AB993" s="57">
        <f t="shared" si="487"/>
        <v>-7.5017224365565074</v>
      </c>
      <c r="AC993" s="57">
        <f t="shared" si="488"/>
        <v>-0.76471191244742509</v>
      </c>
      <c r="AD993" s="57">
        <f t="shared" si="489"/>
        <v>-1.287042370951492</v>
      </c>
      <c r="AE993" s="57">
        <f t="shared" si="490"/>
        <v>-0.26977739685735652</v>
      </c>
      <c r="AF993" s="57">
        <f t="shared" si="491"/>
        <v>-0.39897287328237369</v>
      </c>
      <c r="AG993" s="57">
        <f t="shared" si="492"/>
        <v>-0.7062840681486543</v>
      </c>
      <c r="AH993" s="57">
        <f t="shared" si="493"/>
        <v>-1.1464261990512405</v>
      </c>
      <c r="AJ993" s="57">
        <f t="shared" si="494"/>
        <v>591266.09869823058</v>
      </c>
      <c r="AK993" s="57">
        <f t="shared" si="495"/>
        <v>610591.37469183514</v>
      </c>
      <c r="AL993" s="57">
        <f t="shared" si="496"/>
        <v>623459.54178294586</v>
      </c>
      <c r="AN993" s="41">
        <v>988</v>
      </c>
      <c r="AO993" s="57">
        <f t="shared" si="497"/>
        <v>4738.2537747312408</v>
      </c>
      <c r="AP993" s="57">
        <f t="shared" si="498"/>
        <v>7504.5687973567819</v>
      </c>
      <c r="AR993" s="41">
        <v>988</v>
      </c>
      <c r="AS993" s="57">
        <f t="shared" si="499"/>
        <v>14877.851761541246</v>
      </c>
      <c r="AT993" s="57">
        <f t="shared" si="500"/>
        <v>-8497.8678945668362</v>
      </c>
      <c r="AV993" s="57">
        <f t="shared" si="501"/>
        <v>-2.6878184373343355</v>
      </c>
      <c r="AW993" s="57">
        <f t="shared" si="502"/>
        <v>-4.2460807821289341</v>
      </c>
      <c r="AX993" s="57">
        <f t="shared" si="503"/>
        <v>-0.24947741160782902</v>
      </c>
      <c r="AY993" s="57">
        <f t="shared" si="504"/>
        <v>-0.42320021114246675</v>
      </c>
      <c r="BA993" s="57">
        <f t="shared" si="505"/>
        <v>592716.4243108622</v>
      </c>
      <c r="BB993" s="57">
        <f t="shared" si="506"/>
        <v>604569.94216571946</v>
      </c>
    </row>
    <row r="994" spans="9:54" x14ac:dyDescent="0.25">
      <c r="I994" s="41">
        <v>989</v>
      </c>
      <c r="J994" s="57">
        <f t="shared" si="480"/>
        <v>19912.737967813577</v>
      </c>
      <c r="K994" s="57">
        <f t="shared" si="481"/>
        <v>2500.7615242180436</v>
      </c>
      <c r="M994" s="41">
        <v>989</v>
      </c>
      <c r="N994" s="57">
        <f t="shared" si="482"/>
        <v>-20061.083422530497</v>
      </c>
      <c r="O994" s="57">
        <f t="shared" si="483"/>
        <v>6500.5330669526302</v>
      </c>
      <c r="Q994" s="41">
        <v>989</v>
      </c>
      <c r="R994" s="57">
        <f t="shared" si="484"/>
        <v>-5087.2620321864242</v>
      </c>
      <c r="S994" s="41">
        <f t="shared" si="485"/>
        <v>-19999.238475781956</v>
      </c>
      <c r="U994" s="41">
        <v>988</v>
      </c>
      <c r="V994" s="41">
        <f t="shared" si="507"/>
        <v>494</v>
      </c>
      <c r="W994" s="57">
        <f t="shared" si="508"/>
        <v>322106.08613444242</v>
      </c>
      <c r="X994" s="57">
        <f t="shared" si="509"/>
        <v>515784.73906369839</v>
      </c>
      <c r="Y994" s="57">
        <f t="shared" si="510"/>
        <v>172.69840215336507</v>
      </c>
      <c r="Z994" s="57">
        <f t="shared" si="511"/>
        <v>-54.315598295377953</v>
      </c>
      <c r="AA994" s="57">
        <f t="shared" si="486"/>
        <v>-4.6787958309086957</v>
      </c>
      <c r="AB994" s="57">
        <f t="shared" si="487"/>
        <v>-7.5004429310154945</v>
      </c>
      <c r="AC994" s="57">
        <f t="shared" si="488"/>
        <v>-0.76484717440642191</v>
      </c>
      <c r="AD994" s="57">
        <f t="shared" si="489"/>
        <v>-1.2868332162423575</v>
      </c>
      <c r="AE994" s="57">
        <f t="shared" si="490"/>
        <v>-0.26981020411371043</v>
      </c>
      <c r="AF994" s="57">
        <f t="shared" si="491"/>
        <v>-0.39889931578342996</v>
      </c>
      <c r="AG994" s="57">
        <f t="shared" si="492"/>
        <v>-0.70639270739824134</v>
      </c>
      <c r="AH994" s="57">
        <f t="shared" si="493"/>
        <v>-1.1462411883060208</v>
      </c>
      <c r="AJ994" s="57">
        <f t="shared" si="494"/>
        <v>591287.96981210692</v>
      </c>
      <c r="AK994" s="57">
        <f t="shared" si="495"/>
        <v>610618.35580005287</v>
      </c>
      <c r="AL994" s="57">
        <f t="shared" si="496"/>
        <v>623482.82318690349</v>
      </c>
      <c r="AN994" s="41">
        <v>989</v>
      </c>
      <c r="AO994" s="57">
        <f t="shared" si="497"/>
        <v>4869.1069517203632</v>
      </c>
      <c r="AP994" s="57">
        <f t="shared" si="498"/>
        <v>7501.1422863270654</v>
      </c>
      <c r="AR994" s="41">
        <v>989</v>
      </c>
      <c r="AS994" s="57">
        <f t="shared" si="499"/>
        <v>14938.916577469503</v>
      </c>
      <c r="AT994" s="57">
        <f t="shared" si="500"/>
        <v>-8499.4669330473698</v>
      </c>
      <c r="AV994" s="57">
        <f t="shared" si="501"/>
        <v>-2.6882243933805037</v>
      </c>
      <c r="AW994" s="57">
        <f t="shared" si="502"/>
        <v>-4.2453355840448017</v>
      </c>
      <c r="AX994" s="57">
        <f t="shared" si="503"/>
        <v>-0.24952135160981781</v>
      </c>
      <c r="AY994" s="57">
        <f t="shared" si="504"/>
        <v>-0.42313362663888465</v>
      </c>
      <c r="BA994" s="57">
        <f t="shared" si="505"/>
        <v>592740.77364611998</v>
      </c>
      <c r="BB994" s="57">
        <f t="shared" si="506"/>
        <v>604591.50885739375</v>
      </c>
    </row>
    <row r="995" spans="9:54" x14ac:dyDescent="0.25">
      <c r="I995" s="41">
        <v>990</v>
      </c>
      <c r="J995" s="57">
        <f t="shared" si="480"/>
        <v>20000.000000000007</v>
      </c>
      <c r="K995" s="57">
        <f t="shared" si="481"/>
        <v>2500</v>
      </c>
      <c r="M995" s="41">
        <v>990</v>
      </c>
      <c r="N995" s="57">
        <f t="shared" si="482"/>
        <v>-19999.999999999996</v>
      </c>
      <c r="O995" s="57">
        <f t="shared" si="483"/>
        <v>6500</v>
      </c>
      <c r="Q995" s="41">
        <v>990</v>
      </c>
      <c r="R995" s="57">
        <f t="shared" si="484"/>
        <v>-4999.9999999999945</v>
      </c>
      <c r="S995" s="41">
        <f t="shared" si="485"/>
        <v>-20000</v>
      </c>
      <c r="U995" s="41">
        <v>989</v>
      </c>
      <c r="V995" s="41">
        <f t="shared" si="507"/>
        <v>494.5</v>
      </c>
      <c r="W995" s="57">
        <f t="shared" si="508"/>
        <v>322191.85048604023</v>
      </c>
      <c r="X995" s="57">
        <f t="shared" si="509"/>
        <v>515756.64370918431</v>
      </c>
      <c r="Y995" s="57">
        <f t="shared" si="510"/>
        <v>170.35900423791071</v>
      </c>
      <c r="Z995" s="57">
        <f t="shared" si="511"/>
        <v>-58.065819760885702</v>
      </c>
      <c r="AA995" s="57">
        <f t="shared" si="486"/>
        <v>-4.6795564462145753</v>
      </c>
      <c r="AB995" s="57">
        <f t="shared" si="487"/>
        <v>-7.4992184976718121</v>
      </c>
      <c r="AC995" s="57">
        <f t="shared" si="488"/>
        <v>-0.76498796171806804</v>
      </c>
      <c r="AD995" s="57">
        <f t="shared" si="489"/>
        <v>-1.2866336841162311</v>
      </c>
      <c r="AE995" s="57">
        <f t="shared" si="490"/>
        <v>-0.269844988423039</v>
      </c>
      <c r="AF995" s="57">
        <f t="shared" si="491"/>
        <v>-0.39882859709467999</v>
      </c>
      <c r="AG995" s="57">
        <f t="shared" si="492"/>
        <v>-0.70650625982932391</v>
      </c>
      <c r="AH995" s="57">
        <f t="shared" si="493"/>
        <v>-1.1460642759576913</v>
      </c>
      <c r="AJ995" s="57">
        <f t="shared" si="494"/>
        <v>591307.64444128575</v>
      </c>
      <c r="AK995" s="57">
        <f t="shared" si="495"/>
        <v>610643.14062719094</v>
      </c>
      <c r="AL995" s="57">
        <f t="shared" si="496"/>
        <v>623503.90685697983</v>
      </c>
      <c r="AN995" s="41">
        <v>990</v>
      </c>
      <c r="AO995" s="57">
        <f t="shared" si="497"/>
        <v>5000.0000000000082</v>
      </c>
      <c r="AP995" s="57">
        <f t="shared" si="498"/>
        <v>7500</v>
      </c>
      <c r="AR995" s="41">
        <v>990</v>
      </c>
      <c r="AS995" s="57">
        <f t="shared" si="499"/>
        <v>15000.000000000004</v>
      </c>
      <c r="AT995" s="57">
        <f t="shared" si="500"/>
        <v>-8500</v>
      </c>
      <c r="AV995" s="57">
        <f t="shared" si="501"/>
        <v>-2.6886501864571426</v>
      </c>
      <c r="AW995" s="57">
        <f t="shared" si="502"/>
        <v>-4.2446218003876659</v>
      </c>
      <c r="AX995" s="57">
        <f t="shared" si="503"/>
        <v>-0.24956704978700173</v>
      </c>
      <c r="AY995" s="57">
        <f t="shared" si="504"/>
        <v>-0.42307014011554284</v>
      </c>
      <c r="BA995" s="57">
        <f t="shared" si="505"/>
        <v>592762.92582586966</v>
      </c>
      <c r="BB995" s="57">
        <f t="shared" si="506"/>
        <v>604610.87897282501</v>
      </c>
    </row>
    <row r="996" spans="9:54" x14ac:dyDescent="0.25">
      <c r="I996" s="41">
        <v>991</v>
      </c>
      <c r="J996" s="57">
        <f t="shared" si="480"/>
        <v>20087.262032186416</v>
      </c>
      <c r="K996" s="57">
        <f t="shared" si="481"/>
        <v>2500.7615242180436</v>
      </c>
      <c r="M996" s="41">
        <v>991</v>
      </c>
      <c r="N996" s="57">
        <f t="shared" si="482"/>
        <v>-19938.916577469507</v>
      </c>
      <c r="O996" s="57">
        <f t="shared" si="483"/>
        <v>6500.5330669526302</v>
      </c>
      <c r="Q996" s="41">
        <v>991</v>
      </c>
      <c r="R996" s="57">
        <f t="shared" si="484"/>
        <v>-4912.7379678135821</v>
      </c>
      <c r="S996" s="41">
        <f t="shared" si="485"/>
        <v>-19999.238475781956</v>
      </c>
      <c r="U996" s="41">
        <v>990</v>
      </c>
      <c r="V996" s="41">
        <f t="shared" si="507"/>
        <v>495</v>
      </c>
      <c r="W996" s="57">
        <f t="shared" si="508"/>
        <v>322276.44504360342</v>
      </c>
      <c r="X996" s="57">
        <f t="shared" si="509"/>
        <v>515726.67339699162</v>
      </c>
      <c r="Y996" s="57">
        <f t="shared" si="510"/>
        <v>168.01922601480342</v>
      </c>
      <c r="Z996" s="57">
        <f t="shared" si="511"/>
        <v>-61.815429009721612</v>
      </c>
      <c r="AA996" s="57">
        <f t="shared" si="486"/>
        <v>-4.6803510908753294</v>
      </c>
      <c r="AB996" s="57">
        <f t="shared" si="487"/>
        <v>-7.498049094511325</v>
      </c>
      <c r="AC996" s="57">
        <f t="shared" si="488"/>
        <v>-0.76513427807220913</v>
      </c>
      <c r="AD996" s="57">
        <f t="shared" si="489"/>
        <v>-1.286443767692697</v>
      </c>
      <c r="AE996" s="57">
        <f t="shared" si="490"/>
        <v>-0.26988175050021013</v>
      </c>
      <c r="AF996" s="57">
        <f t="shared" si="491"/>
        <v>-0.39876071481822484</v>
      </c>
      <c r="AG996" s="57">
        <f t="shared" si="492"/>
        <v>-0.70662472810633636</v>
      </c>
      <c r="AH996" s="57">
        <f t="shared" si="493"/>
        <v>-1.1458954561730361</v>
      </c>
      <c r="AJ996" s="57">
        <f t="shared" si="494"/>
        <v>591325.12273737451</v>
      </c>
      <c r="AK996" s="57">
        <f t="shared" si="495"/>
        <v>610665.72936171421</v>
      </c>
      <c r="AL996" s="57">
        <f t="shared" si="496"/>
        <v>623522.79295581148</v>
      </c>
      <c r="AN996" s="41">
        <v>991</v>
      </c>
      <c r="AO996" s="57">
        <f t="shared" si="497"/>
        <v>5130.8930482796268</v>
      </c>
      <c r="AP996" s="57">
        <f t="shared" si="498"/>
        <v>7501.1422863270654</v>
      </c>
      <c r="AR996" s="41">
        <v>991</v>
      </c>
      <c r="AS996" s="57">
        <f t="shared" si="499"/>
        <v>15061.083422530492</v>
      </c>
      <c r="AT996" s="57">
        <f t="shared" si="500"/>
        <v>-8499.4669330473698</v>
      </c>
      <c r="AV996" s="57">
        <f t="shared" si="501"/>
        <v>-2.6890958268850547</v>
      </c>
      <c r="AW996" s="57">
        <f t="shared" si="502"/>
        <v>-4.2439394063963229</v>
      </c>
      <c r="AX996" s="57">
        <f t="shared" si="503"/>
        <v>-0.24961450731151943</v>
      </c>
      <c r="AY996" s="57">
        <f t="shared" si="504"/>
        <v>-0.42300974943104375</v>
      </c>
      <c r="BA996" s="57">
        <f t="shared" si="505"/>
        <v>592782.88102029753</v>
      </c>
      <c r="BB996" s="57">
        <f t="shared" si="506"/>
        <v>604628.05266190867</v>
      </c>
    </row>
    <row r="997" spans="9:54" x14ac:dyDescent="0.25">
      <c r="I997" s="41">
        <v>992</v>
      </c>
      <c r="J997" s="57">
        <f t="shared" si="480"/>
        <v>20174.497483512499</v>
      </c>
      <c r="K997" s="57">
        <f t="shared" si="481"/>
        <v>2503.0458649045213</v>
      </c>
      <c r="M997" s="41">
        <v>992</v>
      </c>
      <c r="N997" s="57">
        <f t="shared" si="482"/>
        <v>-19877.851761541249</v>
      </c>
      <c r="O997" s="57">
        <f t="shared" si="483"/>
        <v>6502.1321054331647</v>
      </c>
      <c r="Q997" s="41">
        <v>992</v>
      </c>
      <c r="R997" s="57">
        <f t="shared" si="484"/>
        <v>-4825.5025164875005</v>
      </c>
      <c r="S997" s="41">
        <f t="shared" si="485"/>
        <v>-19996.954135095479</v>
      </c>
      <c r="U997" s="41">
        <v>991</v>
      </c>
      <c r="V997" s="41">
        <f t="shared" si="507"/>
        <v>495.5</v>
      </c>
      <c r="W997" s="57">
        <f t="shared" si="508"/>
        <v>322359.86961272446</v>
      </c>
      <c r="X997" s="57">
        <f t="shared" si="509"/>
        <v>515694.82842634997</v>
      </c>
      <c r="Y997" s="57">
        <f t="shared" si="510"/>
        <v>165.67905046936576</v>
      </c>
      <c r="Z997" s="57">
        <f t="shared" si="511"/>
        <v>-65.56445355697727</v>
      </c>
      <c r="AA997" s="57">
        <f t="shared" si="486"/>
        <v>-4.6811797848127954</v>
      </c>
      <c r="AB997" s="57">
        <f t="shared" si="487"/>
        <v>-7.496934681744877</v>
      </c>
      <c r="AC997" s="57">
        <f t="shared" si="488"/>
        <v>-0.76528612737826673</v>
      </c>
      <c r="AD997" s="57">
        <f t="shared" si="489"/>
        <v>-1.2862634604856868</v>
      </c>
      <c r="AE997" s="57">
        <f t="shared" si="490"/>
        <v>-0.26992049113963945</v>
      </c>
      <c r="AF997" s="57">
        <f t="shared" si="491"/>
        <v>-0.39869566666800393</v>
      </c>
      <c r="AG997" s="57">
        <f t="shared" si="492"/>
        <v>-0.70674811508321156</v>
      </c>
      <c r="AH997" s="57">
        <f t="shared" si="493"/>
        <v>-1.1457347234358513</v>
      </c>
      <c r="AJ997" s="57">
        <f t="shared" si="494"/>
        <v>591340.40483592113</v>
      </c>
      <c r="AK997" s="57">
        <f t="shared" si="495"/>
        <v>610686.12217603019</v>
      </c>
      <c r="AL997" s="57">
        <f t="shared" si="496"/>
        <v>623539.48162993893</v>
      </c>
      <c r="AN997" s="41">
        <v>992</v>
      </c>
      <c r="AO997" s="57">
        <f t="shared" si="497"/>
        <v>5261.7462252687492</v>
      </c>
      <c r="AP997" s="57">
        <f t="shared" si="498"/>
        <v>7504.5687973567819</v>
      </c>
      <c r="AR997" s="41">
        <v>992</v>
      </c>
      <c r="AS997" s="57">
        <f t="shared" si="499"/>
        <v>15122.148238458749</v>
      </c>
      <c r="AT997" s="57">
        <f t="shared" si="500"/>
        <v>-8497.8678945668362</v>
      </c>
      <c r="AV997" s="57">
        <f t="shared" si="501"/>
        <v>-2.6895613257877073</v>
      </c>
      <c r="AW997" s="57">
        <f t="shared" si="502"/>
        <v>-4.2432883785865689</v>
      </c>
      <c r="AX997" s="57">
        <f t="shared" si="503"/>
        <v>-0.24966372542397086</v>
      </c>
      <c r="AY997" s="57">
        <f t="shared" si="504"/>
        <v>-0.42295245256876574</v>
      </c>
      <c r="BA997" s="57">
        <f t="shared" si="505"/>
        <v>592800.63938350941</v>
      </c>
      <c r="BB997" s="57">
        <f t="shared" si="506"/>
        <v>604643.03005847754</v>
      </c>
    </row>
    <row r="998" spans="9:54" x14ac:dyDescent="0.25">
      <c r="I998" s="41">
        <v>993</v>
      </c>
      <c r="J998" s="57">
        <f t="shared" si="480"/>
        <v>20261.679781214727</v>
      </c>
      <c r="K998" s="57">
        <f t="shared" si="481"/>
        <v>2506.852326227131</v>
      </c>
      <c r="M998" s="41">
        <v>993</v>
      </c>
      <c r="N998" s="57">
        <f t="shared" si="482"/>
        <v>-19816.824153149693</v>
      </c>
      <c r="O998" s="57">
        <f t="shared" si="483"/>
        <v>6504.7966283589922</v>
      </c>
      <c r="Q998" s="41">
        <v>993</v>
      </c>
      <c r="R998" s="57">
        <f t="shared" si="484"/>
        <v>-4738.3202187852739</v>
      </c>
      <c r="S998" s="41">
        <f t="shared" si="485"/>
        <v>-19993.14767377287</v>
      </c>
      <c r="U998" s="41">
        <v>992</v>
      </c>
      <c r="V998" s="41">
        <f t="shared" si="507"/>
        <v>496</v>
      </c>
      <c r="W998" s="57">
        <f t="shared" si="508"/>
        <v>322442.12399048608</v>
      </c>
      <c r="X998" s="57">
        <f t="shared" si="509"/>
        <v>515661.10908273625</v>
      </c>
      <c r="Y998" s="57">
        <f t="shared" si="510"/>
        <v>163.33846057695936</v>
      </c>
      <c r="Z998" s="57">
        <f t="shared" si="511"/>
        <v>-69.312920897849708</v>
      </c>
      <c r="AA998" s="57">
        <f t="shared" si="486"/>
        <v>-4.6820425493099513</v>
      </c>
      <c r="AB998" s="57">
        <f t="shared" si="487"/>
        <v>-7.4958752218048401</v>
      </c>
      <c r="AC998" s="57">
        <f t="shared" si="488"/>
        <v>-0.7654435137654968</v>
      </c>
      <c r="AD998" s="57">
        <f t="shared" si="489"/>
        <v>-1.2860927564028657</v>
      </c>
      <c r="AE998" s="57">
        <f t="shared" si="490"/>
        <v>-0.26996121121530708</v>
      </c>
      <c r="AF998" s="57">
        <f t="shared" si="491"/>
        <v>-0.39863345046955606</v>
      </c>
      <c r="AG998" s="57">
        <f t="shared" si="492"/>
        <v>-0.70687642380362192</v>
      </c>
      <c r="AH998" s="57">
        <f t="shared" si="493"/>
        <v>-1.1455820725465589</v>
      </c>
      <c r="AJ998" s="57">
        <f t="shared" si="494"/>
        <v>591353.4908564192</v>
      </c>
      <c r="AK998" s="57">
        <f t="shared" si="495"/>
        <v>610704.31922649627</v>
      </c>
      <c r="AL998" s="57">
        <f t="shared" si="496"/>
        <v>623553.97300981137</v>
      </c>
      <c r="AN998" s="41">
        <v>993</v>
      </c>
      <c r="AO998" s="57">
        <f t="shared" si="497"/>
        <v>5392.5196718220895</v>
      </c>
      <c r="AP998" s="57">
        <f t="shared" si="498"/>
        <v>7510.2784893406961</v>
      </c>
      <c r="AR998" s="41">
        <v>993</v>
      </c>
      <c r="AS998" s="57">
        <f t="shared" si="499"/>
        <v>15183.175846850309</v>
      </c>
      <c r="AT998" s="57">
        <f t="shared" si="500"/>
        <v>-8495.2033716410078</v>
      </c>
      <c r="AV998" s="57">
        <f t="shared" si="501"/>
        <v>-2.6900466950920179</v>
      </c>
      <c r="AW998" s="57">
        <f t="shared" si="502"/>
        <v>-4.2426686947491676</v>
      </c>
      <c r="AX998" s="57">
        <f t="shared" si="503"/>
        <v>-0.24971470543350804</v>
      </c>
      <c r="AY998" s="57">
        <f t="shared" si="504"/>
        <v>-0.4228982476366917</v>
      </c>
      <c r="BA998" s="57">
        <f t="shared" si="505"/>
        <v>592816.20105353626</v>
      </c>
      <c r="BB998" s="57">
        <f t="shared" si="506"/>
        <v>604655.81128030713</v>
      </c>
    </row>
    <row r="999" spans="9:54" x14ac:dyDescent="0.25">
      <c r="I999" s="41">
        <v>994</v>
      </c>
      <c r="J999" s="57">
        <f t="shared" si="480"/>
        <v>20348.782368720629</v>
      </c>
      <c r="K999" s="57">
        <f t="shared" si="481"/>
        <v>2512.1797487008789</v>
      </c>
      <c r="M999" s="41">
        <v>994</v>
      </c>
      <c r="N999" s="57">
        <f t="shared" si="482"/>
        <v>-19755.852341895559</v>
      </c>
      <c r="O999" s="57">
        <f t="shared" si="483"/>
        <v>6508.5258240906151</v>
      </c>
      <c r="Q999" s="41">
        <v>994</v>
      </c>
      <c r="R999" s="57">
        <f t="shared" si="484"/>
        <v>-4651.2176312793717</v>
      </c>
      <c r="S999" s="41">
        <f t="shared" si="485"/>
        <v>-19987.820251299119</v>
      </c>
      <c r="U999" s="41">
        <v>993</v>
      </c>
      <c r="V999" s="41">
        <f t="shared" si="507"/>
        <v>496.5</v>
      </c>
      <c r="W999" s="57">
        <f t="shared" si="508"/>
        <v>322523.20796545589</v>
      </c>
      <c r="X999" s="57">
        <f t="shared" si="509"/>
        <v>515625.51563788461</v>
      </c>
      <c r="Y999" s="57">
        <f t="shared" si="510"/>
        <v>160.9974393023044</v>
      </c>
      <c r="Z999" s="57">
        <f t="shared" si="511"/>
        <v>-73.060858508752133</v>
      </c>
      <c r="AA999" s="57">
        <f t="shared" si="486"/>
        <v>-4.6829394070124817</v>
      </c>
      <c r="AB999" s="57">
        <f t="shared" si="487"/>
        <v>-7.4948706793419788</v>
      </c>
      <c r="AC999" s="57">
        <f t="shared" si="488"/>
        <v>-0.76560644158331836</v>
      </c>
      <c r="AD999" s="57">
        <f t="shared" si="489"/>
        <v>-1.2859316497451361</v>
      </c>
      <c r="AE999" s="57">
        <f t="shared" si="490"/>
        <v>-0.27000391168082949</v>
      </c>
      <c r="AF999" s="57">
        <f t="shared" si="491"/>
        <v>-0.39857406415986163</v>
      </c>
      <c r="AG999" s="57">
        <f t="shared" si="492"/>
        <v>-0.70700965750113931</v>
      </c>
      <c r="AH999" s="57">
        <f t="shared" si="493"/>
        <v>-1.1454374986216986</v>
      </c>
      <c r="AJ999" s="57">
        <f t="shared" si="494"/>
        <v>591364.38090231351</v>
      </c>
      <c r="AK999" s="57">
        <f t="shared" si="495"/>
        <v>610720.32065342611</v>
      </c>
      <c r="AL999" s="57">
        <f t="shared" si="496"/>
        <v>623566.26720979239</v>
      </c>
      <c r="AN999" s="41">
        <v>994</v>
      </c>
      <c r="AO999" s="57">
        <f t="shared" si="497"/>
        <v>5523.1735530809419</v>
      </c>
      <c r="AP999" s="57">
        <f t="shared" si="498"/>
        <v>7518.2696230513184</v>
      </c>
      <c r="AR999" s="41">
        <v>994</v>
      </c>
      <c r="AS999" s="57">
        <f t="shared" si="499"/>
        <v>15244.147658104439</v>
      </c>
      <c r="AT999" s="57">
        <f t="shared" si="500"/>
        <v>-8491.4741759093849</v>
      </c>
      <c r="AV999" s="57">
        <f t="shared" si="501"/>
        <v>-2.6905519475292614</v>
      </c>
      <c r="AW999" s="57">
        <f t="shared" si="502"/>
        <v>-4.2420803339480306</v>
      </c>
      <c r="AX999" s="57">
        <f t="shared" si="503"/>
        <v>-0.24976744871793297</v>
      </c>
      <c r="AY999" s="57">
        <f t="shared" si="504"/>
        <v>-0.42284713286725223</v>
      </c>
      <c r="BA999" s="57">
        <f t="shared" si="505"/>
        <v>592829.56615234027</v>
      </c>
      <c r="BB999" s="57">
        <f t="shared" si="506"/>
        <v>604666.39642912045</v>
      </c>
    </row>
    <row r="1000" spans="9:54" x14ac:dyDescent="0.25">
      <c r="I1000" s="41">
        <v>995</v>
      </c>
      <c r="J1000" s="57">
        <f t="shared" si="480"/>
        <v>20435.778713738287</v>
      </c>
      <c r="K1000" s="57">
        <f t="shared" si="481"/>
        <v>2519.0265095412724</v>
      </c>
      <c r="M1000" s="41">
        <v>995</v>
      </c>
      <c r="N1000" s="57">
        <f t="shared" si="482"/>
        <v>-19694.9549003832</v>
      </c>
      <c r="O1000" s="57">
        <f t="shared" si="483"/>
        <v>6513.3185566788907</v>
      </c>
      <c r="Q1000" s="41">
        <v>995</v>
      </c>
      <c r="R1000" s="57">
        <f t="shared" si="484"/>
        <v>-4564.2212862617125</v>
      </c>
      <c r="S1000" s="41">
        <f t="shared" si="485"/>
        <v>-19980.973490458728</v>
      </c>
      <c r="U1000" s="41">
        <v>994</v>
      </c>
      <c r="V1000" s="41">
        <f t="shared" si="507"/>
        <v>497</v>
      </c>
      <c r="W1000" s="57">
        <f t="shared" si="508"/>
        <v>322603.12131768116</v>
      </c>
      <c r="X1000" s="57">
        <f t="shared" si="509"/>
        <v>515588.04834979528</v>
      </c>
      <c r="Y1000" s="57">
        <f t="shared" si="510"/>
        <v>158.65596959879815</v>
      </c>
      <c r="Z1000" s="57">
        <f t="shared" si="511"/>
        <v>-76.808293848423119</v>
      </c>
      <c r="AA1000" s="57">
        <f t="shared" si="486"/>
        <v>-4.6838703819302587</v>
      </c>
      <c r="AB1000" s="57">
        <f t="shared" si="487"/>
        <v>-7.4939210212221763</v>
      </c>
      <c r="AC1000" s="57">
        <f t="shared" si="488"/>
        <v>-0.76577491540163289</v>
      </c>
      <c r="AD1000" s="57">
        <f t="shared" si="489"/>
        <v>-1.2857801352061307</v>
      </c>
      <c r="AE1000" s="57">
        <f t="shared" si="490"/>
        <v>-0.27004859356950434</v>
      </c>
      <c r="AF1000" s="57">
        <f t="shared" si="491"/>
        <v>-0.39851750578714451</v>
      </c>
      <c r="AG1000" s="57">
        <f t="shared" si="492"/>
        <v>-0.70714781959948003</v>
      </c>
      <c r="AH1000" s="57">
        <f t="shared" si="493"/>
        <v>-1.1453009970935553</v>
      </c>
      <c r="AJ1000" s="57">
        <f t="shared" si="494"/>
        <v>591373.07506100344</v>
      </c>
      <c r="AK1000" s="57">
        <f t="shared" si="495"/>
        <v>610734.12658109481</v>
      </c>
      <c r="AL1000" s="57">
        <f t="shared" si="496"/>
        <v>623576.36432816472</v>
      </c>
      <c r="AN1000" s="41">
        <v>995</v>
      </c>
      <c r="AO1000" s="57">
        <f t="shared" si="497"/>
        <v>5653.6680706074303</v>
      </c>
      <c r="AP1000" s="57">
        <f t="shared" si="498"/>
        <v>7528.5397643119086</v>
      </c>
      <c r="AR1000" s="41">
        <v>995</v>
      </c>
      <c r="AS1000" s="57">
        <f t="shared" si="499"/>
        <v>15305.0450996168</v>
      </c>
      <c r="AT1000" s="57">
        <f t="shared" si="500"/>
        <v>-8486.6814433211093</v>
      </c>
      <c r="AV1000" s="57">
        <f t="shared" si="501"/>
        <v>-2.6910770966358517</v>
      </c>
      <c r="AW1000" s="57">
        <f t="shared" si="502"/>
        <v>-4.2415232765181878</v>
      </c>
      <c r="AX1000" s="57">
        <f t="shared" si="503"/>
        <v>-0.24982195672379018</v>
      </c>
      <c r="AY1000" s="57">
        <f t="shared" si="504"/>
        <v>-0.4227991066171583</v>
      </c>
      <c r="BA1000" s="57">
        <f t="shared" si="505"/>
        <v>592840.73478581978</v>
      </c>
      <c r="BB1000" s="57">
        <f t="shared" si="506"/>
        <v>604674.78559059242</v>
      </c>
    </row>
    <row r="1001" spans="9:54" x14ac:dyDescent="0.25">
      <c r="I1001" s="41">
        <v>996</v>
      </c>
      <c r="J1001" s="57">
        <f t="shared" si="480"/>
        <v>20522.642316338257</v>
      </c>
      <c r="K1001" s="57">
        <f t="shared" si="481"/>
        <v>2527.3905231586323</v>
      </c>
      <c r="M1001" s="41">
        <v>996</v>
      </c>
      <c r="N1001" s="57">
        <f t="shared" si="482"/>
        <v>-19634.150378563219</v>
      </c>
      <c r="O1001" s="57">
        <f t="shared" si="483"/>
        <v>6519.1733662110428</v>
      </c>
      <c r="Q1001" s="41">
        <v>996</v>
      </c>
      <c r="R1001" s="57">
        <f t="shared" si="484"/>
        <v>-4477.3576836617422</v>
      </c>
      <c r="S1001" s="41">
        <f t="shared" si="485"/>
        <v>-19972.609476841368</v>
      </c>
      <c r="U1001" s="41">
        <v>995</v>
      </c>
      <c r="V1001" s="41">
        <f t="shared" si="507"/>
        <v>497.5</v>
      </c>
      <c r="W1001" s="57">
        <f t="shared" si="508"/>
        <v>322681.86381868279</v>
      </c>
      <c r="X1001" s="57">
        <f t="shared" si="509"/>
        <v>515548.70746274345</v>
      </c>
      <c r="Y1001" s="57">
        <f t="shared" si="510"/>
        <v>156.31403440783302</v>
      </c>
      <c r="Z1001" s="57">
        <f t="shared" si="511"/>
        <v>-80.555254359034208</v>
      </c>
      <c r="AA1001" s="57">
        <f t="shared" si="486"/>
        <v>-4.6848354994391723</v>
      </c>
      <c r="AB1001" s="57">
        <f t="shared" si="487"/>
        <v>-7.4930262165237078</v>
      </c>
      <c r="AC1001" s="57">
        <f t="shared" si="488"/>
        <v>-0.76594894001115965</v>
      </c>
      <c r="AD1001" s="57">
        <f t="shared" si="489"/>
        <v>-1.2856382078717357</v>
      </c>
      <c r="AE1001" s="57">
        <f t="shared" si="490"/>
        <v>-0.27009525799439149</v>
      </c>
      <c r="AF1001" s="57">
        <f t="shared" si="491"/>
        <v>-0.39846377351072543</v>
      </c>
      <c r="AG1001" s="57">
        <f t="shared" si="492"/>
        <v>-0.70729091371274044</v>
      </c>
      <c r="AH1001" s="57">
        <f t="shared" si="493"/>
        <v>-1.1451725637097716</v>
      </c>
      <c r="AJ1001" s="57">
        <f t="shared" si="494"/>
        <v>591379.57340384682</v>
      </c>
      <c r="AK1001" s="57">
        <f t="shared" si="495"/>
        <v>610745.73711774428</v>
      </c>
      <c r="AL1001" s="57">
        <f t="shared" si="496"/>
        <v>623584.26444713422</v>
      </c>
      <c r="AN1001" s="41">
        <v>996</v>
      </c>
      <c r="AO1001" s="57">
        <f t="shared" si="497"/>
        <v>5783.9634745073872</v>
      </c>
      <c r="AP1001" s="57">
        <f t="shared" si="498"/>
        <v>7541.0857847379484</v>
      </c>
      <c r="AR1001" s="41">
        <v>996</v>
      </c>
      <c r="AS1001" s="57">
        <f t="shared" si="499"/>
        <v>15365.849621436781</v>
      </c>
      <c r="AT1001" s="57">
        <f t="shared" si="500"/>
        <v>-8480.8266337889581</v>
      </c>
      <c r="AV1001" s="57">
        <f t="shared" si="501"/>
        <v>-2.6916221567543968</v>
      </c>
      <c r="AW1001" s="57">
        <f t="shared" si="502"/>
        <v>-4.240997504064195</v>
      </c>
      <c r="AX1001" s="57">
        <f t="shared" si="503"/>
        <v>-0.24987823096648398</v>
      </c>
      <c r="AY1001" s="57">
        <f t="shared" si="504"/>
        <v>-0.42275416736728016</v>
      </c>
      <c r="BA1001" s="57">
        <f t="shared" si="505"/>
        <v>592849.70704381331</v>
      </c>
      <c r="BB1001" s="57">
        <f t="shared" si="506"/>
        <v>604680.97883435304</v>
      </c>
    </row>
    <row r="1002" spans="9:54" x14ac:dyDescent="0.25">
      <c r="I1002" s="41">
        <v>997</v>
      </c>
      <c r="J1002" s="57">
        <f t="shared" si="480"/>
        <v>20609.346717025739</v>
      </c>
      <c r="K1002" s="57">
        <f t="shared" si="481"/>
        <v>2537.2692417933904</v>
      </c>
      <c r="M1002" s="41">
        <v>997</v>
      </c>
      <c r="N1002" s="57">
        <f t="shared" si="482"/>
        <v>-19573.457298081983</v>
      </c>
      <c r="O1002" s="57">
        <f t="shared" si="483"/>
        <v>6526.0884692553736</v>
      </c>
      <c r="Q1002" s="41">
        <v>997</v>
      </c>
      <c r="R1002" s="57">
        <f t="shared" si="484"/>
        <v>-4390.6532829742591</v>
      </c>
      <c r="S1002" s="41">
        <f t="shared" si="485"/>
        <v>-19962.73075820661</v>
      </c>
      <c r="U1002" s="41">
        <v>996</v>
      </c>
      <c r="V1002" s="41">
        <f t="shared" si="507"/>
        <v>498</v>
      </c>
      <c r="W1002" s="57">
        <f t="shared" si="508"/>
        <v>322759.43523144926</v>
      </c>
      <c r="X1002" s="57">
        <f t="shared" si="509"/>
        <v>515507.49320728687</v>
      </c>
      <c r="Y1002" s="57">
        <f t="shared" si="510"/>
        <v>153.97161665811345</v>
      </c>
      <c r="Z1002" s="57">
        <f t="shared" si="511"/>
        <v>-84.30176746729606</v>
      </c>
      <c r="AA1002" s="57">
        <f t="shared" si="486"/>
        <v>-4.6858347862828937</v>
      </c>
      <c r="AB1002" s="57">
        <f t="shared" si="487"/>
        <v>-7.4921862365344429</v>
      </c>
      <c r="AC1002" s="57">
        <f t="shared" si="488"/>
        <v>-0.76612852042382862</v>
      </c>
      <c r="AD1002" s="57">
        <f t="shared" si="489"/>
        <v>-1.2855058632197125</v>
      </c>
      <c r="AE1002" s="57">
        <f t="shared" si="490"/>
        <v>-0.27014390614836764</v>
      </c>
      <c r="AF1002" s="57">
        <f t="shared" si="491"/>
        <v>-0.39841286560083616</v>
      </c>
      <c r="AG1002" s="57">
        <f t="shared" si="492"/>
        <v>-0.70743894364564708</v>
      </c>
      <c r="AH1002" s="57">
        <f t="shared" si="493"/>
        <v>-1.1450521945329868</v>
      </c>
      <c r="AJ1002" s="57">
        <f t="shared" si="494"/>
        <v>591383.87598616327</v>
      </c>
      <c r="AK1002" s="57">
        <f t="shared" si="495"/>
        <v>610755.15235558781</v>
      </c>
      <c r="AL1002" s="57">
        <f t="shared" si="496"/>
        <v>623589.96763283329</v>
      </c>
      <c r="AN1002" s="41">
        <v>997</v>
      </c>
      <c r="AO1002" s="57">
        <f t="shared" si="497"/>
        <v>5914.0200755386104</v>
      </c>
      <c r="AP1002" s="57">
        <f t="shared" si="498"/>
        <v>7555.9038626900847</v>
      </c>
      <c r="AR1002" s="41">
        <v>997</v>
      </c>
      <c r="AS1002" s="57">
        <f t="shared" si="499"/>
        <v>15426.542701918019</v>
      </c>
      <c r="AT1002" s="57">
        <f t="shared" si="500"/>
        <v>-8473.9115307446264</v>
      </c>
      <c r="AV1002" s="57">
        <f t="shared" si="501"/>
        <v>-2.6921871430346642</v>
      </c>
      <c r="AW1002" s="57">
        <f t="shared" si="502"/>
        <v>-4.240502999458398</v>
      </c>
      <c r="AX1002" s="57">
        <f t="shared" si="503"/>
        <v>-0.24993627303038682</v>
      </c>
      <c r="AY1002" s="57">
        <f t="shared" si="504"/>
        <v>-0.42271231372250939</v>
      </c>
      <c r="BA1002" s="57">
        <f t="shared" si="505"/>
        <v>592856.48300010338</v>
      </c>
      <c r="BB1002" s="57">
        <f t="shared" si="506"/>
        <v>604684.97621399059</v>
      </c>
    </row>
    <row r="1003" spans="9:54" x14ac:dyDescent="0.25">
      <c r="I1003" s="41">
        <v>998</v>
      </c>
      <c r="J1003" s="57">
        <f t="shared" si="480"/>
        <v>20695.865504800324</v>
      </c>
      <c r="K1003" s="57">
        <f t="shared" si="481"/>
        <v>2548.6596562921486</v>
      </c>
      <c r="M1003" s="41">
        <v>998</v>
      </c>
      <c r="N1003" s="57">
        <f t="shared" si="482"/>
        <v>-19512.894146639774</v>
      </c>
      <c r="O1003" s="57">
        <f t="shared" si="483"/>
        <v>6534.0617594045034</v>
      </c>
      <c r="Q1003" s="41">
        <v>998</v>
      </c>
      <c r="R1003" s="57">
        <f t="shared" si="484"/>
        <v>-4304.1344951996753</v>
      </c>
      <c r="S1003" s="41">
        <f t="shared" si="485"/>
        <v>-19951.340343707852</v>
      </c>
      <c r="U1003" s="41">
        <v>997</v>
      </c>
      <c r="V1003" s="41">
        <f t="shared" si="507"/>
        <v>498.5</v>
      </c>
      <c r="W1003" s="57">
        <f t="shared" si="508"/>
        <v>322835.83531043003</v>
      </c>
      <c r="X1003" s="57">
        <f t="shared" si="509"/>
        <v>515464.40580027364</v>
      </c>
      <c r="Y1003" s="57">
        <f t="shared" si="510"/>
        <v>151.628699264972</v>
      </c>
      <c r="Z1003" s="57">
        <f t="shared" si="511"/>
        <v>-88.047860585563285</v>
      </c>
      <c r="AA1003" s="57">
        <f t="shared" si="486"/>
        <v>-4.6868682705750748</v>
      </c>
      <c r="AB1003" s="57">
        <f t="shared" si="487"/>
        <v>-7.4914010547497156</v>
      </c>
      <c r="AC1003" s="57">
        <f t="shared" si="488"/>
        <v>-0.76631366187314354</v>
      </c>
      <c r="AD1003" s="57">
        <f t="shared" si="489"/>
        <v>-1.2853830971192748</v>
      </c>
      <c r="AE1003" s="57">
        <f t="shared" si="490"/>
        <v>-0.27019453930423287</v>
      </c>
      <c r="AF1003" s="57">
        <f t="shared" si="491"/>
        <v>-0.39836478043851037</v>
      </c>
      <c r="AG1003" s="57">
        <f t="shared" si="492"/>
        <v>-0.70759191339383642</v>
      </c>
      <c r="AH1003" s="57">
        <f t="shared" si="493"/>
        <v>-1.144939885940524</v>
      </c>
      <c r="AJ1003" s="57">
        <f t="shared" si="494"/>
        <v>591385.98284723575</v>
      </c>
      <c r="AK1003" s="57">
        <f t="shared" si="495"/>
        <v>610762.37237081339</v>
      </c>
      <c r="AL1003" s="57">
        <f t="shared" si="496"/>
        <v>623593.47393532342</v>
      </c>
      <c r="AN1003" s="41">
        <v>998</v>
      </c>
      <c r="AO1003" s="57">
        <f t="shared" si="497"/>
        <v>6043.7982572004876</v>
      </c>
      <c r="AP1003" s="57">
        <f t="shared" si="498"/>
        <v>7572.9894844382225</v>
      </c>
      <c r="AR1003" s="41">
        <v>998</v>
      </c>
      <c r="AS1003" s="57">
        <f t="shared" si="499"/>
        <v>15487.105853360228</v>
      </c>
      <c r="AT1003" s="57">
        <f t="shared" si="500"/>
        <v>-8465.9382405954966</v>
      </c>
      <c r="AV1003" s="57">
        <f t="shared" si="501"/>
        <v>-2.6927720714349013</v>
      </c>
      <c r="AW1003" s="57">
        <f t="shared" si="502"/>
        <v>-4.240039746839761</v>
      </c>
      <c r="AX1003" s="57">
        <f t="shared" si="503"/>
        <v>-0.24999608456896025</v>
      </c>
      <c r="AY1003" s="57">
        <f t="shared" si="504"/>
        <v>-0.4226735444116449</v>
      </c>
      <c r="BA1003" s="57">
        <f t="shared" si="505"/>
        <v>592861.06271241978</v>
      </c>
      <c r="BB1003" s="57">
        <f t="shared" si="506"/>
        <v>604686.77776705369</v>
      </c>
    </row>
    <row r="1004" spans="9:54" x14ac:dyDescent="0.25">
      <c r="I1004" s="41">
        <v>999</v>
      </c>
      <c r="J1004" s="57">
        <f t="shared" si="480"/>
        <v>20782.172325201147</v>
      </c>
      <c r="K1004" s="57">
        <f t="shared" si="481"/>
        <v>2561.5582970243104</v>
      </c>
      <c r="M1004" s="41">
        <v>999</v>
      </c>
      <c r="N1004" s="57">
        <f t="shared" si="482"/>
        <v>-19452.479372359197</v>
      </c>
      <c r="O1004" s="57">
        <f t="shared" si="483"/>
        <v>6543.0908079170167</v>
      </c>
      <c r="Q1004" s="41">
        <v>999</v>
      </c>
      <c r="R1004" s="57">
        <f t="shared" si="484"/>
        <v>-4217.827674798853</v>
      </c>
      <c r="S1004" s="41">
        <f t="shared" si="485"/>
        <v>-19938.441702975688</v>
      </c>
      <c r="U1004" s="41">
        <v>998</v>
      </c>
      <c r="V1004" s="41">
        <f t="shared" si="507"/>
        <v>499</v>
      </c>
      <c r="W1004" s="57">
        <f t="shared" si="508"/>
        <v>322911.06380152871</v>
      </c>
      <c r="X1004" s="57">
        <f t="shared" si="509"/>
        <v>515419.44544484897</v>
      </c>
      <c r="Y1004" s="57">
        <f t="shared" si="510"/>
        <v>149.28526512968446</v>
      </c>
      <c r="Z1004" s="57">
        <f t="shared" si="511"/>
        <v>-91.793561112938136</v>
      </c>
      <c r="AA1004" s="57">
        <f t="shared" si="486"/>
        <v>-4.6879359818012434</v>
      </c>
      <c r="AB1004" s="57">
        <f t="shared" si="487"/>
        <v>-7.4906706468697424</v>
      </c>
      <c r="AC1004" s="57">
        <f t="shared" si="488"/>
        <v>-0.76650436981459802</v>
      </c>
      <c r="AD1004" s="57">
        <f t="shared" si="489"/>
        <v>-1.2852699058307533</v>
      </c>
      <c r="AE1004" s="57">
        <f t="shared" si="490"/>
        <v>-0.2702471588147769</v>
      </c>
      <c r="AF1004" s="57">
        <f t="shared" si="491"/>
        <v>-0.3983195165154122</v>
      </c>
      <c r="AG1004" s="57">
        <f t="shared" si="492"/>
        <v>-0.70774982714415002</v>
      </c>
      <c r="AH1004" s="57">
        <f t="shared" si="493"/>
        <v>-1.1448356346241029</v>
      </c>
      <c r="AJ1004" s="57">
        <f t="shared" si="494"/>
        <v>591385.89401031262</v>
      </c>
      <c r="AK1004" s="57">
        <f t="shared" si="495"/>
        <v>610767.39722358692</v>
      </c>
      <c r="AL1004" s="57">
        <f t="shared" si="496"/>
        <v>623594.78338859708</v>
      </c>
      <c r="AN1004" s="41">
        <v>999</v>
      </c>
      <c r="AO1004" s="57">
        <f t="shared" si="497"/>
        <v>6173.2584878017196</v>
      </c>
      <c r="AP1004" s="57">
        <f t="shared" si="498"/>
        <v>7592.3374455364647</v>
      </c>
      <c r="AR1004" s="41">
        <v>999</v>
      </c>
      <c r="AS1004" s="57">
        <f t="shared" si="499"/>
        <v>15547.520627640803</v>
      </c>
      <c r="AT1004" s="57">
        <f t="shared" si="500"/>
        <v>-8456.9091920829833</v>
      </c>
      <c r="AV1004" s="57">
        <f t="shared" si="501"/>
        <v>-2.6933769587228338</v>
      </c>
      <c r="AW1004" s="57">
        <f t="shared" si="502"/>
        <v>-4.2396077316121801</v>
      </c>
      <c r="AX1004" s="57">
        <f t="shared" si="503"/>
        <v>-0.25005766730488432</v>
      </c>
      <c r="AY1004" s="57">
        <f t="shared" si="504"/>
        <v>-0.42263785828729394</v>
      </c>
      <c r="BA1004" s="57">
        <f t="shared" si="505"/>
        <v>592863.4462224415</v>
      </c>
      <c r="BB1004" s="57">
        <f t="shared" si="506"/>
        <v>604686.38351505261</v>
      </c>
    </row>
    <row r="1005" spans="9:54" x14ac:dyDescent="0.25">
      <c r="I1005" s="41">
        <v>1000</v>
      </c>
      <c r="J1005" s="57">
        <f t="shared" si="480"/>
        <v>20868.24088833464</v>
      </c>
      <c r="K1005" s="57">
        <f t="shared" si="481"/>
        <v>2575.9612349389572</v>
      </c>
      <c r="M1005" s="41">
        <v>1000</v>
      </c>
      <c r="N1005" s="57">
        <f t="shared" si="482"/>
        <v>-19392.231378165754</v>
      </c>
      <c r="O1005" s="57">
        <f t="shared" si="483"/>
        <v>6553.1728644572704</v>
      </c>
      <c r="Q1005" s="41">
        <v>1000</v>
      </c>
      <c r="R1005" s="57">
        <f t="shared" si="484"/>
        <v>-4131.7591116653612</v>
      </c>
      <c r="S1005" s="41">
        <f t="shared" si="485"/>
        <v>-19924.038765061043</v>
      </c>
      <c r="U1005" s="41">
        <v>999</v>
      </c>
      <c r="V1005" s="41">
        <f t="shared" si="507"/>
        <v>499.5</v>
      </c>
      <c r="W1005" s="57">
        <f t="shared" si="508"/>
        <v>322985.12044209579</v>
      </c>
      <c r="X1005" s="57">
        <f t="shared" si="509"/>
        <v>515372.61233046162</v>
      </c>
      <c r="Y1005" s="57">
        <f t="shared" si="510"/>
        <v>146.94129713878385</v>
      </c>
      <c r="Z1005" s="57">
        <f t="shared" si="511"/>
        <v>-95.538896436373008</v>
      </c>
      <c r="AA1005" s="57">
        <f t="shared" si="486"/>
        <v>-4.6890379508211666</v>
      </c>
      <c r="AB1005" s="57">
        <f t="shared" si="487"/>
        <v>-7.4899949907977694</v>
      </c>
      <c r="AC1005" s="57">
        <f t="shared" si="488"/>
        <v>-0.76670064992611831</v>
      </c>
      <c r="AD1005" s="57">
        <f t="shared" si="489"/>
        <v>-1.2851662860053124</v>
      </c>
      <c r="AE1005" s="57">
        <f t="shared" si="490"/>
        <v>-0.27030176611289131</v>
      </c>
      <c r="AF1005" s="57">
        <f t="shared" si="491"/>
        <v>-0.39827707243373328</v>
      </c>
      <c r="AG1005" s="57">
        <f t="shared" si="492"/>
        <v>-0.70791268927493012</v>
      </c>
      <c r="AH1005" s="57">
        <f t="shared" si="493"/>
        <v>-1.1447394375895545</v>
      </c>
      <c r="AJ1005" s="57">
        <f t="shared" si="494"/>
        <v>591383.60948260874</v>
      </c>
      <c r="AK1005" s="57">
        <f t="shared" si="495"/>
        <v>610770.22695805505</v>
      </c>
      <c r="AL1005" s="57">
        <f t="shared" si="496"/>
        <v>623593.89601058012</v>
      </c>
      <c r="AN1005" s="41">
        <v>1000</v>
      </c>
      <c r="AO1005" s="57">
        <f t="shared" si="497"/>
        <v>6302.3613325019578</v>
      </c>
      <c r="AP1005" s="57">
        <f t="shared" si="498"/>
        <v>7613.9418524084358</v>
      </c>
      <c r="AR1005" s="41">
        <v>1000</v>
      </c>
      <c r="AS1005" s="57">
        <f t="shared" si="499"/>
        <v>15607.768621834248</v>
      </c>
      <c r="AT1005" s="57">
        <f t="shared" si="500"/>
        <v>-8446.8271355427296</v>
      </c>
      <c r="AV1005" s="57">
        <f t="shared" si="501"/>
        <v>-2.6940018224770395</v>
      </c>
      <c r="AW1005" s="57">
        <f t="shared" si="502"/>
        <v>-4.2392069404433936</v>
      </c>
      <c r="AX1005" s="57">
        <f t="shared" si="503"/>
        <v>-0.25012102303018774</v>
      </c>
      <c r="AY1005" s="57">
        <f t="shared" si="504"/>
        <v>-0.42260525432577511</v>
      </c>
      <c r="BA1005" s="57">
        <f t="shared" si="505"/>
        <v>592863.63355579891</v>
      </c>
      <c r="BB1005" s="57">
        <f t="shared" si="506"/>
        <v>604683.79346346064</v>
      </c>
    </row>
    <row r="1006" spans="9:54" x14ac:dyDescent="0.25">
      <c r="U1006" s="41">
        <v>1000</v>
      </c>
      <c r="V1006" s="41">
        <v>500</v>
      </c>
      <c r="W1006" s="57">
        <f t="shared" si="508"/>
        <v>323058.00496092136</v>
      </c>
      <c r="X1006" s="57">
        <f t="shared" si="509"/>
        <v>515323.90663286962</v>
      </c>
      <c r="Y1006" s="57">
        <f t="shared" si="510"/>
        <v>144.59677816337327</v>
      </c>
      <c r="Z1006" s="57">
        <f t="shared" si="511"/>
        <v>-99.2838939317719</v>
      </c>
      <c r="AA1006" s="57">
        <f t="shared" si="486"/>
        <v>-1.7453413751765636</v>
      </c>
      <c r="AB1006" s="57">
        <f t="shared" si="487"/>
        <v>-2.8279609737473876</v>
      </c>
      <c r="AC1006" s="57">
        <f t="shared" si="488"/>
        <v>-0.76690250810850802</v>
      </c>
      <c r="AD1006" s="57">
        <f t="shared" si="489"/>
        <v>-1.2850722346846681</v>
      </c>
      <c r="AE1006" s="57">
        <f t="shared" si="490"/>
        <v>-0.27035836271167557</v>
      </c>
      <c r="AF1006" s="57">
        <f t="shared" si="491"/>
        <v>-0.39823744690607893</v>
      </c>
      <c r="AG1006" s="57">
        <f t="shared" si="492"/>
        <v>-0.70808050435638004</v>
      </c>
      <c r="AH1006" s="57">
        <f t="shared" si="493"/>
        <v>-1.1446512921566403</v>
      </c>
      <c r="AJ1006" s="57">
        <f t="shared" si="494"/>
        <v>591379.12925530551</v>
      </c>
      <c r="AK1006" s="57">
        <f t="shared" si="495"/>
        <v>610770.86160234641</v>
      </c>
      <c r="AL1006" s="57">
        <f t="shared" si="496"/>
        <v>623590.81180313148</v>
      </c>
      <c r="BA1006" s="57">
        <f t="shared" si="505"/>
        <v>592861.62472207448</v>
      </c>
      <c r="BB1006" s="57">
        <f t="shared" si="506"/>
        <v>604679.00760171446</v>
      </c>
    </row>
  </sheetData>
  <mergeCells count="20">
    <mergeCell ref="E10:G10"/>
    <mergeCell ref="E11:G11"/>
    <mergeCell ref="E21:G21"/>
    <mergeCell ref="E22:G22"/>
    <mergeCell ref="AR4:AT4"/>
    <mergeCell ref="B50:G50"/>
    <mergeCell ref="E54:G54"/>
    <mergeCell ref="E55:G55"/>
    <mergeCell ref="AN4:AP4"/>
    <mergeCell ref="B39:G39"/>
    <mergeCell ref="E43:G43"/>
    <mergeCell ref="E44:G44"/>
    <mergeCell ref="I4:K4"/>
    <mergeCell ref="M4:O4"/>
    <mergeCell ref="Q4:S4"/>
    <mergeCell ref="E32:G32"/>
    <mergeCell ref="E33:G33"/>
    <mergeCell ref="B6:G6"/>
    <mergeCell ref="B17:G17"/>
    <mergeCell ref="B28:G28"/>
  </mergeCell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463F0-2868-49EB-AE33-D95A577A5578}">
  <sheetPr codeName="Feuil3"/>
  <dimension ref="B1:AB75"/>
  <sheetViews>
    <sheetView tabSelected="1" zoomScale="130" zoomScaleNormal="130" workbookViewId="0">
      <selection activeCell="Y11" sqref="Y11"/>
    </sheetView>
  </sheetViews>
  <sheetFormatPr baseColWidth="10" defaultRowHeight="15" x14ac:dyDescent="0.25"/>
  <cols>
    <col min="1" max="1" width="1.140625" customWidth="1"/>
    <col min="2" max="2" width="0.5703125" customWidth="1"/>
    <col min="3" max="3" width="1.7109375" customWidth="1"/>
    <col min="4" max="4" width="0.5703125" customWidth="1"/>
    <col min="5" max="5" width="19.7109375" customWidth="1"/>
    <col min="6" max="6" width="19.42578125" customWidth="1"/>
    <col min="7" max="10" width="8.28515625" customWidth="1"/>
    <col min="11" max="11" width="19.42578125" customWidth="1"/>
    <col min="12" max="14" width="1.7109375" customWidth="1"/>
  </cols>
  <sheetData>
    <row r="1" spans="2:28" ht="6" customHeight="1" thickBot="1" x14ac:dyDescent="0.3"/>
    <row r="2" spans="2:28" ht="18" customHeight="1" thickBot="1" x14ac:dyDescent="0.3">
      <c r="B2" s="110" t="s">
        <v>20</v>
      </c>
      <c r="C2" s="111"/>
      <c r="D2" s="111"/>
      <c r="E2" s="111"/>
      <c r="F2" s="111"/>
      <c r="G2" s="111"/>
      <c r="H2" s="111"/>
      <c r="I2" s="111"/>
      <c r="J2" s="111"/>
      <c r="K2" s="112"/>
      <c r="O2" s="110" t="s">
        <v>75</v>
      </c>
      <c r="P2" s="111"/>
      <c r="Q2" s="111"/>
      <c r="R2" s="111"/>
      <c r="S2" s="111"/>
      <c r="T2" s="111"/>
      <c r="U2" s="111"/>
      <c r="V2" s="111"/>
      <c r="W2" s="112"/>
    </row>
    <row r="4" spans="2:28" ht="10.35" customHeight="1" x14ac:dyDescent="0.25">
      <c r="C4" s="3"/>
      <c r="D4" s="113" t="s">
        <v>0</v>
      </c>
      <c r="E4" s="113"/>
      <c r="F4" s="113"/>
      <c r="G4" s="113"/>
      <c r="H4" s="113"/>
      <c r="I4" s="113"/>
      <c r="J4" s="113"/>
      <c r="K4" s="113"/>
    </row>
    <row r="5" spans="2:28" ht="10.35" customHeight="1" x14ac:dyDescent="0.25">
      <c r="C5" s="3"/>
      <c r="D5" s="113"/>
      <c r="E5" s="113"/>
      <c r="F5" s="113"/>
      <c r="G5" s="113"/>
      <c r="H5" s="113"/>
      <c r="I5" s="113"/>
      <c r="J5" s="113"/>
      <c r="K5" s="113"/>
    </row>
    <row r="6" spans="2:28" ht="3" customHeight="1" thickBot="1" x14ac:dyDescent="0.3"/>
    <row r="7" spans="2:28" ht="13.35" customHeight="1" thickBot="1" x14ac:dyDescent="0.3">
      <c r="E7" s="6" t="s">
        <v>1</v>
      </c>
      <c r="F7" s="4"/>
      <c r="G7" s="43" t="s">
        <v>55</v>
      </c>
      <c r="H7" s="23"/>
      <c r="I7" s="24">
        <v>0.5</v>
      </c>
      <c r="J7" s="25"/>
      <c r="K7" s="25" t="s">
        <v>22</v>
      </c>
      <c r="Y7" s="132" t="s">
        <v>89</v>
      </c>
      <c r="Z7" s="132"/>
      <c r="AA7" s="132"/>
      <c r="AB7" s="132"/>
    </row>
    <row r="8" spans="2:28" ht="13.35" customHeight="1" thickBot="1" x14ac:dyDescent="0.3">
      <c r="E8" s="18" t="s">
        <v>2</v>
      </c>
      <c r="F8" s="19"/>
      <c r="G8" s="44" t="s">
        <v>56</v>
      </c>
      <c r="H8" s="26"/>
      <c r="I8" s="27">
        <v>0</v>
      </c>
      <c r="J8" s="28"/>
      <c r="K8" s="28" t="s">
        <v>23</v>
      </c>
      <c r="Y8" s="132"/>
      <c r="Z8" s="132"/>
      <c r="AA8" s="132"/>
      <c r="AB8" s="132"/>
    </row>
    <row r="9" spans="2:28" ht="13.35" customHeight="1" thickBot="1" x14ac:dyDescent="0.3">
      <c r="E9" s="12" t="s">
        <v>3</v>
      </c>
      <c r="F9" s="5"/>
      <c r="G9" s="46" t="s">
        <v>49</v>
      </c>
      <c r="H9" s="29"/>
      <c r="I9" s="30">
        <v>2</v>
      </c>
      <c r="J9" s="31"/>
      <c r="K9" s="31" t="s">
        <v>24</v>
      </c>
      <c r="Y9" s="132"/>
      <c r="Z9" s="132"/>
      <c r="AA9" s="132"/>
      <c r="AB9" s="132"/>
    </row>
    <row r="10" spans="2:28" ht="3" customHeight="1" x14ac:dyDescent="0.25"/>
    <row r="11" spans="2:28" ht="10.35" customHeight="1" x14ac:dyDescent="0.25">
      <c r="C11" s="3"/>
      <c r="D11" s="113" t="s">
        <v>4</v>
      </c>
      <c r="E11" s="113"/>
      <c r="F11" s="113"/>
      <c r="G11" s="113"/>
      <c r="H11" s="113"/>
      <c r="I11" s="113"/>
      <c r="J11" s="113"/>
      <c r="K11" s="113"/>
    </row>
    <row r="12" spans="2:28" ht="10.35" customHeight="1" x14ac:dyDescent="0.25">
      <c r="C12" s="3"/>
      <c r="D12" s="113"/>
      <c r="E12" s="113"/>
      <c r="F12" s="113"/>
      <c r="G12" s="113"/>
      <c r="H12" s="113"/>
      <c r="I12" s="113"/>
      <c r="J12" s="113"/>
      <c r="K12" s="113"/>
    </row>
    <row r="13" spans="2:28" ht="3" customHeight="1" thickBot="1" x14ac:dyDescent="0.3"/>
    <row r="14" spans="2:28" ht="13.35" customHeight="1" thickBot="1" x14ac:dyDescent="0.3">
      <c r="E14" s="6" t="s">
        <v>5</v>
      </c>
      <c r="F14" s="7"/>
      <c r="G14" s="43" t="s">
        <v>50</v>
      </c>
      <c r="H14" s="23"/>
      <c r="I14" s="24">
        <v>1</v>
      </c>
      <c r="J14" s="25"/>
      <c r="K14" s="25" t="s">
        <v>25</v>
      </c>
    </row>
    <row r="15" spans="2:28" ht="13.35" customHeight="1" thickBot="1" x14ac:dyDescent="0.3">
      <c r="E15" s="18" t="s">
        <v>6</v>
      </c>
      <c r="F15" s="20"/>
      <c r="G15" s="44" t="s">
        <v>51</v>
      </c>
      <c r="H15" s="26">
        <v>0</v>
      </c>
      <c r="I15" s="27"/>
      <c r="J15" s="28">
        <v>0</v>
      </c>
      <c r="K15" s="28" t="s">
        <v>26</v>
      </c>
    </row>
    <row r="16" spans="2:28" ht="13.35" customHeight="1" thickBot="1" x14ac:dyDescent="0.3">
      <c r="E16" s="8" t="s">
        <v>7</v>
      </c>
      <c r="F16" s="9"/>
      <c r="G16" s="45" t="s">
        <v>52</v>
      </c>
      <c r="H16" s="32">
        <v>0</v>
      </c>
      <c r="I16" s="33"/>
      <c r="J16" s="34">
        <v>0</v>
      </c>
      <c r="K16" s="34" t="s">
        <v>23</v>
      </c>
    </row>
    <row r="17" spans="3:11" ht="13.35" customHeight="1" thickBot="1" x14ac:dyDescent="0.3">
      <c r="E17" s="18" t="s">
        <v>8</v>
      </c>
      <c r="F17" s="20"/>
      <c r="G17" s="44" t="s">
        <v>53</v>
      </c>
      <c r="H17" s="26">
        <v>0</v>
      </c>
      <c r="I17" s="27"/>
      <c r="J17" s="28">
        <v>0</v>
      </c>
      <c r="K17" s="28" t="s">
        <v>28</v>
      </c>
    </row>
    <row r="18" spans="3:11" ht="13.35" customHeight="1" thickBot="1" x14ac:dyDescent="0.3">
      <c r="E18" s="12" t="s">
        <v>9</v>
      </c>
      <c r="F18" s="13"/>
      <c r="G18" s="46" t="s">
        <v>54</v>
      </c>
      <c r="H18" s="29"/>
      <c r="I18" s="30">
        <v>2500</v>
      </c>
      <c r="J18" s="31"/>
      <c r="K18" s="31" t="s">
        <v>26</v>
      </c>
    </row>
    <row r="19" spans="3:11" ht="3" customHeight="1" x14ac:dyDescent="0.25"/>
    <row r="20" spans="3:11" ht="10.35" customHeight="1" x14ac:dyDescent="0.25">
      <c r="C20" s="3"/>
      <c r="D20" s="113" t="s">
        <v>21</v>
      </c>
      <c r="E20" s="113"/>
      <c r="F20" s="113"/>
      <c r="G20" s="113"/>
      <c r="H20" s="113"/>
      <c r="I20" s="113"/>
      <c r="J20" s="113"/>
      <c r="K20" s="113"/>
    </row>
    <row r="21" spans="3:11" ht="10.35" customHeight="1" thickBot="1" x14ac:dyDescent="0.3">
      <c r="C21" s="3"/>
      <c r="D21" s="113"/>
      <c r="E21" s="113"/>
      <c r="F21" s="113"/>
      <c r="G21" s="113"/>
      <c r="H21" s="113"/>
      <c r="I21" s="113"/>
      <c r="J21" s="113"/>
      <c r="K21" s="113"/>
    </row>
    <row r="22" spans="3:11" ht="10.35" customHeight="1" x14ac:dyDescent="0.25">
      <c r="C22" s="14"/>
      <c r="D22" s="118" t="s">
        <v>10</v>
      </c>
      <c r="E22" s="118"/>
      <c r="F22" s="118"/>
      <c r="G22" s="118"/>
      <c r="H22" s="118"/>
      <c r="I22" s="118"/>
      <c r="J22" s="118"/>
      <c r="K22" s="119"/>
    </row>
    <row r="23" spans="3:11" ht="10.35" customHeight="1" thickBot="1" x14ac:dyDescent="0.3">
      <c r="C23" s="15"/>
      <c r="D23" s="120"/>
      <c r="E23" s="120"/>
      <c r="F23" s="120"/>
      <c r="G23" s="120"/>
      <c r="H23" s="120"/>
      <c r="I23" s="120"/>
      <c r="J23" s="120"/>
      <c r="K23" s="121"/>
    </row>
    <row r="24" spans="3:11" ht="3" customHeight="1" thickBot="1" x14ac:dyDescent="0.3"/>
    <row r="25" spans="3:11" ht="13.35" customHeight="1" thickBot="1" x14ac:dyDescent="0.3">
      <c r="E25" s="6" t="s">
        <v>11</v>
      </c>
      <c r="F25" s="7"/>
      <c r="G25" s="43" t="s">
        <v>63</v>
      </c>
      <c r="H25" s="23">
        <v>20000</v>
      </c>
      <c r="I25" s="24"/>
      <c r="J25" s="25">
        <v>7500</v>
      </c>
      <c r="K25" s="25" t="s">
        <v>26</v>
      </c>
    </row>
    <row r="26" spans="3:11" ht="13.35" customHeight="1" thickBot="1" x14ac:dyDescent="0.3">
      <c r="E26" s="18" t="s">
        <v>12</v>
      </c>
      <c r="F26" s="20"/>
      <c r="G26" s="44" t="s">
        <v>58</v>
      </c>
      <c r="H26" s="26"/>
      <c r="I26" s="27">
        <v>5000</v>
      </c>
      <c r="J26" s="28"/>
      <c r="K26" s="28" t="s">
        <v>26</v>
      </c>
    </row>
    <row r="27" spans="3:11" ht="13.35" customHeight="1" thickBot="1" x14ac:dyDescent="0.3">
      <c r="E27" s="8" t="s">
        <v>13</v>
      </c>
      <c r="F27" s="9"/>
      <c r="G27" s="45" t="s">
        <v>57</v>
      </c>
      <c r="H27" s="32"/>
      <c r="I27" s="33">
        <v>1</v>
      </c>
      <c r="J27" s="34"/>
      <c r="K27" s="34" t="s">
        <v>27</v>
      </c>
    </row>
    <row r="28" spans="3:11" ht="13.35" customHeight="1" thickBot="1" x14ac:dyDescent="0.3">
      <c r="E28" s="21" t="s">
        <v>14</v>
      </c>
      <c r="F28" s="22"/>
      <c r="G28" s="51" t="s">
        <v>72</v>
      </c>
      <c r="H28" s="81">
        <f>I26^3*4/3*PI()</f>
        <v>523598775598.29883</v>
      </c>
      <c r="I28" s="82"/>
      <c r="J28" s="83"/>
      <c r="K28" s="35" t="s">
        <v>26</v>
      </c>
    </row>
    <row r="29" spans="3:11" ht="13.35" customHeight="1" thickBot="1" x14ac:dyDescent="0.3">
      <c r="E29" s="10" t="s">
        <v>15</v>
      </c>
      <c r="F29" s="11"/>
      <c r="G29" s="52" t="s">
        <v>73</v>
      </c>
      <c r="H29" s="81">
        <f>H28*I27</f>
        <v>523598775598.29883</v>
      </c>
      <c r="I29" s="82"/>
      <c r="J29" s="83"/>
      <c r="K29" s="36" t="s">
        <v>25</v>
      </c>
    </row>
    <row r="30" spans="3:11" ht="13.35" customHeight="1" thickBot="1" x14ac:dyDescent="0.3">
      <c r="E30" s="21" t="s">
        <v>16</v>
      </c>
      <c r="F30" s="22"/>
      <c r="G30" s="51" t="s">
        <v>74</v>
      </c>
      <c r="H30" s="38"/>
      <c r="I30" s="37">
        <f>I26*I9</f>
        <v>10000</v>
      </c>
      <c r="J30" s="35"/>
      <c r="K30" s="35" t="s">
        <v>26</v>
      </c>
    </row>
    <row r="31" spans="3:11" ht="13.35" customHeight="1" thickBot="1" x14ac:dyDescent="0.3">
      <c r="E31" s="12" t="s">
        <v>17</v>
      </c>
      <c r="F31" s="13"/>
      <c r="G31" s="46"/>
      <c r="H31" s="29"/>
      <c r="I31" s="30" t="s">
        <v>48</v>
      </c>
      <c r="J31" s="31"/>
      <c r="K31" s="31" t="s">
        <v>24</v>
      </c>
    </row>
    <row r="32" spans="3:11" ht="3" customHeight="1" thickBot="1" x14ac:dyDescent="0.3"/>
    <row r="33" spans="3:11" ht="10.35" customHeight="1" x14ac:dyDescent="0.25">
      <c r="C33" s="16"/>
      <c r="D33" s="122" t="s">
        <v>18</v>
      </c>
      <c r="E33" s="122"/>
      <c r="F33" s="122"/>
      <c r="G33" s="122"/>
      <c r="H33" s="122"/>
      <c r="I33" s="122"/>
      <c r="J33" s="122"/>
      <c r="K33" s="123"/>
    </row>
    <row r="34" spans="3:11" ht="10.35" customHeight="1" thickBot="1" x14ac:dyDescent="0.3">
      <c r="C34" s="17"/>
      <c r="D34" s="124"/>
      <c r="E34" s="124"/>
      <c r="F34" s="124"/>
      <c r="G34" s="124"/>
      <c r="H34" s="124"/>
      <c r="I34" s="124"/>
      <c r="J34" s="124"/>
      <c r="K34" s="125"/>
    </row>
    <row r="35" spans="3:11" ht="3" customHeight="1" thickBot="1" x14ac:dyDescent="0.3"/>
    <row r="36" spans="3:11" ht="13.35" customHeight="1" thickBot="1" x14ac:dyDescent="0.3">
      <c r="E36" s="6" t="s">
        <v>11</v>
      </c>
      <c r="F36" s="7"/>
      <c r="G36" s="47" t="s">
        <v>64</v>
      </c>
      <c r="H36" s="24">
        <v>-20000</v>
      </c>
      <c r="I36" s="24"/>
      <c r="J36" s="25">
        <v>10000</v>
      </c>
      <c r="K36" s="25" t="s">
        <v>26</v>
      </c>
    </row>
    <row r="37" spans="3:11" ht="13.35" customHeight="1" thickBot="1" x14ac:dyDescent="0.3">
      <c r="E37" s="18" t="s">
        <v>12</v>
      </c>
      <c r="F37" s="20"/>
      <c r="G37" s="48" t="s">
        <v>59</v>
      </c>
      <c r="H37" s="27"/>
      <c r="I37" s="27">
        <v>3500</v>
      </c>
      <c r="J37" s="28"/>
      <c r="K37" s="28" t="s">
        <v>26</v>
      </c>
    </row>
    <row r="38" spans="3:11" ht="13.35" customHeight="1" thickBot="1" x14ac:dyDescent="0.3">
      <c r="E38" s="8" t="s">
        <v>13</v>
      </c>
      <c r="F38" s="9"/>
      <c r="G38" s="49" t="s">
        <v>60</v>
      </c>
      <c r="H38" s="33"/>
      <c r="I38" s="33">
        <v>1</v>
      </c>
      <c r="J38" s="34"/>
      <c r="K38" s="34" t="s">
        <v>27</v>
      </c>
    </row>
    <row r="39" spans="3:11" ht="13.35" customHeight="1" thickBot="1" x14ac:dyDescent="0.3">
      <c r="E39" s="21" t="s">
        <v>14</v>
      </c>
      <c r="F39" s="22"/>
      <c r="G39" s="53" t="s">
        <v>69</v>
      </c>
      <c r="H39" s="81">
        <f>I37^3*4/3*PI()</f>
        <v>179594380030.21649</v>
      </c>
      <c r="I39" s="82"/>
      <c r="J39" s="83"/>
      <c r="K39" s="35" t="s">
        <v>26</v>
      </c>
    </row>
    <row r="40" spans="3:11" ht="13.35" customHeight="1" thickBot="1" x14ac:dyDescent="0.3">
      <c r="E40" s="10" t="s">
        <v>15</v>
      </c>
      <c r="F40" s="11"/>
      <c r="G40" s="54" t="s">
        <v>70</v>
      </c>
      <c r="H40" s="81">
        <f>H39*I38</f>
        <v>179594380030.21649</v>
      </c>
      <c r="I40" s="82"/>
      <c r="J40" s="83"/>
      <c r="K40" s="36" t="s">
        <v>25</v>
      </c>
    </row>
    <row r="41" spans="3:11" ht="13.35" customHeight="1" thickBot="1" x14ac:dyDescent="0.3">
      <c r="E41" s="21" t="s">
        <v>16</v>
      </c>
      <c r="F41" s="22"/>
      <c r="G41" s="53" t="s">
        <v>71</v>
      </c>
      <c r="H41" s="37"/>
      <c r="I41" s="37">
        <f>I37*I9</f>
        <v>7000</v>
      </c>
      <c r="J41" s="35"/>
      <c r="K41" s="35" t="s">
        <v>26</v>
      </c>
    </row>
    <row r="42" spans="3:11" ht="13.35" customHeight="1" thickBot="1" x14ac:dyDescent="0.3">
      <c r="E42" s="12" t="s">
        <v>17</v>
      </c>
      <c r="F42" s="13"/>
      <c r="G42" s="50"/>
      <c r="H42" s="30"/>
      <c r="I42" s="30" t="s">
        <v>48</v>
      </c>
      <c r="J42" s="31"/>
      <c r="K42" s="31" t="s">
        <v>24</v>
      </c>
    </row>
    <row r="43" spans="3:11" ht="3" customHeight="1" thickBot="1" x14ac:dyDescent="0.3"/>
    <row r="44" spans="3:11" ht="10.35" customHeight="1" x14ac:dyDescent="0.25">
      <c r="C44" s="1"/>
      <c r="D44" s="114" t="s">
        <v>19</v>
      </c>
      <c r="E44" s="114"/>
      <c r="F44" s="114"/>
      <c r="G44" s="114"/>
      <c r="H44" s="114"/>
      <c r="I44" s="114"/>
      <c r="J44" s="114"/>
      <c r="K44" s="115"/>
    </row>
    <row r="45" spans="3:11" ht="10.35" customHeight="1" thickBot="1" x14ac:dyDescent="0.3">
      <c r="C45" s="2"/>
      <c r="D45" s="116"/>
      <c r="E45" s="116"/>
      <c r="F45" s="116"/>
      <c r="G45" s="116"/>
      <c r="H45" s="116"/>
      <c r="I45" s="116"/>
      <c r="J45" s="116"/>
      <c r="K45" s="117"/>
    </row>
    <row r="46" spans="3:11" ht="3" customHeight="1" thickBot="1" x14ac:dyDescent="0.3"/>
    <row r="47" spans="3:11" ht="13.35" customHeight="1" thickBot="1" x14ac:dyDescent="0.3">
      <c r="E47" s="6" t="s">
        <v>11</v>
      </c>
      <c r="F47" s="7"/>
      <c r="G47" s="43" t="s">
        <v>65</v>
      </c>
      <c r="H47" s="23">
        <v>-5000</v>
      </c>
      <c r="I47" s="24"/>
      <c r="J47" s="25">
        <v>-15000</v>
      </c>
      <c r="K47" s="25" t="s">
        <v>26</v>
      </c>
    </row>
    <row r="48" spans="3:11" ht="13.35" customHeight="1" thickBot="1" x14ac:dyDescent="0.3">
      <c r="E48" s="18" t="s">
        <v>12</v>
      </c>
      <c r="F48" s="20"/>
      <c r="G48" s="44" t="s">
        <v>61</v>
      </c>
      <c r="H48" s="26"/>
      <c r="I48" s="27">
        <v>5000</v>
      </c>
      <c r="J48" s="28"/>
      <c r="K48" s="28" t="s">
        <v>26</v>
      </c>
    </row>
    <row r="49" spans="3:11" ht="13.35" customHeight="1" thickBot="1" x14ac:dyDescent="0.3">
      <c r="E49" s="8" t="s">
        <v>13</v>
      </c>
      <c r="F49" s="9"/>
      <c r="G49" s="45" t="s">
        <v>62</v>
      </c>
      <c r="H49" s="32"/>
      <c r="I49" s="33">
        <v>1</v>
      </c>
      <c r="J49" s="34"/>
      <c r="K49" s="34" t="s">
        <v>27</v>
      </c>
    </row>
    <row r="50" spans="3:11" ht="13.35" customHeight="1" thickBot="1" x14ac:dyDescent="0.3">
      <c r="E50" s="21" t="s">
        <v>14</v>
      </c>
      <c r="F50" s="22"/>
      <c r="G50" s="51" t="s">
        <v>66</v>
      </c>
      <c r="H50" s="81">
        <f>I48^3*4/3*PI()</f>
        <v>523598775598.29883</v>
      </c>
      <c r="I50" s="82"/>
      <c r="J50" s="83"/>
      <c r="K50" s="35" t="s">
        <v>26</v>
      </c>
    </row>
    <row r="51" spans="3:11" ht="13.35" customHeight="1" thickBot="1" x14ac:dyDescent="0.3">
      <c r="E51" s="10" t="s">
        <v>15</v>
      </c>
      <c r="F51" s="11"/>
      <c r="G51" s="52" t="s">
        <v>67</v>
      </c>
      <c r="H51" s="84">
        <f>H50*I49</f>
        <v>523598775598.29883</v>
      </c>
      <c r="I51" s="85"/>
      <c r="J51" s="86"/>
      <c r="K51" s="36" t="s">
        <v>25</v>
      </c>
    </row>
    <row r="52" spans="3:11" ht="13.35" customHeight="1" thickBot="1" x14ac:dyDescent="0.3">
      <c r="E52" s="21" t="s">
        <v>16</v>
      </c>
      <c r="F52" s="22"/>
      <c r="G52" s="51" t="s">
        <v>68</v>
      </c>
      <c r="H52" s="38"/>
      <c r="I52" s="37">
        <f>I48*I9</f>
        <v>10000</v>
      </c>
      <c r="J52" s="35"/>
      <c r="K52" s="35" t="s">
        <v>26</v>
      </c>
    </row>
    <row r="53" spans="3:11" ht="13.35" customHeight="1" thickBot="1" x14ac:dyDescent="0.3">
      <c r="E53" s="12" t="s">
        <v>17</v>
      </c>
      <c r="F53" s="13"/>
      <c r="G53" s="46"/>
      <c r="H53" s="29"/>
      <c r="I53" s="30" t="s">
        <v>48</v>
      </c>
      <c r="J53" s="31"/>
      <c r="K53" s="31" t="s">
        <v>24</v>
      </c>
    </row>
    <row r="54" spans="3:11" ht="3" customHeight="1" thickBot="1" x14ac:dyDescent="0.3"/>
    <row r="55" spans="3:11" ht="10.35" customHeight="1" x14ac:dyDescent="0.25">
      <c r="C55" s="73"/>
      <c r="D55" s="102" t="s">
        <v>81</v>
      </c>
      <c r="E55" s="102"/>
      <c r="F55" s="102"/>
      <c r="G55" s="102"/>
      <c r="H55" s="102"/>
      <c r="I55" s="102"/>
      <c r="J55" s="102"/>
      <c r="K55" s="103"/>
    </row>
    <row r="56" spans="3:11" ht="10.35" customHeight="1" thickBot="1" x14ac:dyDescent="0.3">
      <c r="C56" s="74"/>
      <c r="D56" s="104"/>
      <c r="E56" s="104"/>
      <c r="F56" s="104"/>
      <c r="G56" s="104"/>
      <c r="H56" s="104"/>
      <c r="I56" s="104"/>
      <c r="J56" s="104"/>
      <c r="K56" s="105"/>
    </row>
    <row r="57" spans="3:11" ht="3" customHeight="1" thickBot="1" x14ac:dyDescent="0.3"/>
    <row r="58" spans="3:11" ht="13.35" customHeight="1" thickBot="1" x14ac:dyDescent="0.3">
      <c r="E58" s="6" t="s">
        <v>11</v>
      </c>
      <c r="F58" s="7"/>
      <c r="G58" s="43" t="s">
        <v>65</v>
      </c>
      <c r="H58" s="23">
        <v>5000</v>
      </c>
      <c r="I58" s="24"/>
      <c r="J58" s="25">
        <v>15000</v>
      </c>
      <c r="K58" s="25" t="s">
        <v>26</v>
      </c>
    </row>
    <row r="59" spans="3:11" ht="13.35" customHeight="1" thickBot="1" x14ac:dyDescent="0.3">
      <c r="E59" s="18" t="s">
        <v>12</v>
      </c>
      <c r="F59" s="20"/>
      <c r="G59" s="44" t="s">
        <v>61</v>
      </c>
      <c r="H59" s="26"/>
      <c r="I59" s="27">
        <v>7500</v>
      </c>
      <c r="J59" s="28"/>
      <c r="K59" s="28" t="s">
        <v>26</v>
      </c>
    </row>
    <row r="60" spans="3:11" ht="13.35" customHeight="1" thickBot="1" x14ac:dyDescent="0.3">
      <c r="E60" s="8" t="s">
        <v>13</v>
      </c>
      <c r="F60" s="9"/>
      <c r="G60" s="45" t="s">
        <v>62</v>
      </c>
      <c r="H60" s="32"/>
      <c r="I60" s="33">
        <v>1</v>
      </c>
      <c r="J60" s="34"/>
      <c r="K60" s="34" t="s">
        <v>27</v>
      </c>
    </row>
    <row r="61" spans="3:11" ht="13.35" customHeight="1" thickBot="1" x14ac:dyDescent="0.3">
      <c r="E61" s="21" t="s">
        <v>14</v>
      </c>
      <c r="F61" s="22"/>
      <c r="G61" s="51" t="s">
        <v>66</v>
      </c>
      <c r="H61" s="81">
        <f>I59^3*4/3*PI()</f>
        <v>1767145867644.2585</v>
      </c>
      <c r="I61" s="82"/>
      <c r="J61" s="83"/>
      <c r="K61" s="35" t="s">
        <v>26</v>
      </c>
    </row>
    <row r="62" spans="3:11" ht="13.35" customHeight="1" thickBot="1" x14ac:dyDescent="0.3">
      <c r="E62" s="10" t="s">
        <v>15</v>
      </c>
      <c r="F62" s="11"/>
      <c r="G62" s="52" t="s">
        <v>67</v>
      </c>
      <c r="H62" s="84">
        <f>H61*I60</f>
        <v>1767145867644.2585</v>
      </c>
      <c r="I62" s="85"/>
      <c r="J62" s="86"/>
      <c r="K62" s="36" t="s">
        <v>25</v>
      </c>
    </row>
    <row r="63" spans="3:11" ht="13.35" customHeight="1" thickBot="1" x14ac:dyDescent="0.3">
      <c r="E63" s="21" t="s">
        <v>16</v>
      </c>
      <c r="F63" s="22"/>
      <c r="G63" s="51" t="s">
        <v>68</v>
      </c>
      <c r="H63" s="38"/>
      <c r="I63" s="37">
        <f>I59*I9</f>
        <v>15000</v>
      </c>
      <c r="J63" s="35"/>
      <c r="K63" s="35" t="s">
        <v>26</v>
      </c>
    </row>
    <row r="64" spans="3:11" ht="13.35" customHeight="1" thickBot="1" x14ac:dyDescent="0.3">
      <c r="E64" s="12" t="s">
        <v>17</v>
      </c>
      <c r="F64" s="13"/>
      <c r="G64" s="46"/>
      <c r="H64" s="29"/>
      <c r="I64" s="30" t="s">
        <v>48</v>
      </c>
      <c r="J64" s="31"/>
      <c r="K64" s="31" t="s">
        <v>24</v>
      </c>
    </row>
    <row r="65" spans="3:11" ht="3" customHeight="1" thickBot="1" x14ac:dyDescent="0.3"/>
    <row r="66" spans="3:11" ht="10.35" customHeight="1" x14ac:dyDescent="0.25">
      <c r="C66" s="75"/>
      <c r="D66" s="106" t="s">
        <v>82</v>
      </c>
      <c r="E66" s="106"/>
      <c r="F66" s="106"/>
      <c r="G66" s="106"/>
      <c r="H66" s="106"/>
      <c r="I66" s="106"/>
      <c r="J66" s="106"/>
      <c r="K66" s="107"/>
    </row>
    <row r="67" spans="3:11" ht="10.35" customHeight="1" thickBot="1" x14ac:dyDescent="0.3">
      <c r="C67" s="76"/>
      <c r="D67" s="108"/>
      <c r="E67" s="108"/>
      <c r="F67" s="108"/>
      <c r="G67" s="108"/>
      <c r="H67" s="108"/>
      <c r="I67" s="108"/>
      <c r="J67" s="108"/>
      <c r="K67" s="109"/>
    </row>
    <row r="68" spans="3:11" ht="3" customHeight="1" thickBot="1" x14ac:dyDescent="0.3"/>
    <row r="69" spans="3:11" ht="13.35" customHeight="1" thickBot="1" x14ac:dyDescent="0.3">
      <c r="E69" s="6" t="s">
        <v>11</v>
      </c>
      <c r="F69" s="7"/>
      <c r="G69" s="43" t="s">
        <v>65</v>
      </c>
      <c r="H69" s="23">
        <v>15000</v>
      </c>
      <c r="I69" s="24"/>
      <c r="J69" s="25">
        <v>-5000</v>
      </c>
      <c r="K69" s="25" t="s">
        <v>26</v>
      </c>
    </row>
    <row r="70" spans="3:11" ht="13.35" customHeight="1" thickBot="1" x14ac:dyDescent="0.3">
      <c r="E70" s="18" t="s">
        <v>12</v>
      </c>
      <c r="F70" s="20"/>
      <c r="G70" s="44" t="s">
        <v>61</v>
      </c>
      <c r="H70" s="26"/>
      <c r="I70" s="27">
        <v>3500</v>
      </c>
      <c r="J70" s="28"/>
      <c r="K70" s="28" t="s">
        <v>26</v>
      </c>
    </row>
    <row r="71" spans="3:11" ht="13.35" customHeight="1" thickBot="1" x14ac:dyDescent="0.3">
      <c r="E71" s="8" t="s">
        <v>13</v>
      </c>
      <c r="F71" s="9"/>
      <c r="G71" s="45" t="s">
        <v>62</v>
      </c>
      <c r="H71" s="32"/>
      <c r="I71" s="33">
        <v>1</v>
      </c>
      <c r="J71" s="34"/>
      <c r="K71" s="34" t="s">
        <v>27</v>
      </c>
    </row>
    <row r="72" spans="3:11" ht="13.35" customHeight="1" thickBot="1" x14ac:dyDescent="0.3">
      <c r="E72" s="21" t="s">
        <v>14</v>
      </c>
      <c r="F72" s="22"/>
      <c r="G72" s="51" t="s">
        <v>66</v>
      </c>
      <c r="H72" s="81">
        <f>I70^3*4/3*PI()</f>
        <v>179594380030.21649</v>
      </c>
      <c r="I72" s="82"/>
      <c r="J72" s="83"/>
      <c r="K72" s="35" t="s">
        <v>26</v>
      </c>
    </row>
    <row r="73" spans="3:11" ht="13.35" customHeight="1" thickBot="1" x14ac:dyDescent="0.3">
      <c r="E73" s="10" t="s">
        <v>15</v>
      </c>
      <c r="F73" s="11"/>
      <c r="G73" s="52" t="s">
        <v>67</v>
      </c>
      <c r="H73" s="84">
        <f>H72*I71</f>
        <v>179594380030.21649</v>
      </c>
      <c r="I73" s="85"/>
      <c r="J73" s="86"/>
      <c r="K73" s="36" t="s">
        <v>25</v>
      </c>
    </row>
    <row r="74" spans="3:11" ht="13.35" customHeight="1" thickBot="1" x14ac:dyDescent="0.3">
      <c r="E74" s="21" t="s">
        <v>16</v>
      </c>
      <c r="F74" s="22"/>
      <c r="G74" s="51" t="s">
        <v>68</v>
      </c>
      <c r="H74" s="38"/>
      <c r="I74" s="37">
        <f>I70*I9</f>
        <v>7000</v>
      </c>
      <c r="J74" s="35"/>
      <c r="K74" s="35" t="s">
        <v>26</v>
      </c>
    </row>
    <row r="75" spans="3:11" ht="13.35" customHeight="1" thickBot="1" x14ac:dyDescent="0.3">
      <c r="E75" s="12" t="s">
        <v>17</v>
      </c>
      <c r="F75" s="13"/>
      <c r="G75" s="46"/>
      <c r="H75" s="29"/>
      <c r="I75" s="30" t="s">
        <v>48</v>
      </c>
      <c r="J75" s="31"/>
      <c r="K75" s="31" t="s">
        <v>24</v>
      </c>
    </row>
  </sheetData>
  <mergeCells count="21">
    <mergeCell ref="Y7:AB9"/>
    <mergeCell ref="O2:W2"/>
    <mergeCell ref="H51:J51"/>
    <mergeCell ref="B2:K2"/>
    <mergeCell ref="D4:K5"/>
    <mergeCell ref="D44:K45"/>
    <mergeCell ref="D11:K12"/>
    <mergeCell ref="D20:K21"/>
    <mergeCell ref="D22:K23"/>
    <mergeCell ref="D33:K34"/>
    <mergeCell ref="H50:J50"/>
    <mergeCell ref="H40:J40"/>
    <mergeCell ref="H39:J39"/>
    <mergeCell ref="H29:J29"/>
    <mergeCell ref="H28:J28"/>
    <mergeCell ref="H73:J73"/>
    <mergeCell ref="D55:K56"/>
    <mergeCell ref="H61:J61"/>
    <mergeCell ref="H62:J62"/>
    <mergeCell ref="D66:K67"/>
    <mergeCell ref="H72:J72"/>
  </mergeCells>
  <phoneticPr fontId="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6954B-A281-4682-8696-B45ADD38CA89}">
  <sheetPr codeName="Feuil1"/>
  <dimension ref="G7:R13"/>
  <sheetViews>
    <sheetView zoomScaleNormal="100" workbookViewId="0">
      <selection activeCell="S12" sqref="S12"/>
    </sheetView>
  </sheetViews>
  <sheetFormatPr baseColWidth="10" defaultRowHeight="15" x14ac:dyDescent="0.25"/>
  <sheetData>
    <row r="7" spans="7:18" x14ac:dyDescent="0.25">
      <c r="G7" s="126" t="s">
        <v>79</v>
      </c>
      <c r="H7" s="126"/>
      <c r="I7" s="128">
        <f>O13/O12</f>
        <v>1</v>
      </c>
    </row>
    <row r="8" spans="7:18" ht="15.75" thickBot="1" x14ac:dyDescent="0.3">
      <c r="G8" s="127"/>
      <c r="H8" s="127"/>
      <c r="I8" s="129"/>
    </row>
    <row r="9" spans="7:18" ht="15.75" thickBot="1" x14ac:dyDescent="0.3"/>
    <row r="10" spans="7:18" ht="15.75" thickBot="1" x14ac:dyDescent="0.3">
      <c r="M10" s="60" t="s">
        <v>29</v>
      </c>
      <c r="N10" s="62" t="s">
        <v>30</v>
      </c>
      <c r="O10" s="61" t="s">
        <v>31</v>
      </c>
      <c r="Q10" s="130" t="s">
        <v>80</v>
      </c>
      <c r="R10" s="131"/>
    </row>
    <row r="11" spans="7:18" ht="18" x14ac:dyDescent="0.35">
      <c r="L11" s="72" t="s">
        <v>76</v>
      </c>
      <c r="M11" s="63">
        <v>0</v>
      </c>
      <c r="N11" s="69">
        <v>0</v>
      </c>
      <c r="O11" s="64">
        <v>0</v>
      </c>
      <c r="Q11" s="63">
        <f>INDEX(pxj, MATCH(O13+1, Numero))</f>
        <v>323058.00496092136</v>
      </c>
      <c r="R11" s="69">
        <f>INDEX(pyj, MATCH(O13+1, Numero))</f>
        <v>515323.90663286962</v>
      </c>
    </row>
    <row r="12" spans="7:18" ht="18" x14ac:dyDescent="0.35">
      <c r="L12" s="72" t="s">
        <v>77</v>
      </c>
      <c r="M12" s="67">
        <f>Calculs!W1006</f>
        <v>323058.00496092136</v>
      </c>
      <c r="N12" s="70">
        <f>Calculs!X1006</f>
        <v>515323.90663286962</v>
      </c>
      <c r="O12" s="68">
        <v>1000</v>
      </c>
      <c r="Q12" s="67">
        <f>INDEX(pxj, MATCH(O13+2, Numero))</f>
        <v>323058.00496092136</v>
      </c>
      <c r="R12" s="70">
        <f>INDEX(pyj, MATCH(O13+2, Numero))</f>
        <v>515323.90663286962</v>
      </c>
    </row>
    <row r="13" spans="7:18" ht="18" x14ac:dyDescent="0.35">
      <c r="L13" s="72" t="s">
        <v>78</v>
      </c>
      <c r="M13" s="65">
        <f>INDEX(pxj, MATCH(O13, Numero))</f>
        <v>323058.00496092136</v>
      </c>
      <c r="N13" s="71">
        <f>INDEX(pyj, MATCH(O13, Numero))</f>
        <v>515323.90663286962</v>
      </c>
      <c r="O13" s="66">
        <v>1000</v>
      </c>
    </row>
  </sheetData>
  <mergeCells count="3">
    <mergeCell ref="G7:H8"/>
    <mergeCell ref="I7:I8"/>
    <mergeCell ref="Q10:R10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Fill="0" autoLine="0" r:id="rId4">
            <anchor moveWithCells="1">
              <from>
                <xdr:col>2</xdr:col>
                <xdr:colOff>9525</xdr:colOff>
                <xdr:row>6</xdr:row>
                <xdr:rowOff>9525</xdr:rowOff>
              </from>
              <to>
                <xdr:col>5</xdr:col>
                <xdr:colOff>0</xdr:colOff>
                <xdr:row>8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autoPict="0" r:id="rId6">
            <anchor moveWithCells="1">
              <from>
                <xdr:col>4</xdr:col>
                <xdr:colOff>9525</xdr:colOff>
                <xdr:row>45</xdr:row>
                <xdr:rowOff>28575</xdr:rowOff>
              </from>
              <to>
                <xdr:col>6</xdr:col>
                <xdr:colOff>752475</xdr:colOff>
                <xdr:row>48</xdr:row>
                <xdr:rowOff>9525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9bec72c450dd1b92bf4176960ce3b4f0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6fdf0c195b0dfe674846b787201daae1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4265B7F-0CBE-4BCD-9E59-4240DF3CE0C5}">
  <ds:schemaRefs>
    <ds:schemaRef ds:uri="http://schemas.openxmlformats.org/package/2006/metadata/core-properties"/>
    <ds:schemaRef ds:uri="http://purl.org/dc/terms/"/>
    <ds:schemaRef ds:uri="22375818-dcd7-42e4-9660-6b33e030de66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infopath/2007/PartnerControls"/>
    <ds:schemaRef ds:uri="9de94308-2297-4d04-a77d-26fce9df9395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7B60ACC-326D-413A-A523-76083D6C08A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F583D2-D754-4578-BAB7-1B58161201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Calculs</vt:lpstr>
      <vt:lpstr>Conditions initiales et traject</vt:lpstr>
      <vt:lpstr>Simulation en mouvement</vt:lpstr>
      <vt:lpstr>Numero</vt:lpstr>
      <vt:lpstr>pxj</vt:lpstr>
      <vt:lpstr>pyj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Dupiot Alexis</dc:creator>
  <cp:lastModifiedBy>x x</cp:lastModifiedBy>
  <dcterms:created xsi:type="dcterms:W3CDTF">2022-11-24T13:14:52Z</dcterms:created>
  <dcterms:modified xsi:type="dcterms:W3CDTF">2022-12-20T05:15:48Z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